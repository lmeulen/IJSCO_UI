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D852" lockStructure="1"/>
  <bookViews>
    <workbookView xWindow="10305" yWindow="-15" windowWidth="10200" windowHeight="7260" activeTab="4"/>
  </bookViews>
  <sheets>
    <sheet name="10" sheetId="1" r:id="rId1"/>
    <sheet name="8" sheetId="2" r:id="rId2"/>
    <sheet name="6" sheetId="3" r:id="rId3"/>
    <sheet name="4" sheetId="4" r:id="rId4"/>
    <sheet name="Groepsindeling" sheetId="6" r:id="rId5"/>
    <sheet name="Deelnemerslijst" sheetId="5" r:id="rId6"/>
    <sheet name="Configuratie" sheetId="7" r:id="rId7"/>
  </sheets>
  <definedNames>
    <definedName name="_xlnm.Print_Area" localSheetId="0">'10'!$B$1:$T$78,'10'!$V$1:$AA$78</definedName>
    <definedName name="_xlnm.Print_Area" localSheetId="3">'4'!$B$1:$S$21,'4'!$U$1:$AB$21</definedName>
    <definedName name="_xlnm.Print_Area" localSheetId="2">'6'!$B$1:$T$36,'6'!$V$1:$AA$36</definedName>
    <definedName name="_xlnm.Print_Area" localSheetId="1">'8'!$B$1:$T$55,'8'!$W$1:$AC$55</definedName>
  </definedNames>
  <calcPr calcId="145621"/>
</workbook>
</file>

<file path=xl/calcChain.xml><?xml version="1.0" encoding="utf-8"?>
<calcChain xmlns="http://schemas.openxmlformats.org/spreadsheetml/2006/main">
  <c r="V1" i="1" l="1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6" i="1"/>
  <c r="R27" i="1"/>
  <c r="R28" i="1"/>
  <c r="R29" i="1"/>
  <c r="R25" i="1"/>
  <c r="R19" i="1"/>
  <c r="R20" i="1"/>
  <c r="R21" i="1"/>
  <c r="R22" i="1"/>
  <c r="R18" i="1"/>
  <c r="AW79" i="1"/>
  <c r="AW72" i="1"/>
  <c r="AW65" i="1"/>
  <c r="AW58" i="1"/>
  <c r="AW51" i="1"/>
  <c r="AW44" i="1"/>
  <c r="AW37" i="1"/>
  <c r="AW30" i="1"/>
  <c r="AW23" i="1"/>
  <c r="V1" i="3"/>
  <c r="U1" i="4" l="1"/>
  <c r="S8" i="4"/>
  <c r="J18" i="2"/>
  <c r="M17" i="2"/>
  <c r="I4" i="2"/>
  <c r="Q21" i="4"/>
  <c r="Q20" i="4"/>
  <c r="Q17" i="4"/>
  <c r="Q16" i="4"/>
  <c r="Q13" i="4"/>
  <c r="Q12" i="4"/>
  <c r="W1" i="2" l="1"/>
  <c r="X5" i="2" l="1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N21" i="4" l="1"/>
  <c r="N20" i="4"/>
  <c r="N17" i="4"/>
  <c r="N16" i="4"/>
  <c r="N13" i="4"/>
  <c r="N12" i="4"/>
  <c r="J21" i="4"/>
  <c r="AS21" i="4" s="1"/>
  <c r="J20" i="4"/>
  <c r="AS20" i="4" s="1"/>
  <c r="J17" i="4"/>
  <c r="J16" i="4"/>
  <c r="J13" i="4"/>
  <c r="J12" i="4"/>
  <c r="AS12" i="4" s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22" i="1"/>
  <c r="M21" i="1"/>
  <c r="M20" i="1"/>
  <c r="M19" i="1"/>
  <c r="M18" i="1"/>
  <c r="J78" i="1"/>
  <c r="AW78" i="1" s="1"/>
  <c r="J77" i="1"/>
  <c r="J76" i="1"/>
  <c r="J75" i="1"/>
  <c r="J74" i="1"/>
  <c r="AW74" i="1" s="1"/>
  <c r="J71" i="1"/>
  <c r="J70" i="1"/>
  <c r="J69" i="1"/>
  <c r="J68" i="1"/>
  <c r="AW68" i="1" s="1"/>
  <c r="J67" i="1"/>
  <c r="J64" i="1"/>
  <c r="J63" i="1"/>
  <c r="J62" i="1"/>
  <c r="AW62" i="1" s="1"/>
  <c r="J61" i="1"/>
  <c r="J60" i="1"/>
  <c r="J57" i="1"/>
  <c r="J56" i="1"/>
  <c r="J55" i="1"/>
  <c r="J54" i="1"/>
  <c r="J53" i="1"/>
  <c r="AW53" i="1" s="1"/>
  <c r="J50" i="1"/>
  <c r="AW50" i="1" s="1"/>
  <c r="J49" i="1"/>
  <c r="J48" i="1"/>
  <c r="J47" i="1"/>
  <c r="AW47" i="1" s="1"/>
  <c r="J46" i="1"/>
  <c r="J43" i="1"/>
  <c r="J42" i="1"/>
  <c r="J41" i="1"/>
  <c r="AW41" i="1" s="1"/>
  <c r="J40" i="1"/>
  <c r="J39" i="1"/>
  <c r="J36" i="1"/>
  <c r="J35" i="1"/>
  <c r="J34" i="1"/>
  <c r="AW34" i="1" s="1"/>
  <c r="J33" i="1"/>
  <c r="J32" i="1"/>
  <c r="J29" i="1"/>
  <c r="J28" i="1"/>
  <c r="AW28" i="1" s="1"/>
  <c r="J27" i="1"/>
  <c r="J26" i="1"/>
  <c r="J25" i="1"/>
  <c r="J22" i="1"/>
  <c r="J21" i="1"/>
  <c r="J20" i="1"/>
  <c r="J19" i="1"/>
  <c r="AW19" i="1" s="1"/>
  <c r="J18" i="1"/>
  <c r="AW75" i="1" l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9" i="2"/>
  <c r="R18" i="2"/>
  <c r="R17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J55" i="2"/>
  <c r="BA55" i="2" s="1"/>
  <c r="J54" i="2"/>
  <c r="BA54" i="2" s="1"/>
  <c r="J53" i="2"/>
  <c r="BA53" i="2" s="1"/>
  <c r="J52" i="2"/>
  <c r="BA52" i="2" s="1"/>
  <c r="J49" i="2"/>
  <c r="J48" i="2"/>
  <c r="BA48" i="2" s="1"/>
  <c r="J47" i="2"/>
  <c r="BA47" i="2" s="1"/>
  <c r="J46" i="2"/>
  <c r="J43" i="2"/>
  <c r="BA43" i="2" s="1"/>
  <c r="J42" i="2"/>
  <c r="J41" i="2"/>
  <c r="BA41" i="2" s="1"/>
  <c r="J40" i="2"/>
  <c r="J37" i="2"/>
  <c r="BA37" i="2" s="1"/>
  <c r="J36" i="2"/>
  <c r="J35" i="2"/>
  <c r="BA35" i="2" s="1"/>
  <c r="J34" i="2"/>
  <c r="J31" i="2"/>
  <c r="J30" i="2"/>
  <c r="BA30" i="2" s="1"/>
  <c r="J29" i="2"/>
  <c r="BA29" i="2" s="1"/>
  <c r="J28" i="2"/>
  <c r="BA28" i="2" s="1"/>
  <c r="J25" i="2"/>
  <c r="BA25" i="2" s="1"/>
  <c r="J24" i="2"/>
  <c r="BA24" i="2" s="1"/>
  <c r="J23" i="2"/>
  <c r="BA23" i="2" s="1"/>
  <c r="J22" i="2"/>
  <c r="M19" i="2"/>
  <c r="M18" i="2"/>
  <c r="J19" i="2"/>
  <c r="J17" i="2"/>
  <c r="M16" i="2"/>
  <c r="J16" i="2"/>
  <c r="R16" i="2"/>
  <c r="BA46" i="2" l="1"/>
  <c r="BA16" i="2"/>
  <c r="BA49" i="2"/>
  <c r="BA40" i="2"/>
  <c r="BA36" i="2"/>
  <c r="BA34" i="2"/>
  <c r="BA22" i="2"/>
  <c r="BA18" i="2"/>
  <c r="BA31" i="2"/>
  <c r="BA42" i="2"/>
  <c r="BA19" i="2"/>
  <c r="BA17" i="2"/>
  <c r="R36" i="3"/>
  <c r="R35" i="3"/>
  <c r="R34" i="3"/>
  <c r="R31" i="3"/>
  <c r="R30" i="3"/>
  <c r="R29" i="3"/>
  <c r="R26" i="3"/>
  <c r="R25" i="3"/>
  <c r="R24" i="3"/>
  <c r="R21" i="3"/>
  <c r="R20" i="3"/>
  <c r="R19" i="3"/>
  <c r="M36" i="3"/>
  <c r="M35" i="3"/>
  <c r="M34" i="3"/>
  <c r="M31" i="3"/>
  <c r="M30" i="3"/>
  <c r="M29" i="3"/>
  <c r="M26" i="3"/>
  <c r="M25" i="3"/>
  <c r="M24" i="3"/>
  <c r="M21" i="3"/>
  <c r="M20" i="3"/>
  <c r="M19" i="3"/>
  <c r="J36" i="3"/>
  <c r="AW36" i="3" s="1"/>
  <c r="J35" i="3"/>
  <c r="J34" i="3"/>
  <c r="AW34" i="3" s="1"/>
  <c r="J31" i="3"/>
  <c r="J30" i="3"/>
  <c r="AW30" i="3" s="1"/>
  <c r="J29" i="3"/>
  <c r="AW29" i="3" s="1"/>
  <c r="J26" i="3"/>
  <c r="AW26" i="3" s="1"/>
  <c r="J25" i="3"/>
  <c r="J24" i="3"/>
  <c r="AW24" i="3" s="1"/>
  <c r="J21" i="3"/>
  <c r="AW21" i="3" s="1"/>
  <c r="J20" i="3"/>
  <c r="AW20" i="3" s="1"/>
  <c r="J19" i="3"/>
  <c r="AW19" i="3" s="1"/>
  <c r="R16" i="3"/>
  <c r="R15" i="3"/>
  <c r="M16" i="3"/>
  <c r="M15" i="3"/>
  <c r="J16" i="3"/>
  <c r="J15" i="3"/>
  <c r="J14" i="3"/>
  <c r="M14" i="3"/>
  <c r="R14" i="3"/>
  <c r="AW35" i="3" l="1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M4" i="4" s="1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O4" i="2" l="1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Q6" i="4" l="1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E8" i="3" l="1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E7" i="1" l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D6" i="4"/>
  <c r="AL6" i="4"/>
  <c r="AD4" i="4"/>
  <c r="AL4" i="4"/>
  <c r="AD7" i="4"/>
  <c r="AL7" i="4"/>
  <c r="AL5" i="4"/>
  <c r="AD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H8" i="2" l="1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D9" i="4"/>
  <c r="AE5" i="4" s="1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E7" i="4"/>
  <c r="AF7" i="4" s="1"/>
  <c r="AE6" i="4"/>
  <c r="AE4" i="4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AB6" i="3" s="1"/>
  <c r="BQ9" i="3"/>
  <c r="AV7" i="3"/>
  <c r="BQ7" i="3"/>
  <c r="BQ8" i="3"/>
  <c r="BR8" i="3" s="1"/>
  <c r="BS8" i="3" s="1"/>
  <c r="BQ4" i="3"/>
  <c r="BR4" i="3" s="1"/>
  <c r="BS4" i="3" s="1"/>
  <c r="AW4" i="3" s="1"/>
  <c r="AB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6" i="4" l="1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15" i="1"/>
  <c r="AH6" i="3"/>
  <c r="AH9" i="3"/>
  <c r="AH4" i="3"/>
  <c r="AH5" i="3"/>
  <c r="AH7" i="3"/>
  <c r="AH8" i="3"/>
  <c r="AG6" i="4"/>
  <c r="AG7" i="4"/>
  <c r="AG4" i="4"/>
  <c r="AG5" i="4"/>
  <c r="AJ10" i="2"/>
  <c r="AJ8" i="2"/>
  <c r="AJ6" i="2"/>
  <c r="AJ5" i="2"/>
  <c r="AJ11" i="2"/>
  <c r="AJ9" i="2"/>
  <c r="AJ7" i="2"/>
  <c r="AV4" i="3"/>
  <c r="AW9" i="3"/>
  <c r="AB9" i="3" s="1"/>
  <c r="AW7" i="3"/>
  <c r="AB7" i="3" s="1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K4" i="2" l="1"/>
  <c r="AH5" i="1"/>
  <c r="AI5" i="1" s="1"/>
  <c r="AH9" i="1"/>
  <c r="AI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J9" i="1"/>
  <c r="AJ13" i="1"/>
  <c r="AH8" i="1"/>
  <c r="AI8" i="1" s="1"/>
  <c r="AH12" i="1"/>
  <c r="AI12" i="1" s="1"/>
  <c r="AI5" i="3"/>
  <c r="AI4" i="3"/>
  <c r="AI8" i="3"/>
  <c r="AI9" i="3"/>
  <c r="AI7" i="3"/>
  <c r="AI6" i="3"/>
  <c r="AH5" i="4"/>
  <c r="AH7" i="4"/>
  <c r="AH4" i="4"/>
  <c r="AH6" i="4"/>
  <c r="AK5" i="2"/>
  <c r="AK6" i="2" s="1"/>
  <c r="AK7" i="2" s="1"/>
  <c r="AK8" i="2" s="1"/>
  <c r="AK9" i="2" s="1"/>
  <c r="AK10" i="2" s="1"/>
  <c r="AK11" i="2" s="1"/>
  <c r="AK12" i="2" s="1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B7" i="1" l="1"/>
  <c r="AJ12" i="1"/>
  <c r="AJ8" i="1"/>
  <c r="AJ11" i="1"/>
  <c r="AI15" i="1"/>
  <c r="AJ7" i="1"/>
  <c r="AJ4" i="1"/>
  <c r="AJ10" i="1"/>
  <c r="AJ6" i="1"/>
  <c r="AB5" i="1"/>
  <c r="AB11" i="1"/>
  <c r="AI11" i="3"/>
  <c r="AH9" i="4"/>
  <c r="AI4" i="4" s="1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L6" i="1" l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I7" i="4"/>
  <c r="AI6" i="4"/>
  <c r="AI5" i="4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K4" i="4" l="1"/>
  <c r="AM4" i="4" s="1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K6" i="4"/>
  <c r="AM6" i="4" s="1"/>
  <c r="AK7" i="4"/>
  <c r="AM7" i="4" s="1"/>
  <c r="AK5" i="4"/>
  <c r="AM5" i="4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AN4" i="4" l="1"/>
  <c r="S4" i="4" s="1"/>
  <c r="A4" i="4" s="1"/>
  <c r="AA4" i="1"/>
  <c r="X4" i="1"/>
  <c r="Y4" i="1"/>
  <c r="Y8" i="1"/>
  <c r="Y6" i="1"/>
  <c r="Y10" i="1"/>
  <c r="X8" i="1"/>
  <c r="X6" i="1"/>
  <c r="AA9" i="1"/>
  <c r="Y11" i="1"/>
  <c r="AA8" i="1"/>
  <c r="X12" i="1"/>
  <c r="Y13" i="1"/>
  <c r="X10" i="1"/>
  <c r="AA13" i="1"/>
  <c r="AA11" i="1"/>
  <c r="Y14" i="1"/>
  <c r="AA6" i="1"/>
  <c r="Y9" i="1"/>
  <c r="Y7" i="1"/>
  <c r="AA7" i="1"/>
  <c r="Y5" i="1"/>
  <c r="X7" i="1"/>
  <c r="X5" i="1"/>
  <c r="AA5" i="1"/>
  <c r="X13" i="1"/>
  <c r="X11" i="1"/>
  <c r="Y12" i="1"/>
  <c r="X9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N7" i="4"/>
  <c r="S7" i="4" s="1"/>
  <c r="A7" i="4" s="1"/>
  <c r="AN5" i="4"/>
  <c r="S5" i="4" s="1"/>
  <c r="A5" i="4" s="1"/>
  <c r="Z5" i="4" s="1"/>
  <c r="AN6" i="4"/>
  <c r="S6" i="4" s="1"/>
  <c r="A6" i="4" s="1"/>
  <c r="X5" i="4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X6" i="4" l="1"/>
  <c r="W4" i="4"/>
  <c r="Y7" i="4"/>
  <c r="X7" i="4"/>
  <c r="Y5" i="4"/>
  <c r="Y4" i="4"/>
  <c r="Z4" i="4"/>
  <c r="Y6" i="4"/>
  <c r="Z6" i="4"/>
  <c r="Z7" i="4"/>
  <c r="W6" i="4"/>
  <c r="W5" i="4"/>
  <c r="X4" i="4"/>
  <c r="W7" i="4"/>
  <c r="Z4" i="2"/>
  <c r="AA5" i="3"/>
  <c r="AA4" i="3"/>
  <c r="Y6" i="3"/>
  <c r="X7" i="3"/>
  <c r="AA8" i="3"/>
  <c r="AA9" i="3"/>
  <c r="Y7" i="3"/>
  <c r="X5" i="3"/>
  <c r="X4" i="3"/>
  <c r="AA6" i="3"/>
  <c r="Y5" i="3"/>
  <c r="Y4" i="3"/>
  <c r="X8" i="3"/>
  <c r="X10" i="3"/>
  <c r="AA7" i="3"/>
  <c r="Y8" i="3"/>
  <c r="Y9" i="3"/>
  <c r="X6" i="3"/>
  <c r="X9" i="3"/>
  <c r="AC5" i="2"/>
  <c r="AC9" i="2"/>
  <c r="AA5" i="2"/>
  <c r="AA9" i="2"/>
  <c r="AC6" i="2"/>
  <c r="AC10" i="2"/>
  <c r="AA6" i="2"/>
  <c r="AA10" i="2"/>
  <c r="Z6" i="2"/>
  <c r="Z10" i="2"/>
  <c r="Z7" i="2"/>
  <c r="Z5" i="2"/>
  <c r="AC7" i="2"/>
  <c r="AC11" i="2"/>
  <c r="AA7" i="2"/>
  <c r="AA11" i="2"/>
  <c r="Z11" i="2"/>
  <c r="AC8" i="2"/>
  <c r="AC4" i="2"/>
  <c r="AA8" i="2"/>
  <c r="AA4" i="2"/>
  <c r="Z8" i="2"/>
  <c r="Z12" i="2"/>
  <c r="Z9" i="2"/>
  <c r="AA12" i="2"/>
  <c r="AB4" i="2"/>
</calcChain>
</file>

<file path=xl/sharedStrings.xml><?xml version="1.0" encoding="utf-8"?>
<sst xmlns="http://schemas.openxmlformats.org/spreadsheetml/2006/main" count="452" uniqueCount="71">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</sst>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82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4" borderId="1" xfId="0" applyFill="1" applyBorder="1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2">
    <cellStyle name="Standaard" xfId="0" builtinId="0"/>
    <cellStyle name="Standaard_Kopie van Uitslagen" xfId="1"/>
  </cellStyles>
  <dxfs count="13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15"/>
      <c r="T1" s="15"/>
      <c r="U1" s="15"/>
      <c r="V1" s="70" t="str">
        <f>"UITSLAG " &amp; G1</f>
        <v>UITSLAG GROEP A</v>
      </c>
      <c r="W1" s="68"/>
      <c r="X1" s="68"/>
      <c r="Y1" s="68"/>
      <c r="Z1" s="68"/>
      <c r="AA1" s="68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68" t="s">
        <v>22</v>
      </c>
      <c r="BA2" s="68"/>
      <c r="BB2" s="68"/>
      <c r="BC2" s="68"/>
      <c r="BD2" s="68"/>
      <c r="BE2" s="68"/>
      <c r="BF2" s="68"/>
      <c r="BG2" s="68"/>
      <c r="BH2" s="68"/>
      <c r="BI2" s="17"/>
      <c r="BJ2" s="18"/>
      <c r="BK2" s="68" t="s">
        <v>23</v>
      </c>
      <c r="BL2" s="68"/>
      <c r="BM2" s="68"/>
      <c r="BN2" s="68"/>
      <c r="BO2" s="68"/>
      <c r="BP2" s="68"/>
      <c r="BQ2" s="68"/>
      <c r="BR2" s="68"/>
      <c r="BS2" s="68"/>
    </row>
    <row r="3" spans="1:71" x14ac:dyDescent="0.25">
      <c r="B3" s="19" t="s">
        <v>4</v>
      </c>
      <c r="C3" s="19" t="s">
        <v>6</v>
      </c>
      <c r="D3" s="73" t="s">
        <v>7</v>
      </c>
      <c r="E3" s="73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71"/>
      <c r="E4" s="72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IF(ISNA(VLOOKUP(B4,$A$4:$S$13,3,FALSE)),C4,VLOOKUP(B4,$A$4:$S$13,3,FALSE))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71"/>
      <c r="E5" s="72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IF(ISNA(VLOOKUP(B5,$A$4:$S$13,3,FALSE)),C5,VLOOKUP(B5,$A$4:$S$13,3,FALSE))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71"/>
      <c r="E6" s="72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71"/>
      <c r="E7" s="72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71"/>
      <c r="E8" s="72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71"/>
      <c r="E9" s="72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71"/>
      <c r="E10" s="72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71"/>
      <c r="E11" s="72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71"/>
      <c r="E12" s="72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71"/>
      <c r="E13" s="72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69" t="str">
        <f>VLOOKUP(AV18,$B$4:$F$13,2,FALSE)</f>
        <v>J</v>
      </c>
      <c r="F18" s="69"/>
      <c r="G18" s="69"/>
      <c r="H18" s="69"/>
      <c r="J18" s="69" t="str">
        <f>IF(ISBLANK(T18),"",IF(VALUE(T18)=Configuratie!$B$2,Configuratie!$D$2,IF(T18=Configuratie!$B$3,Configuratie!$D$3,IF(T18=Configuratie!$B$4,Configuratie!$D$4,IF(T18=Configuratie!$B$5,Configuratie!$D$5,IF(T18=Configuratie!$B$6,Configuratie!$D$6,IF(T18=Configuratie!$B$7,Configuratie!$D$7,IF(T18=Configuratie!$B$8,Configuratie!$D$8,""))))))))</f>
        <v/>
      </c>
      <c r="K18" s="69"/>
      <c r="L18" s="6" t="s">
        <v>5</v>
      </c>
      <c r="M18" s="69" t="str">
        <f>IF(ISBLANK(T18),"",IF(VALUE(T18)=Configuratie!$B$2,Configuratie!$E$2,IF(T18=Configuratie!$B$3,Configuratie!$E$3,IF(T18=Configuratie!$B$4,Configuratie!$E$4,IF(T18=Configuratie!$B$5,Configuratie!$E$5,IF(T18=Configuratie!$B$6,Configuratie!$E$6,IF(T18=Configuratie!$B$7,Configuratie!$E$7,IF(T18=Configuratie!$B$8,Configuratie!$E$8,""))))))))</f>
        <v/>
      </c>
      <c r="N18" s="69"/>
      <c r="R18" s="6" t="str">
        <f>IF(ISBLANK(T18),"",IF(VALUE(T18)=Configuratie!$B$2,Configuratie!$C$2,IF(T18=Configuratie!$B$3,Configuratie!$C$3,IF(T18=Configuratie!$B$4,Configuratie!$C$4,IF(T18=Configuratie!$B$5,Configuratie!$C$5,IF(T18=Configuratie!$B$6,Configuratie!$C$6,IF(T18=Configuratie!$B$7,Configuratie!$C$7,IF(T18=Configuratie!$B$8,Configuratie!$C$8,""))))))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69" t="str">
        <f>VLOOKUP(AV19,$B$4:$F$13,2,FALSE)</f>
        <v>I</v>
      </c>
      <c r="F19" s="69"/>
      <c r="G19" s="69"/>
      <c r="H19" s="69"/>
      <c r="J19" s="69" t="str">
        <f>IF(ISBLANK(T19),"",IF(VALUE(T19)=Configuratie!$B$2,Configuratie!$D$2,IF(T19=Configuratie!$B$3,Configuratie!$D$3,IF(T19=Configuratie!$B$4,Configuratie!$D$4,IF(T19=Configuratie!$B$5,Configuratie!$D$5,IF(T19=Configuratie!$B$6,Configuratie!$D$6,IF(T19=Configuratie!$B$7,Configuratie!$D$7,IF(T19=Configuratie!$B$8,Configuratie!$D$8,""))))))))</f>
        <v/>
      </c>
      <c r="K19" s="69"/>
      <c r="L19" s="6" t="s">
        <v>5</v>
      </c>
      <c r="M19" s="69" t="str">
        <f>IF(ISBLANK(T19),"",IF(VALUE(T19)=Configuratie!$B$2,Configuratie!$E$2,IF(T19=Configuratie!$B$3,Configuratie!$E$3,IF(T19=Configuratie!$B$4,Configuratie!$E$4,IF(T19=Configuratie!$B$5,Configuratie!$E$5,IF(T19=Configuratie!$B$6,Configuratie!$E$6,IF(T19=Configuratie!$B$7,Configuratie!$E$7,IF(T19=Configuratie!$B$8,Configuratie!$E$8,""))))))))</f>
        <v/>
      </c>
      <c r="N19" s="69"/>
      <c r="R19" s="6" t="str">
        <f>IF(ISBLANK(T19),"",IF(VALUE(T19)=Configuratie!$B$2,Configuratie!$C$2,IF(T19=Configuratie!$B$3,Configuratie!$C$3,IF(T19=Configuratie!$B$4,Configuratie!$C$4,IF(T19=Configuratie!$B$5,Configuratie!$C$5,IF(T19=Configuratie!$B$6,Configuratie!$C$6,IF(T19=Configuratie!$B$7,Configuratie!$C$7,IF(T19=Configuratie!$B$8,Configuratie!$C$8,""))))))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69" t="str">
        <f>VLOOKUP(AV20,$B$4:$F$13,2,FALSE)</f>
        <v>H</v>
      </c>
      <c r="F20" s="69"/>
      <c r="G20" s="69"/>
      <c r="H20" s="69"/>
      <c r="J20" s="69" t="str">
        <f>IF(ISBLANK(T20),"",IF(VALUE(T20)=Configuratie!$B$2,Configuratie!$D$2,IF(T20=Configuratie!$B$3,Configuratie!$D$3,IF(T20=Configuratie!$B$4,Configuratie!$D$4,IF(T20=Configuratie!$B$5,Configuratie!$D$5,IF(T20=Configuratie!$B$6,Configuratie!$D$6,IF(T20=Configuratie!$B$7,Configuratie!$D$7,IF(T20=Configuratie!$B$8,Configuratie!$D$8,""))))))))</f>
        <v/>
      </c>
      <c r="K20" s="69"/>
      <c r="L20" s="6" t="s">
        <v>5</v>
      </c>
      <c r="M20" s="69" t="str">
        <f>IF(ISBLANK(T20),"",IF(VALUE(T20)=Configuratie!$B$2,Configuratie!$E$2,IF(T20=Configuratie!$B$3,Configuratie!$E$3,IF(T20=Configuratie!$B$4,Configuratie!$E$4,IF(T20=Configuratie!$B$5,Configuratie!$E$5,IF(T20=Configuratie!$B$6,Configuratie!$E$6,IF(T20=Configuratie!$B$7,Configuratie!$E$7,IF(T20=Configuratie!$B$8,Configuratie!$E$8,""))))))))</f>
        <v/>
      </c>
      <c r="N20" s="69"/>
      <c r="R20" s="6" t="str">
        <f>IF(ISBLANK(T20),"",IF(VALUE(T20)=Configuratie!$B$2,Configuratie!$C$2,IF(T20=Configuratie!$B$3,Configuratie!$C$3,IF(T20=Configuratie!$B$4,Configuratie!$C$4,IF(T20=Configuratie!$B$5,Configuratie!$C$5,IF(T20=Configuratie!$B$6,Configuratie!$C$6,IF(T20=Configuratie!$B$7,Configuratie!$C$7,IF(T20=Configuratie!$B$8,Configuratie!$C$8,""))))))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69" t="str">
        <f>VLOOKUP(AV21,$B$4:$F$13,2,FALSE)</f>
        <v>G</v>
      </c>
      <c r="F21" s="69"/>
      <c r="G21" s="69"/>
      <c r="H21" s="69"/>
      <c r="J21" s="69" t="str">
        <f>IF(ISBLANK(T21),"",IF(VALUE(T21)=Configuratie!$B$2,Configuratie!$D$2,IF(T21=Configuratie!$B$3,Configuratie!$D$3,IF(T21=Configuratie!$B$4,Configuratie!$D$4,IF(T21=Configuratie!$B$5,Configuratie!$D$5,IF(T21=Configuratie!$B$6,Configuratie!$D$6,IF(T21=Configuratie!$B$7,Configuratie!$D$7,IF(T21=Configuratie!$B$8,Configuratie!$D$8,""))))))))</f>
        <v/>
      </c>
      <c r="K21" s="69"/>
      <c r="L21" s="6" t="s">
        <v>5</v>
      </c>
      <c r="M21" s="69" t="str">
        <f>IF(ISBLANK(T21),"",IF(VALUE(T21)=Configuratie!$B$2,Configuratie!$E$2,IF(T21=Configuratie!$B$3,Configuratie!$E$3,IF(T21=Configuratie!$B$4,Configuratie!$E$4,IF(T21=Configuratie!$B$5,Configuratie!$E$5,IF(T21=Configuratie!$B$6,Configuratie!$E$6,IF(T21=Configuratie!$B$7,Configuratie!$E$7,IF(T21=Configuratie!$B$8,Configuratie!$E$8,""))))))))</f>
        <v/>
      </c>
      <c r="N21" s="69"/>
      <c r="R21" s="6" t="str">
        <f>IF(ISBLANK(T21),"",IF(VALUE(T21)=Configuratie!$B$2,Configuratie!$C$2,IF(T21=Configuratie!$B$3,Configuratie!$C$3,IF(T21=Configuratie!$B$4,Configuratie!$C$4,IF(T21=Configuratie!$B$5,Configuratie!$C$5,IF(T21=Configuratie!$B$6,Configuratie!$C$6,IF(T21=Configuratie!$B$7,Configuratie!$C$7,IF(T21=Configuratie!$B$8,Configuratie!$C$8,""))))))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69" t="str">
        <f>VLOOKUP(AV22,$B$4:$F$13,2,FALSE)</f>
        <v>F</v>
      </c>
      <c r="F22" s="69"/>
      <c r="G22" s="69"/>
      <c r="H22" s="69"/>
      <c r="J22" s="69" t="str">
        <f>IF(ISBLANK(T22),"",IF(VALUE(T22)=Configuratie!$B$2,Configuratie!$D$2,IF(T22=Configuratie!$B$3,Configuratie!$D$3,IF(T22=Configuratie!$B$4,Configuratie!$D$4,IF(T22=Configuratie!$B$5,Configuratie!$D$5,IF(T22=Configuratie!$B$6,Configuratie!$D$6,IF(T22=Configuratie!$B$7,Configuratie!$D$7,IF(T22=Configuratie!$B$8,Configuratie!$D$8,""))))))))</f>
        <v/>
      </c>
      <c r="K22" s="69"/>
      <c r="L22" s="6" t="s">
        <v>5</v>
      </c>
      <c r="M22" s="69" t="str">
        <f>IF(ISBLANK(T22),"",IF(VALUE(T22)=Configuratie!$B$2,Configuratie!$E$2,IF(T22=Configuratie!$B$3,Configuratie!$E$3,IF(T22=Configuratie!$B$4,Configuratie!$E$4,IF(T22=Configuratie!$B$5,Configuratie!$E$5,IF(T22=Configuratie!$B$6,Configuratie!$E$6,IF(T22=Configuratie!$B$7,Configuratie!$E$7,IF(T22=Configuratie!$B$8,Configuratie!$E$8,""))))))))</f>
        <v/>
      </c>
      <c r="N22" s="69"/>
      <c r="R22" s="6" t="str">
        <f>IF(ISBLANK(T22),"",IF(VALUE(T22)=Configuratie!$B$2,Configuratie!$C$2,IF(T22=Configuratie!$B$3,Configuratie!$C$3,IF(T22=Configuratie!$B$4,Configuratie!$C$4,IF(T22=Configuratie!$B$5,Configuratie!$C$5,IF(T22=Configuratie!$B$6,Configuratie!$C$6,IF(T22=Configuratie!$B$7,Configuratie!$C$7,IF(T22=Configuratie!$B$8,Configuratie!$C$8,""))))))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69" t="str">
        <f>VLOOKUP(AV25,$B$4:$F$13,2,FALSE)</f>
        <v>F</v>
      </c>
      <c r="F25" s="69"/>
      <c r="G25" s="69"/>
      <c r="H25" s="69"/>
      <c r="J25" s="69" t="str">
        <f>IF(ISBLANK(T25),"",IF(VALUE(T25)=Configuratie!$B$2,Configuratie!$D$2,IF(T25=Configuratie!$B$3,Configuratie!$D$3,IF(T25=Configuratie!$B$4,Configuratie!$D$4,IF(T25=Configuratie!$B$5,Configuratie!$D$5,IF(T25=Configuratie!$B$6,Configuratie!$D$6,IF(T25=Configuratie!$B$7,Configuratie!$D$7,IF(T25=Configuratie!$B$8,Configuratie!$D$8,""))))))))</f>
        <v/>
      </c>
      <c r="K25" s="69"/>
      <c r="L25" s="6" t="s">
        <v>5</v>
      </c>
      <c r="M25" s="69" t="str">
        <f>IF(ISBLANK(T25),"",IF(VALUE(T25)=Configuratie!$B$2,Configuratie!$E$2,IF(T25=Configuratie!$B$3,Configuratie!$E$3,IF(T25=Configuratie!$B$4,Configuratie!$E$4,IF(T25=Configuratie!$B$5,Configuratie!$E$5,IF(T25=Configuratie!$B$6,Configuratie!$E$6,IF(T25=Configuratie!$B$7,Configuratie!$E$7,IF(T25=Configuratie!$B$8,Configuratie!$E$8,""))))))))</f>
        <v/>
      </c>
      <c r="N25" s="69"/>
      <c r="R25" s="6" t="str">
        <f>IF(ISBLANK(T25),"",IF(VALUE(T25)=Configuratie!$B$2,Configuratie!$C$2,IF(T25=Configuratie!$B$3,Configuratie!$C$3,IF(T25=Configuratie!$B$4,Configuratie!$C$4,IF(T25=Configuratie!$B$5,Configuratie!$C$5,IF(T25=Configuratie!$B$6,Configuratie!$C$6,IF(T25=Configuratie!$B$7,Configuratie!$C$7,IF(T25=Configuratie!$B$8,Configuratie!$C$8,""))))))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69" t="str">
        <f>VLOOKUP(AV26,$B$4:$F$13,2,FALSE)</f>
        <v>E</v>
      </c>
      <c r="F26" s="69"/>
      <c r="G26" s="69"/>
      <c r="H26" s="69"/>
      <c r="J26" s="69" t="str">
        <f>IF(ISBLANK(T26),"",IF(VALUE(T26)=Configuratie!$B$2,Configuratie!$D$2,IF(T26=Configuratie!$B$3,Configuratie!$D$3,IF(T26=Configuratie!$B$4,Configuratie!$D$4,IF(T26=Configuratie!$B$5,Configuratie!$D$5,IF(T26=Configuratie!$B$6,Configuratie!$D$6,IF(T26=Configuratie!$B$7,Configuratie!$D$7,IF(T26=Configuratie!$B$8,Configuratie!$D$8,""))))))))</f>
        <v/>
      </c>
      <c r="K26" s="69"/>
      <c r="L26" s="6" t="s">
        <v>5</v>
      </c>
      <c r="M26" s="69" t="str">
        <f>IF(ISBLANK(T26),"",IF(VALUE(T26)=Configuratie!$B$2,Configuratie!$E$2,IF(T26=Configuratie!$B$3,Configuratie!$E$3,IF(T26=Configuratie!$B$4,Configuratie!$E$4,IF(T26=Configuratie!$B$5,Configuratie!$E$5,IF(T26=Configuratie!$B$6,Configuratie!$E$6,IF(T26=Configuratie!$B$7,Configuratie!$E$7,IF(T26=Configuratie!$B$8,Configuratie!$E$8,""))))))))</f>
        <v/>
      </c>
      <c r="N26" s="69"/>
      <c r="R26" s="6" t="str">
        <f>IF(ISBLANK(T26),"",IF(VALUE(T26)=Configuratie!$B$2,Configuratie!$C$2,IF(T26=Configuratie!$B$3,Configuratie!$C$3,IF(T26=Configuratie!$B$4,Configuratie!$C$4,IF(T26=Configuratie!$B$5,Configuratie!$C$5,IF(T26=Configuratie!$B$6,Configuratie!$C$6,IF(T26=Configuratie!$B$7,Configuratie!$C$7,IF(T26=Configuratie!$B$8,Configuratie!$C$8,""))))))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69" t="str">
        <f>VLOOKUP(AV27,$B$4:$F$13,2,FALSE)</f>
        <v>D</v>
      </c>
      <c r="F27" s="69"/>
      <c r="G27" s="69"/>
      <c r="H27" s="69"/>
      <c r="J27" s="69" t="str">
        <f>IF(ISBLANK(T27),"",IF(VALUE(T27)=Configuratie!$B$2,Configuratie!$D$2,IF(T27=Configuratie!$B$3,Configuratie!$D$3,IF(T27=Configuratie!$B$4,Configuratie!$D$4,IF(T27=Configuratie!$B$5,Configuratie!$D$5,IF(T27=Configuratie!$B$6,Configuratie!$D$6,IF(T27=Configuratie!$B$7,Configuratie!$D$7,IF(T27=Configuratie!$B$8,Configuratie!$D$8,""))))))))</f>
        <v/>
      </c>
      <c r="K27" s="69"/>
      <c r="L27" s="6" t="s">
        <v>5</v>
      </c>
      <c r="M27" s="69" t="str">
        <f>IF(ISBLANK(T27),"",IF(VALUE(T27)=Configuratie!$B$2,Configuratie!$E$2,IF(T27=Configuratie!$B$3,Configuratie!$E$3,IF(T27=Configuratie!$B$4,Configuratie!$E$4,IF(T27=Configuratie!$B$5,Configuratie!$E$5,IF(T27=Configuratie!$B$6,Configuratie!$E$6,IF(T27=Configuratie!$B$7,Configuratie!$E$7,IF(T27=Configuratie!$B$8,Configuratie!$E$8,""))))))))</f>
        <v/>
      </c>
      <c r="N27" s="69"/>
      <c r="R27" s="6" t="str">
        <f>IF(ISBLANK(T27),"",IF(VALUE(T27)=Configuratie!$B$2,Configuratie!$C$2,IF(T27=Configuratie!$B$3,Configuratie!$C$3,IF(T27=Configuratie!$B$4,Configuratie!$C$4,IF(T27=Configuratie!$B$5,Configuratie!$C$5,IF(T27=Configuratie!$B$6,Configuratie!$C$6,IF(T27=Configuratie!$B$7,Configuratie!$C$7,IF(T27=Configuratie!$B$8,Configuratie!$C$8,""))))))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69" t="str">
        <f>VLOOKUP(AV28,$B$4:$F$13,2,FALSE)</f>
        <v>C</v>
      </c>
      <c r="F28" s="69"/>
      <c r="G28" s="69"/>
      <c r="H28" s="69"/>
      <c r="J28" s="69" t="str">
        <f>IF(ISBLANK(T28),"",IF(VALUE(T28)=Configuratie!$B$2,Configuratie!$D$2,IF(T28=Configuratie!$B$3,Configuratie!$D$3,IF(T28=Configuratie!$B$4,Configuratie!$D$4,IF(T28=Configuratie!$B$5,Configuratie!$D$5,IF(T28=Configuratie!$B$6,Configuratie!$D$6,IF(T28=Configuratie!$B$7,Configuratie!$D$7,IF(T28=Configuratie!$B$8,Configuratie!$D$8,""))))))))</f>
        <v/>
      </c>
      <c r="K28" s="69"/>
      <c r="L28" s="6" t="s">
        <v>5</v>
      </c>
      <c r="M28" s="69" t="str">
        <f>IF(ISBLANK(T28),"",IF(VALUE(T28)=Configuratie!$B$2,Configuratie!$E$2,IF(T28=Configuratie!$B$3,Configuratie!$E$3,IF(T28=Configuratie!$B$4,Configuratie!$E$4,IF(T28=Configuratie!$B$5,Configuratie!$E$5,IF(T28=Configuratie!$B$6,Configuratie!$E$6,IF(T28=Configuratie!$B$7,Configuratie!$E$7,IF(T28=Configuratie!$B$8,Configuratie!$E$8,""))))))))</f>
        <v/>
      </c>
      <c r="N28" s="69"/>
      <c r="R28" s="6" t="str">
        <f>IF(ISBLANK(T28),"",IF(VALUE(T28)=Configuratie!$B$2,Configuratie!$C$2,IF(T28=Configuratie!$B$3,Configuratie!$C$3,IF(T28=Configuratie!$B$4,Configuratie!$C$4,IF(T28=Configuratie!$B$5,Configuratie!$C$5,IF(T28=Configuratie!$B$6,Configuratie!$C$6,IF(T28=Configuratie!$B$7,Configuratie!$C$7,IF(T28=Configuratie!$B$8,Configuratie!$C$8,""))))))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69" t="str">
        <f>VLOOKUP(AV29,$B$4:$F$13,2,FALSE)</f>
        <v>B</v>
      </c>
      <c r="F29" s="69"/>
      <c r="G29" s="69"/>
      <c r="H29" s="69"/>
      <c r="J29" s="69" t="str">
        <f>IF(ISBLANK(T29),"",IF(VALUE(T29)=Configuratie!$B$2,Configuratie!$D$2,IF(T29=Configuratie!$B$3,Configuratie!$D$3,IF(T29=Configuratie!$B$4,Configuratie!$D$4,IF(T29=Configuratie!$B$5,Configuratie!$D$5,IF(T29=Configuratie!$B$6,Configuratie!$D$6,IF(T29=Configuratie!$B$7,Configuratie!$D$7,IF(T29=Configuratie!$B$8,Configuratie!$D$8,""))))))))</f>
        <v/>
      </c>
      <c r="K29" s="69"/>
      <c r="L29" s="6" t="s">
        <v>5</v>
      </c>
      <c r="M29" s="69" t="str">
        <f>IF(ISBLANK(T29),"",IF(VALUE(T29)=Configuratie!$B$2,Configuratie!$E$2,IF(T29=Configuratie!$B$3,Configuratie!$E$3,IF(T29=Configuratie!$B$4,Configuratie!$E$4,IF(T29=Configuratie!$B$5,Configuratie!$E$5,IF(T29=Configuratie!$B$6,Configuratie!$E$6,IF(T29=Configuratie!$B$7,Configuratie!$E$7,IF(T29=Configuratie!$B$8,Configuratie!$E$8,""))))))))</f>
        <v/>
      </c>
      <c r="N29" s="69"/>
      <c r="R29" s="6" t="str">
        <f>IF(ISBLANK(T29),"",IF(VALUE(T29)=Configuratie!$B$2,Configuratie!$C$2,IF(T29=Configuratie!$B$3,Configuratie!$C$3,IF(T29=Configuratie!$B$4,Configuratie!$C$4,IF(T29=Configuratie!$B$5,Configuratie!$C$5,IF(T29=Configuratie!$B$6,Configuratie!$C$6,IF(T29=Configuratie!$B$7,Configuratie!$C$7,IF(T29=Configuratie!$B$8,Configuratie!$C$8,""))))))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69" t="str">
        <f>VLOOKUP(AV32,$B$4:$F$13,2,FALSE)</f>
        <v>J</v>
      </c>
      <c r="F32" s="69"/>
      <c r="G32" s="69"/>
      <c r="H32" s="69"/>
      <c r="J32" s="69" t="str">
        <f>IF(ISBLANK(T32),"",IF(VALUE(T32)=Configuratie!$B$2,Configuratie!$D$2,IF(T32=Configuratie!$B$3,Configuratie!$D$3,IF(T32=Configuratie!$B$4,Configuratie!$D$4,IF(T32=Configuratie!$B$5,Configuratie!$D$5,IF(T32=Configuratie!$B$6,Configuratie!$D$6,IF(T32=Configuratie!$B$7,Configuratie!$D$7,IF(T32=Configuratie!$B$8,Configuratie!$D$8,""))))))))</f>
        <v/>
      </c>
      <c r="K32" s="69"/>
      <c r="L32" s="6" t="s">
        <v>5</v>
      </c>
      <c r="M32" s="69" t="str">
        <f>IF(ISBLANK(T32),"",IF(VALUE(T32)=Configuratie!$B$2,Configuratie!$E$2,IF(T32=Configuratie!$B$3,Configuratie!$E$3,IF(T32=Configuratie!$B$4,Configuratie!$E$4,IF(T32=Configuratie!$B$5,Configuratie!$E$5,IF(T32=Configuratie!$B$6,Configuratie!$E$6,IF(T32=Configuratie!$B$7,Configuratie!$E$7,IF(T32=Configuratie!$B$8,Configuratie!$E$8,""))))))))</f>
        <v/>
      </c>
      <c r="N32" s="69"/>
      <c r="R32" s="6" t="str">
        <f>IF(ISBLANK(T32),"",IF(VALUE(T32)=Configuratie!$B$2,Configuratie!$C$2,IF(T32=Configuratie!$B$3,Configuratie!$C$3,IF(T32=Configuratie!$B$4,Configuratie!$C$4,IF(T32=Configuratie!$B$5,Configuratie!$C$5,IF(T32=Configuratie!$B$6,Configuratie!$C$6,IF(T32=Configuratie!$B$7,Configuratie!$C$7,IF(T32=Configuratie!$B$8,Configuratie!$C$8,""))))))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69" t="str">
        <f>VLOOKUP(AV33,$B$4:$F$13,2,FALSE)</f>
        <v>A</v>
      </c>
      <c r="F33" s="69"/>
      <c r="G33" s="69"/>
      <c r="H33" s="69"/>
      <c r="J33" s="69" t="str">
        <f>IF(ISBLANK(T33),"",IF(VALUE(T33)=Configuratie!$B$2,Configuratie!$D$2,IF(T33=Configuratie!$B$3,Configuratie!$D$3,IF(T33=Configuratie!$B$4,Configuratie!$D$4,IF(T33=Configuratie!$B$5,Configuratie!$D$5,IF(T33=Configuratie!$B$6,Configuratie!$D$6,IF(T33=Configuratie!$B$7,Configuratie!$D$7,IF(T33=Configuratie!$B$8,Configuratie!$D$8,""))))))))</f>
        <v/>
      </c>
      <c r="K33" s="69"/>
      <c r="L33" s="6" t="s">
        <v>5</v>
      </c>
      <c r="M33" s="69" t="str">
        <f>IF(ISBLANK(T33),"",IF(VALUE(T33)=Configuratie!$B$2,Configuratie!$E$2,IF(T33=Configuratie!$B$3,Configuratie!$E$3,IF(T33=Configuratie!$B$4,Configuratie!$E$4,IF(T33=Configuratie!$B$5,Configuratie!$E$5,IF(T33=Configuratie!$B$6,Configuratie!$E$6,IF(T33=Configuratie!$B$7,Configuratie!$E$7,IF(T33=Configuratie!$B$8,Configuratie!$E$8,""))))))))</f>
        <v/>
      </c>
      <c r="N33" s="69"/>
      <c r="R33" s="6" t="str">
        <f>IF(ISBLANK(T33),"",IF(VALUE(T33)=Configuratie!$B$2,Configuratie!$C$2,IF(T33=Configuratie!$B$3,Configuratie!$C$3,IF(T33=Configuratie!$B$4,Configuratie!$C$4,IF(T33=Configuratie!$B$5,Configuratie!$C$5,IF(T33=Configuratie!$B$6,Configuratie!$C$6,IF(T33=Configuratie!$B$7,Configuratie!$C$7,IF(T33=Configuratie!$B$8,Configuratie!$C$8,""))))))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69" t="str">
        <f>VLOOKUP(AV34,$B$4:$F$13,2,FALSE)</f>
        <v>I</v>
      </c>
      <c r="F34" s="69"/>
      <c r="G34" s="69"/>
      <c r="H34" s="69"/>
      <c r="J34" s="69" t="str">
        <f>IF(ISBLANK(T34),"",IF(VALUE(T34)=Configuratie!$B$2,Configuratie!$D$2,IF(T34=Configuratie!$B$3,Configuratie!$D$3,IF(T34=Configuratie!$B$4,Configuratie!$D$4,IF(T34=Configuratie!$B$5,Configuratie!$D$5,IF(T34=Configuratie!$B$6,Configuratie!$D$6,IF(T34=Configuratie!$B$7,Configuratie!$D$7,IF(T34=Configuratie!$B$8,Configuratie!$D$8,""))))))))</f>
        <v/>
      </c>
      <c r="K34" s="69"/>
      <c r="L34" s="6" t="s">
        <v>5</v>
      </c>
      <c r="M34" s="69" t="str">
        <f>IF(ISBLANK(T34),"",IF(VALUE(T34)=Configuratie!$B$2,Configuratie!$E$2,IF(T34=Configuratie!$B$3,Configuratie!$E$3,IF(T34=Configuratie!$B$4,Configuratie!$E$4,IF(T34=Configuratie!$B$5,Configuratie!$E$5,IF(T34=Configuratie!$B$6,Configuratie!$E$6,IF(T34=Configuratie!$B$7,Configuratie!$E$7,IF(T34=Configuratie!$B$8,Configuratie!$E$8,""))))))))</f>
        <v/>
      </c>
      <c r="N34" s="69"/>
      <c r="R34" s="6" t="str">
        <f>IF(ISBLANK(T34),"",IF(VALUE(T34)=Configuratie!$B$2,Configuratie!$C$2,IF(T34=Configuratie!$B$3,Configuratie!$C$3,IF(T34=Configuratie!$B$4,Configuratie!$C$4,IF(T34=Configuratie!$B$5,Configuratie!$C$5,IF(T34=Configuratie!$B$6,Configuratie!$C$6,IF(T34=Configuratie!$B$7,Configuratie!$C$7,IF(T34=Configuratie!$B$8,Configuratie!$C$8,""))))))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69" t="str">
        <f>VLOOKUP(AV35,$B$4:$F$13,2,FALSE)</f>
        <v>H</v>
      </c>
      <c r="F35" s="69"/>
      <c r="G35" s="69"/>
      <c r="H35" s="69"/>
      <c r="J35" s="69" t="str">
        <f>IF(ISBLANK(T35),"",IF(VALUE(T35)=Configuratie!$B$2,Configuratie!$D$2,IF(T35=Configuratie!$B$3,Configuratie!$D$3,IF(T35=Configuratie!$B$4,Configuratie!$D$4,IF(T35=Configuratie!$B$5,Configuratie!$D$5,IF(T35=Configuratie!$B$6,Configuratie!$D$6,IF(T35=Configuratie!$B$7,Configuratie!$D$7,IF(T35=Configuratie!$B$8,Configuratie!$D$8,""))))))))</f>
        <v/>
      </c>
      <c r="K35" s="69"/>
      <c r="L35" s="6" t="s">
        <v>5</v>
      </c>
      <c r="M35" s="69" t="str">
        <f>IF(ISBLANK(T35),"",IF(VALUE(T35)=Configuratie!$B$2,Configuratie!$E$2,IF(T35=Configuratie!$B$3,Configuratie!$E$3,IF(T35=Configuratie!$B$4,Configuratie!$E$4,IF(T35=Configuratie!$B$5,Configuratie!$E$5,IF(T35=Configuratie!$B$6,Configuratie!$E$6,IF(T35=Configuratie!$B$7,Configuratie!$E$7,IF(T35=Configuratie!$B$8,Configuratie!$E$8,""))))))))</f>
        <v/>
      </c>
      <c r="N35" s="69"/>
      <c r="R35" s="6" t="str">
        <f>IF(ISBLANK(T35),"",IF(VALUE(T35)=Configuratie!$B$2,Configuratie!$C$2,IF(T35=Configuratie!$B$3,Configuratie!$C$3,IF(T35=Configuratie!$B$4,Configuratie!$C$4,IF(T35=Configuratie!$B$5,Configuratie!$C$5,IF(T35=Configuratie!$B$6,Configuratie!$C$6,IF(T35=Configuratie!$B$7,Configuratie!$C$7,IF(T35=Configuratie!$B$8,Configuratie!$C$8,""))))))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69" t="str">
        <f>VLOOKUP(AV36,$B$4:$F$13,2,FALSE)</f>
        <v>G</v>
      </c>
      <c r="F36" s="69"/>
      <c r="G36" s="69"/>
      <c r="H36" s="69"/>
      <c r="J36" s="69" t="str">
        <f>IF(ISBLANK(T36),"",IF(VALUE(T36)=Configuratie!$B$2,Configuratie!$D$2,IF(T36=Configuratie!$B$3,Configuratie!$D$3,IF(T36=Configuratie!$B$4,Configuratie!$D$4,IF(T36=Configuratie!$B$5,Configuratie!$D$5,IF(T36=Configuratie!$B$6,Configuratie!$D$6,IF(T36=Configuratie!$B$7,Configuratie!$D$7,IF(T36=Configuratie!$B$8,Configuratie!$D$8,""))))))))</f>
        <v/>
      </c>
      <c r="K36" s="69"/>
      <c r="L36" s="6" t="s">
        <v>5</v>
      </c>
      <c r="M36" s="69" t="str">
        <f>IF(ISBLANK(T36),"",IF(VALUE(T36)=Configuratie!$B$2,Configuratie!$E$2,IF(T36=Configuratie!$B$3,Configuratie!$E$3,IF(T36=Configuratie!$B$4,Configuratie!$E$4,IF(T36=Configuratie!$B$5,Configuratie!$E$5,IF(T36=Configuratie!$B$6,Configuratie!$E$6,IF(T36=Configuratie!$B$7,Configuratie!$E$7,IF(T36=Configuratie!$B$8,Configuratie!$E$8,""))))))))</f>
        <v/>
      </c>
      <c r="N36" s="69"/>
      <c r="R36" s="6" t="str">
        <f>IF(ISBLANK(T36),"",IF(VALUE(T36)=Configuratie!$B$2,Configuratie!$C$2,IF(T36=Configuratie!$B$3,Configuratie!$C$3,IF(T36=Configuratie!$B$4,Configuratie!$C$4,IF(T36=Configuratie!$B$5,Configuratie!$C$5,IF(T36=Configuratie!$B$6,Configuratie!$C$6,IF(T36=Configuratie!$B$7,Configuratie!$C$7,IF(T36=Configuratie!$B$8,Configuratie!$C$8,""))))))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69" t="str">
        <f>VLOOKUP(AV39,$B$4:$F$13,2,FALSE)</f>
        <v>G</v>
      </c>
      <c r="F39" s="69"/>
      <c r="G39" s="69"/>
      <c r="H39" s="69"/>
      <c r="J39" s="69" t="str">
        <f>IF(ISBLANK(T39),"",IF(VALUE(T39)=Configuratie!$B$2,Configuratie!$D$2,IF(T39=Configuratie!$B$3,Configuratie!$D$3,IF(T39=Configuratie!$B$4,Configuratie!$D$4,IF(T39=Configuratie!$B$5,Configuratie!$D$5,IF(T39=Configuratie!$B$6,Configuratie!$D$6,IF(T39=Configuratie!$B$7,Configuratie!$D$7,IF(T39=Configuratie!$B$8,Configuratie!$D$8,""))))))))</f>
        <v/>
      </c>
      <c r="K39" s="69"/>
      <c r="L39" s="6" t="s">
        <v>5</v>
      </c>
      <c r="M39" s="69" t="str">
        <f>IF(ISBLANK(T39),"",IF(VALUE(T39)=Configuratie!$B$2,Configuratie!$E$2,IF(T39=Configuratie!$B$3,Configuratie!$E$3,IF(T39=Configuratie!$B$4,Configuratie!$E$4,IF(T39=Configuratie!$B$5,Configuratie!$E$5,IF(T39=Configuratie!$B$6,Configuratie!$E$6,IF(T39=Configuratie!$B$7,Configuratie!$E$7,IF(T39=Configuratie!$B$8,Configuratie!$E$8,""))))))))</f>
        <v/>
      </c>
      <c r="N39" s="69"/>
      <c r="R39" s="6" t="str">
        <f>IF(ISBLANK(T39),"",IF(VALUE(T39)=Configuratie!$B$2,Configuratie!$C$2,IF(T39=Configuratie!$B$3,Configuratie!$C$3,IF(T39=Configuratie!$B$4,Configuratie!$C$4,IF(T39=Configuratie!$B$5,Configuratie!$C$5,IF(T39=Configuratie!$B$6,Configuratie!$C$6,IF(T39=Configuratie!$B$7,Configuratie!$C$7,IF(T39=Configuratie!$B$8,Configuratie!$C$8,""))))))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69" t="str">
        <f>VLOOKUP(AV40,$B$4:$F$13,2,FALSE)</f>
        <v>F</v>
      </c>
      <c r="F40" s="69"/>
      <c r="G40" s="69"/>
      <c r="H40" s="69"/>
      <c r="J40" s="69" t="str">
        <f>IF(ISBLANK(T40),"",IF(VALUE(T40)=Configuratie!$B$2,Configuratie!$D$2,IF(T40=Configuratie!$B$3,Configuratie!$D$3,IF(T40=Configuratie!$B$4,Configuratie!$D$4,IF(T40=Configuratie!$B$5,Configuratie!$D$5,IF(T40=Configuratie!$B$6,Configuratie!$D$6,IF(T40=Configuratie!$B$7,Configuratie!$D$7,IF(T40=Configuratie!$B$8,Configuratie!$D$8,""))))))))</f>
        <v/>
      </c>
      <c r="K40" s="69"/>
      <c r="L40" s="6" t="s">
        <v>5</v>
      </c>
      <c r="M40" s="69" t="str">
        <f>IF(ISBLANK(T40),"",IF(VALUE(T40)=Configuratie!$B$2,Configuratie!$E$2,IF(T40=Configuratie!$B$3,Configuratie!$E$3,IF(T40=Configuratie!$B$4,Configuratie!$E$4,IF(T40=Configuratie!$B$5,Configuratie!$E$5,IF(T40=Configuratie!$B$6,Configuratie!$E$6,IF(T40=Configuratie!$B$7,Configuratie!$E$7,IF(T40=Configuratie!$B$8,Configuratie!$E$8,""))))))))</f>
        <v/>
      </c>
      <c r="N40" s="69"/>
      <c r="R40" s="6" t="str">
        <f>IF(ISBLANK(T40),"",IF(VALUE(T40)=Configuratie!$B$2,Configuratie!$C$2,IF(T40=Configuratie!$B$3,Configuratie!$C$3,IF(T40=Configuratie!$B$4,Configuratie!$C$4,IF(T40=Configuratie!$B$5,Configuratie!$C$5,IF(T40=Configuratie!$B$6,Configuratie!$C$6,IF(T40=Configuratie!$B$7,Configuratie!$C$7,IF(T40=Configuratie!$B$8,Configuratie!$C$8,""))))))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69" t="str">
        <f>VLOOKUP(AV41,$B$4:$F$13,2,FALSE)</f>
        <v>E</v>
      </c>
      <c r="F41" s="69"/>
      <c r="G41" s="69"/>
      <c r="H41" s="69"/>
      <c r="J41" s="69" t="str">
        <f>IF(ISBLANK(T41),"",IF(VALUE(T41)=Configuratie!$B$2,Configuratie!$D$2,IF(T41=Configuratie!$B$3,Configuratie!$D$3,IF(T41=Configuratie!$B$4,Configuratie!$D$4,IF(T41=Configuratie!$B$5,Configuratie!$D$5,IF(T41=Configuratie!$B$6,Configuratie!$D$6,IF(T41=Configuratie!$B$7,Configuratie!$D$7,IF(T41=Configuratie!$B$8,Configuratie!$D$8,""))))))))</f>
        <v/>
      </c>
      <c r="K41" s="69"/>
      <c r="L41" s="6" t="s">
        <v>5</v>
      </c>
      <c r="M41" s="69" t="str">
        <f>IF(ISBLANK(T41),"",IF(VALUE(T41)=Configuratie!$B$2,Configuratie!$E$2,IF(T41=Configuratie!$B$3,Configuratie!$E$3,IF(T41=Configuratie!$B$4,Configuratie!$E$4,IF(T41=Configuratie!$B$5,Configuratie!$E$5,IF(T41=Configuratie!$B$6,Configuratie!$E$6,IF(T41=Configuratie!$B$7,Configuratie!$E$7,IF(T41=Configuratie!$B$8,Configuratie!$E$8,""))))))))</f>
        <v/>
      </c>
      <c r="N41" s="69"/>
      <c r="R41" s="6" t="str">
        <f>IF(ISBLANK(T41),"",IF(VALUE(T41)=Configuratie!$B$2,Configuratie!$C$2,IF(T41=Configuratie!$B$3,Configuratie!$C$3,IF(T41=Configuratie!$B$4,Configuratie!$C$4,IF(T41=Configuratie!$B$5,Configuratie!$C$5,IF(T41=Configuratie!$B$6,Configuratie!$C$6,IF(T41=Configuratie!$B$7,Configuratie!$C$7,IF(T41=Configuratie!$B$8,Configuratie!$C$8,""))))))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69" t="str">
        <f>VLOOKUP(AV42,$B$4:$F$13,2,FALSE)</f>
        <v>D</v>
      </c>
      <c r="F42" s="69"/>
      <c r="G42" s="69"/>
      <c r="H42" s="69"/>
      <c r="J42" s="69" t="str">
        <f>IF(ISBLANK(T42),"",IF(VALUE(T42)=Configuratie!$B$2,Configuratie!$D$2,IF(T42=Configuratie!$B$3,Configuratie!$D$3,IF(T42=Configuratie!$B$4,Configuratie!$D$4,IF(T42=Configuratie!$B$5,Configuratie!$D$5,IF(T42=Configuratie!$B$6,Configuratie!$D$6,IF(T42=Configuratie!$B$7,Configuratie!$D$7,IF(T42=Configuratie!$B$8,Configuratie!$D$8,""))))))))</f>
        <v/>
      </c>
      <c r="K42" s="69"/>
      <c r="L42" s="6" t="s">
        <v>5</v>
      </c>
      <c r="M42" s="69" t="str">
        <f>IF(ISBLANK(T42),"",IF(VALUE(T42)=Configuratie!$B$2,Configuratie!$E$2,IF(T42=Configuratie!$B$3,Configuratie!$E$3,IF(T42=Configuratie!$B$4,Configuratie!$E$4,IF(T42=Configuratie!$B$5,Configuratie!$E$5,IF(T42=Configuratie!$B$6,Configuratie!$E$6,IF(T42=Configuratie!$B$7,Configuratie!$E$7,IF(T42=Configuratie!$B$8,Configuratie!$E$8,""))))))))</f>
        <v/>
      </c>
      <c r="N42" s="69"/>
      <c r="R42" s="6" t="str">
        <f>IF(ISBLANK(T42),"",IF(VALUE(T42)=Configuratie!$B$2,Configuratie!$C$2,IF(T42=Configuratie!$B$3,Configuratie!$C$3,IF(T42=Configuratie!$B$4,Configuratie!$C$4,IF(T42=Configuratie!$B$5,Configuratie!$C$5,IF(T42=Configuratie!$B$6,Configuratie!$C$6,IF(T42=Configuratie!$B$7,Configuratie!$C$7,IF(T42=Configuratie!$B$8,Configuratie!$C$8,""))))))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69" t="str">
        <f>VLOOKUP(AV43,$B$4:$F$13,2,FALSE)</f>
        <v>C</v>
      </c>
      <c r="F43" s="69"/>
      <c r="G43" s="69"/>
      <c r="H43" s="69"/>
      <c r="J43" s="69" t="str">
        <f>IF(ISBLANK(T43),"",IF(VALUE(T43)=Configuratie!$B$2,Configuratie!$D$2,IF(T43=Configuratie!$B$3,Configuratie!$D$3,IF(T43=Configuratie!$B$4,Configuratie!$D$4,IF(T43=Configuratie!$B$5,Configuratie!$D$5,IF(T43=Configuratie!$B$6,Configuratie!$D$6,IF(T43=Configuratie!$B$7,Configuratie!$D$7,IF(T43=Configuratie!$B$8,Configuratie!$D$8,""))))))))</f>
        <v/>
      </c>
      <c r="K43" s="69"/>
      <c r="L43" s="6" t="s">
        <v>5</v>
      </c>
      <c r="M43" s="69" t="str">
        <f>IF(ISBLANK(T43),"",IF(VALUE(T43)=Configuratie!$B$2,Configuratie!$E$2,IF(T43=Configuratie!$B$3,Configuratie!$E$3,IF(T43=Configuratie!$B$4,Configuratie!$E$4,IF(T43=Configuratie!$B$5,Configuratie!$E$5,IF(T43=Configuratie!$B$6,Configuratie!$E$6,IF(T43=Configuratie!$B$7,Configuratie!$E$7,IF(T43=Configuratie!$B$8,Configuratie!$E$8,""))))))))</f>
        <v/>
      </c>
      <c r="N43" s="69"/>
      <c r="R43" s="6" t="str">
        <f>IF(ISBLANK(T43),"",IF(VALUE(T43)=Configuratie!$B$2,Configuratie!$C$2,IF(T43=Configuratie!$B$3,Configuratie!$C$3,IF(T43=Configuratie!$B$4,Configuratie!$C$4,IF(T43=Configuratie!$B$5,Configuratie!$C$5,IF(T43=Configuratie!$B$6,Configuratie!$C$6,IF(T43=Configuratie!$B$7,Configuratie!$C$7,IF(T43=Configuratie!$B$8,Configuratie!$C$8,""))))))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69" t="str">
        <f>VLOOKUP(AV46,$B$4:$F$13,2,FALSE)</f>
        <v>J</v>
      </c>
      <c r="F46" s="69"/>
      <c r="G46" s="69"/>
      <c r="H46" s="69"/>
      <c r="J46" s="69" t="str">
        <f>IF(ISBLANK(T46),"",IF(VALUE(T46)=Configuratie!$B$2,Configuratie!$D$2,IF(T46=Configuratie!$B$3,Configuratie!$D$3,IF(T46=Configuratie!$B$4,Configuratie!$D$4,IF(T46=Configuratie!$B$5,Configuratie!$D$5,IF(T46=Configuratie!$B$6,Configuratie!$D$6,IF(T46=Configuratie!$B$7,Configuratie!$D$7,IF(T46=Configuratie!$B$8,Configuratie!$D$8,""))))))))</f>
        <v/>
      </c>
      <c r="K46" s="69"/>
      <c r="L46" s="6" t="s">
        <v>5</v>
      </c>
      <c r="M46" s="69" t="str">
        <f>IF(ISBLANK(T46),"",IF(VALUE(T46)=Configuratie!$B$2,Configuratie!$E$2,IF(T46=Configuratie!$B$3,Configuratie!$E$3,IF(T46=Configuratie!$B$4,Configuratie!$E$4,IF(T46=Configuratie!$B$5,Configuratie!$E$5,IF(T46=Configuratie!$B$6,Configuratie!$E$6,IF(T46=Configuratie!$B$7,Configuratie!$E$7,IF(T46=Configuratie!$B$8,Configuratie!$E$8,""))))))))</f>
        <v/>
      </c>
      <c r="N46" s="69"/>
      <c r="R46" s="6" t="str">
        <f>IF(ISBLANK(T46),"",IF(VALUE(T46)=Configuratie!$B$2,Configuratie!$C$2,IF(T46=Configuratie!$B$3,Configuratie!$C$3,IF(T46=Configuratie!$B$4,Configuratie!$C$4,IF(T46=Configuratie!$B$5,Configuratie!$C$5,IF(T46=Configuratie!$B$6,Configuratie!$C$6,IF(T46=Configuratie!$B$7,Configuratie!$C$7,IF(T46=Configuratie!$B$8,Configuratie!$C$8,""))))))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69" t="str">
        <f>VLOOKUP(AV47,$B$4:$F$13,2,FALSE)</f>
        <v>B</v>
      </c>
      <c r="F47" s="69"/>
      <c r="G47" s="69"/>
      <c r="H47" s="69"/>
      <c r="J47" s="69" t="str">
        <f>IF(ISBLANK(T47),"",IF(VALUE(T47)=Configuratie!$B$2,Configuratie!$D$2,IF(T47=Configuratie!$B$3,Configuratie!$D$3,IF(T47=Configuratie!$B$4,Configuratie!$D$4,IF(T47=Configuratie!$B$5,Configuratie!$D$5,IF(T47=Configuratie!$B$6,Configuratie!$D$6,IF(T47=Configuratie!$B$7,Configuratie!$D$7,IF(T47=Configuratie!$B$8,Configuratie!$D$8,""))))))))</f>
        <v/>
      </c>
      <c r="K47" s="69"/>
      <c r="L47" s="6" t="s">
        <v>5</v>
      </c>
      <c r="M47" s="69" t="str">
        <f>IF(ISBLANK(T47),"",IF(VALUE(T47)=Configuratie!$B$2,Configuratie!$E$2,IF(T47=Configuratie!$B$3,Configuratie!$E$3,IF(T47=Configuratie!$B$4,Configuratie!$E$4,IF(T47=Configuratie!$B$5,Configuratie!$E$5,IF(T47=Configuratie!$B$6,Configuratie!$E$6,IF(T47=Configuratie!$B$7,Configuratie!$E$7,IF(T47=Configuratie!$B$8,Configuratie!$E$8,""))))))))</f>
        <v/>
      </c>
      <c r="N47" s="69"/>
      <c r="R47" s="6" t="str">
        <f>IF(ISBLANK(T47),"",IF(VALUE(T47)=Configuratie!$B$2,Configuratie!$C$2,IF(T47=Configuratie!$B$3,Configuratie!$C$3,IF(T47=Configuratie!$B$4,Configuratie!$C$4,IF(T47=Configuratie!$B$5,Configuratie!$C$5,IF(T47=Configuratie!$B$6,Configuratie!$C$6,IF(T47=Configuratie!$B$7,Configuratie!$C$7,IF(T47=Configuratie!$B$8,Configuratie!$C$8,""))))))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69" t="str">
        <f>VLOOKUP(AV48,$B$4:$F$13,2,FALSE)</f>
        <v>A</v>
      </c>
      <c r="F48" s="69"/>
      <c r="G48" s="69"/>
      <c r="H48" s="69"/>
      <c r="J48" s="69" t="str">
        <f>IF(ISBLANK(T48),"",IF(VALUE(T48)=Configuratie!$B$2,Configuratie!$D$2,IF(T48=Configuratie!$B$3,Configuratie!$D$3,IF(T48=Configuratie!$B$4,Configuratie!$D$4,IF(T48=Configuratie!$B$5,Configuratie!$D$5,IF(T48=Configuratie!$B$6,Configuratie!$D$6,IF(T48=Configuratie!$B$7,Configuratie!$D$7,IF(T48=Configuratie!$B$8,Configuratie!$D$8,""))))))))</f>
        <v/>
      </c>
      <c r="K48" s="69"/>
      <c r="L48" s="6" t="s">
        <v>5</v>
      </c>
      <c r="M48" s="69" t="str">
        <f>IF(ISBLANK(T48),"",IF(VALUE(T48)=Configuratie!$B$2,Configuratie!$E$2,IF(T48=Configuratie!$B$3,Configuratie!$E$3,IF(T48=Configuratie!$B$4,Configuratie!$E$4,IF(T48=Configuratie!$B$5,Configuratie!$E$5,IF(T48=Configuratie!$B$6,Configuratie!$E$6,IF(T48=Configuratie!$B$7,Configuratie!$E$7,IF(T48=Configuratie!$B$8,Configuratie!$E$8,""))))))))</f>
        <v/>
      </c>
      <c r="N48" s="69"/>
      <c r="R48" s="6" t="str">
        <f>IF(ISBLANK(T48),"",IF(VALUE(T48)=Configuratie!$B$2,Configuratie!$C$2,IF(T48=Configuratie!$B$3,Configuratie!$C$3,IF(T48=Configuratie!$B$4,Configuratie!$C$4,IF(T48=Configuratie!$B$5,Configuratie!$C$5,IF(T48=Configuratie!$B$6,Configuratie!$C$6,IF(T48=Configuratie!$B$7,Configuratie!$C$7,IF(T48=Configuratie!$B$8,Configuratie!$C$8,""))))))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69" t="str">
        <f>VLOOKUP(AV49,$B$4:$F$13,2,FALSE)</f>
        <v>I</v>
      </c>
      <c r="F49" s="69"/>
      <c r="G49" s="69"/>
      <c r="H49" s="69"/>
      <c r="J49" s="69" t="str">
        <f>IF(ISBLANK(T49),"",IF(VALUE(T49)=Configuratie!$B$2,Configuratie!$D$2,IF(T49=Configuratie!$B$3,Configuratie!$D$3,IF(T49=Configuratie!$B$4,Configuratie!$D$4,IF(T49=Configuratie!$B$5,Configuratie!$D$5,IF(T49=Configuratie!$B$6,Configuratie!$D$6,IF(T49=Configuratie!$B$7,Configuratie!$D$7,IF(T49=Configuratie!$B$8,Configuratie!$D$8,""))))))))</f>
        <v/>
      </c>
      <c r="K49" s="69"/>
      <c r="L49" s="6" t="s">
        <v>5</v>
      </c>
      <c r="M49" s="69" t="str">
        <f>IF(ISBLANK(T49),"",IF(VALUE(T49)=Configuratie!$B$2,Configuratie!$E$2,IF(T49=Configuratie!$B$3,Configuratie!$E$3,IF(T49=Configuratie!$B$4,Configuratie!$E$4,IF(T49=Configuratie!$B$5,Configuratie!$E$5,IF(T49=Configuratie!$B$6,Configuratie!$E$6,IF(T49=Configuratie!$B$7,Configuratie!$E$7,IF(T49=Configuratie!$B$8,Configuratie!$E$8,""))))))))</f>
        <v/>
      </c>
      <c r="N49" s="69"/>
      <c r="R49" s="6" t="str">
        <f>IF(ISBLANK(T49),"",IF(VALUE(T49)=Configuratie!$B$2,Configuratie!$C$2,IF(T49=Configuratie!$B$3,Configuratie!$C$3,IF(T49=Configuratie!$B$4,Configuratie!$C$4,IF(T49=Configuratie!$B$5,Configuratie!$C$5,IF(T49=Configuratie!$B$6,Configuratie!$C$6,IF(T49=Configuratie!$B$7,Configuratie!$C$7,IF(T49=Configuratie!$B$8,Configuratie!$C$8,""))))))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69" t="str">
        <f>VLOOKUP(AV50,$B$4:$F$13,2,FALSE)</f>
        <v>H</v>
      </c>
      <c r="F50" s="69"/>
      <c r="G50" s="69"/>
      <c r="H50" s="69"/>
      <c r="J50" s="69" t="str">
        <f>IF(ISBLANK(T50),"",IF(VALUE(T50)=Configuratie!$B$2,Configuratie!$D$2,IF(T50=Configuratie!$B$3,Configuratie!$D$3,IF(T50=Configuratie!$B$4,Configuratie!$D$4,IF(T50=Configuratie!$B$5,Configuratie!$D$5,IF(T50=Configuratie!$B$6,Configuratie!$D$6,IF(T50=Configuratie!$B$7,Configuratie!$D$7,IF(T50=Configuratie!$B$8,Configuratie!$D$8,""))))))))</f>
        <v/>
      </c>
      <c r="K50" s="69"/>
      <c r="L50" s="6" t="s">
        <v>5</v>
      </c>
      <c r="M50" s="69" t="str">
        <f>IF(ISBLANK(T50),"",IF(VALUE(T50)=Configuratie!$B$2,Configuratie!$E$2,IF(T50=Configuratie!$B$3,Configuratie!$E$3,IF(T50=Configuratie!$B$4,Configuratie!$E$4,IF(T50=Configuratie!$B$5,Configuratie!$E$5,IF(T50=Configuratie!$B$6,Configuratie!$E$6,IF(T50=Configuratie!$B$7,Configuratie!$E$7,IF(T50=Configuratie!$B$8,Configuratie!$E$8,""))))))))</f>
        <v/>
      </c>
      <c r="N50" s="69"/>
      <c r="R50" s="6" t="str">
        <f>IF(ISBLANK(T50),"",IF(VALUE(T50)=Configuratie!$B$2,Configuratie!$C$2,IF(T50=Configuratie!$B$3,Configuratie!$C$3,IF(T50=Configuratie!$B$4,Configuratie!$C$4,IF(T50=Configuratie!$B$5,Configuratie!$C$5,IF(T50=Configuratie!$B$6,Configuratie!$C$6,IF(T50=Configuratie!$B$7,Configuratie!$C$7,IF(T50=Configuratie!$B$8,Configuratie!$C$8,""))))))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69" t="str">
        <f>VLOOKUP(AV53,$B$4:$F$13,2,FALSE)</f>
        <v>H</v>
      </c>
      <c r="F53" s="69"/>
      <c r="G53" s="69"/>
      <c r="H53" s="69"/>
      <c r="J53" s="69" t="str">
        <f>IF(ISBLANK(T53),"",IF(VALUE(T53)=Configuratie!$B$2,Configuratie!$D$2,IF(T53=Configuratie!$B$3,Configuratie!$D$3,IF(T53=Configuratie!$B$4,Configuratie!$D$4,IF(T53=Configuratie!$B$5,Configuratie!$D$5,IF(T53=Configuratie!$B$6,Configuratie!$D$6,IF(T53=Configuratie!$B$7,Configuratie!$D$7,IF(T53=Configuratie!$B$8,Configuratie!$D$8,""))))))))</f>
        <v/>
      </c>
      <c r="K53" s="69"/>
      <c r="L53" s="6" t="s">
        <v>5</v>
      </c>
      <c r="M53" s="69" t="str">
        <f>IF(ISBLANK(T53),"",IF(VALUE(T53)=Configuratie!$B$2,Configuratie!$E$2,IF(T53=Configuratie!$B$3,Configuratie!$E$3,IF(T53=Configuratie!$B$4,Configuratie!$E$4,IF(T53=Configuratie!$B$5,Configuratie!$E$5,IF(T53=Configuratie!$B$6,Configuratie!$E$6,IF(T53=Configuratie!$B$7,Configuratie!$E$7,IF(T53=Configuratie!$B$8,Configuratie!$E$8,""))))))))</f>
        <v/>
      </c>
      <c r="N53" s="69"/>
      <c r="R53" s="6" t="str">
        <f>IF(ISBLANK(T53),"",IF(VALUE(T53)=Configuratie!$B$2,Configuratie!$C$2,IF(T53=Configuratie!$B$3,Configuratie!$C$3,IF(T53=Configuratie!$B$4,Configuratie!$C$4,IF(T53=Configuratie!$B$5,Configuratie!$C$5,IF(T53=Configuratie!$B$6,Configuratie!$C$6,IF(T53=Configuratie!$B$7,Configuratie!$C$7,IF(T53=Configuratie!$B$8,Configuratie!$C$8,""))))))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69" t="str">
        <f>VLOOKUP(AV54,$B$4:$F$13,2,FALSE)</f>
        <v>G</v>
      </c>
      <c r="F54" s="69"/>
      <c r="G54" s="69"/>
      <c r="H54" s="69"/>
      <c r="J54" s="69" t="str">
        <f>IF(ISBLANK(T54),"",IF(VALUE(T54)=Configuratie!$B$2,Configuratie!$D$2,IF(T54=Configuratie!$B$3,Configuratie!$D$3,IF(T54=Configuratie!$B$4,Configuratie!$D$4,IF(T54=Configuratie!$B$5,Configuratie!$D$5,IF(T54=Configuratie!$B$6,Configuratie!$D$6,IF(T54=Configuratie!$B$7,Configuratie!$D$7,IF(T54=Configuratie!$B$8,Configuratie!$D$8,""))))))))</f>
        <v/>
      </c>
      <c r="K54" s="69"/>
      <c r="L54" s="6" t="s">
        <v>5</v>
      </c>
      <c r="M54" s="69" t="str">
        <f>IF(ISBLANK(T54),"",IF(VALUE(T54)=Configuratie!$B$2,Configuratie!$E$2,IF(T54=Configuratie!$B$3,Configuratie!$E$3,IF(T54=Configuratie!$B$4,Configuratie!$E$4,IF(T54=Configuratie!$B$5,Configuratie!$E$5,IF(T54=Configuratie!$B$6,Configuratie!$E$6,IF(T54=Configuratie!$B$7,Configuratie!$E$7,IF(T54=Configuratie!$B$8,Configuratie!$E$8,""))))))))</f>
        <v/>
      </c>
      <c r="N54" s="69"/>
      <c r="R54" s="6" t="str">
        <f>IF(ISBLANK(T54),"",IF(VALUE(T54)=Configuratie!$B$2,Configuratie!$C$2,IF(T54=Configuratie!$B$3,Configuratie!$C$3,IF(T54=Configuratie!$B$4,Configuratie!$C$4,IF(T54=Configuratie!$B$5,Configuratie!$C$5,IF(T54=Configuratie!$B$6,Configuratie!$C$6,IF(T54=Configuratie!$B$7,Configuratie!$C$7,IF(T54=Configuratie!$B$8,Configuratie!$C$8,""))))))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69" t="str">
        <f>VLOOKUP(AV55,$B$4:$F$13,2,FALSE)</f>
        <v>F</v>
      </c>
      <c r="F55" s="69"/>
      <c r="G55" s="69"/>
      <c r="H55" s="69"/>
      <c r="J55" s="69" t="str">
        <f>IF(ISBLANK(T55),"",IF(VALUE(T55)=Configuratie!$B$2,Configuratie!$D$2,IF(T55=Configuratie!$B$3,Configuratie!$D$3,IF(T55=Configuratie!$B$4,Configuratie!$D$4,IF(T55=Configuratie!$B$5,Configuratie!$D$5,IF(T55=Configuratie!$B$6,Configuratie!$D$6,IF(T55=Configuratie!$B$7,Configuratie!$D$7,IF(T55=Configuratie!$B$8,Configuratie!$D$8,""))))))))</f>
        <v/>
      </c>
      <c r="K55" s="69"/>
      <c r="L55" s="6" t="s">
        <v>5</v>
      </c>
      <c r="M55" s="69" t="str">
        <f>IF(ISBLANK(T55),"",IF(VALUE(T55)=Configuratie!$B$2,Configuratie!$E$2,IF(T55=Configuratie!$B$3,Configuratie!$E$3,IF(T55=Configuratie!$B$4,Configuratie!$E$4,IF(T55=Configuratie!$B$5,Configuratie!$E$5,IF(T55=Configuratie!$B$6,Configuratie!$E$6,IF(T55=Configuratie!$B$7,Configuratie!$E$7,IF(T55=Configuratie!$B$8,Configuratie!$E$8,""))))))))</f>
        <v/>
      </c>
      <c r="N55" s="69"/>
      <c r="R55" s="6" t="str">
        <f>IF(ISBLANK(T55),"",IF(VALUE(T55)=Configuratie!$B$2,Configuratie!$C$2,IF(T55=Configuratie!$B$3,Configuratie!$C$3,IF(T55=Configuratie!$B$4,Configuratie!$C$4,IF(T55=Configuratie!$B$5,Configuratie!$C$5,IF(T55=Configuratie!$B$6,Configuratie!$C$6,IF(T55=Configuratie!$B$7,Configuratie!$C$7,IF(T55=Configuratie!$B$8,Configuratie!$C$8,""))))))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69" t="str">
        <f>VLOOKUP(AV56,$B$4:$F$13,2,FALSE)</f>
        <v>E</v>
      </c>
      <c r="F56" s="69"/>
      <c r="G56" s="69"/>
      <c r="H56" s="69"/>
      <c r="J56" s="69" t="str">
        <f>IF(ISBLANK(T56),"",IF(VALUE(T56)=Configuratie!$B$2,Configuratie!$D$2,IF(T56=Configuratie!$B$3,Configuratie!$D$3,IF(T56=Configuratie!$B$4,Configuratie!$D$4,IF(T56=Configuratie!$B$5,Configuratie!$D$5,IF(T56=Configuratie!$B$6,Configuratie!$D$6,IF(T56=Configuratie!$B$7,Configuratie!$D$7,IF(T56=Configuratie!$B$8,Configuratie!$D$8,""))))))))</f>
        <v/>
      </c>
      <c r="K56" s="69"/>
      <c r="L56" s="6" t="s">
        <v>5</v>
      </c>
      <c r="M56" s="69" t="str">
        <f>IF(ISBLANK(T56),"",IF(VALUE(T56)=Configuratie!$B$2,Configuratie!$E$2,IF(T56=Configuratie!$B$3,Configuratie!$E$3,IF(T56=Configuratie!$B$4,Configuratie!$E$4,IF(T56=Configuratie!$B$5,Configuratie!$E$5,IF(T56=Configuratie!$B$6,Configuratie!$E$6,IF(T56=Configuratie!$B$7,Configuratie!$E$7,IF(T56=Configuratie!$B$8,Configuratie!$E$8,""))))))))</f>
        <v/>
      </c>
      <c r="N56" s="69"/>
      <c r="R56" s="6" t="str">
        <f>IF(ISBLANK(T56),"",IF(VALUE(T56)=Configuratie!$B$2,Configuratie!$C$2,IF(T56=Configuratie!$B$3,Configuratie!$C$3,IF(T56=Configuratie!$B$4,Configuratie!$C$4,IF(T56=Configuratie!$B$5,Configuratie!$C$5,IF(T56=Configuratie!$B$6,Configuratie!$C$6,IF(T56=Configuratie!$B$7,Configuratie!$C$7,IF(T56=Configuratie!$B$8,Configuratie!$C$8,""))))))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69" t="str">
        <f>VLOOKUP(AV57,$B$4:$F$13,2,FALSE)</f>
        <v>D</v>
      </c>
      <c r="F57" s="69"/>
      <c r="G57" s="69"/>
      <c r="H57" s="69"/>
      <c r="J57" s="69" t="str">
        <f>IF(ISBLANK(T57),"",IF(VALUE(T57)=Configuratie!$B$2,Configuratie!$D$2,IF(T57=Configuratie!$B$3,Configuratie!$D$3,IF(T57=Configuratie!$B$4,Configuratie!$D$4,IF(T57=Configuratie!$B$5,Configuratie!$D$5,IF(T57=Configuratie!$B$6,Configuratie!$D$6,IF(T57=Configuratie!$B$7,Configuratie!$D$7,IF(T57=Configuratie!$B$8,Configuratie!$D$8,""))))))))</f>
        <v/>
      </c>
      <c r="K57" s="69"/>
      <c r="L57" s="6" t="s">
        <v>5</v>
      </c>
      <c r="M57" s="69" t="str">
        <f>IF(ISBLANK(T57),"",IF(VALUE(T57)=Configuratie!$B$2,Configuratie!$E$2,IF(T57=Configuratie!$B$3,Configuratie!$E$3,IF(T57=Configuratie!$B$4,Configuratie!$E$4,IF(T57=Configuratie!$B$5,Configuratie!$E$5,IF(T57=Configuratie!$B$6,Configuratie!$E$6,IF(T57=Configuratie!$B$7,Configuratie!$E$7,IF(T57=Configuratie!$B$8,Configuratie!$E$8,""))))))))</f>
        <v/>
      </c>
      <c r="N57" s="69"/>
      <c r="R57" s="6" t="str">
        <f>IF(ISBLANK(T57),"",IF(VALUE(T57)=Configuratie!$B$2,Configuratie!$C$2,IF(T57=Configuratie!$B$3,Configuratie!$C$3,IF(T57=Configuratie!$B$4,Configuratie!$C$4,IF(T57=Configuratie!$B$5,Configuratie!$C$5,IF(T57=Configuratie!$B$6,Configuratie!$C$6,IF(T57=Configuratie!$B$7,Configuratie!$C$7,IF(T57=Configuratie!$B$8,Configuratie!$C$8,""))))))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69" t="str">
        <f>VLOOKUP(AV60,$B$4:$F$13,2,FALSE)</f>
        <v>J</v>
      </c>
      <c r="F60" s="69"/>
      <c r="G60" s="69"/>
      <c r="H60" s="69"/>
      <c r="J60" s="69" t="str">
        <f>IF(ISBLANK(T60),"",IF(VALUE(T60)=Configuratie!$B$2,Configuratie!$D$2,IF(T60=Configuratie!$B$3,Configuratie!$D$3,IF(T60=Configuratie!$B$4,Configuratie!$D$4,IF(T60=Configuratie!$B$5,Configuratie!$D$5,IF(T60=Configuratie!$B$6,Configuratie!$D$6,IF(T60=Configuratie!$B$7,Configuratie!$D$7,IF(T60=Configuratie!$B$8,Configuratie!$D$8,""))))))))</f>
        <v/>
      </c>
      <c r="K60" s="69"/>
      <c r="L60" s="6" t="s">
        <v>5</v>
      </c>
      <c r="M60" s="69" t="str">
        <f>IF(ISBLANK(T60),"",IF(VALUE(T60)=Configuratie!$B$2,Configuratie!$E$2,IF(T60=Configuratie!$B$3,Configuratie!$E$3,IF(T60=Configuratie!$B$4,Configuratie!$E$4,IF(T60=Configuratie!$B$5,Configuratie!$E$5,IF(T60=Configuratie!$B$6,Configuratie!$E$6,IF(T60=Configuratie!$B$7,Configuratie!$E$7,IF(T60=Configuratie!$B$8,Configuratie!$E$8,""))))))))</f>
        <v/>
      </c>
      <c r="N60" s="69"/>
      <c r="R60" s="6" t="str">
        <f>IF(ISBLANK(T60),"",IF(VALUE(T60)=Configuratie!$B$2,Configuratie!$C$2,IF(T60=Configuratie!$B$3,Configuratie!$C$3,IF(T60=Configuratie!$B$4,Configuratie!$C$4,IF(T60=Configuratie!$B$5,Configuratie!$C$5,IF(T60=Configuratie!$B$6,Configuratie!$C$6,IF(T60=Configuratie!$B$7,Configuratie!$C$7,IF(T60=Configuratie!$B$8,Configuratie!$C$8,""))))))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69" t="str">
        <f>VLOOKUP(AV61,$B$4:$F$13,2,FALSE)</f>
        <v>C</v>
      </c>
      <c r="F61" s="69"/>
      <c r="G61" s="69"/>
      <c r="H61" s="69"/>
      <c r="J61" s="69" t="str">
        <f>IF(ISBLANK(T61),"",IF(VALUE(T61)=Configuratie!$B$2,Configuratie!$D$2,IF(T61=Configuratie!$B$3,Configuratie!$D$3,IF(T61=Configuratie!$B$4,Configuratie!$D$4,IF(T61=Configuratie!$B$5,Configuratie!$D$5,IF(T61=Configuratie!$B$6,Configuratie!$D$6,IF(T61=Configuratie!$B$7,Configuratie!$D$7,IF(T61=Configuratie!$B$8,Configuratie!$D$8,""))))))))</f>
        <v/>
      </c>
      <c r="K61" s="69"/>
      <c r="L61" s="6" t="s">
        <v>5</v>
      </c>
      <c r="M61" s="69" t="str">
        <f>IF(ISBLANK(T61),"",IF(VALUE(T61)=Configuratie!$B$2,Configuratie!$E$2,IF(T61=Configuratie!$B$3,Configuratie!$E$3,IF(T61=Configuratie!$B$4,Configuratie!$E$4,IF(T61=Configuratie!$B$5,Configuratie!$E$5,IF(T61=Configuratie!$B$6,Configuratie!$E$6,IF(T61=Configuratie!$B$7,Configuratie!$E$7,IF(T61=Configuratie!$B$8,Configuratie!$E$8,""))))))))</f>
        <v/>
      </c>
      <c r="N61" s="69"/>
      <c r="R61" s="6" t="str">
        <f>IF(ISBLANK(T61),"",IF(VALUE(T61)=Configuratie!$B$2,Configuratie!$C$2,IF(T61=Configuratie!$B$3,Configuratie!$C$3,IF(T61=Configuratie!$B$4,Configuratie!$C$4,IF(T61=Configuratie!$B$5,Configuratie!$C$5,IF(T61=Configuratie!$B$6,Configuratie!$C$6,IF(T61=Configuratie!$B$7,Configuratie!$C$7,IF(T61=Configuratie!$B$8,Configuratie!$C$8,""))))))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69" t="str">
        <f>VLOOKUP(AV62,$B$4:$F$13,2,FALSE)</f>
        <v>B</v>
      </c>
      <c r="F62" s="69"/>
      <c r="G62" s="69"/>
      <c r="H62" s="69"/>
      <c r="J62" s="69" t="str">
        <f>IF(ISBLANK(T62),"",IF(VALUE(T62)=Configuratie!$B$2,Configuratie!$D$2,IF(T62=Configuratie!$B$3,Configuratie!$D$3,IF(T62=Configuratie!$B$4,Configuratie!$D$4,IF(T62=Configuratie!$B$5,Configuratie!$D$5,IF(T62=Configuratie!$B$6,Configuratie!$D$6,IF(T62=Configuratie!$B$7,Configuratie!$D$7,IF(T62=Configuratie!$B$8,Configuratie!$D$8,""))))))))</f>
        <v/>
      </c>
      <c r="K62" s="69"/>
      <c r="L62" s="6" t="s">
        <v>5</v>
      </c>
      <c r="M62" s="69" t="str">
        <f>IF(ISBLANK(T62),"",IF(VALUE(T62)=Configuratie!$B$2,Configuratie!$E$2,IF(T62=Configuratie!$B$3,Configuratie!$E$3,IF(T62=Configuratie!$B$4,Configuratie!$E$4,IF(T62=Configuratie!$B$5,Configuratie!$E$5,IF(T62=Configuratie!$B$6,Configuratie!$E$6,IF(T62=Configuratie!$B$7,Configuratie!$E$7,IF(T62=Configuratie!$B$8,Configuratie!$E$8,""))))))))</f>
        <v/>
      </c>
      <c r="N62" s="69"/>
      <c r="R62" s="6" t="str">
        <f>IF(ISBLANK(T62),"",IF(VALUE(T62)=Configuratie!$B$2,Configuratie!$C$2,IF(T62=Configuratie!$B$3,Configuratie!$C$3,IF(T62=Configuratie!$B$4,Configuratie!$C$4,IF(T62=Configuratie!$B$5,Configuratie!$C$5,IF(T62=Configuratie!$B$6,Configuratie!$C$6,IF(T62=Configuratie!$B$7,Configuratie!$C$7,IF(T62=Configuratie!$B$8,Configuratie!$C$8,""))))))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69" t="str">
        <f>VLOOKUP(AV63,$B$4:$F$13,2,FALSE)</f>
        <v>A</v>
      </c>
      <c r="F63" s="69"/>
      <c r="G63" s="69"/>
      <c r="H63" s="69"/>
      <c r="J63" s="69" t="str">
        <f>IF(ISBLANK(T63),"",IF(VALUE(T63)=Configuratie!$B$2,Configuratie!$D$2,IF(T63=Configuratie!$B$3,Configuratie!$D$3,IF(T63=Configuratie!$B$4,Configuratie!$D$4,IF(T63=Configuratie!$B$5,Configuratie!$D$5,IF(T63=Configuratie!$B$6,Configuratie!$D$6,IF(T63=Configuratie!$B$7,Configuratie!$D$7,IF(T63=Configuratie!$B$8,Configuratie!$D$8,""))))))))</f>
        <v/>
      </c>
      <c r="K63" s="69"/>
      <c r="L63" s="6" t="s">
        <v>5</v>
      </c>
      <c r="M63" s="69" t="str">
        <f>IF(ISBLANK(T63),"",IF(VALUE(T63)=Configuratie!$B$2,Configuratie!$E$2,IF(T63=Configuratie!$B$3,Configuratie!$E$3,IF(T63=Configuratie!$B$4,Configuratie!$E$4,IF(T63=Configuratie!$B$5,Configuratie!$E$5,IF(T63=Configuratie!$B$6,Configuratie!$E$6,IF(T63=Configuratie!$B$7,Configuratie!$E$7,IF(T63=Configuratie!$B$8,Configuratie!$E$8,""))))))))</f>
        <v/>
      </c>
      <c r="N63" s="69"/>
      <c r="R63" s="6" t="str">
        <f>IF(ISBLANK(T63),"",IF(VALUE(T63)=Configuratie!$B$2,Configuratie!$C$2,IF(T63=Configuratie!$B$3,Configuratie!$C$3,IF(T63=Configuratie!$B$4,Configuratie!$C$4,IF(T63=Configuratie!$B$5,Configuratie!$C$5,IF(T63=Configuratie!$B$6,Configuratie!$C$6,IF(T63=Configuratie!$B$7,Configuratie!$C$7,IF(T63=Configuratie!$B$8,Configuratie!$C$8,""))))))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69" t="str">
        <f>VLOOKUP(AV64,$B$4:$F$13,2,FALSE)</f>
        <v>I</v>
      </c>
      <c r="F64" s="69"/>
      <c r="G64" s="69"/>
      <c r="H64" s="69"/>
      <c r="J64" s="69" t="str">
        <f>IF(ISBLANK(T64),"",IF(VALUE(T64)=Configuratie!$B$2,Configuratie!$D$2,IF(T64=Configuratie!$B$3,Configuratie!$D$3,IF(T64=Configuratie!$B$4,Configuratie!$D$4,IF(T64=Configuratie!$B$5,Configuratie!$D$5,IF(T64=Configuratie!$B$6,Configuratie!$D$6,IF(T64=Configuratie!$B$7,Configuratie!$D$7,IF(T64=Configuratie!$B$8,Configuratie!$D$8,""))))))))</f>
        <v/>
      </c>
      <c r="K64" s="69"/>
      <c r="L64" s="6" t="s">
        <v>5</v>
      </c>
      <c r="M64" s="69" t="str">
        <f>IF(ISBLANK(T64),"",IF(VALUE(T64)=Configuratie!$B$2,Configuratie!$E$2,IF(T64=Configuratie!$B$3,Configuratie!$E$3,IF(T64=Configuratie!$B$4,Configuratie!$E$4,IF(T64=Configuratie!$B$5,Configuratie!$E$5,IF(T64=Configuratie!$B$6,Configuratie!$E$6,IF(T64=Configuratie!$B$7,Configuratie!$E$7,IF(T64=Configuratie!$B$8,Configuratie!$E$8,""))))))))</f>
        <v/>
      </c>
      <c r="N64" s="69"/>
      <c r="R64" s="6" t="str">
        <f>IF(ISBLANK(T64),"",IF(VALUE(T64)=Configuratie!$B$2,Configuratie!$C$2,IF(T64=Configuratie!$B$3,Configuratie!$C$3,IF(T64=Configuratie!$B$4,Configuratie!$C$4,IF(T64=Configuratie!$B$5,Configuratie!$C$5,IF(T64=Configuratie!$B$6,Configuratie!$C$6,IF(T64=Configuratie!$B$7,Configuratie!$C$7,IF(T64=Configuratie!$B$8,Configuratie!$C$8,""))))))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69" t="str">
        <f>VLOOKUP(AV67,$B$4:$F$13,2,FALSE)</f>
        <v>I</v>
      </c>
      <c r="F67" s="69"/>
      <c r="G67" s="69"/>
      <c r="H67" s="69"/>
      <c r="J67" s="69" t="str">
        <f>IF(ISBLANK(T67),"",IF(VALUE(T67)=Configuratie!$B$2,Configuratie!$D$2,IF(T67=Configuratie!$B$3,Configuratie!$D$3,IF(T67=Configuratie!$B$4,Configuratie!$D$4,IF(T67=Configuratie!$B$5,Configuratie!$D$5,IF(T67=Configuratie!$B$6,Configuratie!$D$6,IF(T67=Configuratie!$B$7,Configuratie!$D$7,IF(T67=Configuratie!$B$8,Configuratie!$D$8,""))))))))</f>
        <v/>
      </c>
      <c r="K67" s="69"/>
      <c r="L67" s="6" t="s">
        <v>5</v>
      </c>
      <c r="M67" s="69" t="str">
        <f>IF(ISBLANK(T67),"",IF(VALUE(T67)=Configuratie!$B$2,Configuratie!$E$2,IF(T67=Configuratie!$B$3,Configuratie!$E$3,IF(T67=Configuratie!$B$4,Configuratie!$E$4,IF(T67=Configuratie!$B$5,Configuratie!$E$5,IF(T67=Configuratie!$B$6,Configuratie!$E$6,IF(T67=Configuratie!$B$7,Configuratie!$E$7,IF(T67=Configuratie!$B$8,Configuratie!$E$8,""))))))))</f>
        <v/>
      </c>
      <c r="N67" s="69"/>
      <c r="R67" s="6" t="str">
        <f>IF(ISBLANK(T67),"",IF(VALUE(T67)=Configuratie!$B$2,Configuratie!$C$2,IF(T67=Configuratie!$B$3,Configuratie!$C$3,IF(T67=Configuratie!$B$4,Configuratie!$C$4,IF(T67=Configuratie!$B$5,Configuratie!$C$5,IF(T67=Configuratie!$B$6,Configuratie!$C$6,IF(T67=Configuratie!$B$7,Configuratie!$C$7,IF(T67=Configuratie!$B$8,Configuratie!$C$8,""))))))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69" t="str">
        <f>VLOOKUP(AV68,$B$4:$F$13,2,FALSE)</f>
        <v>H</v>
      </c>
      <c r="F68" s="69"/>
      <c r="G68" s="69"/>
      <c r="H68" s="69"/>
      <c r="J68" s="69" t="str">
        <f>IF(ISBLANK(T68),"",IF(VALUE(T68)=Configuratie!$B$2,Configuratie!$D$2,IF(T68=Configuratie!$B$3,Configuratie!$D$3,IF(T68=Configuratie!$B$4,Configuratie!$D$4,IF(T68=Configuratie!$B$5,Configuratie!$D$5,IF(T68=Configuratie!$B$6,Configuratie!$D$6,IF(T68=Configuratie!$B$7,Configuratie!$D$7,IF(T68=Configuratie!$B$8,Configuratie!$D$8,""))))))))</f>
        <v/>
      </c>
      <c r="K68" s="69"/>
      <c r="L68" s="6" t="s">
        <v>5</v>
      </c>
      <c r="M68" s="69" t="str">
        <f>IF(ISBLANK(T68),"",IF(VALUE(T68)=Configuratie!$B$2,Configuratie!$E$2,IF(T68=Configuratie!$B$3,Configuratie!$E$3,IF(T68=Configuratie!$B$4,Configuratie!$E$4,IF(T68=Configuratie!$B$5,Configuratie!$E$5,IF(T68=Configuratie!$B$6,Configuratie!$E$6,IF(T68=Configuratie!$B$7,Configuratie!$E$7,IF(T68=Configuratie!$B$8,Configuratie!$E$8,""))))))))</f>
        <v/>
      </c>
      <c r="N68" s="69"/>
      <c r="R68" s="6" t="str">
        <f>IF(ISBLANK(T68),"",IF(VALUE(T68)=Configuratie!$B$2,Configuratie!$C$2,IF(T68=Configuratie!$B$3,Configuratie!$C$3,IF(T68=Configuratie!$B$4,Configuratie!$C$4,IF(T68=Configuratie!$B$5,Configuratie!$C$5,IF(T68=Configuratie!$B$6,Configuratie!$C$6,IF(T68=Configuratie!$B$7,Configuratie!$C$7,IF(T68=Configuratie!$B$8,Configuratie!$C$8,""))))))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69" t="str">
        <f>VLOOKUP(AV69,$B$4:$F$13,2,FALSE)</f>
        <v>G</v>
      </c>
      <c r="F69" s="69"/>
      <c r="G69" s="69"/>
      <c r="H69" s="69"/>
      <c r="J69" s="69" t="str">
        <f>IF(ISBLANK(T69),"",IF(VALUE(T69)=Configuratie!$B$2,Configuratie!$D$2,IF(T69=Configuratie!$B$3,Configuratie!$D$3,IF(T69=Configuratie!$B$4,Configuratie!$D$4,IF(T69=Configuratie!$B$5,Configuratie!$D$5,IF(T69=Configuratie!$B$6,Configuratie!$D$6,IF(T69=Configuratie!$B$7,Configuratie!$D$7,IF(T69=Configuratie!$B$8,Configuratie!$D$8,""))))))))</f>
        <v/>
      </c>
      <c r="K69" s="69"/>
      <c r="L69" s="6" t="s">
        <v>5</v>
      </c>
      <c r="M69" s="69" t="str">
        <f>IF(ISBLANK(T69),"",IF(VALUE(T69)=Configuratie!$B$2,Configuratie!$E$2,IF(T69=Configuratie!$B$3,Configuratie!$E$3,IF(T69=Configuratie!$B$4,Configuratie!$E$4,IF(T69=Configuratie!$B$5,Configuratie!$E$5,IF(T69=Configuratie!$B$6,Configuratie!$E$6,IF(T69=Configuratie!$B$7,Configuratie!$E$7,IF(T69=Configuratie!$B$8,Configuratie!$E$8,""))))))))</f>
        <v/>
      </c>
      <c r="N69" s="69"/>
      <c r="R69" s="6" t="str">
        <f>IF(ISBLANK(T69),"",IF(VALUE(T69)=Configuratie!$B$2,Configuratie!$C$2,IF(T69=Configuratie!$B$3,Configuratie!$C$3,IF(T69=Configuratie!$B$4,Configuratie!$C$4,IF(T69=Configuratie!$B$5,Configuratie!$C$5,IF(T69=Configuratie!$B$6,Configuratie!$C$6,IF(T69=Configuratie!$B$7,Configuratie!$C$7,IF(T69=Configuratie!$B$8,Configuratie!$C$8,""))))))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69" t="str">
        <f>VLOOKUP(AV70,$B$4:$F$13,2,FALSE)</f>
        <v>F</v>
      </c>
      <c r="F70" s="69"/>
      <c r="G70" s="69"/>
      <c r="H70" s="69"/>
      <c r="J70" s="69" t="str">
        <f>IF(ISBLANK(T70),"",IF(VALUE(T70)=Configuratie!$B$2,Configuratie!$D$2,IF(T70=Configuratie!$B$3,Configuratie!$D$3,IF(T70=Configuratie!$B$4,Configuratie!$D$4,IF(T70=Configuratie!$B$5,Configuratie!$D$5,IF(T70=Configuratie!$B$6,Configuratie!$D$6,IF(T70=Configuratie!$B$7,Configuratie!$D$7,IF(T70=Configuratie!$B$8,Configuratie!$D$8,""))))))))</f>
        <v/>
      </c>
      <c r="K70" s="69"/>
      <c r="L70" s="6" t="s">
        <v>5</v>
      </c>
      <c r="M70" s="69" t="str">
        <f>IF(ISBLANK(T70),"",IF(VALUE(T70)=Configuratie!$B$2,Configuratie!$E$2,IF(T70=Configuratie!$B$3,Configuratie!$E$3,IF(T70=Configuratie!$B$4,Configuratie!$E$4,IF(T70=Configuratie!$B$5,Configuratie!$E$5,IF(T70=Configuratie!$B$6,Configuratie!$E$6,IF(T70=Configuratie!$B$7,Configuratie!$E$7,IF(T70=Configuratie!$B$8,Configuratie!$E$8,""))))))))</f>
        <v/>
      </c>
      <c r="N70" s="69"/>
      <c r="R70" s="6" t="str">
        <f>IF(ISBLANK(T70),"",IF(VALUE(T70)=Configuratie!$B$2,Configuratie!$C$2,IF(T70=Configuratie!$B$3,Configuratie!$C$3,IF(T70=Configuratie!$B$4,Configuratie!$C$4,IF(T70=Configuratie!$B$5,Configuratie!$C$5,IF(T70=Configuratie!$B$6,Configuratie!$C$6,IF(T70=Configuratie!$B$7,Configuratie!$C$7,IF(T70=Configuratie!$B$8,Configuratie!$C$8,""))))))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69" t="str">
        <f>VLOOKUP(AV71,$B$4:$F$13,2,FALSE)</f>
        <v>E</v>
      </c>
      <c r="F71" s="69"/>
      <c r="G71" s="69"/>
      <c r="H71" s="69"/>
      <c r="J71" s="69" t="str">
        <f>IF(ISBLANK(T71),"",IF(VALUE(T71)=Configuratie!$B$2,Configuratie!$D$2,IF(T71=Configuratie!$B$3,Configuratie!$D$3,IF(T71=Configuratie!$B$4,Configuratie!$D$4,IF(T71=Configuratie!$B$5,Configuratie!$D$5,IF(T71=Configuratie!$B$6,Configuratie!$D$6,IF(T71=Configuratie!$B$7,Configuratie!$D$7,IF(T71=Configuratie!$B$8,Configuratie!$D$8,""))))))))</f>
        <v/>
      </c>
      <c r="K71" s="69"/>
      <c r="L71" s="6" t="s">
        <v>5</v>
      </c>
      <c r="M71" s="69" t="str">
        <f>IF(ISBLANK(T71),"",IF(VALUE(T71)=Configuratie!$B$2,Configuratie!$E$2,IF(T71=Configuratie!$B$3,Configuratie!$E$3,IF(T71=Configuratie!$B$4,Configuratie!$E$4,IF(T71=Configuratie!$B$5,Configuratie!$E$5,IF(T71=Configuratie!$B$6,Configuratie!$E$6,IF(T71=Configuratie!$B$7,Configuratie!$E$7,IF(T71=Configuratie!$B$8,Configuratie!$E$8,""))))))))</f>
        <v/>
      </c>
      <c r="N71" s="69"/>
      <c r="R71" s="6" t="str">
        <f>IF(ISBLANK(T71),"",IF(VALUE(T71)=Configuratie!$B$2,Configuratie!$C$2,IF(T71=Configuratie!$B$3,Configuratie!$C$3,IF(T71=Configuratie!$B$4,Configuratie!$C$4,IF(T71=Configuratie!$B$5,Configuratie!$C$5,IF(T71=Configuratie!$B$6,Configuratie!$C$6,IF(T71=Configuratie!$B$7,Configuratie!$C$7,IF(T71=Configuratie!$B$8,Configuratie!$C$8,""))))))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69" t="str">
        <f>VLOOKUP(AV74,$B$4:$F$13,2,FALSE)</f>
        <v>J</v>
      </c>
      <c r="F74" s="69"/>
      <c r="G74" s="69"/>
      <c r="H74" s="69"/>
      <c r="J74" s="69" t="str">
        <f>IF(ISBLANK(T74),"",IF(VALUE(T74)=Configuratie!$B$2,Configuratie!$D$2,IF(T74=Configuratie!$B$3,Configuratie!$D$3,IF(T74=Configuratie!$B$4,Configuratie!$D$4,IF(T74=Configuratie!$B$5,Configuratie!$D$5,IF(T74=Configuratie!$B$6,Configuratie!$D$6,IF(T74=Configuratie!$B$7,Configuratie!$D$7,IF(T74=Configuratie!$B$8,Configuratie!$D$8,""))))))))</f>
        <v/>
      </c>
      <c r="K74" s="69"/>
      <c r="L74" s="6" t="s">
        <v>5</v>
      </c>
      <c r="M74" s="69" t="str">
        <f>IF(ISBLANK(T74),"",IF(VALUE(T74)=Configuratie!$B$2,Configuratie!$E$2,IF(T74=Configuratie!$B$3,Configuratie!$E$3,IF(T74=Configuratie!$B$4,Configuratie!$E$4,IF(T74=Configuratie!$B$5,Configuratie!$E$5,IF(T74=Configuratie!$B$6,Configuratie!$E$6,IF(T74=Configuratie!$B$7,Configuratie!$E$7,IF(T74=Configuratie!$B$8,Configuratie!$E$8,""))))))))</f>
        <v/>
      </c>
      <c r="N74" s="69"/>
      <c r="R74" s="6" t="str">
        <f>IF(ISBLANK(T74),"",IF(VALUE(T74)=Configuratie!$B$2,Configuratie!$C$2,IF(T74=Configuratie!$B$3,Configuratie!$C$3,IF(T74=Configuratie!$B$4,Configuratie!$C$4,IF(T74=Configuratie!$B$5,Configuratie!$C$5,IF(T74=Configuratie!$B$6,Configuratie!$C$6,IF(T74=Configuratie!$B$7,Configuratie!$C$7,IF(T74=Configuratie!$B$8,Configuratie!$C$8,""))))))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69" t="str">
        <f>VLOOKUP(AV75,$B$4:$F$13,2,FALSE)</f>
        <v>D</v>
      </c>
      <c r="F75" s="69"/>
      <c r="G75" s="69"/>
      <c r="H75" s="69"/>
      <c r="J75" s="69" t="str">
        <f>IF(ISBLANK(T75),"",IF(VALUE(T75)=Configuratie!$B$2,Configuratie!$D$2,IF(T75=Configuratie!$B$3,Configuratie!$D$3,IF(T75=Configuratie!$B$4,Configuratie!$D$4,IF(T75=Configuratie!$B$5,Configuratie!$D$5,IF(T75=Configuratie!$B$6,Configuratie!$D$6,IF(T75=Configuratie!$B$7,Configuratie!$D$7,IF(T75=Configuratie!$B$8,Configuratie!$D$8,""))))))))</f>
        <v/>
      </c>
      <c r="K75" s="69"/>
      <c r="L75" s="6" t="s">
        <v>5</v>
      </c>
      <c r="M75" s="69" t="str">
        <f>IF(ISBLANK(T75),"",IF(VALUE(T75)=Configuratie!$B$2,Configuratie!$E$2,IF(T75=Configuratie!$B$3,Configuratie!$E$3,IF(T75=Configuratie!$B$4,Configuratie!$E$4,IF(T75=Configuratie!$B$5,Configuratie!$E$5,IF(T75=Configuratie!$B$6,Configuratie!$E$6,IF(T75=Configuratie!$B$7,Configuratie!$E$7,IF(T75=Configuratie!$B$8,Configuratie!$E$8,""))))))))</f>
        <v/>
      </c>
      <c r="N75" s="69"/>
      <c r="R75" s="6" t="str">
        <f>IF(ISBLANK(T75),"",IF(VALUE(T75)=Configuratie!$B$2,Configuratie!$C$2,IF(T75=Configuratie!$B$3,Configuratie!$C$3,IF(T75=Configuratie!$B$4,Configuratie!$C$4,IF(T75=Configuratie!$B$5,Configuratie!$C$5,IF(T75=Configuratie!$B$6,Configuratie!$C$6,IF(T75=Configuratie!$B$7,Configuratie!$C$7,IF(T75=Configuratie!$B$8,Configuratie!$C$8,""))))))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69" t="str">
        <f>VLOOKUP(AV76,$B$4:$F$13,2,FALSE)</f>
        <v>C</v>
      </c>
      <c r="F76" s="69"/>
      <c r="G76" s="69"/>
      <c r="H76" s="69"/>
      <c r="J76" s="69" t="str">
        <f>IF(ISBLANK(T76),"",IF(VALUE(T76)=Configuratie!$B$2,Configuratie!$D$2,IF(T76=Configuratie!$B$3,Configuratie!$D$3,IF(T76=Configuratie!$B$4,Configuratie!$D$4,IF(T76=Configuratie!$B$5,Configuratie!$D$5,IF(T76=Configuratie!$B$6,Configuratie!$D$6,IF(T76=Configuratie!$B$7,Configuratie!$D$7,IF(T76=Configuratie!$B$8,Configuratie!$D$8,""))))))))</f>
        <v/>
      </c>
      <c r="K76" s="69"/>
      <c r="L76" s="6" t="s">
        <v>5</v>
      </c>
      <c r="M76" s="69" t="str">
        <f>IF(ISBLANK(T76),"",IF(VALUE(T76)=Configuratie!$B$2,Configuratie!$E$2,IF(T76=Configuratie!$B$3,Configuratie!$E$3,IF(T76=Configuratie!$B$4,Configuratie!$E$4,IF(T76=Configuratie!$B$5,Configuratie!$E$5,IF(T76=Configuratie!$B$6,Configuratie!$E$6,IF(T76=Configuratie!$B$7,Configuratie!$E$7,IF(T76=Configuratie!$B$8,Configuratie!$E$8,""))))))))</f>
        <v/>
      </c>
      <c r="N76" s="69"/>
      <c r="R76" s="6" t="str">
        <f>IF(ISBLANK(T76),"",IF(VALUE(T76)=Configuratie!$B$2,Configuratie!$C$2,IF(T76=Configuratie!$B$3,Configuratie!$C$3,IF(T76=Configuratie!$B$4,Configuratie!$C$4,IF(T76=Configuratie!$B$5,Configuratie!$C$5,IF(T76=Configuratie!$B$6,Configuratie!$C$6,IF(T76=Configuratie!$B$7,Configuratie!$C$7,IF(T76=Configuratie!$B$8,Configuratie!$C$8,""))))))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69" t="str">
        <f>VLOOKUP(AV77,$B$4:$F$13,2,FALSE)</f>
        <v>B</v>
      </c>
      <c r="F77" s="69"/>
      <c r="G77" s="69"/>
      <c r="H77" s="69"/>
      <c r="J77" s="69" t="str">
        <f>IF(ISBLANK(T77),"",IF(VALUE(T77)=Configuratie!$B$2,Configuratie!$D$2,IF(T77=Configuratie!$B$3,Configuratie!$D$3,IF(T77=Configuratie!$B$4,Configuratie!$D$4,IF(T77=Configuratie!$B$5,Configuratie!$D$5,IF(T77=Configuratie!$B$6,Configuratie!$D$6,IF(T77=Configuratie!$B$7,Configuratie!$D$7,IF(T77=Configuratie!$B$8,Configuratie!$D$8,""))))))))</f>
        <v/>
      </c>
      <c r="K77" s="69"/>
      <c r="L77" s="6" t="s">
        <v>5</v>
      </c>
      <c r="M77" s="69" t="str">
        <f>IF(ISBLANK(T77),"",IF(VALUE(T77)=Configuratie!$B$2,Configuratie!$E$2,IF(T77=Configuratie!$B$3,Configuratie!$E$3,IF(T77=Configuratie!$B$4,Configuratie!$E$4,IF(T77=Configuratie!$B$5,Configuratie!$E$5,IF(T77=Configuratie!$B$6,Configuratie!$E$6,IF(T77=Configuratie!$B$7,Configuratie!$E$7,IF(T77=Configuratie!$B$8,Configuratie!$E$8,""))))))))</f>
        <v/>
      </c>
      <c r="N77" s="69"/>
      <c r="R77" s="6" t="str">
        <f>IF(ISBLANK(T77),"",IF(VALUE(T77)=Configuratie!$B$2,Configuratie!$C$2,IF(T77=Configuratie!$B$3,Configuratie!$C$3,IF(T77=Configuratie!$B$4,Configuratie!$C$4,IF(T77=Configuratie!$B$5,Configuratie!$C$5,IF(T77=Configuratie!$B$6,Configuratie!$C$6,IF(T77=Configuratie!$B$7,Configuratie!$C$7,IF(T77=Configuratie!$B$8,Configuratie!$C$8,""))))))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69" t="str">
        <f>VLOOKUP(AV78,$B$4:$F$13,2,FALSE)</f>
        <v>A</v>
      </c>
      <c r="F78" s="69"/>
      <c r="G78" s="69"/>
      <c r="H78" s="69"/>
      <c r="J78" s="69" t="str">
        <f>IF(ISBLANK(T78),"",IF(VALUE(T78)=Configuratie!$B$2,Configuratie!$D$2,IF(T78=Configuratie!$B$3,Configuratie!$D$3,IF(T78=Configuratie!$B$4,Configuratie!$D$4,IF(T78=Configuratie!$B$5,Configuratie!$D$5,IF(T78=Configuratie!$B$6,Configuratie!$D$6,IF(T78=Configuratie!$B$7,Configuratie!$D$7,IF(T78=Configuratie!$B$8,Configuratie!$D$8,""))))))))</f>
        <v/>
      </c>
      <c r="K78" s="69"/>
      <c r="L78" s="6" t="s">
        <v>5</v>
      </c>
      <c r="M78" s="69" t="str">
        <f>IF(ISBLANK(T78),"",IF(VALUE(T78)=Configuratie!$B$2,Configuratie!$E$2,IF(T78=Configuratie!$B$3,Configuratie!$E$3,IF(T78=Configuratie!$B$4,Configuratie!$E$4,IF(T78=Configuratie!$B$5,Configuratie!$E$5,IF(T78=Configuratie!$B$6,Configuratie!$E$6,IF(T78=Configuratie!$B$7,Configuratie!$E$7,IF(T78=Configuratie!$B$8,Configuratie!$E$8,""))))))))</f>
        <v/>
      </c>
      <c r="N78" s="69"/>
      <c r="R78" s="6" t="str">
        <f>IF(ISBLANK(T78),"",IF(VALUE(T78)=Configuratie!$B$2,Configuratie!$C$2,IF(T78=Configuratie!$B$3,Configuratie!$C$3,IF(T78=Configuratie!$B$4,Configuratie!$C$4,IF(T78=Configuratie!$B$5,Configuratie!$C$5,IF(T78=Configuratie!$B$6,Configuratie!$C$6,IF(T78=Configuratie!$B$7,Configuratie!$C$7,IF(T78=Configuratie!$B$8,Configuratie!$C$8,""))))))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</mergeCells>
  <conditionalFormatting sqref="H4:Q13">
    <cfRule type="cellIs" dxfId="1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X55"/>
  <sheetViews>
    <sheetView view="pageBreakPreview" topLeftCell="D1" zoomScale="130" zoomScaleNormal="100" zoomScaleSheetLayoutView="13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hidden="1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6" width="9.140625" style="6" hidden="1" customWidth="1"/>
    <col min="77" max="77" width="9.140625" style="6" customWidth="1"/>
    <col min="78" max="16384" width="9.140625" style="6"/>
  </cols>
  <sheetData>
    <row r="1" spans="1:75" ht="26.25" x14ac:dyDescent="0.4"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15"/>
      <c r="T1" s="15"/>
      <c r="U1" s="15"/>
      <c r="V1" s="15"/>
      <c r="W1" s="70" t="str">
        <f>"UITSLAG " &amp; G1</f>
        <v>UITSLAG GROEP A</v>
      </c>
      <c r="X1" s="68"/>
      <c r="Y1" s="68"/>
      <c r="Z1" s="68"/>
      <c r="AA1" s="68"/>
      <c r="AB1" s="68"/>
      <c r="AC1" s="68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68" t="s">
        <v>22</v>
      </c>
      <c r="BE2" s="68"/>
      <c r="BF2" s="68"/>
      <c r="BG2" s="68"/>
      <c r="BH2" s="68"/>
      <c r="BI2" s="68"/>
      <c r="BJ2" s="68"/>
      <c r="BK2" s="68"/>
      <c r="BL2" s="68"/>
      <c r="BM2" s="17"/>
      <c r="BN2" s="18"/>
      <c r="BO2" s="68" t="s">
        <v>23</v>
      </c>
      <c r="BP2" s="68"/>
      <c r="BQ2" s="68"/>
      <c r="BR2" s="68"/>
      <c r="BS2" s="68"/>
      <c r="BT2" s="68"/>
      <c r="BU2" s="68"/>
      <c r="BV2" s="68"/>
      <c r="BW2" s="68"/>
    </row>
    <row r="3" spans="1:75" x14ac:dyDescent="0.25">
      <c r="B3" s="19" t="s">
        <v>4</v>
      </c>
      <c r="C3" s="19" t="s">
        <v>6</v>
      </c>
      <c r="D3" s="73" t="s">
        <v>7</v>
      </c>
      <c r="E3" s="73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76"/>
      <c r="E4" s="76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IF(ISNA(VLOOKUP(B4,$A$4:$T$11,3,FALSE)),C4,VLOOKUP(B4,$A$4:$T$11,3,FALSE))</f>
        <v>A</v>
      </c>
      <c r="AA4" s="63">
        <f>IF(ISNA(VLOOKUP($B4,$A$4:$T$11,18,FALSE)),0,VLOOKUP($B4,$A$4:$T$11,18,FALSE))</f>
        <v>0</v>
      </c>
      <c r="AB4" s="6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76"/>
      <c r="E5" s="76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>IF(ISNA(VLOOKUP(B5,$A$4:$T$11,3,FALSE)),C5,VLOOKUP(B5,$A$4:$T$11,3,FALSE))</f>
        <v>B</v>
      </c>
      <c r="AA5" s="63">
        <f t="shared" ref="AA5:AA11" si="14">IF(ISNA(VLOOKUP($B5,$A$4:$T$11,18,FALSE)),0,VLOOKUP($B5,$A$4:$T$11,18,FALSE))</f>
        <v>0</v>
      </c>
      <c r="AB5" s="34">
        <f t="shared" ref="AB5:AB11" si="15">VLOOKUP($Y5,$AX$4:$BA$11,2,FALSE)</f>
        <v>0</v>
      </c>
      <c r="AC5" s="12">
        <f t="shared" ref="AC5:AC11" si="16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8">$AG$13*R5+AG5</f>
        <v>0</v>
      </c>
      <c r="AI5" s="65">
        <f t="shared" si="5"/>
        <v>0</v>
      </c>
      <c r="AJ5" s="66">
        <f t="shared" ref="AJ5:AJ11" si="19">$AI$13*AH5+AI5</f>
        <v>0</v>
      </c>
      <c r="AK5" s="65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0</v>
      </c>
      <c r="AM5" s="56"/>
      <c r="AN5" s="56">
        <f t="shared" ref="AN5:AN11" si="22">RANK(AL5,$AL$4:$AL$11,1)-1</f>
        <v>0</v>
      </c>
      <c r="AO5" s="56">
        <f t="shared" ref="AO5:AO12" si="23">RANK(S5,$S$4:$S$11,1)-1</f>
        <v>0</v>
      </c>
      <c r="AP5" s="56">
        <f t="shared" ref="AP5:AP12" si="24">8*AN5+AO5</f>
        <v>0</v>
      </c>
      <c r="AQ5" s="56">
        <f t="shared" ref="AQ5:AQ11" si="25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6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76"/>
      <c r="E6" s="76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ref="Z6:Z12" si="28">IF(ISNA(VLOOKUP(B6,$A$4:$T$11,3,FALSE)),C6,VLOOKUP(B6,$A$4:$T$11,3,FALSE))</f>
        <v>C</v>
      </c>
      <c r="AA6" s="63">
        <f t="shared" si="14"/>
        <v>0</v>
      </c>
      <c r="AB6" s="34">
        <f t="shared" si="15"/>
        <v>0</v>
      </c>
      <c r="AC6" s="12">
        <f t="shared" si="16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7"/>
        <v>0</v>
      </c>
      <c r="AH6" s="66">
        <f t="shared" si="18"/>
        <v>0</v>
      </c>
      <c r="AI6" s="65">
        <f t="shared" si="5"/>
        <v>0</v>
      </c>
      <c r="AJ6" s="66">
        <f t="shared" si="19"/>
        <v>0</v>
      </c>
      <c r="AK6" s="65">
        <f t="shared" si="20"/>
        <v>0</v>
      </c>
      <c r="AL6" s="56">
        <f t="shared" si="21"/>
        <v>0</v>
      </c>
      <c r="AM6" s="56"/>
      <c r="AN6" s="56">
        <f t="shared" si="22"/>
        <v>0</v>
      </c>
      <c r="AO6" s="56">
        <f t="shared" si="23"/>
        <v>0</v>
      </c>
      <c r="AP6" s="56">
        <f t="shared" si="24"/>
        <v>0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6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76"/>
      <c r="E7" s="76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28"/>
        <v>D</v>
      </c>
      <c r="AA7" s="63">
        <f t="shared" si="14"/>
        <v>0</v>
      </c>
      <c r="AB7" s="34">
        <f t="shared" si="15"/>
        <v>0</v>
      </c>
      <c r="AC7" s="12">
        <f t="shared" si="16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7"/>
        <v>0</v>
      </c>
      <c r="AH7" s="66">
        <f t="shared" si="18"/>
        <v>0</v>
      </c>
      <c r="AI7" s="65">
        <f t="shared" si="5"/>
        <v>0</v>
      </c>
      <c r="AJ7" s="66">
        <f t="shared" si="19"/>
        <v>0</v>
      </c>
      <c r="AK7" s="65">
        <f t="shared" si="20"/>
        <v>0</v>
      </c>
      <c r="AL7" s="56">
        <f t="shared" si="21"/>
        <v>0</v>
      </c>
      <c r="AM7" s="56"/>
      <c r="AN7" s="56">
        <f t="shared" si="22"/>
        <v>0</v>
      </c>
      <c r="AO7" s="56">
        <f t="shared" si="23"/>
        <v>0</v>
      </c>
      <c r="AP7" s="56">
        <f t="shared" si="24"/>
        <v>0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6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76"/>
      <c r="E8" s="76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28"/>
        <v>E</v>
      </c>
      <c r="AA8" s="63">
        <f t="shared" si="14"/>
        <v>0</v>
      </c>
      <c r="AB8" s="34">
        <f t="shared" si="15"/>
        <v>0</v>
      </c>
      <c r="AC8" s="12">
        <f t="shared" si="16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7"/>
        <v>0</v>
      </c>
      <c r="AH8" s="66">
        <f t="shared" si="18"/>
        <v>0</v>
      </c>
      <c r="AI8" s="65">
        <f t="shared" si="5"/>
        <v>0</v>
      </c>
      <c r="AJ8" s="66">
        <f t="shared" si="19"/>
        <v>0</v>
      </c>
      <c r="AK8" s="65">
        <f t="shared" si="20"/>
        <v>0</v>
      </c>
      <c r="AL8" s="56">
        <f t="shared" si="21"/>
        <v>0</v>
      </c>
      <c r="AM8" s="56"/>
      <c r="AN8" s="56">
        <f t="shared" si="22"/>
        <v>0</v>
      </c>
      <c r="AO8" s="56">
        <f t="shared" si="23"/>
        <v>0</v>
      </c>
      <c r="AP8" s="56">
        <f t="shared" si="24"/>
        <v>0</v>
      </c>
      <c r="AQ8" s="56">
        <f t="shared" si="25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6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76"/>
      <c r="E9" s="76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28"/>
        <v>F</v>
      </c>
      <c r="AA9" s="63">
        <f t="shared" si="14"/>
        <v>0</v>
      </c>
      <c r="AB9" s="34">
        <f t="shared" si="15"/>
        <v>0</v>
      </c>
      <c r="AC9" s="12">
        <f t="shared" si="16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7"/>
        <v>0</v>
      </c>
      <c r="AH9" s="66">
        <f t="shared" si="18"/>
        <v>0</v>
      </c>
      <c r="AI9" s="65">
        <f t="shared" si="5"/>
        <v>0</v>
      </c>
      <c r="AJ9" s="66">
        <f t="shared" si="19"/>
        <v>0</v>
      </c>
      <c r="AK9" s="65">
        <f t="shared" si="20"/>
        <v>0</v>
      </c>
      <c r="AL9" s="56">
        <f t="shared" si="21"/>
        <v>0</v>
      </c>
      <c r="AM9" s="56"/>
      <c r="AN9" s="56">
        <f t="shared" si="22"/>
        <v>0</v>
      </c>
      <c r="AO9" s="56">
        <f t="shared" si="23"/>
        <v>0</v>
      </c>
      <c r="AP9" s="56">
        <f t="shared" si="24"/>
        <v>0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76"/>
      <c r="E10" s="76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28"/>
        <v>G</v>
      </c>
      <c r="AA10" s="63">
        <f t="shared" si="14"/>
        <v>0</v>
      </c>
      <c r="AB10" s="34">
        <f t="shared" si="15"/>
        <v>0</v>
      </c>
      <c r="AC10" s="12">
        <f t="shared" si="16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7"/>
        <v>0</v>
      </c>
      <c r="AH10" s="66">
        <f t="shared" si="18"/>
        <v>0</v>
      </c>
      <c r="AI10" s="65">
        <f t="shared" si="5"/>
        <v>0</v>
      </c>
      <c r="AJ10" s="66">
        <f t="shared" si="19"/>
        <v>0</v>
      </c>
      <c r="AK10" s="65">
        <f t="shared" si="20"/>
        <v>0</v>
      </c>
      <c r="AL10" s="56">
        <f t="shared" si="21"/>
        <v>0</v>
      </c>
      <c r="AM10" s="56"/>
      <c r="AN10" s="56">
        <f t="shared" si="22"/>
        <v>0</v>
      </c>
      <c r="AO10" s="56">
        <f t="shared" si="23"/>
        <v>0</v>
      </c>
      <c r="AP10" s="56">
        <f t="shared" si="24"/>
        <v>0</v>
      </c>
      <c r="AQ10" s="56">
        <f t="shared" si="25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6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76"/>
      <c r="E11" s="76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28"/>
        <v>H</v>
      </c>
      <c r="AA11" s="63">
        <f t="shared" si="14"/>
        <v>0</v>
      </c>
      <c r="AB11" s="34">
        <f t="shared" si="15"/>
        <v>0</v>
      </c>
      <c r="AC11" s="12">
        <f t="shared" si="16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7"/>
        <v>0</v>
      </c>
      <c r="AH11" s="66">
        <f t="shared" si="18"/>
        <v>0</v>
      </c>
      <c r="AI11" s="65">
        <f t="shared" si="5"/>
        <v>0</v>
      </c>
      <c r="AJ11" s="66">
        <f t="shared" si="19"/>
        <v>0</v>
      </c>
      <c r="AK11" s="65">
        <f t="shared" si="20"/>
        <v>0</v>
      </c>
      <c r="AL11" s="56">
        <f t="shared" si="21"/>
        <v>0</v>
      </c>
      <c r="AM11" s="56"/>
      <c r="AN11" s="56">
        <f t="shared" si="22"/>
        <v>0</v>
      </c>
      <c r="AO11" s="56">
        <f t="shared" si="23"/>
        <v>0</v>
      </c>
      <c r="AP11" s="56">
        <f t="shared" si="24"/>
        <v>0</v>
      </c>
      <c r="AQ11" s="56">
        <f t="shared" si="25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si="28"/>
        <v>0</v>
      </c>
      <c r="AA12" s="64" t="e">
        <f t="shared" ref="AA12" si="29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3"/>
        <v>0</v>
      </c>
      <c r="AP12" s="56">
        <f t="shared" si="24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69" t="str">
        <f>VLOOKUP(AZ16,$B$4:$F$11,2,FALSE)</f>
        <v>A</v>
      </c>
      <c r="F16" s="69"/>
      <c r="G16" s="69"/>
      <c r="H16" s="69"/>
      <c r="J16" s="69" t="str">
        <f>IF(ISBLANK(T16),"",IF(VALUE(T16)=Configuratie!$B$2,Configuratie!$D$2,IF(T16=Configuratie!$B$3,Configuratie!$D$3,IF(T16=Configuratie!$B$4,Configuratie!$D$4,IF(T16=Configuratie!$B$5,Configuratie!$D$5,IF(T16=Configuratie!$B$6,Configuratie!$D$6,IF(T16=Configuratie!$B$7,Configuratie!$D$7,IF(T16=Configuratie!$B$8,Configuratie!$D$8,""))))))))</f>
        <v/>
      </c>
      <c r="K16" s="69"/>
      <c r="L16" s="6" t="s">
        <v>5</v>
      </c>
      <c r="M16" s="69" t="str">
        <f>IF(ISBLANK(T16),"",IF(VALUE(T16)=Configuratie!$B$2,Configuratie!$E$2,IF(T16=Configuratie!$B$3,Configuratie!$E$3,IF(T16=Configuratie!$B$4,Configuratie!$E$4,IF(T16=Configuratie!$B$5,Configuratie!$E$5,IF(T16=Configuratie!$B$6,Configuratie!$E$6,IF(T16=Configuratie!$B$7,Configuratie!$E$7,IF(T16=Configuratie!$B$8,Configuratie!$E$8,""))))))))</f>
        <v/>
      </c>
      <c r="N16" s="69"/>
      <c r="R16" s="6" t="str">
        <f>IF(ISBLANK(T16),"",IF(VALUE(T16)=Configuratie!$B$2,Configuratie!$C$2,IF(T16=Configuratie!$B$3,Configuratie!$C$3,IF(T16=Configuratie!$B$4,Configuratie!$C$4,IF(T16=Configuratie!$B$5,Configuratie!$C$5,IF(T16=Configuratie!$B$6,Configuratie!$C$6,IF(T16=Configuratie!$B$7,Configuratie!$C$7,IF(T16=Configuratie!$B$8,Configuratie!$C$8,""))))))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0">VLOOKUP(AY17,$B$4:$F$11,2,FALSE)</f>
        <v>G</v>
      </c>
      <c r="D17" s="46" t="s">
        <v>5</v>
      </c>
      <c r="E17" s="69" t="str">
        <f t="shared" ref="E17:E19" si="31">VLOOKUP(AZ17,$B$4:$F$11,2,FALSE)</f>
        <v>B</v>
      </c>
      <c r="F17" s="69"/>
      <c r="G17" s="69"/>
      <c r="H17" s="69"/>
      <c r="J17" s="69" t="str">
        <f>IF(ISBLANK(T17),"",IF(VALUE(T17)=Configuratie!$B$2,Configuratie!$D$2,IF(T17=Configuratie!$B$3,Configuratie!$D$3,IF(T17=Configuratie!$B$4,Configuratie!$D$4,IF(T17=Configuratie!$B$5,Configuratie!$D$5,IF(T17=Configuratie!$B$6,Configuratie!$D$6,IF(T17=Configuratie!$B$7,Configuratie!$D$7,IF(T17=Configuratie!$B$8,Configuratie!$D$8,""))))))))</f>
        <v/>
      </c>
      <c r="K17" s="69"/>
      <c r="L17" s="6" t="s">
        <v>5</v>
      </c>
      <c r="M17" s="69" t="str">
        <f>IF(ISBLANK(T17),"",IF(VALUE(T17)=Configuratie!$B$2,Configuratie!$E$2,IF(T17=Configuratie!$B$3,Configuratie!$E$3,IF(T17=Configuratie!$B$4,Configuratie!$E$4,IF(T17=Configuratie!$B$5,Configuratie!$E$5,IF(T17=Configuratie!$B$6,Configuratie!$E$6,IF(T17=Configuratie!$B$7,Configuratie!$E$7,IF(T17=Configuratie!$B$8,Configuratie!$E$8,""))))))))</f>
        <v/>
      </c>
      <c r="N17" s="69"/>
      <c r="R17" s="6" t="str">
        <f>IF(ISBLANK(T17),"",IF(VALUE(T17)=Configuratie!$B$2,Configuratie!$C$2,IF(T17=Configuratie!$B$3,Configuratie!$C$3,IF(T17=Configuratie!$B$4,Configuratie!$C$4,IF(T17=Configuratie!$B$5,Configuratie!$C$5,IF(T17=Configuratie!$B$6,Configuratie!$C$6,IF(T17=Configuratie!$B$7,Configuratie!$C$7,IF(T17=Configuratie!$B$8,Configuratie!$C$8,""))))))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0"/>
        <v>F</v>
      </c>
      <c r="D18" s="46" t="s">
        <v>5</v>
      </c>
      <c r="E18" s="69" t="str">
        <f t="shared" si="31"/>
        <v>C</v>
      </c>
      <c r="F18" s="69"/>
      <c r="G18" s="69"/>
      <c r="H18" s="69"/>
      <c r="J18" s="69" t="str">
        <f>IF(ISBLANK(T18),"",IF(VALUE(T18)=Configuratie!$B$2,Configuratie!$D$2,IF(T18=Configuratie!$B$3,Configuratie!$D$3,IF(T18=Configuratie!$B$4,Configuratie!$D$4,IF(T18=Configuratie!$B$5,Configuratie!$D$5,IF(T18=Configuratie!$B$6,Configuratie!$D$6,IF(T18=Configuratie!$B$7,Configuratie!$D$7,IF(T18=Configuratie!$B$8,Configuratie!$D$8,""))))))))</f>
        <v/>
      </c>
      <c r="K18" s="69"/>
      <c r="L18" s="6" t="s">
        <v>5</v>
      </c>
      <c r="M18" s="69" t="str">
        <f>IF(ISBLANK(T18),"",IF(VALUE(T18)=Configuratie!$B$2,Configuratie!$E$2,IF(T18=Configuratie!$B$3,Configuratie!$E$3,IF(T18=Configuratie!$B$4,Configuratie!$E$4,IF(T18=Configuratie!$B$5,Configuratie!$E$5,IF(T18=Configuratie!$B$6,Configuratie!$E$6,IF(T18=Configuratie!$B$7,Configuratie!$E$7,IF(T18=Configuratie!$B$8,Configuratie!$E$8,""))))))))</f>
        <v/>
      </c>
      <c r="N18" s="69"/>
      <c r="R18" s="6" t="str">
        <f>IF(ISBLANK(T18),"",IF(VALUE(T18)=Configuratie!$B$2,Configuratie!$C$2,IF(T18=Configuratie!$B$3,Configuratie!$C$3,IF(T18=Configuratie!$B$4,Configuratie!$C$4,IF(T18=Configuratie!$B$5,Configuratie!$C$5,IF(T18=Configuratie!$B$6,Configuratie!$C$6,IF(T18=Configuratie!$B$7,Configuratie!$C$7,IF(T18=Configuratie!$B$8,Configuratie!$C$8,""))))))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0"/>
        <v>E</v>
      </c>
      <c r="D19" s="46" t="s">
        <v>5</v>
      </c>
      <c r="E19" s="69" t="str">
        <f t="shared" si="31"/>
        <v>D</v>
      </c>
      <c r="F19" s="69"/>
      <c r="G19" s="69"/>
      <c r="H19" s="69"/>
      <c r="J19" s="69" t="str">
        <f>IF(ISBLANK(T19),"",IF(VALUE(T19)=Configuratie!$B$2,Configuratie!$D$2,IF(T19=Configuratie!$B$3,Configuratie!$D$3,IF(T19=Configuratie!$B$4,Configuratie!$D$4,IF(T19=Configuratie!$B$5,Configuratie!$D$5,IF(T19=Configuratie!$B$6,Configuratie!$D$6,IF(T19=Configuratie!$B$7,Configuratie!$D$7,IF(T19=Configuratie!$B$8,Configuratie!$D$8,""))))))))</f>
        <v/>
      </c>
      <c r="K19" s="69"/>
      <c r="L19" s="6" t="s">
        <v>5</v>
      </c>
      <c r="M19" s="69" t="str">
        <f>IF(ISBLANK(T19),"",IF(VALUE(T19)=Configuratie!$B$2,Configuratie!$E$2,IF(T19=Configuratie!$B$3,Configuratie!$E$3,IF(T19=Configuratie!$B$4,Configuratie!$E$4,IF(T19=Configuratie!$B$5,Configuratie!$E$5,IF(T19=Configuratie!$B$6,Configuratie!$E$6,IF(T19=Configuratie!$B$7,Configuratie!$E$7,IF(T19=Configuratie!$B$8,Configuratie!$E$8,""))))))))</f>
        <v/>
      </c>
      <c r="N19" s="69"/>
      <c r="R19" s="6" t="str">
        <f>IF(ISBLANK(T19),"",IF(VALUE(T19)=Configuratie!$B$2,Configuratie!$C$2,IF(T19=Configuratie!$B$3,Configuratie!$C$3,IF(T19=Configuratie!$B$4,Configuratie!$C$4,IF(T19=Configuratie!$B$5,Configuratie!$C$5,IF(T19=Configuratie!$B$6,Configuratie!$C$6,IF(T19=Configuratie!$B$7,Configuratie!$C$7,IF(T19=Configuratie!$B$8,Configuratie!$C$8,""))))))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69" t="str">
        <f>VLOOKUP(AZ22,$B$4:$F$11,2,FALSE)</f>
        <v>D</v>
      </c>
      <c r="F22" s="69"/>
      <c r="G22" s="69"/>
      <c r="H22" s="69"/>
      <c r="J22" s="69" t="str">
        <f>IF(ISBLANK(T22),"",IF(VALUE(T22)=Configuratie!$B$2,Configuratie!$D$2,IF(T22=Configuratie!$B$3,Configuratie!$D$3,IF(T22=Configuratie!$B$4,Configuratie!$D$4,IF(T22=Configuratie!$B$5,Configuratie!$D$5,IF(T22=Configuratie!$B$6,Configuratie!$D$6,IF(T22=Configuratie!$B$7,Configuratie!$D$7,IF(T22=Configuratie!$B$8,Configuratie!$D$8,""))))))))</f>
        <v/>
      </c>
      <c r="K22" s="69"/>
      <c r="L22" s="6" t="s">
        <v>5</v>
      </c>
      <c r="M22" s="69" t="str">
        <f>IF(ISBLANK(T22),"",IF(VALUE(T22)=Configuratie!$B$2,Configuratie!$E$2,IF(T22=Configuratie!$B$3,Configuratie!$E$3,IF(T22=Configuratie!$B$4,Configuratie!$E$4,IF(T22=Configuratie!$B$5,Configuratie!$E$5,IF(T22=Configuratie!$B$6,Configuratie!$E$6,IF(T22=Configuratie!$B$7,Configuratie!$E$7,IF(T22=Configuratie!$B$8,Configuratie!$E$8,""))))))))</f>
        <v/>
      </c>
      <c r="N22" s="69"/>
      <c r="R22" s="6" t="str">
        <f>IF(ISBLANK(T22),"",IF(VALUE(T22)=Configuratie!$B$2,Configuratie!$C$2,IF(T22=Configuratie!$B$3,Configuratie!$C$3,IF(T22=Configuratie!$B$4,Configuratie!$C$4,IF(T22=Configuratie!$B$5,Configuratie!$C$5,IF(T22=Configuratie!$B$6,Configuratie!$C$6,IF(T22=Configuratie!$B$7,Configuratie!$C$7,IF(T22=Configuratie!$B$8,Configuratie!$C$8,""))))))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0</v>
      </c>
      <c r="BF22" s="6">
        <f t="shared" si="32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69" t="str">
        <f t="shared" ref="E23:E25" si="33">VLOOKUP(AZ23,$B$4:$F$11,2,FALSE)</f>
        <v>E</v>
      </c>
      <c r="F23" s="69"/>
      <c r="G23" s="69"/>
      <c r="H23" s="69"/>
      <c r="J23" s="69" t="str">
        <f>IF(ISBLANK(T23),"",IF(VALUE(T23)=Configuratie!$B$2,Configuratie!$D$2,IF(T23=Configuratie!$B$3,Configuratie!$D$3,IF(T23=Configuratie!$B$4,Configuratie!$D$4,IF(T23=Configuratie!$B$5,Configuratie!$D$5,IF(T23=Configuratie!$B$6,Configuratie!$D$6,IF(T23=Configuratie!$B$7,Configuratie!$D$7,IF(T23=Configuratie!$B$8,Configuratie!$D$8,""))))))))</f>
        <v/>
      </c>
      <c r="K23" s="69"/>
      <c r="L23" s="6" t="s">
        <v>5</v>
      </c>
      <c r="M23" s="69" t="str">
        <f>IF(ISBLANK(T23),"",IF(VALUE(T23)=Configuratie!$B$2,Configuratie!$E$2,IF(T23=Configuratie!$B$3,Configuratie!$E$3,IF(T23=Configuratie!$B$4,Configuratie!$E$4,IF(T23=Configuratie!$B$5,Configuratie!$E$5,IF(T23=Configuratie!$B$6,Configuratie!$E$6,IF(T23=Configuratie!$B$7,Configuratie!$E$7,IF(T23=Configuratie!$B$8,Configuratie!$E$8,""))))))))</f>
        <v/>
      </c>
      <c r="N23" s="69"/>
      <c r="R23" s="6" t="str">
        <f>IF(ISBLANK(T23),"",IF(VALUE(T23)=Configuratie!$B$2,Configuratie!$C$2,IF(T23=Configuratie!$B$3,Configuratie!$C$3,IF(T23=Configuratie!$B$4,Configuratie!$C$4,IF(T23=Configuratie!$B$5,Configuratie!$C$5,IF(T23=Configuratie!$B$6,Configuratie!$C$6,IF(T23=Configuratie!$B$7,Configuratie!$C$7,IF(T23=Configuratie!$B$8,Configuratie!$C$8,""))))))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4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2"/>
        <v>0</v>
      </c>
      <c r="BF23" s="6">
        <f t="shared" si="32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69" t="str">
        <f t="shared" si="33"/>
        <v>F</v>
      </c>
      <c r="F24" s="69"/>
      <c r="G24" s="69"/>
      <c r="H24" s="69"/>
      <c r="J24" s="69" t="str">
        <f>IF(ISBLANK(T24),"",IF(VALUE(T24)=Configuratie!$B$2,Configuratie!$D$2,IF(T24=Configuratie!$B$3,Configuratie!$D$3,IF(T24=Configuratie!$B$4,Configuratie!$D$4,IF(T24=Configuratie!$B$5,Configuratie!$D$5,IF(T24=Configuratie!$B$6,Configuratie!$D$6,IF(T24=Configuratie!$B$7,Configuratie!$D$7,IF(T24=Configuratie!$B$8,Configuratie!$D$8,""))))))))</f>
        <v/>
      </c>
      <c r="K24" s="69"/>
      <c r="L24" s="6" t="s">
        <v>5</v>
      </c>
      <c r="M24" s="69" t="str">
        <f>IF(ISBLANK(T24),"",IF(VALUE(T24)=Configuratie!$B$2,Configuratie!$E$2,IF(T24=Configuratie!$B$3,Configuratie!$E$3,IF(T24=Configuratie!$B$4,Configuratie!$E$4,IF(T24=Configuratie!$B$5,Configuratie!$E$5,IF(T24=Configuratie!$B$6,Configuratie!$E$6,IF(T24=Configuratie!$B$7,Configuratie!$E$7,IF(T24=Configuratie!$B$8,Configuratie!$E$8,""))))))))</f>
        <v/>
      </c>
      <c r="N24" s="69"/>
      <c r="R24" s="6" t="str">
        <f>IF(ISBLANK(T24),"",IF(VALUE(T24)=Configuratie!$B$2,Configuratie!$C$2,IF(T24=Configuratie!$B$3,Configuratie!$C$3,IF(T24=Configuratie!$B$4,Configuratie!$C$4,IF(T24=Configuratie!$B$5,Configuratie!$C$5,IF(T24=Configuratie!$B$6,Configuratie!$C$6,IF(T24=Configuratie!$B$7,Configuratie!$C$7,IF(T24=Configuratie!$B$8,Configuratie!$C$8,""))))))))</f>
        <v/>
      </c>
      <c r="T24" s="5"/>
      <c r="AX24" s="6">
        <v>2</v>
      </c>
      <c r="AY24" s="6">
        <v>2</v>
      </c>
      <c r="AZ24" s="6">
        <v>6</v>
      </c>
      <c r="BA24" s="6" t="str">
        <f t="shared" si="34"/>
        <v/>
      </c>
      <c r="BC24" s="48">
        <f>AY24*100+AZ24</f>
        <v>206</v>
      </c>
      <c r="BD24" s="48">
        <f>AZ24*100+AY24</f>
        <v>602</v>
      </c>
      <c r="BE24" s="6">
        <f t="shared" si="32"/>
        <v>0</v>
      </c>
      <c r="BF24" s="6">
        <f t="shared" si="32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69" t="str">
        <f t="shared" si="33"/>
        <v>G</v>
      </c>
      <c r="F25" s="69"/>
      <c r="G25" s="69"/>
      <c r="H25" s="69"/>
      <c r="J25" s="69" t="str">
        <f>IF(ISBLANK(T25),"",IF(VALUE(T25)=Configuratie!$B$2,Configuratie!$D$2,IF(T25=Configuratie!$B$3,Configuratie!$D$3,IF(T25=Configuratie!$B$4,Configuratie!$D$4,IF(T25=Configuratie!$B$5,Configuratie!$D$5,IF(T25=Configuratie!$B$6,Configuratie!$D$6,IF(T25=Configuratie!$B$7,Configuratie!$D$7,IF(T25=Configuratie!$B$8,Configuratie!$D$8,""))))))))</f>
        <v/>
      </c>
      <c r="K25" s="69"/>
      <c r="L25" s="6" t="s">
        <v>5</v>
      </c>
      <c r="M25" s="69" t="str">
        <f>IF(ISBLANK(T25),"",IF(VALUE(T25)=Configuratie!$B$2,Configuratie!$E$2,IF(T25=Configuratie!$B$3,Configuratie!$E$3,IF(T25=Configuratie!$B$4,Configuratie!$E$4,IF(T25=Configuratie!$B$5,Configuratie!$E$5,IF(T25=Configuratie!$B$6,Configuratie!$E$6,IF(T25=Configuratie!$B$7,Configuratie!$E$7,IF(T25=Configuratie!$B$8,Configuratie!$E$8,""))))))))</f>
        <v/>
      </c>
      <c r="N25" s="69"/>
      <c r="R25" s="6" t="str">
        <f>IF(ISBLANK(T25),"",IF(VALUE(T25)=Configuratie!$B$2,Configuratie!$C$2,IF(T25=Configuratie!$B$3,Configuratie!$C$3,IF(T25=Configuratie!$B$4,Configuratie!$C$4,IF(T25=Configuratie!$B$5,Configuratie!$C$5,IF(T25=Configuratie!$B$6,Configuratie!$C$6,IF(T25=Configuratie!$B$7,Configuratie!$C$7,IF(T25=Configuratie!$B$8,Configuratie!$C$8,""))))))))</f>
        <v/>
      </c>
      <c r="T25" s="5"/>
      <c r="AX25" s="6">
        <v>2</v>
      </c>
      <c r="AY25" s="6">
        <v>1</v>
      </c>
      <c r="AZ25" s="6">
        <v>7</v>
      </c>
      <c r="BA25" s="6" t="str">
        <f t="shared" si="34"/>
        <v/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69" t="str">
        <f>VLOOKUP(AZ28,$B$4:$F$11,2,FALSE)</f>
        <v>H</v>
      </c>
      <c r="F28" s="69"/>
      <c r="G28" s="69"/>
      <c r="H28" s="69"/>
      <c r="J28" s="69" t="str">
        <f>IF(ISBLANK(T28),"",IF(VALUE(T28)=Configuratie!$B$2,Configuratie!$D$2,IF(T28=Configuratie!$B$3,Configuratie!$D$3,IF(T28=Configuratie!$B$4,Configuratie!$D$4,IF(T28=Configuratie!$B$5,Configuratie!$D$5,IF(T28=Configuratie!$B$6,Configuratie!$D$6,IF(T28=Configuratie!$B$7,Configuratie!$D$7,IF(T28=Configuratie!$B$8,Configuratie!$D$8,""))))))))</f>
        <v/>
      </c>
      <c r="K28" s="69"/>
      <c r="L28" s="6" t="s">
        <v>5</v>
      </c>
      <c r="M28" s="69" t="str">
        <f>IF(ISBLANK(T28),"",IF(VALUE(T28)=Configuratie!$B$2,Configuratie!$E$2,IF(T28=Configuratie!$B$3,Configuratie!$E$3,IF(T28=Configuratie!$B$4,Configuratie!$E$4,IF(T28=Configuratie!$B$5,Configuratie!$E$5,IF(T28=Configuratie!$B$6,Configuratie!$E$6,IF(T28=Configuratie!$B$7,Configuratie!$E$7,IF(T28=Configuratie!$B$8,Configuratie!$E$8,""))))))))</f>
        <v/>
      </c>
      <c r="N28" s="69"/>
      <c r="R28" s="6" t="str">
        <f>IF(ISBLANK(T28),"",IF(VALUE(T28)=Configuratie!$B$2,Configuratie!$C$2,IF(T28=Configuratie!$B$3,Configuratie!$C$3,IF(T28=Configuratie!$B$4,Configuratie!$C$4,IF(T28=Configuratie!$B$5,Configuratie!$C$5,IF(T28=Configuratie!$B$6,Configuratie!$C$6,IF(T28=Configuratie!$B$7,Configuratie!$C$7,IF(T28=Configuratie!$B$8,Configuratie!$C$8,""))))))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69" t="str">
        <f>VLOOKUP(AZ29,$B$4:$F$11,2,FALSE)</f>
        <v>A</v>
      </c>
      <c r="F29" s="69"/>
      <c r="G29" s="69"/>
      <c r="H29" s="69"/>
      <c r="J29" s="69" t="str">
        <f>IF(ISBLANK(T29),"",IF(VALUE(T29)=Configuratie!$B$2,Configuratie!$D$2,IF(T29=Configuratie!$B$3,Configuratie!$D$3,IF(T29=Configuratie!$B$4,Configuratie!$D$4,IF(T29=Configuratie!$B$5,Configuratie!$D$5,IF(T29=Configuratie!$B$6,Configuratie!$D$6,IF(T29=Configuratie!$B$7,Configuratie!$D$7,IF(T29=Configuratie!$B$8,Configuratie!$D$8,""))))))))</f>
        <v/>
      </c>
      <c r="K29" s="69"/>
      <c r="L29" s="6" t="s">
        <v>5</v>
      </c>
      <c r="M29" s="69" t="str">
        <f>IF(ISBLANK(T29),"",IF(VALUE(T29)=Configuratie!$B$2,Configuratie!$E$2,IF(T29=Configuratie!$B$3,Configuratie!$E$3,IF(T29=Configuratie!$B$4,Configuratie!$E$4,IF(T29=Configuratie!$B$5,Configuratie!$E$5,IF(T29=Configuratie!$B$6,Configuratie!$E$6,IF(T29=Configuratie!$B$7,Configuratie!$E$7,IF(T29=Configuratie!$B$8,Configuratie!$E$8,""))))))))</f>
        <v/>
      </c>
      <c r="N29" s="69"/>
      <c r="R29" s="6" t="str">
        <f>IF(ISBLANK(T29),"",IF(VALUE(T29)=Configuratie!$B$2,Configuratie!$C$2,IF(T29=Configuratie!$B$3,Configuratie!$C$3,IF(T29=Configuratie!$B$4,Configuratie!$C$4,IF(T29=Configuratie!$B$5,Configuratie!$C$5,IF(T29=Configuratie!$B$6,Configuratie!$C$6,IF(T29=Configuratie!$B$7,Configuratie!$C$7,IF(T29=Configuratie!$B$8,Configuratie!$C$8,""))))))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6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5"/>
        <v>0</v>
      </c>
      <c r="BF29" s="6">
        <f t="shared" si="35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69" t="str">
        <f>VLOOKUP(AZ30,$B$4:$F$11,2,FALSE)</f>
        <v>B</v>
      </c>
      <c r="F30" s="69"/>
      <c r="G30" s="69"/>
      <c r="H30" s="69"/>
      <c r="J30" s="69" t="str">
        <f>IF(ISBLANK(T30),"",IF(VALUE(T30)=Configuratie!$B$2,Configuratie!$D$2,IF(T30=Configuratie!$B$3,Configuratie!$D$3,IF(T30=Configuratie!$B$4,Configuratie!$D$4,IF(T30=Configuratie!$B$5,Configuratie!$D$5,IF(T30=Configuratie!$B$6,Configuratie!$D$6,IF(T30=Configuratie!$B$7,Configuratie!$D$7,IF(T30=Configuratie!$B$8,Configuratie!$D$8,""))))))))</f>
        <v/>
      </c>
      <c r="K30" s="69"/>
      <c r="L30" s="6" t="s">
        <v>5</v>
      </c>
      <c r="M30" s="69" t="str">
        <f>IF(ISBLANK(T30),"",IF(VALUE(T30)=Configuratie!$B$2,Configuratie!$E$2,IF(T30=Configuratie!$B$3,Configuratie!$E$3,IF(T30=Configuratie!$B$4,Configuratie!$E$4,IF(T30=Configuratie!$B$5,Configuratie!$E$5,IF(T30=Configuratie!$B$6,Configuratie!$E$6,IF(T30=Configuratie!$B$7,Configuratie!$E$7,IF(T30=Configuratie!$B$8,Configuratie!$E$8,""))))))))</f>
        <v/>
      </c>
      <c r="N30" s="69"/>
      <c r="R30" s="6" t="str">
        <f>IF(ISBLANK(T30),"",IF(VALUE(T30)=Configuratie!$B$2,Configuratie!$C$2,IF(T30=Configuratie!$B$3,Configuratie!$C$3,IF(T30=Configuratie!$B$4,Configuratie!$C$4,IF(T30=Configuratie!$B$5,Configuratie!$C$5,IF(T30=Configuratie!$B$6,Configuratie!$C$6,IF(T30=Configuratie!$B$7,Configuratie!$C$7,IF(T30=Configuratie!$B$8,Configuratie!$C$8,""))))))))</f>
        <v/>
      </c>
      <c r="T30" s="5"/>
      <c r="AX30" s="6">
        <v>3</v>
      </c>
      <c r="AY30" s="6">
        <v>5</v>
      </c>
      <c r="AZ30" s="6">
        <v>2</v>
      </c>
      <c r="BA30" s="6" t="str">
        <f t="shared" si="36"/>
        <v/>
      </c>
      <c r="BC30" s="48">
        <f>AY30*100+AZ30</f>
        <v>502</v>
      </c>
      <c r="BD30" s="48">
        <f>AZ30*100+AY30</f>
        <v>205</v>
      </c>
      <c r="BE30" s="6">
        <f t="shared" si="35"/>
        <v>0</v>
      </c>
      <c r="BF30" s="6">
        <f t="shared" si="35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69" t="str">
        <f>VLOOKUP(AZ31,$B$4:$F$11,2,FALSE)</f>
        <v>C</v>
      </c>
      <c r="F31" s="69"/>
      <c r="G31" s="69"/>
      <c r="H31" s="69"/>
      <c r="J31" s="69" t="str">
        <f>IF(ISBLANK(T31),"",IF(VALUE(T31)=Configuratie!$B$2,Configuratie!$D$2,IF(T31=Configuratie!$B$3,Configuratie!$D$3,IF(T31=Configuratie!$B$4,Configuratie!$D$4,IF(T31=Configuratie!$B$5,Configuratie!$D$5,IF(T31=Configuratie!$B$6,Configuratie!$D$6,IF(T31=Configuratie!$B$7,Configuratie!$D$7,IF(T31=Configuratie!$B$8,Configuratie!$D$8,""))))))))</f>
        <v/>
      </c>
      <c r="K31" s="69"/>
      <c r="L31" s="6" t="s">
        <v>5</v>
      </c>
      <c r="M31" s="69" t="str">
        <f>IF(ISBLANK(T31),"",IF(VALUE(T31)=Configuratie!$B$2,Configuratie!$E$2,IF(T31=Configuratie!$B$3,Configuratie!$E$3,IF(T31=Configuratie!$B$4,Configuratie!$E$4,IF(T31=Configuratie!$B$5,Configuratie!$E$5,IF(T31=Configuratie!$B$6,Configuratie!$E$6,IF(T31=Configuratie!$B$7,Configuratie!$E$7,IF(T31=Configuratie!$B$8,Configuratie!$E$8,""))))))))</f>
        <v/>
      </c>
      <c r="N31" s="69"/>
      <c r="R31" s="6" t="str">
        <f>IF(ISBLANK(T31),"",IF(VALUE(T31)=Configuratie!$B$2,Configuratie!$C$2,IF(T31=Configuratie!$B$3,Configuratie!$C$3,IF(T31=Configuratie!$B$4,Configuratie!$C$4,IF(T31=Configuratie!$B$5,Configuratie!$C$5,IF(T31=Configuratie!$B$6,Configuratie!$C$6,IF(T31=Configuratie!$B$7,Configuratie!$C$7,IF(T31=Configuratie!$B$8,Configuratie!$C$8,""))))))))</f>
        <v/>
      </c>
      <c r="T31" s="5"/>
      <c r="AX31" s="6">
        <v>3</v>
      </c>
      <c r="AY31" s="6">
        <v>4</v>
      </c>
      <c r="AZ31" s="6">
        <v>3</v>
      </c>
      <c r="BA31" s="6" t="str">
        <f t="shared" si="36"/>
        <v/>
      </c>
      <c r="BC31" s="48">
        <f>AY31*100+AZ31</f>
        <v>403</v>
      </c>
      <c r="BD31" s="48">
        <f>AZ31*100+AY31</f>
        <v>304</v>
      </c>
      <c r="BE31" s="6">
        <f t="shared" si="35"/>
        <v>0</v>
      </c>
      <c r="BF31" s="6">
        <f t="shared" si="35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69" t="str">
        <f>VLOOKUP(AZ34,$B$4:$F$11,2,FALSE)</f>
        <v>C</v>
      </c>
      <c r="F34" s="69"/>
      <c r="G34" s="69"/>
      <c r="H34" s="69"/>
      <c r="J34" s="69" t="str">
        <f>IF(ISBLANK(T34),"",IF(VALUE(T34)=Configuratie!$B$2,Configuratie!$D$2,IF(T34=Configuratie!$B$3,Configuratie!$D$3,IF(T34=Configuratie!$B$4,Configuratie!$D$4,IF(T34=Configuratie!$B$5,Configuratie!$D$5,IF(T34=Configuratie!$B$6,Configuratie!$D$6,IF(T34=Configuratie!$B$7,Configuratie!$D$7,IF(T34=Configuratie!$B$8,Configuratie!$D$8,""))))))))</f>
        <v/>
      </c>
      <c r="K34" s="69"/>
      <c r="L34" s="6" t="s">
        <v>5</v>
      </c>
      <c r="M34" s="69" t="str">
        <f>IF(ISBLANK(T34),"",IF(VALUE(T34)=Configuratie!$B$2,Configuratie!$E$2,IF(T34=Configuratie!$B$3,Configuratie!$E$3,IF(T34=Configuratie!$B$4,Configuratie!$E$4,IF(T34=Configuratie!$B$5,Configuratie!$E$5,IF(T34=Configuratie!$B$6,Configuratie!$E$6,IF(T34=Configuratie!$B$7,Configuratie!$E$7,IF(T34=Configuratie!$B$8,Configuratie!$E$8,""))))))))</f>
        <v/>
      </c>
      <c r="N34" s="69"/>
      <c r="R34" s="6" t="str">
        <f>IF(ISBLANK(T34),"",IF(VALUE(T34)=Configuratie!$B$2,Configuratie!$C$2,IF(T34=Configuratie!$B$3,Configuratie!$C$3,IF(T34=Configuratie!$B$4,Configuratie!$C$4,IF(T34=Configuratie!$B$5,Configuratie!$C$5,IF(T34=Configuratie!$B$6,Configuratie!$C$6,IF(T34=Configuratie!$B$7,Configuratie!$C$7,IF(T34=Configuratie!$B$8,Configuratie!$C$8,""))))))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0</v>
      </c>
      <c r="BF34" s="6">
        <f t="shared" si="37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69" t="str">
        <f>VLOOKUP(AZ35,$B$4:$F$11,2,FALSE)</f>
        <v>D</v>
      </c>
      <c r="F35" s="69"/>
      <c r="G35" s="69"/>
      <c r="H35" s="69"/>
      <c r="J35" s="69" t="str">
        <f>IF(ISBLANK(T35),"",IF(VALUE(T35)=Configuratie!$B$2,Configuratie!$D$2,IF(T35=Configuratie!$B$3,Configuratie!$D$3,IF(T35=Configuratie!$B$4,Configuratie!$D$4,IF(T35=Configuratie!$B$5,Configuratie!$D$5,IF(T35=Configuratie!$B$6,Configuratie!$D$6,IF(T35=Configuratie!$B$7,Configuratie!$D$7,IF(T35=Configuratie!$B$8,Configuratie!$D$8,""))))))))</f>
        <v/>
      </c>
      <c r="K35" s="69"/>
      <c r="L35" s="6" t="s">
        <v>5</v>
      </c>
      <c r="M35" s="69" t="str">
        <f>IF(ISBLANK(T35),"",IF(VALUE(T35)=Configuratie!$B$2,Configuratie!$E$2,IF(T35=Configuratie!$B$3,Configuratie!$E$3,IF(T35=Configuratie!$B$4,Configuratie!$E$4,IF(T35=Configuratie!$B$5,Configuratie!$E$5,IF(T35=Configuratie!$B$6,Configuratie!$E$6,IF(T35=Configuratie!$B$7,Configuratie!$E$7,IF(T35=Configuratie!$B$8,Configuratie!$E$8,""))))))))</f>
        <v/>
      </c>
      <c r="N35" s="69"/>
      <c r="R35" s="6" t="str">
        <f>IF(ISBLANK(T35),"",IF(VALUE(T35)=Configuratie!$B$2,Configuratie!$C$2,IF(T35=Configuratie!$B$3,Configuratie!$C$3,IF(T35=Configuratie!$B$4,Configuratie!$C$4,IF(T35=Configuratie!$B$5,Configuratie!$C$5,IF(T35=Configuratie!$B$6,Configuratie!$C$6,IF(T35=Configuratie!$B$7,Configuratie!$C$7,IF(T35=Configuratie!$B$8,Configuratie!$C$8,""))))))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7"/>
        <v>0</v>
      </c>
      <c r="BF35" s="6">
        <f t="shared" si="37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69" t="str">
        <f>VLOOKUP(AZ36,$B$4:$F$11,2,FALSE)</f>
        <v>E</v>
      </c>
      <c r="F36" s="69"/>
      <c r="G36" s="69"/>
      <c r="H36" s="69"/>
      <c r="J36" s="69" t="str">
        <f>IF(ISBLANK(T36),"",IF(VALUE(T36)=Configuratie!$B$2,Configuratie!$D$2,IF(T36=Configuratie!$B$3,Configuratie!$D$3,IF(T36=Configuratie!$B$4,Configuratie!$D$4,IF(T36=Configuratie!$B$5,Configuratie!$D$5,IF(T36=Configuratie!$B$6,Configuratie!$D$6,IF(T36=Configuratie!$B$7,Configuratie!$D$7,IF(T36=Configuratie!$B$8,Configuratie!$D$8,""))))))))</f>
        <v/>
      </c>
      <c r="K36" s="69"/>
      <c r="L36" s="6" t="s">
        <v>5</v>
      </c>
      <c r="M36" s="69" t="str">
        <f>IF(ISBLANK(T36),"",IF(VALUE(T36)=Configuratie!$B$2,Configuratie!$E$2,IF(T36=Configuratie!$B$3,Configuratie!$E$3,IF(T36=Configuratie!$B$4,Configuratie!$E$4,IF(T36=Configuratie!$B$5,Configuratie!$E$5,IF(T36=Configuratie!$B$6,Configuratie!$E$6,IF(T36=Configuratie!$B$7,Configuratie!$E$7,IF(T36=Configuratie!$B$8,Configuratie!$E$8,""))))))))</f>
        <v/>
      </c>
      <c r="N36" s="69"/>
      <c r="R36" s="6" t="str">
        <f>IF(ISBLANK(T36),"",IF(VALUE(T36)=Configuratie!$B$2,Configuratie!$C$2,IF(T36=Configuratie!$B$3,Configuratie!$C$3,IF(T36=Configuratie!$B$4,Configuratie!$C$4,IF(T36=Configuratie!$B$5,Configuratie!$C$5,IF(T36=Configuratie!$B$6,Configuratie!$C$6,IF(T36=Configuratie!$B$7,Configuratie!$C$7,IF(T36=Configuratie!$B$8,Configuratie!$C$8,""))))))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8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7"/>
        <v>0</v>
      </c>
      <c r="BF36" s="6">
        <f t="shared" si="37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69" t="str">
        <f>VLOOKUP(AZ37,$B$4:$F$11,2,FALSE)</f>
        <v>F</v>
      </c>
      <c r="F37" s="69"/>
      <c r="G37" s="69"/>
      <c r="H37" s="69"/>
      <c r="J37" s="69" t="str">
        <f>IF(ISBLANK(T37),"",IF(VALUE(T37)=Configuratie!$B$2,Configuratie!$D$2,IF(T37=Configuratie!$B$3,Configuratie!$D$3,IF(T37=Configuratie!$B$4,Configuratie!$D$4,IF(T37=Configuratie!$B$5,Configuratie!$D$5,IF(T37=Configuratie!$B$6,Configuratie!$D$6,IF(T37=Configuratie!$B$7,Configuratie!$D$7,IF(T37=Configuratie!$B$8,Configuratie!$D$8,""))))))))</f>
        <v/>
      </c>
      <c r="K37" s="69"/>
      <c r="L37" s="6" t="s">
        <v>5</v>
      </c>
      <c r="M37" s="69" t="str">
        <f>IF(ISBLANK(T37),"",IF(VALUE(T37)=Configuratie!$B$2,Configuratie!$E$2,IF(T37=Configuratie!$B$3,Configuratie!$E$3,IF(T37=Configuratie!$B$4,Configuratie!$E$4,IF(T37=Configuratie!$B$5,Configuratie!$E$5,IF(T37=Configuratie!$B$6,Configuratie!$E$6,IF(T37=Configuratie!$B$7,Configuratie!$E$7,IF(T37=Configuratie!$B$8,Configuratie!$E$8,""))))))))</f>
        <v/>
      </c>
      <c r="N37" s="69"/>
      <c r="R37" s="6" t="str">
        <f>IF(ISBLANK(T37),"",IF(VALUE(T37)=Configuratie!$B$2,Configuratie!$C$2,IF(T37=Configuratie!$B$3,Configuratie!$C$3,IF(T37=Configuratie!$B$4,Configuratie!$C$4,IF(T37=Configuratie!$B$5,Configuratie!$C$5,IF(T37=Configuratie!$B$6,Configuratie!$C$6,IF(T37=Configuratie!$B$7,Configuratie!$C$7,IF(T37=Configuratie!$B$8,Configuratie!$C$8,""))))))))</f>
        <v/>
      </c>
      <c r="T37" s="5"/>
      <c r="AX37" s="6">
        <v>4</v>
      </c>
      <c r="AY37" s="6">
        <v>7</v>
      </c>
      <c r="AZ37" s="6">
        <v>6</v>
      </c>
      <c r="BA37" s="6" t="str">
        <f t="shared" si="38"/>
        <v/>
      </c>
      <c r="BC37" s="48">
        <f>AY37*100+AZ37</f>
        <v>706</v>
      </c>
      <c r="BD37" s="48">
        <f>AZ37*100+AY37</f>
        <v>607</v>
      </c>
      <c r="BE37" s="6">
        <f t="shared" si="37"/>
        <v>0</v>
      </c>
      <c r="BF37" s="6">
        <f t="shared" si="37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69" t="str">
        <f>VLOOKUP(AZ40,$B$4:$F$11,2,FALSE)</f>
        <v>H</v>
      </c>
      <c r="F40" s="69"/>
      <c r="G40" s="69"/>
      <c r="H40" s="69"/>
      <c r="J40" s="69" t="str">
        <f>IF(ISBLANK(T40),"",IF(VALUE(T40)=Configuratie!$B$2,Configuratie!$D$2,IF(T40=Configuratie!$B$3,Configuratie!$D$3,IF(T40=Configuratie!$B$4,Configuratie!$D$4,IF(T40=Configuratie!$B$5,Configuratie!$D$5,IF(T40=Configuratie!$B$6,Configuratie!$D$6,IF(T40=Configuratie!$B$7,Configuratie!$D$7,IF(T40=Configuratie!$B$8,Configuratie!$D$8,""))))))))</f>
        <v/>
      </c>
      <c r="K40" s="69"/>
      <c r="L40" s="6" t="s">
        <v>5</v>
      </c>
      <c r="M40" s="69" t="str">
        <f>IF(ISBLANK(T40),"",IF(VALUE(T40)=Configuratie!$B$2,Configuratie!$E$2,IF(T40=Configuratie!$B$3,Configuratie!$E$3,IF(T40=Configuratie!$B$4,Configuratie!$E$4,IF(T40=Configuratie!$B$5,Configuratie!$E$5,IF(T40=Configuratie!$B$6,Configuratie!$E$6,IF(T40=Configuratie!$B$7,Configuratie!$E$7,IF(T40=Configuratie!$B$8,Configuratie!$E$8,""))))))))</f>
        <v/>
      </c>
      <c r="N40" s="69"/>
      <c r="R40" s="6" t="str">
        <f>IF(ISBLANK(T40),"",IF(VALUE(T40)=Configuratie!$B$2,Configuratie!$C$2,IF(T40=Configuratie!$B$3,Configuratie!$C$3,IF(T40=Configuratie!$B$4,Configuratie!$C$4,IF(T40=Configuratie!$B$5,Configuratie!$C$5,IF(T40=Configuratie!$B$6,Configuratie!$C$6,IF(T40=Configuratie!$B$7,Configuratie!$C$7,IF(T40=Configuratie!$B$8,Configuratie!$C$8,""))))))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0</v>
      </c>
      <c r="BF40" s="6">
        <f t="shared" si="39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69" t="str">
        <f>VLOOKUP(AZ41,$B$4:$F$11,2,FALSE)</f>
        <v>G</v>
      </c>
      <c r="F41" s="69"/>
      <c r="G41" s="69"/>
      <c r="H41" s="69"/>
      <c r="J41" s="69" t="str">
        <f>IF(ISBLANK(T41),"",IF(VALUE(T41)=Configuratie!$B$2,Configuratie!$D$2,IF(T41=Configuratie!$B$3,Configuratie!$D$3,IF(T41=Configuratie!$B$4,Configuratie!$D$4,IF(T41=Configuratie!$B$5,Configuratie!$D$5,IF(T41=Configuratie!$B$6,Configuratie!$D$6,IF(T41=Configuratie!$B$7,Configuratie!$D$7,IF(T41=Configuratie!$B$8,Configuratie!$D$8,""))))))))</f>
        <v/>
      </c>
      <c r="K41" s="69"/>
      <c r="L41" s="6" t="s">
        <v>5</v>
      </c>
      <c r="M41" s="69" t="str">
        <f>IF(ISBLANK(T41),"",IF(VALUE(T41)=Configuratie!$B$2,Configuratie!$E$2,IF(T41=Configuratie!$B$3,Configuratie!$E$3,IF(T41=Configuratie!$B$4,Configuratie!$E$4,IF(T41=Configuratie!$B$5,Configuratie!$E$5,IF(T41=Configuratie!$B$6,Configuratie!$E$6,IF(T41=Configuratie!$B$7,Configuratie!$E$7,IF(T41=Configuratie!$B$8,Configuratie!$E$8,""))))))))</f>
        <v/>
      </c>
      <c r="N41" s="69"/>
      <c r="R41" s="6" t="str">
        <f>IF(ISBLANK(T41),"",IF(VALUE(T41)=Configuratie!$B$2,Configuratie!$C$2,IF(T41=Configuratie!$B$3,Configuratie!$C$3,IF(T41=Configuratie!$B$4,Configuratie!$C$4,IF(T41=Configuratie!$B$5,Configuratie!$C$5,IF(T41=Configuratie!$B$6,Configuratie!$C$6,IF(T41=Configuratie!$B$7,Configuratie!$C$7,IF(T41=Configuratie!$B$8,Configuratie!$C$8,""))))))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0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39"/>
        <v>0</v>
      </c>
      <c r="BF41" s="6">
        <f t="shared" si="39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69" t="str">
        <f>VLOOKUP(AZ42,$B$4:$F$11,2,FALSE)</f>
        <v>A</v>
      </c>
      <c r="F42" s="69"/>
      <c r="G42" s="69"/>
      <c r="H42" s="69"/>
      <c r="J42" s="69" t="str">
        <f>IF(ISBLANK(T42),"",IF(VALUE(T42)=Configuratie!$B$2,Configuratie!$D$2,IF(T42=Configuratie!$B$3,Configuratie!$D$3,IF(T42=Configuratie!$B$4,Configuratie!$D$4,IF(T42=Configuratie!$B$5,Configuratie!$D$5,IF(T42=Configuratie!$B$6,Configuratie!$D$6,IF(T42=Configuratie!$B$7,Configuratie!$D$7,IF(T42=Configuratie!$B$8,Configuratie!$D$8,""))))))))</f>
        <v/>
      </c>
      <c r="K42" s="69"/>
      <c r="L42" s="6" t="s">
        <v>5</v>
      </c>
      <c r="M42" s="69" t="str">
        <f>IF(ISBLANK(T42),"",IF(VALUE(T42)=Configuratie!$B$2,Configuratie!$E$2,IF(T42=Configuratie!$B$3,Configuratie!$E$3,IF(T42=Configuratie!$B$4,Configuratie!$E$4,IF(T42=Configuratie!$B$5,Configuratie!$E$5,IF(T42=Configuratie!$B$6,Configuratie!$E$6,IF(T42=Configuratie!$B$7,Configuratie!$E$7,IF(T42=Configuratie!$B$8,Configuratie!$E$8,""))))))))</f>
        <v/>
      </c>
      <c r="N42" s="69"/>
      <c r="R42" s="6" t="str">
        <f>IF(ISBLANK(T42),"",IF(VALUE(T42)=Configuratie!$B$2,Configuratie!$C$2,IF(T42=Configuratie!$B$3,Configuratie!$C$3,IF(T42=Configuratie!$B$4,Configuratie!$C$4,IF(T42=Configuratie!$B$5,Configuratie!$C$5,IF(T42=Configuratie!$B$6,Configuratie!$C$6,IF(T42=Configuratie!$B$7,Configuratie!$C$7,IF(T42=Configuratie!$B$8,Configuratie!$C$8,""))))))))</f>
        <v/>
      </c>
      <c r="T42" s="5"/>
      <c r="AX42" s="6">
        <v>5</v>
      </c>
      <c r="AY42" s="6">
        <v>4</v>
      </c>
      <c r="AZ42" s="6">
        <v>1</v>
      </c>
      <c r="BA42" s="6" t="str">
        <f t="shared" si="40"/>
        <v/>
      </c>
      <c r="BC42" s="48">
        <f>AY42*100+AZ42</f>
        <v>401</v>
      </c>
      <c r="BD42" s="48">
        <f>AZ42*100+AY42</f>
        <v>104</v>
      </c>
      <c r="BE42" s="6">
        <f t="shared" si="39"/>
        <v>0</v>
      </c>
      <c r="BF42" s="6">
        <f t="shared" si="39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69" t="str">
        <f>VLOOKUP(AZ43,$B$4:$F$11,2,FALSE)</f>
        <v>B</v>
      </c>
      <c r="F43" s="69"/>
      <c r="G43" s="69"/>
      <c r="H43" s="69"/>
      <c r="J43" s="69" t="str">
        <f>IF(ISBLANK(T43),"",IF(VALUE(T43)=Configuratie!$B$2,Configuratie!$D$2,IF(T43=Configuratie!$B$3,Configuratie!$D$3,IF(T43=Configuratie!$B$4,Configuratie!$D$4,IF(T43=Configuratie!$B$5,Configuratie!$D$5,IF(T43=Configuratie!$B$6,Configuratie!$D$6,IF(T43=Configuratie!$B$7,Configuratie!$D$7,IF(T43=Configuratie!$B$8,Configuratie!$D$8,""))))))))</f>
        <v/>
      </c>
      <c r="K43" s="69"/>
      <c r="L43" s="6" t="s">
        <v>5</v>
      </c>
      <c r="M43" s="69" t="str">
        <f>IF(ISBLANK(T43),"",IF(VALUE(T43)=Configuratie!$B$2,Configuratie!$E$2,IF(T43=Configuratie!$B$3,Configuratie!$E$3,IF(T43=Configuratie!$B$4,Configuratie!$E$4,IF(T43=Configuratie!$B$5,Configuratie!$E$5,IF(T43=Configuratie!$B$6,Configuratie!$E$6,IF(T43=Configuratie!$B$7,Configuratie!$E$7,IF(T43=Configuratie!$B$8,Configuratie!$E$8,""))))))))</f>
        <v/>
      </c>
      <c r="N43" s="69"/>
      <c r="R43" s="6" t="str">
        <f>IF(ISBLANK(T43),"",IF(VALUE(T43)=Configuratie!$B$2,Configuratie!$C$2,IF(T43=Configuratie!$B$3,Configuratie!$C$3,IF(T43=Configuratie!$B$4,Configuratie!$C$4,IF(T43=Configuratie!$B$5,Configuratie!$C$5,IF(T43=Configuratie!$B$6,Configuratie!$C$6,IF(T43=Configuratie!$B$7,Configuratie!$C$7,IF(T43=Configuratie!$B$8,Configuratie!$C$8,""))))))))</f>
        <v/>
      </c>
      <c r="T43" s="5"/>
      <c r="AX43" s="6">
        <v>5</v>
      </c>
      <c r="AY43" s="6">
        <v>3</v>
      </c>
      <c r="AZ43" s="6">
        <v>2</v>
      </c>
      <c r="BA43" s="6" t="str">
        <f t="shared" si="40"/>
        <v/>
      </c>
      <c r="BC43" s="48">
        <f>AY43*100+AZ43</f>
        <v>302</v>
      </c>
      <c r="BD43" s="48">
        <f>AZ43*100+AY43</f>
        <v>203</v>
      </c>
      <c r="BE43" s="6">
        <f t="shared" si="39"/>
        <v>0</v>
      </c>
      <c r="BF43" s="6">
        <f t="shared" si="39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69" t="str">
        <f>VLOOKUP(AZ46,$B$4:$F$11,2,FALSE)</f>
        <v>B</v>
      </c>
      <c r="F46" s="69"/>
      <c r="G46" s="69"/>
      <c r="H46" s="69"/>
      <c r="J46" s="69" t="str">
        <f>IF(ISBLANK(T46),"",IF(VALUE(T46)=Configuratie!$B$2,Configuratie!$D$2,IF(T46=Configuratie!$B$3,Configuratie!$D$3,IF(T46=Configuratie!$B$4,Configuratie!$D$4,IF(T46=Configuratie!$B$5,Configuratie!$D$5,IF(T46=Configuratie!$B$6,Configuratie!$D$6,IF(T46=Configuratie!$B$7,Configuratie!$D$7,IF(T46=Configuratie!$B$8,Configuratie!$D$8,""))))))))</f>
        <v/>
      </c>
      <c r="K46" s="69"/>
      <c r="L46" s="6" t="s">
        <v>5</v>
      </c>
      <c r="M46" s="69" t="str">
        <f>IF(ISBLANK(T46),"",IF(VALUE(T46)=Configuratie!$B$2,Configuratie!$E$2,IF(T46=Configuratie!$B$3,Configuratie!$E$3,IF(T46=Configuratie!$B$4,Configuratie!$E$4,IF(T46=Configuratie!$B$5,Configuratie!$E$5,IF(T46=Configuratie!$B$6,Configuratie!$E$6,IF(T46=Configuratie!$B$7,Configuratie!$E$7,IF(T46=Configuratie!$B$8,Configuratie!$E$8,""))))))))</f>
        <v/>
      </c>
      <c r="N46" s="69"/>
      <c r="R46" s="6" t="str">
        <f>IF(ISBLANK(T46),"",IF(VALUE(T46)=Configuratie!$B$2,Configuratie!$C$2,IF(T46=Configuratie!$B$3,Configuratie!$C$3,IF(T46=Configuratie!$B$4,Configuratie!$C$4,IF(T46=Configuratie!$B$5,Configuratie!$C$5,IF(T46=Configuratie!$B$6,Configuratie!$C$6,IF(T46=Configuratie!$B$7,Configuratie!$C$7,IF(T46=Configuratie!$B$8,Configuratie!$C$8,""))))))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0</v>
      </c>
      <c r="BF46" s="6">
        <f t="shared" si="41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69" t="str">
        <f>VLOOKUP(AZ47,$B$4:$F$11,2,FALSE)</f>
        <v>C</v>
      </c>
      <c r="F47" s="69"/>
      <c r="G47" s="69"/>
      <c r="H47" s="69"/>
      <c r="J47" s="69" t="str">
        <f>IF(ISBLANK(T47),"",IF(VALUE(T47)=Configuratie!$B$2,Configuratie!$D$2,IF(T47=Configuratie!$B$3,Configuratie!$D$3,IF(T47=Configuratie!$B$4,Configuratie!$D$4,IF(T47=Configuratie!$B$5,Configuratie!$D$5,IF(T47=Configuratie!$B$6,Configuratie!$D$6,IF(T47=Configuratie!$B$7,Configuratie!$D$7,IF(T47=Configuratie!$B$8,Configuratie!$D$8,""))))))))</f>
        <v/>
      </c>
      <c r="K47" s="69"/>
      <c r="L47" s="6" t="s">
        <v>5</v>
      </c>
      <c r="M47" s="69" t="str">
        <f>IF(ISBLANK(T47),"",IF(VALUE(T47)=Configuratie!$B$2,Configuratie!$E$2,IF(T47=Configuratie!$B$3,Configuratie!$E$3,IF(T47=Configuratie!$B$4,Configuratie!$E$4,IF(T47=Configuratie!$B$5,Configuratie!$E$5,IF(T47=Configuratie!$B$6,Configuratie!$E$6,IF(T47=Configuratie!$B$7,Configuratie!$E$7,IF(T47=Configuratie!$B$8,Configuratie!$E$8,""))))))))</f>
        <v/>
      </c>
      <c r="N47" s="69"/>
      <c r="R47" s="6" t="str">
        <f>IF(ISBLANK(T47),"",IF(VALUE(T47)=Configuratie!$B$2,Configuratie!$C$2,IF(T47=Configuratie!$B$3,Configuratie!$C$3,IF(T47=Configuratie!$B$4,Configuratie!$C$4,IF(T47=Configuratie!$B$5,Configuratie!$C$5,IF(T47=Configuratie!$B$6,Configuratie!$C$6,IF(T47=Configuratie!$B$7,Configuratie!$C$7,IF(T47=Configuratie!$B$8,Configuratie!$C$8,""))))))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2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1"/>
        <v>0</v>
      </c>
      <c r="BF47" s="6">
        <f t="shared" si="41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69" t="str">
        <f>VLOOKUP(AZ48,$B$4:$F$11,2,FALSE)</f>
        <v>D</v>
      </c>
      <c r="F48" s="69"/>
      <c r="G48" s="69"/>
      <c r="H48" s="69"/>
      <c r="J48" s="69" t="str">
        <f>IF(ISBLANK(T48),"",IF(VALUE(T48)=Configuratie!$B$2,Configuratie!$D$2,IF(T48=Configuratie!$B$3,Configuratie!$D$3,IF(T48=Configuratie!$B$4,Configuratie!$D$4,IF(T48=Configuratie!$B$5,Configuratie!$D$5,IF(T48=Configuratie!$B$6,Configuratie!$D$6,IF(T48=Configuratie!$B$7,Configuratie!$D$7,IF(T48=Configuratie!$B$8,Configuratie!$D$8,""))))))))</f>
        <v/>
      </c>
      <c r="K48" s="69"/>
      <c r="L48" s="6" t="s">
        <v>5</v>
      </c>
      <c r="M48" s="69" t="str">
        <f>IF(ISBLANK(T48),"",IF(VALUE(T48)=Configuratie!$B$2,Configuratie!$E$2,IF(T48=Configuratie!$B$3,Configuratie!$E$3,IF(T48=Configuratie!$B$4,Configuratie!$E$4,IF(T48=Configuratie!$B$5,Configuratie!$E$5,IF(T48=Configuratie!$B$6,Configuratie!$E$6,IF(T48=Configuratie!$B$7,Configuratie!$E$7,IF(T48=Configuratie!$B$8,Configuratie!$E$8,""))))))))</f>
        <v/>
      </c>
      <c r="N48" s="69"/>
      <c r="R48" s="6" t="str">
        <f>IF(ISBLANK(T48),"",IF(VALUE(T48)=Configuratie!$B$2,Configuratie!$C$2,IF(T48=Configuratie!$B$3,Configuratie!$C$3,IF(T48=Configuratie!$B$4,Configuratie!$C$4,IF(T48=Configuratie!$B$5,Configuratie!$C$5,IF(T48=Configuratie!$B$6,Configuratie!$C$6,IF(T48=Configuratie!$B$7,Configuratie!$C$7,IF(T48=Configuratie!$B$8,Configuratie!$C$8,""))))))))</f>
        <v/>
      </c>
      <c r="T48" s="5"/>
      <c r="AX48" s="6">
        <v>6</v>
      </c>
      <c r="AY48" s="6">
        <v>7</v>
      </c>
      <c r="AZ48" s="6">
        <v>4</v>
      </c>
      <c r="BA48" s="6" t="str">
        <f t="shared" si="42"/>
        <v/>
      </c>
      <c r="BC48" s="48">
        <f>AY48*100+AZ48</f>
        <v>704</v>
      </c>
      <c r="BD48" s="48">
        <f>AZ48*100+AY48</f>
        <v>407</v>
      </c>
      <c r="BE48" s="6">
        <f t="shared" si="41"/>
        <v>0</v>
      </c>
      <c r="BF48" s="6">
        <f t="shared" si="41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69" t="str">
        <f>VLOOKUP(AZ49,$B$4:$F$11,2,FALSE)</f>
        <v>E</v>
      </c>
      <c r="F49" s="69"/>
      <c r="G49" s="69"/>
      <c r="H49" s="69"/>
      <c r="J49" s="69" t="str">
        <f>IF(ISBLANK(T49),"",IF(VALUE(T49)=Configuratie!$B$2,Configuratie!$D$2,IF(T49=Configuratie!$B$3,Configuratie!$D$3,IF(T49=Configuratie!$B$4,Configuratie!$D$4,IF(T49=Configuratie!$B$5,Configuratie!$D$5,IF(T49=Configuratie!$B$6,Configuratie!$D$6,IF(T49=Configuratie!$B$7,Configuratie!$D$7,IF(T49=Configuratie!$B$8,Configuratie!$D$8,""))))))))</f>
        <v/>
      </c>
      <c r="K49" s="69"/>
      <c r="L49" s="6" t="s">
        <v>5</v>
      </c>
      <c r="M49" s="69" t="str">
        <f>IF(ISBLANK(T49),"",IF(VALUE(T49)=Configuratie!$B$2,Configuratie!$E$2,IF(T49=Configuratie!$B$3,Configuratie!$E$3,IF(T49=Configuratie!$B$4,Configuratie!$E$4,IF(T49=Configuratie!$B$5,Configuratie!$E$5,IF(T49=Configuratie!$B$6,Configuratie!$E$6,IF(T49=Configuratie!$B$7,Configuratie!$E$7,IF(T49=Configuratie!$B$8,Configuratie!$E$8,""))))))))</f>
        <v/>
      </c>
      <c r="N49" s="69"/>
      <c r="R49" s="6" t="str">
        <f>IF(ISBLANK(T49),"",IF(VALUE(T49)=Configuratie!$B$2,Configuratie!$C$2,IF(T49=Configuratie!$B$3,Configuratie!$C$3,IF(T49=Configuratie!$B$4,Configuratie!$C$4,IF(T49=Configuratie!$B$5,Configuratie!$C$5,IF(T49=Configuratie!$B$6,Configuratie!$C$6,IF(T49=Configuratie!$B$7,Configuratie!$C$7,IF(T49=Configuratie!$B$8,Configuratie!$C$8,""))))))))</f>
        <v/>
      </c>
      <c r="T49" s="5"/>
      <c r="AX49" s="6">
        <v>6</v>
      </c>
      <c r="AY49" s="6">
        <v>6</v>
      </c>
      <c r="AZ49" s="6">
        <v>5</v>
      </c>
      <c r="BA49" s="6" t="str">
        <f t="shared" si="42"/>
        <v/>
      </c>
      <c r="BC49" s="48">
        <f>AY49*100+AZ49</f>
        <v>605</v>
      </c>
      <c r="BD49" s="48">
        <f>AZ49*100+AY49</f>
        <v>506</v>
      </c>
      <c r="BE49" s="6">
        <f t="shared" si="41"/>
        <v>0</v>
      </c>
      <c r="BF49" s="6">
        <f t="shared" si="41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69" t="str">
        <f>VLOOKUP(AZ52,$B$4:$F$11,2,FALSE)</f>
        <v>H</v>
      </c>
      <c r="F52" s="69"/>
      <c r="G52" s="69"/>
      <c r="H52" s="69"/>
      <c r="J52" s="69" t="str">
        <f>IF(ISBLANK(T52),"",IF(VALUE(T52)=Configuratie!$B$2,Configuratie!$D$2,IF(T52=Configuratie!$B$3,Configuratie!$D$3,IF(T52=Configuratie!$B$4,Configuratie!$D$4,IF(T52=Configuratie!$B$5,Configuratie!$D$5,IF(T52=Configuratie!$B$6,Configuratie!$D$6,IF(T52=Configuratie!$B$7,Configuratie!$D$7,IF(T52=Configuratie!$B$8,Configuratie!$D$8,""))))))))</f>
        <v/>
      </c>
      <c r="K52" s="69"/>
      <c r="L52" s="6" t="s">
        <v>5</v>
      </c>
      <c r="M52" s="69" t="str">
        <f>IF(ISBLANK(T52),"",IF(VALUE(T52)=Configuratie!$B$2,Configuratie!$E$2,IF(T52=Configuratie!$B$3,Configuratie!$E$3,IF(T52=Configuratie!$B$4,Configuratie!$E$4,IF(T52=Configuratie!$B$5,Configuratie!$E$5,IF(T52=Configuratie!$B$6,Configuratie!$E$6,IF(T52=Configuratie!$B$7,Configuratie!$E$7,IF(T52=Configuratie!$B$8,Configuratie!$E$8,""))))))))</f>
        <v/>
      </c>
      <c r="N52" s="69"/>
      <c r="R52" s="6" t="str">
        <f>IF(ISBLANK(T52),"",IF(VALUE(T52)=Configuratie!$B$2,Configuratie!$C$2,IF(T52=Configuratie!$B$3,Configuratie!$C$3,IF(T52=Configuratie!$B$4,Configuratie!$C$4,IF(T52=Configuratie!$B$5,Configuratie!$C$5,IF(T52=Configuratie!$B$6,Configuratie!$C$6,IF(T52=Configuratie!$B$7,Configuratie!$C$7,IF(T52=Configuratie!$B$8,Configuratie!$C$8,""))))))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0</v>
      </c>
      <c r="BF52" s="6">
        <f t="shared" si="43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69" t="str">
        <f>VLOOKUP(AZ53,$B$4:$F$11,2,FALSE)</f>
        <v>F</v>
      </c>
      <c r="F53" s="69"/>
      <c r="G53" s="69"/>
      <c r="H53" s="69"/>
      <c r="J53" s="69" t="str">
        <f>IF(ISBLANK(T53),"",IF(VALUE(T53)=Configuratie!$B$2,Configuratie!$D$2,IF(T53=Configuratie!$B$3,Configuratie!$D$3,IF(T53=Configuratie!$B$4,Configuratie!$D$4,IF(T53=Configuratie!$B$5,Configuratie!$D$5,IF(T53=Configuratie!$B$6,Configuratie!$D$6,IF(T53=Configuratie!$B$7,Configuratie!$D$7,IF(T53=Configuratie!$B$8,Configuratie!$D$8,""))))))))</f>
        <v/>
      </c>
      <c r="K53" s="69"/>
      <c r="L53" s="6" t="s">
        <v>5</v>
      </c>
      <c r="M53" s="69" t="str">
        <f>IF(ISBLANK(T53),"",IF(VALUE(T53)=Configuratie!$B$2,Configuratie!$E$2,IF(T53=Configuratie!$B$3,Configuratie!$E$3,IF(T53=Configuratie!$B$4,Configuratie!$E$4,IF(T53=Configuratie!$B$5,Configuratie!$E$5,IF(T53=Configuratie!$B$6,Configuratie!$E$6,IF(T53=Configuratie!$B$7,Configuratie!$E$7,IF(T53=Configuratie!$B$8,Configuratie!$E$8,""))))))))</f>
        <v/>
      </c>
      <c r="N53" s="69"/>
      <c r="R53" s="6" t="str">
        <f>IF(ISBLANK(T53),"",IF(VALUE(T53)=Configuratie!$B$2,Configuratie!$C$2,IF(T53=Configuratie!$B$3,Configuratie!$C$3,IF(T53=Configuratie!$B$4,Configuratie!$C$4,IF(T53=Configuratie!$B$5,Configuratie!$C$5,IF(T53=Configuratie!$B$6,Configuratie!$C$6,IF(T53=Configuratie!$B$7,Configuratie!$C$7,IF(T53=Configuratie!$B$8,Configuratie!$C$8,""))))))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4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3"/>
        <v>0</v>
      </c>
      <c r="BF53" s="6">
        <f t="shared" si="43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69" t="str">
        <f>VLOOKUP(AZ54,$B$4:$F$11,2,FALSE)</f>
        <v>G</v>
      </c>
      <c r="F54" s="69"/>
      <c r="G54" s="69"/>
      <c r="H54" s="69"/>
      <c r="J54" s="69" t="str">
        <f>IF(ISBLANK(T54),"",IF(VALUE(T54)=Configuratie!$B$2,Configuratie!$D$2,IF(T54=Configuratie!$B$3,Configuratie!$D$3,IF(T54=Configuratie!$B$4,Configuratie!$D$4,IF(T54=Configuratie!$B$5,Configuratie!$D$5,IF(T54=Configuratie!$B$6,Configuratie!$D$6,IF(T54=Configuratie!$B$7,Configuratie!$D$7,IF(T54=Configuratie!$B$8,Configuratie!$D$8,""))))))))</f>
        <v/>
      </c>
      <c r="K54" s="69"/>
      <c r="L54" s="6" t="s">
        <v>5</v>
      </c>
      <c r="M54" s="69" t="str">
        <f>IF(ISBLANK(T54),"",IF(VALUE(T54)=Configuratie!$B$2,Configuratie!$E$2,IF(T54=Configuratie!$B$3,Configuratie!$E$3,IF(T54=Configuratie!$B$4,Configuratie!$E$4,IF(T54=Configuratie!$B$5,Configuratie!$E$5,IF(T54=Configuratie!$B$6,Configuratie!$E$6,IF(T54=Configuratie!$B$7,Configuratie!$E$7,IF(T54=Configuratie!$B$8,Configuratie!$E$8,""))))))))</f>
        <v/>
      </c>
      <c r="N54" s="69"/>
      <c r="R54" s="6" t="str">
        <f>IF(ISBLANK(T54),"",IF(VALUE(T54)=Configuratie!$B$2,Configuratie!$C$2,IF(T54=Configuratie!$B$3,Configuratie!$C$3,IF(T54=Configuratie!$B$4,Configuratie!$C$4,IF(T54=Configuratie!$B$5,Configuratie!$C$5,IF(T54=Configuratie!$B$6,Configuratie!$C$6,IF(T54=Configuratie!$B$7,Configuratie!$C$7,IF(T54=Configuratie!$B$8,Configuratie!$C$8,""))))))))</f>
        <v/>
      </c>
      <c r="T54" s="5"/>
      <c r="AX54" s="6">
        <v>7</v>
      </c>
      <c r="AY54" s="6">
        <v>3</v>
      </c>
      <c r="AZ54" s="6">
        <v>7</v>
      </c>
      <c r="BA54" s="6" t="str">
        <f t="shared" si="44"/>
        <v/>
      </c>
      <c r="BC54" s="48">
        <f>AY54*100+AZ54</f>
        <v>307</v>
      </c>
      <c r="BD54" s="48">
        <f>AZ54*100+AY54</f>
        <v>703</v>
      </c>
      <c r="BE54" s="6">
        <f t="shared" si="43"/>
        <v>0</v>
      </c>
      <c r="BF54" s="6">
        <f t="shared" si="43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69" t="str">
        <f>VLOOKUP(AZ55,$B$4:$F$11,2,FALSE)</f>
        <v>A</v>
      </c>
      <c r="F55" s="69"/>
      <c r="G55" s="69"/>
      <c r="H55" s="69"/>
      <c r="J55" s="69" t="str">
        <f>IF(ISBLANK(T55),"",IF(VALUE(T55)=Configuratie!$B$2,Configuratie!$D$2,IF(T55=Configuratie!$B$3,Configuratie!$D$3,IF(T55=Configuratie!$B$4,Configuratie!$D$4,IF(T55=Configuratie!$B$5,Configuratie!$D$5,IF(T55=Configuratie!$B$6,Configuratie!$D$6,IF(T55=Configuratie!$B$7,Configuratie!$D$7,IF(T55=Configuratie!$B$8,Configuratie!$D$8,""))))))))</f>
        <v/>
      </c>
      <c r="K55" s="69"/>
      <c r="L55" s="6" t="s">
        <v>5</v>
      </c>
      <c r="M55" s="69" t="str">
        <f>IF(ISBLANK(T55),"",IF(VALUE(T55)=Configuratie!$B$2,Configuratie!$E$2,IF(T55=Configuratie!$B$3,Configuratie!$E$3,IF(T55=Configuratie!$B$4,Configuratie!$E$4,IF(T55=Configuratie!$B$5,Configuratie!$E$5,IF(T55=Configuratie!$B$6,Configuratie!$E$6,IF(T55=Configuratie!$B$7,Configuratie!$E$7,IF(T55=Configuratie!$B$8,Configuratie!$E$8,""))))))))</f>
        <v/>
      </c>
      <c r="N55" s="69"/>
      <c r="R55" s="6" t="str">
        <f>IF(ISBLANK(T55),"",IF(VALUE(T55)=Configuratie!$B$2,Configuratie!$C$2,IF(T55=Configuratie!$B$3,Configuratie!$C$3,IF(T55=Configuratie!$B$4,Configuratie!$C$4,IF(T55=Configuratie!$B$5,Configuratie!$C$5,IF(T55=Configuratie!$B$6,Configuratie!$C$6,IF(T55=Configuratie!$B$7,Configuratie!$C$7,IF(T55=Configuratie!$B$8,Configuratie!$C$8,""))))))))</f>
        <v/>
      </c>
      <c r="T55" s="5"/>
      <c r="AX55" s="6">
        <v>7</v>
      </c>
      <c r="AY55" s="6">
        <v>2</v>
      </c>
      <c r="AZ55" s="6">
        <v>1</v>
      </c>
      <c r="BA55" s="6" t="str">
        <f t="shared" si="44"/>
        <v/>
      </c>
      <c r="BC55" s="48">
        <f>AY55*100+AZ55</f>
        <v>201</v>
      </c>
      <c r="BD55" s="48">
        <f>AZ55*100+AY55</f>
        <v>102</v>
      </c>
      <c r="BE55" s="6">
        <f t="shared" si="43"/>
        <v>0</v>
      </c>
      <c r="BF55" s="6">
        <f t="shared" si="43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46:H46"/>
    <mergeCell ref="J46:K46"/>
    <mergeCell ref="M46:N46"/>
    <mergeCell ref="E47:H47"/>
    <mergeCell ref="J47:K47"/>
    <mergeCell ref="M47:N4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34:H34"/>
    <mergeCell ref="J34:K34"/>
    <mergeCell ref="M34:N34"/>
    <mergeCell ref="E35:H35"/>
    <mergeCell ref="J35:K35"/>
    <mergeCell ref="M35:N3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22:H22"/>
    <mergeCell ref="J22:K22"/>
    <mergeCell ref="M22:N22"/>
    <mergeCell ref="E23:H23"/>
    <mergeCell ref="J23:K23"/>
    <mergeCell ref="M23:N23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D4:E4"/>
    <mergeCell ref="B1:F1"/>
    <mergeCell ref="G1:R1"/>
    <mergeCell ref="BD2:BL2"/>
    <mergeCell ref="BO2:BW2"/>
    <mergeCell ref="D3:E3"/>
    <mergeCell ref="W1:AC1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colBreaks count="1" manualBreakCount="1">
    <brk id="2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view="pageBreakPreview" zoomScaleNormal="100" zoomScaleSheetLayoutView="100" workbookViewId="0">
      <selection activeCell="T14" sqref="T14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B1" s="74" t="s">
        <v>31</v>
      </c>
      <c r="C1" s="74"/>
      <c r="D1" s="74"/>
      <c r="E1" s="74"/>
      <c r="F1" s="74"/>
      <c r="G1" s="75" t="s">
        <v>32</v>
      </c>
      <c r="H1" s="75"/>
      <c r="I1" s="69"/>
      <c r="J1" s="69"/>
      <c r="K1" s="69"/>
      <c r="L1" s="69"/>
      <c r="M1" s="69"/>
      <c r="N1" s="69"/>
      <c r="O1" s="69"/>
      <c r="P1" s="69"/>
      <c r="Q1" s="69"/>
      <c r="R1" s="69"/>
      <c r="S1" s="47"/>
      <c r="T1" s="47"/>
      <c r="U1" s="15"/>
      <c r="V1" s="70" t="str">
        <f>"UITSLAG "&amp; G1</f>
        <v>UITSLAG GROEP A</v>
      </c>
      <c r="W1" s="68"/>
      <c r="X1" s="68"/>
      <c r="Y1" s="68"/>
      <c r="Z1" s="68"/>
      <c r="AA1" s="68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68" t="s">
        <v>22</v>
      </c>
      <c r="BA2" s="68"/>
      <c r="BB2" s="68"/>
      <c r="BC2" s="68"/>
      <c r="BD2" s="68"/>
      <c r="BE2" s="68"/>
      <c r="BF2" s="68"/>
      <c r="BG2" s="68"/>
      <c r="BH2" s="68"/>
      <c r="BI2" s="17"/>
      <c r="BJ2" s="18"/>
      <c r="BK2" s="68" t="s">
        <v>23</v>
      </c>
      <c r="BL2" s="68"/>
      <c r="BM2" s="68"/>
      <c r="BN2" s="68"/>
      <c r="BO2" s="68"/>
      <c r="BP2" s="68"/>
      <c r="BQ2" s="68"/>
      <c r="BR2" s="68"/>
      <c r="BS2" s="68"/>
    </row>
    <row r="3" spans="1:71" x14ac:dyDescent="0.25">
      <c r="B3" s="19" t="s">
        <v>4</v>
      </c>
      <c r="C3" s="19" t="s">
        <v>6</v>
      </c>
      <c r="D3" s="73" t="s">
        <v>7</v>
      </c>
      <c r="E3" s="73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7"/>
      <c r="O3" s="78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76"/>
      <c r="E4" s="76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79"/>
      <c r="O4" s="80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6</v>
      </c>
      <c r="W4" s="32">
        <v>6</v>
      </c>
      <c r="X4" s="33" t="str">
        <f t="shared" ref="X4:X9" si="2">IF(ISNA(VLOOKUP(B4,$A$4:$T$11,3,FALSE)),C4,VLOOKUP(B4,$A$4:$T$11,3,FALSE))</f>
        <v>A</v>
      </c>
      <c r="Y4" s="34">
        <f t="shared" ref="Y4:Y9" si="3">IF(ISNA(VLOOKUP(B4,$A$4:$S$11,18,FALSE)),0,VLOOKUP(B4,$A$4:$S$11,18,FALSE))</f>
        <v>0</v>
      </c>
      <c r="Z4" s="34">
        <f t="shared" ref="Z4:Z9" si="4">VLOOKUP($W4,$AT$4:$AW$9,2,FALSE)</f>
        <v>0</v>
      </c>
      <c r="AA4" s="55">
        <f t="shared" ref="AA4:AA9" si="5">IF(ISNA(VLOOKUP(B4,$A$4:$S$11,19,FALSE)),0,VLOOKUP(B4,$A$4:$S$11,19,FALSE))</f>
        <v>0</v>
      </c>
      <c r="AB4" s="34">
        <f t="shared" ref="AB4:AB9" si="6">VLOOKUP($W4,$AT$4:$AW$9,4,FALSE)</f>
        <v>0</v>
      </c>
      <c r="AC4" s="35">
        <f t="shared" ref="AC4:AC9" si="7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0</v>
      </c>
      <c r="AV4" s="39" t="e">
        <f t="shared" ref="AV4:AV9" si="9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10" xml:space="preserve"> SUMIFS( $J$14:$J$36, $AU$14:$AU$36,$AY4, $AT$14:$AT$36,AZ$3) + SUMIFS( $M$14:$M$36, $AV$14:$AV$36,$AY4, $AT$14:$AT$36,AZ$3)</f>
        <v>0</v>
      </c>
      <c r="BA4" s="6">
        <f t="shared" si="10"/>
        <v>0</v>
      </c>
      <c r="BB4" s="6">
        <f t="shared" si="10"/>
        <v>0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</v>
      </c>
      <c r="BM4" s="6">
        <f t="shared" si="11"/>
        <v>0</v>
      </c>
      <c r="BN4" s="6">
        <f t="shared" si="11"/>
        <v>0</v>
      </c>
      <c r="BO4" s="6">
        <f t="shared" si="11"/>
        <v>0</v>
      </c>
      <c r="BP4" s="6">
        <f t="shared" si="11"/>
        <v>0</v>
      </c>
      <c r="BQ4" s="6">
        <f t="shared" si="11"/>
        <v>0</v>
      </c>
      <c r="BR4" s="6">
        <f t="shared" si="11"/>
        <v>0</v>
      </c>
      <c r="BS4" s="6">
        <f t="shared" si="11"/>
        <v>0</v>
      </c>
    </row>
    <row r="5" spans="1:71" x14ac:dyDescent="0.25">
      <c r="A5" s="51">
        <f t="shared" ref="A5:A9" si="12">T5</f>
        <v>1</v>
      </c>
      <c r="B5" s="25">
        <v>2</v>
      </c>
      <c r="C5" s="25" t="s">
        <v>41</v>
      </c>
      <c r="D5" s="76"/>
      <c r="E5" s="76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79"/>
      <c r="O5" s="80"/>
      <c r="P5" s="52"/>
      <c r="Q5" s="53"/>
      <c r="R5" s="8">
        <f t="shared" si="1"/>
        <v>0</v>
      </c>
      <c r="S5" s="8">
        <f t="shared" ref="S5:S9" si="13">IF(H5="",0,H5)*$R$4+IF(I5="",0,I5)*$R$5+IF(J5="",0,J5)*$R$6+IF(K5="",0,K5)*$R$7+IF(L5="",0,L5)*$R$8+IF(M5="",0,M5)*$R$9</f>
        <v>0</v>
      </c>
      <c r="T5" s="54">
        <f t="shared" ref="T5:T9" si="14">AO5</f>
        <v>1</v>
      </c>
      <c r="U5" s="30"/>
      <c r="V5" s="31">
        <v>2</v>
      </c>
      <c r="W5" s="32">
        <v>5</v>
      </c>
      <c r="X5" s="33" t="str">
        <f t="shared" si="2"/>
        <v>B</v>
      </c>
      <c r="Y5" s="34">
        <f t="shared" si="3"/>
        <v>0</v>
      </c>
      <c r="Z5" s="34">
        <f t="shared" si="4"/>
        <v>0</v>
      </c>
      <c r="AA5" s="55">
        <f t="shared" si="5"/>
        <v>0</v>
      </c>
      <c r="AB5" s="34">
        <f t="shared" si="6"/>
        <v>0</v>
      </c>
      <c r="AC5" s="35">
        <f t="shared" si="7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8"/>
        <v>0</v>
      </c>
      <c r="AV5" s="39" t="e">
        <f t="shared" si="9"/>
        <v>#VALUE!</v>
      </c>
      <c r="AW5" s="39">
        <f t="shared" ref="AW5:AW9" si="25">SUM(BK5:BS5)</f>
        <v>0</v>
      </c>
      <c r="AY5" s="6">
        <v>2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</v>
      </c>
      <c r="BM5" s="6">
        <f t="shared" si="11"/>
        <v>0</v>
      </c>
      <c r="BN5" s="6">
        <f t="shared" si="11"/>
        <v>0</v>
      </c>
      <c r="BO5" s="6">
        <f t="shared" si="11"/>
        <v>0</v>
      </c>
      <c r="BP5" s="6">
        <f t="shared" si="11"/>
        <v>0</v>
      </c>
      <c r="BQ5" s="6">
        <f t="shared" si="11"/>
        <v>0</v>
      </c>
      <c r="BR5" s="6">
        <f t="shared" si="11"/>
        <v>0</v>
      </c>
      <c r="BS5" s="6">
        <f t="shared" si="11"/>
        <v>0</v>
      </c>
    </row>
    <row r="6" spans="1:71" x14ac:dyDescent="0.25">
      <c r="A6" s="51">
        <f t="shared" si="12"/>
        <v>1</v>
      </c>
      <c r="B6" s="25">
        <v>3</v>
      </c>
      <c r="C6" s="25" t="s">
        <v>42</v>
      </c>
      <c r="D6" s="76"/>
      <c r="E6" s="76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79"/>
      <c r="O6" s="80"/>
      <c r="P6" s="52"/>
      <c r="Q6" s="53"/>
      <c r="R6" s="8">
        <f t="shared" si="1"/>
        <v>0</v>
      </c>
      <c r="S6" s="8">
        <f t="shared" si="13"/>
        <v>0</v>
      </c>
      <c r="T6" s="54">
        <f t="shared" si="14"/>
        <v>1</v>
      </c>
      <c r="U6" s="30"/>
      <c r="V6" s="31">
        <v>4</v>
      </c>
      <c r="W6" s="32">
        <v>4</v>
      </c>
      <c r="X6" s="33" t="str">
        <f t="shared" si="2"/>
        <v>C</v>
      </c>
      <c r="Y6" s="34">
        <f t="shared" si="3"/>
        <v>0</v>
      </c>
      <c r="Z6" s="34">
        <f t="shared" si="4"/>
        <v>0</v>
      </c>
      <c r="AA6" s="55">
        <f t="shared" si="5"/>
        <v>0</v>
      </c>
      <c r="AB6" s="34">
        <f t="shared" si="6"/>
        <v>0</v>
      </c>
      <c r="AC6" s="35">
        <f t="shared" si="7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8"/>
        <v>0</v>
      </c>
      <c r="AV6" s="39" t="e">
        <f t="shared" si="9"/>
        <v>#VALUE!</v>
      </c>
      <c r="AW6" s="39">
        <f t="shared" si="25"/>
        <v>0</v>
      </c>
      <c r="AY6" s="6">
        <v>3</v>
      </c>
      <c r="AZ6" s="6">
        <f t="shared" si="10"/>
        <v>0</v>
      </c>
      <c r="BA6" s="6">
        <f t="shared" si="10"/>
        <v>0</v>
      </c>
      <c r="BB6" s="6">
        <f t="shared" si="10"/>
        <v>0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0</v>
      </c>
      <c r="BM6" s="6">
        <f t="shared" si="11"/>
        <v>0</v>
      </c>
      <c r="BN6" s="6">
        <f t="shared" si="11"/>
        <v>0</v>
      </c>
      <c r="BO6" s="6">
        <f t="shared" si="11"/>
        <v>0</v>
      </c>
      <c r="BP6" s="6">
        <f t="shared" si="11"/>
        <v>0</v>
      </c>
      <c r="BQ6" s="6">
        <f t="shared" si="11"/>
        <v>0</v>
      </c>
      <c r="BR6" s="6">
        <f t="shared" si="11"/>
        <v>0</v>
      </c>
      <c r="BS6" s="6">
        <f t="shared" si="11"/>
        <v>0</v>
      </c>
    </row>
    <row r="7" spans="1:71" x14ac:dyDescent="0.25">
      <c r="A7" s="51">
        <f t="shared" si="12"/>
        <v>1</v>
      </c>
      <c r="B7" s="25">
        <v>4</v>
      </c>
      <c r="C7" s="25" t="s">
        <v>43</v>
      </c>
      <c r="D7" s="76"/>
      <c r="E7" s="76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79"/>
      <c r="O7" s="80"/>
      <c r="P7" s="52"/>
      <c r="Q7" s="53"/>
      <c r="R7" s="8">
        <f t="shared" si="1"/>
        <v>0</v>
      </c>
      <c r="S7" s="8">
        <f t="shared" si="13"/>
        <v>0</v>
      </c>
      <c r="T7" s="54">
        <f t="shared" si="14"/>
        <v>1</v>
      </c>
      <c r="U7" s="30"/>
      <c r="V7" s="31">
        <v>5</v>
      </c>
      <c r="W7" s="32">
        <v>3</v>
      </c>
      <c r="X7" s="33" t="str">
        <f t="shared" si="2"/>
        <v>D</v>
      </c>
      <c r="Y7" s="34">
        <f t="shared" si="3"/>
        <v>0</v>
      </c>
      <c r="Z7" s="34">
        <f t="shared" si="4"/>
        <v>0</v>
      </c>
      <c r="AA7" s="55">
        <f t="shared" si="5"/>
        <v>0</v>
      </c>
      <c r="AB7" s="34">
        <f t="shared" si="6"/>
        <v>0</v>
      </c>
      <c r="AC7" s="35">
        <f t="shared" si="7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8"/>
        <v>0</v>
      </c>
      <c r="AV7" s="39" t="e">
        <f t="shared" si="9"/>
        <v>#VALUE!</v>
      </c>
      <c r="AW7" s="39">
        <f t="shared" si="25"/>
        <v>0</v>
      </c>
      <c r="AY7" s="6">
        <v>4</v>
      </c>
      <c r="AZ7" s="6">
        <f t="shared" si="10"/>
        <v>0</v>
      </c>
      <c r="BA7" s="6">
        <f t="shared" si="10"/>
        <v>0</v>
      </c>
      <c r="BB7" s="6">
        <f t="shared" si="10"/>
        <v>0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</v>
      </c>
      <c r="BL7" s="6">
        <f t="shared" si="11"/>
        <v>0</v>
      </c>
      <c r="BM7" s="6">
        <f t="shared" si="11"/>
        <v>0</v>
      </c>
      <c r="BN7" s="6">
        <f t="shared" si="11"/>
        <v>0</v>
      </c>
      <c r="BO7" s="6">
        <f t="shared" si="11"/>
        <v>0</v>
      </c>
      <c r="BP7" s="6">
        <f t="shared" si="11"/>
        <v>0</v>
      </c>
      <c r="BQ7" s="6">
        <f t="shared" si="11"/>
        <v>0</v>
      </c>
      <c r="BR7" s="6">
        <f t="shared" si="11"/>
        <v>0</v>
      </c>
      <c r="BS7" s="6">
        <f t="shared" si="11"/>
        <v>0</v>
      </c>
    </row>
    <row r="8" spans="1:71" x14ac:dyDescent="0.25">
      <c r="A8" s="51">
        <f t="shared" si="12"/>
        <v>1</v>
      </c>
      <c r="B8" s="25">
        <v>5</v>
      </c>
      <c r="C8" s="25" t="s">
        <v>47</v>
      </c>
      <c r="D8" s="76"/>
      <c r="E8" s="76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79"/>
      <c r="O8" s="80"/>
      <c r="P8" s="52"/>
      <c r="Q8" s="53"/>
      <c r="R8" s="8">
        <f t="shared" si="1"/>
        <v>0</v>
      </c>
      <c r="S8" s="8">
        <f t="shared" si="13"/>
        <v>0</v>
      </c>
      <c r="T8" s="54">
        <f t="shared" si="14"/>
        <v>1</v>
      </c>
      <c r="U8" s="30"/>
      <c r="V8" s="31">
        <v>3</v>
      </c>
      <c r="W8" s="32">
        <v>2</v>
      </c>
      <c r="X8" s="33" t="str">
        <f t="shared" si="2"/>
        <v>E</v>
      </c>
      <c r="Y8" s="34">
        <f t="shared" si="3"/>
        <v>0</v>
      </c>
      <c r="Z8" s="34">
        <f t="shared" si="4"/>
        <v>0</v>
      </c>
      <c r="AA8" s="55">
        <f t="shared" si="5"/>
        <v>0</v>
      </c>
      <c r="AB8" s="34">
        <f t="shared" si="6"/>
        <v>0</v>
      </c>
      <c r="AC8" s="35">
        <f t="shared" si="7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0</v>
      </c>
      <c r="AV8" s="39" t="e">
        <f t="shared" si="9"/>
        <v>#VALUE!</v>
      </c>
      <c r="AW8" s="39">
        <f t="shared" si="25"/>
        <v>0</v>
      </c>
      <c r="AY8" s="6">
        <v>5</v>
      </c>
      <c r="AZ8" s="6">
        <f t="shared" si="10"/>
        <v>0</v>
      </c>
      <c r="BA8" s="6">
        <f t="shared" si="10"/>
        <v>0</v>
      </c>
      <c r="BB8" s="6">
        <f t="shared" si="10"/>
        <v>0</v>
      </c>
      <c r="BC8" s="6">
        <f t="shared" si="10"/>
        <v>0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0</v>
      </c>
      <c r="BL8" s="6">
        <f t="shared" si="11"/>
        <v>0</v>
      </c>
      <c r="BM8" s="6">
        <f t="shared" si="11"/>
        <v>0</v>
      </c>
      <c r="BN8" s="6">
        <f t="shared" si="11"/>
        <v>0</v>
      </c>
      <c r="BO8" s="6">
        <f t="shared" si="11"/>
        <v>0</v>
      </c>
      <c r="BP8" s="6">
        <f t="shared" si="11"/>
        <v>0</v>
      </c>
      <c r="BQ8" s="6">
        <f t="shared" si="11"/>
        <v>0</v>
      </c>
      <c r="BR8" s="6">
        <f t="shared" si="11"/>
        <v>0</v>
      </c>
      <c r="BS8" s="6">
        <f t="shared" si="11"/>
        <v>0</v>
      </c>
    </row>
    <row r="9" spans="1:71" x14ac:dyDescent="0.25">
      <c r="A9" s="51">
        <f t="shared" si="12"/>
        <v>1</v>
      </c>
      <c r="B9" s="25">
        <v>6</v>
      </c>
      <c r="C9" s="25" t="s">
        <v>44</v>
      </c>
      <c r="D9" s="76"/>
      <c r="E9" s="76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79"/>
      <c r="O9" s="80"/>
      <c r="P9" s="52"/>
      <c r="Q9" s="53"/>
      <c r="R9" s="8">
        <f t="shared" si="1"/>
        <v>0</v>
      </c>
      <c r="S9" s="8">
        <f t="shared" si="13"/>
        <v>0</v>
      </c>
      <c r="T9" s="54">
        <f t="shared" si="14"/>
        <v>1</v>
      </c>
      <c r="U9" s="30"/>
      <c r="V9" s="31">
        <v>1</v>
      </c>
      <c r="W9" s="32">
        <v>1</v>
      </c>
      <c r="X9" s="33" t="str">
        <f t="shared" si="2"/>
        <v>F</v>
      </c>
      <c r="Y9" s="34">
        <f t="shared" si="3"/>
        <v>0</v>
      </c>
      <c r="Z9" s="34">
        <f t="shared" si="4"/>
        <v>0</v>
      </c>
      <c r="AA9" s="55">
        <f t="shared" si="5"/>
        <v>0</v>
      </c>
      <c r="AB9" s="34">
        <f t="shared" si="6"/>
        <v>0</v>
      </c>
      <c r="AC9" s="35">
        <f t="shared" si="7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8"/>
        <v>0</v>
      </c>
      <c r="AV9" s="39" t="e">
        <f t="shared" si="9"/>
        <v>#VALUE!</v>
      </c>
      <c r="AW9" s="39">
        <f t="shared" si="25"/>
        <v>0</v>
      </c>
      <c r="AY9" s="6">
        <v>6</v>
      </c>
      <c r="AZ9" s="6">
        <f t="shared" si="10"/>
        <v>0</v>
      </c>
      <c r="BA9" s="6">
        <f t="shared" si="10"/>
        <v>0</v>
      </c>
      <c r="BB9" s="6">
        <f t="shared" si="10"/>
        <v>0</v>
      </c>
      <c r="BC9" s="6">
        <f t="shared" si="10"/>
        <v>0</v>
      </c>
      <c r="BD9" s="6">
        <f t="shared" si="10"/>
        <v>0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0</v>
      </c>
      <c r="BM9" s="6">
        <f t="shared" si="11"/>
        <v>0</v>
      </c>
      <c r="BN9" s="6">
        <f t="shared" si="11"/>
        <v>0</v>
      </c>
      <c r="BO9" s="6">
        <f t="shared" si="11"/>
        <v>0</v>
      </c>
      <c r="BP9" s="6">
        <f t="shared" si="11"/>
        <v>0</v>
      </c>
      <c r="BQ9" s="6">
        <f t="shared" si="11"/>
        <v>0</v>
      </c>
      <c r="BR9" s="6">
        <f t="shared" si="11"/>
        <v>0</v>
      </c>
      <c r="BS9" s="6">
        <f t="shared" si="11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69" t="str">
        <f>VLOOKUP(AV14,$B$4:$F$9,2,FALSE)</f>
        <v>A</v>
      </c>
      <c r="F14" s="69"/>
      <c r="G14" s="69"/>
      <c r="H14" s="69"/>
      <c r="J14" s="69" t="str">
        <f>IF(ISBLANK(T14),"",IF(VALUE(T14)=Configuratie!$B$2,Configuratie!$D$2,IF(T14=Configuratie!$B$3,Configuratie!$D$3,IF(T14=Configuratie!$B$4,Configuratie!$D$4,IF(T14=Configuratie!$B$5,Configuratie!$D$5,IF(T14=Configuratie!$B$6,Configuratie!$D$6,IF(T14=Configuratie!$B$7,Configuratie!$D$7,IF(T14=Configuratie!$B$8,Configuratie!$D$8,""))))))))</f>
        <v/>
      </c>
      <c r="K14" s="69"/>
      <c r="L14" s="6" t="s">
        <v>5</v>
      </c>
      <c r="M14" s="69" t="str">
        <f>IF(ISBLANK(T14),"",IF(VALUE(T14)=Configuratie!$B$2,Configuratie!$E$2,IF(T14=Configuratie!$B$3,Configuratie!$E$3,IF(T14=Configuratie!$B$4,Configuratie!$E$4,IF(T14=Configuratie!$B$5,Configuratie!$E$5,IF(T14=Configuratie!$B$6,Configuratie!$E$6,IF(T14=Configuratie!$B$7,Configuratie!$E$7,IF(T14=Configuratie!$B$8,Configuratie!$E$8,""))))))))</f>
        <v/>
      </c>
      <c r="N14" s="69"/>
      <c r="R14" s="6" t="str">
        <f>IF(ISBLANK(T14),"",IF(VALUE(T14)=Configuratie!$B$2,Configuratie!$C$2,IF(T14=Configuratie!$B$3,Configuratie!$C$3,IF(T14=Configuratie!$B$4,Configuratie!$C$4,IF(T14=Configuratie!$B$5,Configuratie!$C$5,IF(T14=Configuratie!$B$6,Configuratie!$C$6,IF(T14=Configuratie!$B$7,Configuratie!$C$7,IF(T14=Configuratie!$B$8,Configuratie!$C$8,""))))))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69" t="str">
        <f>VLOOKUP(AV15,$B$4:$F$9,2,FALSE)</f>
        <v>B</v>
      </c>
      <c r="F15" s="69"/>
      <c r="G15" s="69"/>
      <c r="H15" s="69"/>
      <c r="J15" s="69" t="str">
        <f>IF(ISBLANK(T15),"",IF(VALUE(T15)=Configuratie!$B$2,Configuratie!$D$2,IF(T15=Configuratie!$B$3,Configuratie!$D$3,IF(T15=Configuratie!$B$4,Configuratie!$D$4,IF(T15=Configuratie!$B$5,Configuratie!$D$5,IF(T15=Configuratie!$B$6,Configuratie!$D$6,IF(T15=Configuratie!$B$7,Configuratie!$D$7,IF(T15=Configuratie!$B$8,Configuratie!$D$8,""))))))))</f>
        <v/>
      </c>
      <c r="K15" s="69"/>
      <c r="L15" s="6" t="s">
        <v>5</v>
      </c>
      <c r="M15" s="69" t="str">
        <f>IF(ISBLANK(T15),"",IF(VALUE(T15)=Configuratie!$B$2,Configuratie!$E$2,IF(T15=Configuratie!$B$3,Configuratie!$E$3,IF(T15=Configuratie!$B$4,Configuratie!$E$4,IF(T15=Configuratie!$B$5,Configuratie!$E$5,IF(T15=Configuratie!$B$6,Configuratie!$E$6,IF(T15=Configuratie!$B$7,Configuratie!$E$7,IF(T15=Configuratie!$B$8,Configuratie!$E$8,""))))))))</f>
        <v/>
      </c>
      <c r="N15" s="69"/>
      <c r="R15" s="6" t="str">
        <f>IF(ISBLANK(T15),"",IF(VALUE(T15)=Configuratie!$B$2,Configuratie!$C$2,IF(T15=Configuratie!$B$3,Configuratie!$C$3,IF(T15=Configuratie!$B$4,Configuratie!$C$4,IF(T15=Configuratie!$B$5,Configuratie!$C$5,IF(T15=Configuratie!$B$6,Configuratie!$C$6,IF(T15=Configuratie!$B$7,Configuratie!$C$7,IF(T15=Configuratie!$B$8,Configuratie!$C$8,""))))))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69" t="str">
        <f>VLOOKUP(AV16,$B$4:$F$9,2,FALSE)</f>
        <v>C</v>
      </c>
      <c r="F16" s="69"/>
      <c r="G16" s="69"/>
      <c r="H16" s="69"/>
      <c r="J16" s="69" t="str">
        <f>IF(ISBLANK(T16),"",IF(VALUE(T16)=Configuratie!$B$2,Configuratie!$D$2,IF(T16=Configuratie!$B$3,Configuratie!$D$3,IF(T16=Configuratie!$B$4,Configuratie!$D$4,IF(T16=Configuratie!$B$5,Configuratie!$D$5,IF(T16=Configuratie!$B$6,Configuratie!$D$6,IF(T16=Configuratie!$B$7,Configuratie!$D$7,IF(T16=Configuratie!$B$8,Configuratie!$D$8,""))))))))</f>
        <v/>
      </c>
      <c r="K16" s="69"/>
      <c r="L16" s="6" t="s">
        <v>5</v>
      </c>
      <c r="M16" s="69" t="str">
        <f>IF(ISBLANK(T16),"",IF(VALUE(T16)=Configuratie!$B$2,Configuratie!$E$2,IF(T16=Configuratie!$B$3,Configuratie!$E$3,IF(T16=Configuratie!$B$4,Configuratie!$E$4,IF(T16=Configuratie!$B$5,Configuratie!$E$5,IF(T16=Configuratie!$B$6,Configuratie!$E$6,IF(T16=Configuratie!$B$7,Configuratie!$E$7,IF(T16=Configuratie!$B$8,Configuratie!$E$8,""))))))))</f>
        <v/>
      </c>
      <c r="N16" s="69"/>
      <c r="R16" s="6" t="str">
        <f>IF(ISBLANK(T16),"",IF(VALUE(T16)=Configuratie!$B$2,Configuratie!$C$2,IF(T16=Configuratie!$B$3,Configuratie!$C$3,IF(T16=Configuratie!$B$4,Configuratie!$C$4,IF(T16=Configuratie!$B$5,Configuratie!$C$5,IF(T16=Configuratie!$B$6,Configuratie!$C$6,IF(T16=Configuratie!$B$7,Configuratie!$C$7,IF(T16=Configuratie!$B$8,Configuratie!$C$8,""))))))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69" t="str">
        <f>VLOOKUP(AV19,$B$4:$F$9,2,FALSE)</f>
        <v>C</v>
      </c>
      <c r="F19" s="69"/>
      <c r="G19" s="69"/>
      <c r="H19" s="69"/>
      <c r="J19" s="69" t="str">
        <f>IF(ISBLANK(T19),"",IF(VALUE(T19)=Configuratie!$B$2,Configuratie!$D$2,IF(T19=Configuratie!$B$3,Configuratie!$D$3,IF(T19=Configuratie!$B$4,Configuratie!$D$4,IF(T19=Configuratie!$B$5,Configuratie!$D$5,IF(T19=Configuratie!$B$6,Configuratie!$D$6,IF(T19=Configuratie!$B$7,Configuratie!$D$7,IF(T19=Configuratie!$B$8,Configuratie!$D$8,""))))))))</f>
        <v/>
      </c>
      <c r="K19" s="69"/>
      <c r="L19" s="6" t="s">
        <v>5</v>
      </c>
      <c r="M19" s="69" t="str">
        <f>IF(ISBLANK(T19),"",IF(VALUE(T19)=Configuratie!$B$2,Configuratie!$E$2,IF(T19=Configuratie!$B$3,Configuratie!$E$3,IF(T19=Configuratie!$B$4,Configuratie!$E$4,IF(T19=Configuratie!$B$5,Configuratie!$E$5,IF(T19=Configuratie!$B$6,Configuratie!$E$6,IF(T19=Configuratie!$B$7,Configuratie!$E$7,IF(T19=Configuratie!$B$8,Configuratie!$E$8,""))))))))</f>
        <v/>
      </c>
      <c r="N19" s="69"/>
      <c r="R19" s="6" t="str">
        <f>IF(ISBLANK(T19),"",IF(VALUE(T19)=Configuratie!$B$2,Configuratie!$C$2,IF(T19=Configuratie!$B$3,Configuratie!$C$3,IF(T19=Configuratie!$B$4,Configuratie!$C$4,IF(T19=Configuratie!$B$5,Configuratie!$C$5,IF(T19=Configuratie!$B$6,Configuratie!$C$6,IF(T19=Configuratie!$B$7,Configuratie!$C$7,IF(T19=Configuratie!$B$8,Configuratie!$C$8,""))))))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69" t="str">
        <f>VLOOKUP(AV20,$B$4:$F$9,2,FALSE)</f>
        <v>D</v>
      </c>
      <c r="F20" s="69"/>
      <c r="G20" s="69"/>
      <c r="H20" s="69"/>
      <c r="J20" s="69" t="str">
        <f>IF(ISBLANK(T20),"",IF(VALUE(T20)=Configuratie!$B$2,Configuratie!$D$2,IF(T20=Configuratie!$B$3,Configuratie!$D$3,IF(T20=Configuratie!$B$4,Configuratie!$D$4,IF(T20=Configuratie!$B$5,Configuratie!$D$5,IF(T20=Configuratie!$B$6,Configuratie!$D$6,IF(T20=Configuratie!$B$7,Configuratie!$D$7,IF(T20=Configuratie!$B$8,Configuratie!$D$8,""))))))))</f>
        <v/>
      </c>
      <c r="K20" s="69"/>
      <c r="L20" s="6" t="s">
        <v>5</v>
      </c>
      <c r="M20" s="69" t="str">
        <f>IF(ISBLANK(T20),"",IF(VALUE(T20)=Configuratie!$B$2,Configuratie!$E$2,IF(T20=Configuratie!$B$3,Configuratie!$E$3,IF(T20=Configuratie!$B$4,Configuratie!$E$4,IF(T20=Configuratie!$B$5,Configuratie!$E$5,IF(T20=Configuratie!$B$6,Configuratie!$E$6,IF(T20=Configuratie!$B$7,Configuratie!$E$7,IF(T20=Configuratie!$B$8,Configuratie!$E$8,""))))))))</f>
        <v/>
      </c>
      <c r="N20" s="69"/>
      <c r="R20" s="6" t="str">
        <f>IF(ISBLANK(T20),"",IF(VALUE(T20)=Configuratie!$B$2,Configuratie!$C$2,IF(T20=Configuratie!$B$3,Configuratie!$C$3,IF(T20=Configuratie!$B$4,Configuratie!$C$4,IF(T20=Configuratie!$B$5,Configuratie!$C$5,IF(T20=Configuratie!$B$6,Configuratie!$C$6,IF(T20=Configuratie!$B$7,Configuratie!$C$7,IF(T20=Configuratie!$B$8,Configuratie!$C$8,""))))))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69" t="str">
        <f>VLOOKUP(AV21,$B$4:$F$9,2,FALSE)</f>
        <v>E</v>
      </c>
      <c r="F21" s="69"/>
      <c r="G21" s="69"/>
      <c r="H21" s="69"/>
      <c r="J21" s="69" t="str">
        <f>IF(ISBLANK(T21),"",IF(VALUE(T21)=Configuratie!$B$2,Configuratie!$D$2,IF(T21=Configuratie!$B$3,Configuratie!$D$3,IF(T21=Configuratie!$B$4,Configuratie!$D$4,IF(T21=Configuratie!$B$5,Configuratie!$D$5,IF(T21=Configuratie!$B$6,Configuratie!$D$6,IF(T21=Configuratie!$B$7,Configuratie!$D$7,IF(T21=Configuratie!$B$8,Configuratie!$D$8,""))))))))</f>
        <v/>
      </c>
      <c r="K21" s="69"/>
      <c r="L21" s="6" t="s">
        <v>5</v>
      </c>
      <c r="M21" s="69" t="str">
        <f>IF(ISBLANK(T21),"",IF(VALUE(T21)=Configuratie!$B$2,Configuratie!$E$2,IF(T21=Configuratie!$B$3,Configuratie!$E$3,IF(T21=Configuratie!$B$4,Configuratie!$E$4,IF(T21=Configuratie!$B$5,Configuratie!$E$5,IF(T21=Configuratie!$B$6,Configuratie!$E$6,IF(T21=Configuratie!$B$7,Configuratie!$E$7,IF(T21=Configuratie!$B$8,Configuratie!$E$8,""))))))))</f>
        <v/>
      </c>
      <c r="N21" s="69"/>
      <c r="R21" s="6" t="str">
        <f>IF(ISBLANK(T21),"",IF(VALUE(T21)=Configuratie!$B$2,Configuratie!$C$2,IF(T21=Configuratie!$B$3,Configuratie!$C$3,IF(T21=Configuratie!$B$4,Configuratie!$C$4,IF(T21=Configuratie!$B$5,Configuratie!$C$5,IF(T21=Configuratie!$B$6,Configuratie!$C$6,IF(T21=Configuratie!$B$7,Configuratie!$C$7,IF(T21=Configuratie!$B$8,Configuratie!$C$8,""))))))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69" t="str">
        <f>VLOOKUP(AV24,$B$4:$F$9,2,FALSE)</f>
        <v>F</v>
      </c>
      <c r="F24" s="69"/>
      <c r="G24" s="69"/>
      <c r="H24" s="69"/>
      <c r="J24" s="69" t="str">
        <f>IF(ISBLANK(T24),"",IF(VALUE(T24)=Configuratie!$B$2,Configuratie!$D$2,IF(T24=Configuratie!$B$3,Configuratie!$D$3,IF(T24=Configuratie!$B$4,Configuratie!$D$4,IF(T24=Configuratie!$B$5,Configuratie!$D$5,IF(T24=Configuratie!$B$6,Configuratie!$D$6,IF(T24=Configuratie!$B$7,Configuratie!$D$7,IF(T24=Configuratie!$B$8,Configuratie!$D$8,""))))))))</f>
        <v/>
      </c>
      <c r="K24" s="69"/>
      <c r="L24" s="6" t="s">
        <v>5</v>
      </c>
      <c r="M24" s="69" t="str">
        <f>IF(ISBLANK(T24),"",IF(VALUE(T24)=Configuratie!$B$2,Configuratie!$E$2,IF(T24=Configuratie!$B$3,Configuratie!$E$3,IF(T24=Configuratie!$B$4,Configuratie!$E$4,IF(T24=Configuratie!$B$5,Configuratie!$E$5,IF(T24=Configuratie!$B$6,Configuratie!$E$6,IF(T24=Configuratie!$B$7,Configuratie!$E$7,IF(T24=Configuratie!$B$8,Configuratie!$E$8,""))))))))</f>
        <v/>
      </c>
      <c r="N24" s="69"/>
      <c r="R24" s="6" t="str">
        <f>IF(ISBLANK(T24),"",IF(VALUE(T24)=Configuratie!$B$2,Configuratie!$C$2,IF(T24=Configuratie!$B$3,Configuratie!$C$3,IF(T24=Configuratie!$B$4,Configuratie!$C$4,IF(T24=Configuratie!$B$5,Configuratie!$C$5,IF(T24=Configuratie!$B$6,Configuratie!$C$6,IF(T24=Configuratie!$B$7,Configuratie!$C$7,IF(T24=Configuratie!$B$8,Configuratie!$C$8,""))))))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69" t="str">
        <f>VLOOKUP(AV25,$B$4:$F$9,2,FALSE)</f>
        <v>A</v>
      </c>
      <c r="F25" s="69"/>
      <c r="G25" s="69"/>
      <c r="H25" s="69"/>
      <c r="J25" s="69" t="str">
        <f>IF(ISBLANK(T25),"",IF(VALUE(T25)=Configuratie!$B$2,Configuratie!$D$2,IF(T25=Configuratie!$B$3,Configuratie!$D$3,IF(T25=Configuratie!$B$4,Configuratie!$D$4,IF(T25=Configuratie!$B$5,Configuratie!$D$5,IF(T25=Configuratie!$B$6,Configuratie!$D$6,IF(T25=Configuratie!$B$7,Configuratie!$D$7,IF(T25=Configuratie!$B$8,Configuratie!$D$8,""))))))))</f>
        <v/>
      </c>
      <c r="K25" s="69"/>
      <c r="L25" s="6" t="s">
        <v>5</v>
      </c>
      <c r="M25" s="69" t="str">
        <f>IF(ISBLANK(T25),"",IF(VALUE(T25)=Configuratie!$B$2,Configuratie!$E$2,IF(T25=Configuratie!$B$3,Configuratie!$E$3,IF(T25=Configuratie!$B$4,Configuratie!$E$4,IF(T25=Configuratie!$B$5,Configuratie!$E$5,IF(T25=Configuratie!$B$6,Configuratie!$E$6,IF(T25=Configuratie!$B$7,Configuratie!$E$7,IF(T25=Configuratie!$B$8,Configuratie!$E$8,""))))))))</f>
        <v/>
      </c>
      <c r="N25" s="69"/>
      <c r="R25" s="6" t="str">
        <f>IF(ISBLANK(T25),"",IF(VALUE(T25)=Configuratie!$B$2,Configuratie!$C$2,IF(T25=Configuratie!$B$3,Configuratie!$C$3,IF(T25=Configuratie!$B$4,Configuratie!$C$4,IF(T25=Configuratie!$B$5,Configuratie!$C$5,IF(T25=Configuratie!$B$6,Configuratie!$C$6,IF(T25=Configuratie!$B$7,Configuratie!$C$7,IF(T25=Configuratie!$B$8,Configuratie!$C$8,""))))))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69" t="str">
        <f>VLOOKUP(AV26,$B$4:$F$9,2,FALSE)</f>
        <v>B</v>
      </c>
      <c r="F26" s="69"/>
      <c r="G26" s="69"/>
      <c r="H26" s="69"/>
      <c r="J26" s="69" t="str">
        <f>IF(ISBLANK(T26),"",IF(VALUE(T26)=Configuratie!$B$2,Configuratie!$D$2,IF(T26=Configuratie!$B$3,Configuratie!$D$3,IF(T26=Configuratie!$B$4,Configuratie!$D$4,IF(T26=Configuratie!$B$5,Configuratie!$D$5,IF(T26=Configuratie!$B$6,Configuratie!$D$6,IF(T26=Configuratie!$B$7,Configuratie!$D$7,IF(T26=Configuratie!$B$8,Configuratie!$D$8,""))))))))</f>
        <v/>
      </c>
      <c r="K26" s="69"/>
      <c r="L26" s="6" t="s">
        <v>5</v>
      </c>
      <c r="M26" s="69" t="str">
        <f>IF(ISBLANK(T26),"",IF(VALUE(T26)=Configuratie!$B$2,Configuratie!$E$2,IF(T26=Configuratie!$B$3,Configuratie!$E$3,IF(T26=Configuratie!$B$4,Configuratie!$E$4,IF(T26=Configuratie!$B$5,Configuratie!$E$5,IF(T26=Configuratie!$B$6,Configuratie!$E$6,IF(T26=Configuratie!$B$7,Configuratie!$E$7,IF(T26=Configuratie!$B$8,Configuratie!$E$8,""))))))))</f>
        <v/>
      </c>
      <c r="N26" s="69"/>
      <c r="R26" s="6" t="str">
        <f>IF(ISBLANK(T26),"",IF(VALUE(T26)=Configuratie!$B$2,Configuratie!$C$2,IF(T26=Configuratie!$B$3,Configuratie!$C$3,IF(T26=Configuratie!$B$4,Configuratie!$C$4,IF(T26=Configuratie!$B$5,Configuratie!$C$5,IF(T26=Configuratie!$B$6,Configuratie!$C$6,IF(T26=Configuratie!$B$7,Configuratie!$C$7,IF(T26=Configuratie!$B$8,Configuratie!$C$8,""))))))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69" t="str">
        <f>VLOOKUP(AV29,$B$4:$F$9,2,FALSE)</f>
        <v>B</v>
      </c>
      <c r="F29" s="69"/>
      <c r="G29" s="69"/>
      <c r="H29" s="69"/>
      <c r="J29" s="69" t="str">
        <f>IF(ISBLANK(T29),"",IF(VALUE(T29)=Configuratie!$B$2,Configuratie!$D$2,IF(T29=Configuratie!$B$3,Configuratie!$D$3,IF(T29=Configuratie!$B$4,Configuratie!$D$4,IF(T29=Configuratie!$B$5,Configuratie!$D$5,IF(T29=Configuratie!$B$6,Configuratie!$D$6,IF(T29=Configuratie!$B$7,Configuratie!$D$7,IF(T29=Configuratie!$B$8,Configuratie!$D$8,""))))))))</f>
        <v/>
      </c>
      <c r="K29" s="69"/>
      <c r="L29" s="6" t="s">
        <v>5</v>
      </c>
      <c r="M29" s="69" t="str">
        <f>IF(ISBLANK(T29),"",IF(VALUE(T29)=Configuratie!$B$2,Configuratie!$E$2,IF(T29=Configuratie!$B$3,Configuratie!$E$3,IF(T29=Configuratie!$B$4,Configuratie!$E$4,IF(T29=Configuratie!$B$5,Configuratie!$E$5,IF(T29=Configuratie!$B$6,Configuratie!$E$6,IF(T29=Configuratie!$B$7,Configuratie!$E$7,IF(T29=Configuratie!$B$8,Configuratie!$E$8,""))))))))</f>
        <v/>
      </c>
      <c r="N29" s="69"/>
      <c r="R29" s="6" t="str">
        <f>IF(ISBLANK(T29),"",IF(VALUE(T29)=Configuratie!$B$2,Configuratie!$C$2,IF(T29=Configuratie!$B$3,Configuratie!$C$3,IF(T29=Configuratie!$B$4,Configuratie!$C$4,IF(T29=Configuratie!$B$5,Configuratie!$C$5,IF(T29=Configuratie!$B$6,Configuratie!$C$6,IF(T29=Configuratie!$B$7,Configuratie!$C$7,IF(T29=Configuratie!$B$8,Configuratie!$C$8,""))))))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69" t="str">
        <f>VLOOKUP(AV30,$B$4:$F$9,2,FALSE)</f>
        <v>C</v>
      </c>
      <c r="F30" s="69"/>
      <c r="G30" s="69"/>
      <c r="H30" s="69"/>
      <c r="J30" s="69" t="str">
        <f>IF(ISBLANK(T30),"",IF(VALUE(T30)=Configuratie!$B$2,Configuratie!$D$2,IF(T30=Configuratie!$B$3,Configuratie!$D$3,IF(T30=Configuratie!$B$4,Configuratie!$D$4,IF(T30=Configuratie!$B$5,Configuratie!$D$5,IF(T30=Configuratie!$B$6,Configuratie!$D$6,IF(T30=Configuratie!$B$7,Configuratie!$D$7,IF(T30=Configuratie!$B$8,Configuratie!$D$8,""))))))))</f>
        <v/>
      </c>
      <c r="K30" s="69"/>
      <c r="L30" s="6" t="s">
        <v>5</v>
      </c>
      <c r="M30" s="69" t="str">
        <f>IF(ISBLANK(T30),"",IF(VALUE(T30)=Configuratie!$B$2,Configuratie!$E$2,IF(T30=Configuratie!$B$3,Configuratie!$E$3,IF(T30=Configuratie!$B$4,Configuratie!$E$4,IF(T30=Configuratie!$B$5,Configuratie!$E$5,IF(T30=Configuratie!$B$6,Configuratie!$E$6,IF(T30=Configuratie!$B$7,Configuratie!$E$7,IF(T30=Configuratie!$B$8,Configuratie!$E$8,""))))))))</f>
        <v/>
      </c>
      <c r="N30" s="69"/>
      <c r="R30" s="6" t="str">
        <f>IF(ISBLANK(T30),"",IF(VALUE(T30)=Configuratie!$B$2,Configuratie!$C$2,IF(T30=Configuratie!$B$3,Configuratie!$C$3,IF(T30=Configuratie!$B$4,Configuratie!$C$4,IF(T30=Configuratie!$B$5,Configuratie!$C$5,IF(T30=Configuratie!$B$6,Configuratie!$C$6,IF(T30=Configuratie!$B$7,Configuratie!$C$7,IF(T30=Configuratie!$B$8,Configuratie!$C$8,""))))))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69" t="str">
        <f>VLOOKUP(AV31,$B$4:$F$9,2,FALSE)</f>
        <v>D</v>
      </c>
      <c r="F31" s="69"/>
      <c r="G31" s="69"/>
      <c r="H31" s="69"/>
      <c r="J31" s="69" t="str">
        <f>IF(ISBLANK(T31),"",IF(VALUE(T31)=Configuratie!$B$2,Configuratie!$D$2,IF(T31=Configuratie!$B$3,Configuratie!$D$3,IF(T31=Configuratie!$B$4,Configuratie!$D$4,IF(T31=Configuratie!$B$5,Configuratie!$D$5,IF(T31=Configuratie!$B$6,Configuratie!$D$6,IF(T31=Configuratie!$B$7,Configuratie!$D$7,IF(T31=Configuratie!$B$8,Configuratie!$D$8,""))))))))</f>
        <v/>
      </c>
      <c r="K31" s="69"/>
      <c r="L31" s="6" t="s">
        <v>5</v>
      </c>
      <c r="M31" s="69" t="str">
        <f>IF(ISBLANK(T31),"",IF(VALUE(T31)=Configuratie!$B$2,Configuratie!$E$2,IF(T31=Configuratie!$B$3,Configuratie!$E$3,IF(T31=Configuratie!$B$4,Configuratie!$E$4,IF(T31=Configuratie!$B$5,Configuratie!$E$5,IF(T31=Configuratie!$B$6,Configuratie!$E$6,IF(T31=Configuratie!$B$7,Configuratie!$E$7,IF(T31=Configuratie!$B$8,Configuratie!$E$8,""))))))))</f>
        <v/>
      </c>
      <c r="N31" s="69"/>
      <c r="R31" s="6" t="str">
        <f>IF(ISBLANK(T31),"",IF(VALUE(T31)=Configuratie!$B$2,Configuratie!$C$2,IF(T31=Configuratie!$B$3,Configuratie!$C$3,IF(T31=Configuratie!$B$4,Configuratie!$C$4,IF(T31=Configuratie!$B$5,Configuratie!$C$5,IF(T31=Configuratie!$B$6,Configuratie!$C$6,IF(T31=Configuratie!$B$7,Configuratie!$C$7,IF(T31=Configuratie!$B$8,Configuratie!$C$8,""))))))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69" t="str">
        <f>VLOOKUP(AV34,$B$4:$F$9,2,FALSE)</f>
        <v>F</v>
      </c>
      <c r="F34" s="69"/>
      <c r="G34" s="69"/>
      <c r="H34" s="69"/>
      <c r="J34" s="69" t="str">
        <f>IF(ISBLANK(T34),"",IF(VALUE(T34)=Configuratie!$B$2,Configuratie!$D$2,IF(T34=Configuratie!$B$3,Configuratie!$D$3,IF(T34=Configuratie!$B$4,Configuratie!$D$4,IF(T34=Configuratie!$B$5,Configuratie!$D$5,IF(T34=Configuratie!$B$6,Configuratie!$D$6,IF(T34=Configuratie!$B$7,Configuratie!$D$7,IF(T34=Configuratie!$B$8,Configuratie!$D$8,""))))))))</f>
        <v/>
      </c>
      <c r="K34" s="69"/>
      <c r="L34" s="6" t="s">
        <v>5</v>
      </c>
      <c r="M34" s="69" t="str">
        <f>IF(ISBLANK(T34),"",IF(VALUE(T34)=Configuratie!$B$2,Configuratie!$E$2,IF(T34=Configuratie!$B$3,Configuratie!$E$3,IF(T34=Configuratie!$B$4,Configuratie!$E$4,IF(T34=Configuratie!$B$5,Configuratie!$E$5,IF(T34=Configuratie!$B$6,Configuratie!$E$6,IF(T34=Configuratie!$B$7,Configuratie!$E$7,IF(T34=Configuratie!$B$8,Configuratie!$E$8,""))))))))</f>
        <v/>
      </c>
      <c r="N34" s="69"/>
      <c r="R34" s="6" t="str">
        <f>IF(ISBLANK(T34),"",IF(VALUE(T34)=Configuratie!$B$2,Configuratie!$C$2,IF(T34=Configuratie!$B$3,Configuratie!$C$3,IF(T34=Configuratie!$B$4,Configuratie!$C$4,IF(T34=Configuratie!$B$5,Configuratie!$C$5,IF(T34=Configuratie!$B$6,Configuratie!$C$6,IF(T34=Configuratie!$B$7,Configuratie!$C$7,IF(T34=Configuratie!$B$8,Configuratie!$C$8,""))))))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E</v>
      </c>
      <c r="D35" s="46" t="s">
        <v>5</v>
      </c>
      <c r="E35" s="69" t="str">
        <f>VLOOKUP(AV35,$B$4:$F$9,2,FALSE)</f>
        <v>C</v>
      </c>
      <c r="F35" s="69"/>
      <c r="G35" s="69"/>
      <c r="H35" s="69"/>
      <c r="J35" s="69" t="str">
        <f>IF(ISBLANK(T35),"",IF(VALUE(T35)=Configuratie!$B$2,Configuratie!$D$2,IF(T35=Configuratie!$B$3,Configuratie!$D$3,IF(T35=Configuratie!$B$4,Configuratie!$D$4,IF(T35=Configuratie!$B$5,Configuratie!$D$5,IF(T35=Configuratie!$B$6,Configuratie!$D$6,IF(T35=Configuratie!$B$7,Configuratie!$D$7,IF(T35=Configuratie!$B$8,Configuratie!$D$8,""))))))))</f>
        <v/>
      </c>
      <c r="K35" s="69"/>
      <c r="L35" s="6" t="s">
        <v>5</v>
      </c>
      <c r="M35" s="69" t="str">
        <f>IF(ISBLANK(T35),"",IF(VALUE(T35)=Configuratie!$B$2,Configuratie!$E$2,IF(T35=Configuratie!$B$3,Configuratie!$E$3,IF(T35=Configuratie!$B$4,Configuratie!$E$4,IF(T35=Configuratie!$B$5,Configuratie!$E$5,IF(T35=Configuratie!$B$6,Configuratie!$E$6,IF(T35=Configuratie!$B$7,Configuratie!$E$7,IF(T35=Configuratie!$B$8,Configuratie!$E$8,""))))))))</f>
        <v/>
      </c>
      <c r="N35" s="69"/>
      <c r="R35" s="6" t="str">
        <f>IF(ISBLANK(T35),"",IF(VALUE(T35)=Configuratie!$B$2,Configuratie!$C$2,IF(T35=Configuratie!$B$3,Configuratie!$C$3,IF(T35=Configuratie!$B$4,Configuratie!$C$4,IF(T35=Configuratie!$B$5,Configuratie!$C$5,IF(T35=Configuratie!$B$6,Configuratie!$C$6,IF(T35=Configuratie!$B$7,Configuratie!$C$7,IF(T35=Configuratie!$B$8,Configuratie!$C$8,""))))))))</f>
        <v/>
      </c>
      <c r="T35" s="5"/>
      <c r="AT35" s="6">
        <v>5</v>
      </c>
      <c r="AU35" s="6">
        <v>5</v>
      </c>
      <c r="AV35" s="6">
        <v>3</v>
      </c>
      <c r="AW35" s="6" t="str">
        <f t="shared" ref="AW35:AW36" si="36">IF(AND(ISNUMBER(J35),ISNUMBER(M35)),IF(J35+M35=1,1,0),"")</f>
        <v/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69" t="str">
        <f>VLOOKUP(AV36,$B$4:$F$9,2,FALSE)</f>
        <v>A</v>
      </c>
      <c r="F36" s="69"/>
      <c r="G36" s="69"/>
      <c r="H36" s="69"/>
      <c r="J36" s="69" t="str">
        <f>IF(ISBLANK(T36),"",IF(VALUE(T36)=Configuratie!$B$2,Configuratie!$D$2,IF(T36=Configuratie!$B$3,Configuratie!$D$3,IF(T36=Configuratie!$B$4,Configuratie!$D$4,IF(T36=Configuratie!$B$5,Configuratie!$D$5,IF(T36=Configuratie!$B$6,Configuratie!$D$6,IF(T36=Configuratie!$B$7,Configuratie!$D$7,IF(T36=Configuratie!$B$8,Configuratie!$D$8,""))))))))</f>
        <v/>
      </c>
      <c r="K36" s="69"/>
      <c r="L36" s="6" t="s">
        <v>5</v>
      </c>
      <c r="M36" s="69" t="str">
        <f>IF(ISBLANK(T36),"",IF(VALUE(T36)=Configuratie!$B$2,Configuratie!$E$2,IF(T36=Configuratie!$B$3,Configuratie!$E$3,IF(T36=Configuratie!$B$4,Configuratie!$E$4,IF(T36=Configuratie!$B$5,Configuratie!$E$5,IF(T36=Configuratie!$B$6,Configuratie!$E$6,IF(T36=Configuratie!$B$7,Configuratie!$E$7,IF(T36=Configuratie!$B$8,Configuratie!$E$8,""))))))))</f>
        <v/>
      </c>
      <c r="N36" s="69"/>
      <c r="R36" s="6" t="str">
        <f>IF(ISBLANK(T36),"",IF(VALUE(T36)=Configuratie!$B$2,Configuratie!$C$2,IF(T36=Configuratie!$B$3,Configuratie!$C$3,IF(T36=Configuratie!$B$4,Configuratie!$C$4,IF(T36=Configuratie!$B$5,Configuratie!$C$5,IF(T36=Configuratie!$B$6,Configuratie!$C$6,IF(T36=Configuratie!$B$7,Configuratie!$C$7,IF(T36=Configuratie!$B$8,Configuratie!$C$8,""))))))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69"/>
      <c r="N52" s="69"/>
    </row>
    <row r="53" spans="13:14" x14ac:dyDescent="0.25">
      <c r="M53" s="69"/>
      <c r="N53" s="69"/>
    </row>
    <row r="54" spans="13:14" x14ac:dyDescent="0.25">
      <c r="M54" s="69"/>
      <c r="N54" s="69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N5:O5"/>
    <mergeCell ref="N6:O6"/>
    <mergeCell ref="M52:N52"/>
    <mergeCell ref="M53:N53"/>
    <mergeCell ref="M54:N54"/>
    <mergeCell ref="N7:O7"/>
    <mergeCell ref="N8:O8"/>
    <mergeCell ref="N9:O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D5:E5"/>
    <mergeCell ref="D6:E6"/>
    <mergeCell ref="D7:E7"/>
    <mergeCell ref="D8:E8"/>
    <mergeCell ref="D9:E9"/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P21"/>
  <sheetViews>
    <sheetView view="pageBreakPreview" topLeftCell="C1" zoomScaleNormal="100" zoomScaleSheetLayoutView="100" workbookViewId="0">
      <selection activeCell="S13" sqref="S13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8" width="9.140625" style="6" hidden="1" customWidth="1"/>
    <col min="69" max="85" width="9.140625" style="6" customWidth="1"/>
    <col min="86" max="16384" width="9.140625" style="6"/>
  </cols>
  <sheetData>
    <row r="1" spans="1:67" ht="26.25" x14ac:dyDescent="0.4"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15"/>
      <c r="U1" s="70" t="str">
        <f>"UITSLAG " &amp; G1</f>
        <v>UITSLAG GROEP A</v>
      </c>
      <c r="V1" s="68"/>
      <c r="W1" s="68"/>
      <c r="X1" s="68"/>
      <c r="Y1" s="68"/>
      <c r="Z1" s="68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68" t="s">
        <v>22</v>
      </c>
      <c r="AW2" s="68"/>
      <c r="AX2" s="68"/>
      <c r="AY2" s="68"/>
      <c r="AZ2" s="68"/>
      <c r="BA2" s="68"/>
      <c r="BB2" s="68"/>
      <c r="BC2" s="68"/>
      <c r="BD2" s="68"/>
      <c r="BE2" s="17"/>
      <c r="BF2" s="18"/>
      <c r="BG2" s="68" t="s">
        <v>23</v>
      </c>
      <c r="BH2" s="68"/>
      <c r="BI2" s="68"/>
      <c r="BJ2" s="68"/>
      <c r="BK2" s="68"/>
      <c r="BL2" s="68"/>
      <c r="BM2" s="68"/>
      <c r="BN2" s="68"/>
      <c r="BO2" s="68"/>
    </row>
    <row r="3" spans="1:67" x14ac:dyDescent="0.25">
      <c r="B3" s="19" t="s">
        <v>4</v>
      </c>
      <c r="C3" s="19" t="s">
        <v>6</v>
      </c>
      <c r="D3" s="73" t="s">
        <v>7</v>
      </c>
      <c r="E3" s="73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76"/>
      <c r="E4" s="76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IF(ISNA(VLOOKUP(B4,$A$4:$T$7,3,FALSE)),C4,VLOOKUP(B4,$A$4:$T$7,3,FALSE))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IF(R4=$R$4,IF(M4="",0,M4))+IF(R4=$R$5,IF(N4="",0,N4))+IF(R4=$R$6,IF(O4="",0,O4))+IF(R4=$R$7,IF(P4="",0,P4))</f>
        <v>0</v>
      </c>
      <c r="AE4" s="30">
        <f>$AD$9*R4+AD4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76"/>
      <c r="E5" s="76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IF(R5=$R$4,IF(M5="",0,M5))+IF(R5=$R$5,IF(N5="",0,N5))+IF(R5=$R$6,IF(O5="",0,O5))+IF(R5=$R$7,IF(P5="",0,P5))</f>
        <v>0</v>
      </c>
      <c r="AE5" s="30">
        <f t="shared" ref="AE5:AE7" si="11">$AD$9*R5+AD5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2">$AF$9*AE5+AF5</f>
        <v>0</v>
      </c>
      <c r="AH5" s="30">
        <f t="shared" ref="AH5:AH7" si="13">IF(AG5=$AG$4,IF(M5="",0,M5))+IF(AG5=$AG$5,IF(N5="",0,N5))+IF(AG5=$AG$6,IF(O5="",0,O5))+IF(AG5=$AG$7,IF(O5="",0,O5))</f>
        <v>0</v>
      </c>
      <c r="AI5" s="30">
        <f t="shared" ref="AI5:AI7" si="14">$AH$9*AG5+AJ5</f>
        <v>0</v>
      </c>
      <c r="AJ5" s="30"/>
      <c r="AK5" s="30">
        <f t="shared" ref="AK5:AK7" si="15">RANK(AI5,$AI$4:$AI$7,1)-1</f>
        <v>0</v>
      </c>
      <c r="AL5" s="30">
        <f t="shared" ref="AL5:AL7" si="16">RANK(R5,$R$4:$R$7,1)-1</f>
        <v>0</v>
      </c>
      <c r="AM5" s="30">
        <f t="shared" ref="AM5:AM7" si="17">4*AK5+AL5</f>
        <v>0</v>
      </c>
      <c r="AN5" s="30">
        <f t="shared" ref="AN5:AN7" si="18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9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20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76"/>
      <c r="E6" s="76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 t="shared" si="11"/>
        <v>0</v>
      </c>
      <c r="AF6" s="30">
        <f>IF(AE6=$AEE$4,IF(M6="",0,M6))+IF(AE6=$AE$5,IF(N6="",0,N6))+IF(AE6=$AE$6,IF(O6="",0,O6))+IF(AE6=$AE$7,IF(P6="",0,P6))</f>
        <v>0</v>
      </c>
      <c r="AG6" s="30">
        <f t="shared" si="12"/>
        <v>0</v>
      </c>
      <c r="AH6" s="30">
        <f t="shared" si="13"/>
        <v>0</v>
      </c>
      <c r="AI6" s="30">
        <f t="shared" si="14"/>
        <v>0</v>
      </c>
      <c r="AJ6" s="30"/>
      <c r="AK6" s="30">
        <f t="shared" si="15"/>
        <v>0</v>
      </c>
      <c r="AL6" s="30">
        <f t="shared" si="16"/>
        <v>0</v>
      </c>
      <c r="AM6" s="30">
        <f t="shared" si="17"/>
        <v>0</v>
      </c>
      <c r="AN6" s="30">
        <f t="shared" si="18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9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20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76"/>
      <c r="E7" s="76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 t="shared" si="11"/>
        <v>0</v>
      </c>
      <c r="AF7" s="30">
        <f>IF(AE7=$AEE$4,IF(M7="",0,M7))+IF(AE7=$AE$5,IF(N7="",0,N7))+IF(AE7=$AE$6,IF(O7="",0,O7))+IF(AE7=$AE$7,IF(P7="",0,P7))</f>
        <v>0</v>
      </c>
      <c r="AG7" s="30">
        <f t="shared" si="12"/>
        <v>0</v>
      </c>
      <c r="AH7" s="30">
        <f t="shared" si="13"/>
        <v>0</v>
      </c>
      <c r="AI7" s="30">
        <f t="shared" si="14"/>
        <v>0</v>
      </c>
      <c r="AJ7" s="30"/>
      <c r="AK7" s="30">
        <f t="shared" si="15"/>
        <v>0</v>
      </c>
      <c r="AL7" s="30">
        <f t="shared" si="16"/>
        <v>0</v>
      </c>
      <c r="AM7" s="30">
        <f t="shared" si="17"/>
        <v>0</v>
      </c>
      <c r="AN7" s="30">
        <f t="shared" si="18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9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20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1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69" t="str">
        <f>VLOOKUP(AR12,$B$4:$F$7,2,FALSE)</f>
        <v>A</v>
      </c>
      <c r="F12" s="69"/>
      <c r="G12" s="69"/>
      <c r="H12" s="69"/>
      <c r="J12" s="69" t="str">
        <f>IF(ISBLANK(S12),"",IF(VALUE(S12)=Configuratie!$B$2,Configuratie!$D$2,IF(S12=Configuratie!$B$3,Configuratie!$D$3,IF(S12=Configuratie!$B$4,Configuratie!$D$4,IF(S12=Configuratie!$B$5,Configuratie!$D$5,IF(S12=Configuratie!$B$6,Configuratie!$D$6,IF(S12=Configuratie!$B$7,Configuratie!$D$7,IF(S12=Configuratie!$B$8,Configuratie!$D$8,""))))))))</f>
        <v/>
      </c>
      <c r="K12" s="69"/>
      <c r="L12" s="47" t="s">
        <v>5</v>
      </c>
      <c r="N12" s="69" t="str">
        <f>IF(ISBLANK(S12),"",IF(VALUE(S12)=Configuratie!$B$2,Configuratie!$E$2,IF(S12=Configuratie!$B$3,Configuratie!$E$3,IF(S12=Configuratie!$B$4,Configuratie!$E$4,IF(S12=Configuratie!$B$5,Configuratie!$E$5,IF(S12=Configuratie!$B$6,Configuratie!$E$6,IF(S12=Configuratie!$B$7,Configuratie!$E$7,IF(S12=Configuratie!$B$8,Configuratie!$E$8,""))))))))</f>
        <v/>
      </c>
      <c r="O12" s="69"/>
      <c r="Q12" s="6" t="str">
        <f>IF(ISBLANK(S12),"",IF(VALUE(S12)=Configuratie!$B$2,Configuratie!$C$2,IF(S12=Configuratie!$B$3,Configuratie!$C$3,IF(S12=Configuratie!$B$4,Configuratie!$C$4,IF(S12=Configuratie!$B$5,Configuratie!$C$5,IF(S12=Configuratie!$B$6,Configuratie!$C$6,IF(S12=Configuratie!$B$7,Configuratie!$C$7,IF(S12=Configuratie!$B$8,Configuratie!$C$8,""))))))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69" t="str">
        <f>VLOOKUP(AR13,$B$4:$F$7,2,FALSE)</f>
        <v>B</v>
      </c>
      <c r="F13" s="69"/>
      <c r="G13" s="69"/>
      <c r="H13" s="69"/>
      <c r="J13" s="69" t="str">
        <f>IF(ISBLANK(S13),"",IF(VALUE(S13)=Configuratie!$B$2,Configuratie!$D$2,IF(S13=Configuratie!$B$3,Configuratie!$D$3,IF(S13=Configuratie!$B$4,Configuratie!$D$4,IF(S13=Configuratie!$B$5,Configuratie!$D$5,IF(S13=Configuratie!$B$6,Configuratie!$D$6,IF(S13=Configuratie!$B$7,Configuratie!$D$7,IF(S13=Configuratie!$B$8,Configuratie!$D$8,""))))))))</f>
        <v/>
      </c>
      <c r="K13" s="69"/>
      <c r="L13" s="47" t="s">
        <v>5</v>
      </c>
      <c r="N13" s="69" t="str">
        <f>IF(ISBLANK(S13),"",IF(VALUE(S13)=Configuratie!$B$2,Configuratie!$E$2,IF(S13=Configuratie!$B$3,Configuratie!$E$3,IF(S13=Configuratie!$B$4,Configuratie!$E$4,IF(S13=Configuratie!$B$5,Configuratie!$E$5,IF(S13=Configuratie!$B$6,Configuratie!$E$6,IF(S13=Configuratie!$B$7,Configuratie!$E$7,IF(S13=Configuratie!$B$8,Configuratie!$E$8,""))))))))</f>
        <v/>
      </c>
      <c r="O13" s="69"/>
      <c r="Q13" s="6" t="str">
        <f>IF(ISBLANK(S13),"",IF(VALUE(S13)=Configuratie!$B$2,Configuratie!$C$2,IF(S13=Configuratie!$B$3,Configuratie!$C$3,IF(S13=Configuratie!$B$4,Configuratie!$C$4,IF(S13=Configuratie!$B$5,Configuratie!$C$5,IF(S13=Configuratie!$B$6,Configuratie!$C$6,IF(S13=Configuratie!$B$7,Configuratie!$C$7,IF(S13=Configuratie!$B$8,Configuratie!$C$8,""))))))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69" t="str">
        <f>VLOOKUP(AR16,$B$4:$F$7,2,FALSE)</f>
        <v>B</v>
      </c>
      <c r="F16" s="69"/>
      <c r="G16" s="69"/>
      <c r="H16" s="69"/>
      <c r="J16" s="69" t="str">
        <f>IF(ISBLANK(S16),"",IF(VALUE(S16)=Configuratie!$B$2,Configuratie!$D$2,IF(S16=Configuratie!$B$3,Configuratie!$D$3,IF(S16=Configuratie!$B$4,Configuratie!$D$4,IF(S16=Configuratie!$B$5,Configuratie!$D$5,IF(S16=Configuratie!$B$6,Configuratie!$D$6,IF(S16=Configuratie!$B$7,Configuratie!$D$7,IF(S16=Configuratie!$B$8,Configuratie!$D$8,""))))))))</f>
        <v/>
      </c>
      <c r="K16" s="69"/>
      <c r="L16" s="47" t="s">
        <v>5</v>
      </c>
      <c r="N16" s="69" t="str">
        <f>IF(ISBLANK(S16),"",IF(VALUE(S16)=Configuratie!$B$2,Configuratie!$E$2,IF(S16=Configuratie!$B$3,Configuratie!$E$3,IF(S16=Configuratie!$B$4,Configuratie!$E$4,IF(S16=Configuratie!$B$5,Configuratie!$E$5,IF(S16=Configuratie!$B$6,Configuratie!$E$6,IF(S16=Configuratie!$B$7,Configuratie!$E$7,IF(S16=Configuratie!$B$8,Configuratie!$E$8,""))))))))</f>
        <v/>
      </c>
      <c r="O16" s="69"/>
      <c r="Q16" s="6" t="str">
        <f>IF(ISBLANK(S16),"",IF(VALUE(S16)=Configuratie!$B$2,Configuratie!$C$2,IF(S16=Configuratie!$B$3,Configuratie!$C$3,IF(S16=Configuratie!$B$4,Configuratie!$C$4,IF(S16=Configuratie!$B$5,Configuratie!$C$5,IF(S16=Configuratie!$B$6,Configuratie!$C$6,IF(S16=Configuratie!$B$7,Configuratie!$C$7,IF(S16=Configuratie!$B$8,Configuratie!$C$8,""))))))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69" t="str">
        <f>VLOOKUP(AR17,$B$4:$F$7,2,FALSE)</f>
        <v>C</v>
      </c>
      <c r="F17" s="69"/>
      <c r="G17" s="69"/>
      <c r="H17" s="69"/>
      <c r="J17" s="69" t="str">
        <f>IF(ISBLANK(S17),"",IF(VALUE(S17)=Configuratie!$B$2,Configuratie!$D$2,IF(S17=Configuratie!$B$3,Configuratie!$D$3,IF(S17=Configuratie!$B$4,Configuratie!$D$4,IF(S17=Configuratie!$B$5,Configuratie!$D$5,IF(S17=Configuratie!$B$6,Configuratie!$D$6,IF(S17=Configuratie!$B$7,Configuratie!$D$7,IF(S17=Configuratie!$B$8,Configuratie!$D$8,""))))))))</f>
        <v/>
      </c>
      <c r="K17" s="69"/>
      <c r="L17" s="47" t="s">
        <v>5</v>
      </c>
      <c r="N17" s="69" t="str">
        <f>IF(ISBLANK(S17),"",IF(VALUE(S17)=Configuratie!$B$2,Configuratie!$E$2,IF(S17=Configuratie!$B$3,Configuratie!$E$3,IF(S17=Configuratie!$B$4,Configuratie!$E$4,IF(S17=Configuratie!$B$5,Configuratie!$E$5,IF(S17=Configuratie!$B$6,Configuratie!$E$6,IF(S17=Configuratie!$B$7,Configuratie!$E$7,IF(S17=Configuratie!$B$8,Configuratie!$E$8,""))))))))</f>
        <v/>
      </c>
      <c r="O17" s="69"/>
      <c r="Q17" s="6" t="str">
        <f>IF(ISBLANK(S17),"",IF(VALUE(S17)=Configuratie!$B$2,Configuratie!$C$2,IF(S17=Configuratie!$B$3,Configuratie!$C$3,IF(S17=Configuratie!$B$4,Configuratie!$C$4,IF(S17=Configuratie!$B$5,Configuratie!$C$5,IF(S17=Configuratie!$B$6,Configuratie!$C$6,IF(S17=Configuratie!$B$7,Configuratie!$C$7,IF(S17=Configuratie!$B$8,Configuratie!$C$8,""))))))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69" t="str">
        <f>VLOOKUP(AR20,$B$4:$F$7,2,FALSE)</f>
        <v>D</v>
      </c>
      <c r="F20" s="69"/>
      <c r="G20" s="69"/>
      <c r="H20" s="69"/>
      <c r="J20" s="69" t="str">
        <f>IF(ISBLANK(S20),"",IF(VALUE(S20)=Configuratie!$B$2,Configuratie!$D$2,IF(S20=Configuratie!$B$3,Configuratie!$D$3,IF(S20=Configuratie!$B$4,Configuratie!$D$4,IF(S20=Configuratie!$B$5,Configuratie!$D$5,IF(S20=Configuratie!$B$6,Configuratie!$D$6,IF(S20=Configuratie!$B$7,Configuratie!$D$7,IF(S20=Configuratie!$B$8,Configuratie!$D$8,""))))))))</f>
        <v/>
      </c>
      <c r="K20" s="69"/>
      <c r="L20" s="47" t="s">
        <v>5</v>
      </c>
      <c r="N20" s="69" t="str">
        <f>IF(ISBLANK(S20),"",IF(VALUE(S20)=Configuratie!$B$2,Configuratie!$E$2,IF(S20=Configuratie!$B$3,Configuratie!$E$3,IF(S20=Configuratie!$B$4,Configuratie!$E$4,IF(S20=Configuratie!$B$5,Configuratie!$E$5,IF(S20=Configuratie!$B$6,Configuratie!$E$6,IF(S20=Configuratie!$B$7,Configuratie!$E$7,IF(S20=Configuratie!$B$8,Configuratie!$E$8,""))))))))</f>
        <v/>
      </c>
      <c r="O20" s="69"/>
      <c r="Q20" s="6" t="str">
        <f>IF(ISBLANK(S20),"",IF(VALUE(S20)=Configuratie!$B$2,Configuratie!$C$2,IF(S20=Configuratie!$B$3,Configuratie!$C$3,IF(S20=Configuratie!$B$4,Configuratie!$C$4,IF(S20=Configuratie!$B$5,Configuratie!$C$5,IF(S20=Configuratie!$B$6,Configuratie!$C$6,IF(S20=Configuratie!$B$7,Configuratie!$C$7,IF(S20=Configuratie!$B$8,Configuratie!$C$8,""))))))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69" t="str">
        <f>VLOOKUP(AR21,$B$4:$F$7,2,FALSE)</f>
        <v>A</v>
      </c>
      <c r="F21" s="69"/>
      <c r="G21" s="69"/>
      <c r="H21" s="69"/>
      <c r="J21" s="69" t="str">
        <f>IF(ISBLANK(S21),"",IF(VALUE(S21)=Configuratie!$B$2,Configuratie!$D$2,IF(S21=Configuratie!$B$3,Configuratie!$D$3,IF(S21=Configuratie!$B$4,Configuratie!$D$4,IF(S21=Configuratie!$B$5,Configuratie!$D$5,IF(S21=Configuratie!$B$6,Configuratie!$D$6,IF(S21=Configuratie!$B$7,Configuratie!$D$7,IF(S21=Configuratie!$B$8,Configuratie!$D$8,""))))))))</f>
        <v/>
      </c>
      <c r="K21" s="69"/>
      <c r="L21" s="47" t="s">
        <v>5</v>
      </c>
      <c r="N21" s="69" t="str">
        <f>IF(ISBLANK(S21),"",IF(VALUE(S21)=Configuratie!$B$2,Configuratie!$E$2,IF(S21=Configuratie!$B$3,Configuratie!$E$3,IF(S21=Configuratie!$B$4,Configuratie!$E$4,IF(S21=Configuratie!$B$5,Configuratie!$E$5,IF(S21=Configuratie!$B$6,Configuratie!$E$6,IF(S21=Configuratie!$B$7,Configuratie!$E$7,IF(S21=Configuratie!$B$8,Configuratie!$E$8,""))))))))</f>
        <v/>
      </c>
      <c r="O21" s="69"/>
      <c r="Q21" s="6" t="str">
        <f>IF(ISBLANK(S21),"",IF(VALUE(S21)=Configuratie!$B$2,Configuratie!$C$2,IF(S21=Configuratie!$B$3,Configuratie!$C$3,IF(S21=Configuratie!$B$4,Configuratie!$C$4,IF(S21=Configuratie!$B$5,Configuratie!$C$5,IF(S21=Configuratie!$B$6,Configuratie!$C$6,IF(S21=Configuratie!$B$7,Configuratie!$C$7,IF(S21=Configuratie!$B$8,Configuratie!$C$8,""))))))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E20:H20"/>
    <mergeCell ref="J20:K20"/>
    <mergeCell ref="N20:O20"/>
    <mergeCell ref="E21:H21"/>
    <mergeCell ref="J21:K21"/>
    <mergeCell ref="N21:O21"/>
    <mergeCell ref="E17:H17"/>
    <mergeCell ref="J17:K17"/>
    <mergeCell ref="N17:O17"/>
    <mergeCell ref="E16:H16"/>
    <mergeCell ref="J16:K16"/>
    <mergeCell ref="N16:O16"/>
    <mergeCell ref="E12:H12"/>
    <mergeCell ref="J12:K12"/>
    <mergeCell ref="N12:O12"/>
    <mergeCell ref="E13:H13"/>
    <mergeCell ref="J13:K13"/>
    <mergeCell ref="N13:O13"/>
    <mergeCell ref="D7:E7"/>
    <mergeCell ref="D4:E4"/>
    <mergeCell ref="D5:E5"/>
    <mergeCell ref="D6:E6"/>
    <mergeCell ref="B1:F1"/>
    <mergeCell ref="U1:Z1"/>
    <mergeCell ref="G1:S1"/>
    <mergeCell ref="AV2:BD2"/>
    <mergeCell ref="BG2:BO2"/>
    <mergeCell ref="D3:E3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tabSelected="1"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81" t="s">
        <v>51</v>
      </c>
      <c r="B1" s="81"/>
      <c r="C1" s="81"/>
      <c r="D1" s="81"/>
      <c r="E1" s="81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81" t="s">
        <v>50</v>
      </c>
      <c r="B1" s="81"/>
      <c r="C1" s="81"/>
      <c r="D1" s="81"/>
      <c r="E1" s="8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I8"/>
  <sheetViews>
    <sheetView zoomScale="110" zoomScaleNormal="110" workbookViewId="0">
      <selection activeCell="E14" sqref="E14"/>
    </sheetView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9" x14ac:dyDescent="0.25">
      <c r="A1" s="4" t="s">
        <v>52</v>
      </c>
      <c r="B1" s="4"/>
      <c r="C1" s="4" t="s">
        <v>53</v>
      </c>
      <c r="D1" s="4" t="s">
        <v>54</v>
      </c>
      <c r="E1" s="4" t="s">
        <v>55</v>
      </c>
      <c r="F1" s="4" t="s">
        <v>57</v>
      </c>
      <c r="G1" s="4" t="s">
        <v>56</v>
      </c>
      <c r="H1" s="4" t="s">
        <v>58</v>
      </c>
      <c r="I1" s="4" t="s">
        <v>59</v>
      </c>
    </row>
    <row r="2" spans="1:9" x14ac:dyDescent="0.25">
      <c r="A2" s="4" t="s">
        <v>52</v>
      </c>
      <c r="B2">
        <v>0</v>
      </c>
      <c r="C2" s="4" t="s">
        <v>54</v>
      </c>
      <c r="D2">
        <v>0</v>
      </c>
      <c r="E2">
        <v>1</v>
      </c>
    </row>
    <row r="3" spans="1:9" x14ac:dyDescent="0.25">
      <c r="B3">
        <v>1</v>
      </c>
      <c r="C3" s="4" t="s">
        <v>53</v>
      </c>
      <c r="D3">
        <v>1</v>
      </c>
      <c r="E3">
        <v>0</v>
      </c>
    </row>
    <row r="4" spans="1:9" x14ac:dyDescent="0.25">
      <c r="B4">
        <v>2</v>
      </c>
      <c r="C4" s="4" t="s">
        <v>55</v>
      </c>
      <c r="D4">
        <v>0.5</v>
      </c>
      <c r="E4">
        <v>0.5</v>
      </c>
    </row>
    <row r="5" spans="1:9" x14ac:dyDescent="0.25">
      <c r="B5">
        <v>3</v>
      </c>
      <c r="C5" s="4" t="s">
        <v>57</v>
      </c>
      <c r="D5">
        <v>0</v>
      </c>
      <c r="E5">
        <v>0</v>
      </c>
    </row>
    <row r="6" spans="1:9" x14ac:dyDescent="0.25">
      <c r="B6">
        <v>4</v>
      </c>
      <c r="C6" s="4" t="s">
        <v>56</v>
      </c>
      <c r="D6">
        <v>1</v>
      </c>
      <c r="E6">
        <v>0</v>
      </c>
    </row>
    <row r="7" spans="1:9" x14ac:dyDescent="0.25">
      <c r="B7">
        <v>5</v>
      </c>
      <c r="C7" s="4" t="s">
        <v>58</v>
      </c>
      <c r="D7">
        <v>0</v>
      </c>
      <c r="E7">
        <v>1</v>
      </c>
    </row>
    <row r="8" spans="1:9" x14ac:dyDescent="0.25">
      <c r="B8">
        <v>6</v>
      </c>
      <c r="C8" s="4" t="s">
        <v>59</v>
      </c>
      <c r="D8">
        <v>0.5</v>
      </c>
      <c r="E8">
        <v>0.5</v>
      </c>
    </row>
  </sheetData>
  <sheetProtection password="D852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4</vt:i4>
      </vt:variant>
    </vt:vector>
  </HeadingPairs>
  <TitlesOfParts>
    <vt:vector size="11" baseType="lpstr"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'4'!Afdrukbereik</vt:lpstr>
      <vt:lpstr>'6'!Afdrukbereik</vt:lpstr>
      <vt:lpstr>'8'!Afdrukbereik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2018-06-04T20:02:31Z</cp:lastPrinted>
  <dcterms:created xsi:type="dcterms:W3CDTF">2017-03-20T06:37:04Z</dcterms:created>
  <dcterms:modified xsi:type="dcterms:W3CDTF">2018-06-05T10:35:29Z</dcterms:modified>
</cp:coreProperties>
</file>