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pdam.AMITY.000\git\IJSCO_UI\IJSCO_app\"/>
    </mc:Choice>
  </mc:AlternateContent>
  <xr:revisionPtr revIDLastSave="0" documentId="13_ncr:1_{3ED868C7-4DAE-448D-A2FA-C5052D92374E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10" r:id="rId9"/>
  </sheets>
  <externalReferences>
    <externalReference r:id="rId10"/>
  </externalReferences>
  <definedNames>
    <definedName name="_xleta.IF" hidden="1" xlm="1">#NAME?</definedName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 localSheetId="8">'[1]4'!$S$12</definedName>
    <definedName name="uitslag1_1">'4'!$S$12</definedName>
    <definedName name="uitslag1_2" localSheetId="8">'[1]4'!$S$13</definedName>
    <definedName name="uitslag1_2">'4'!$S$13</definedName>
    <definedName name="uitslag2_1" localSheetId="8">'[1]4'!$S$16</definedName>
    <definedName name="uitslag2_1">'4'!$S$16</definedName>
    <definedName name="uitslag2_2" localSheetId="8">'[1]4'!$S$17</definedName>
    <definedName name="uitslag2_2">'4'!$S$17</definedName>
    <definedName name="uitslag3_1" localSheetId="8">'[1]4'!$S$20</definedName>
    <definedName name="uitslag3_1">'4'!$S$20</definedName>
    <definedName name="uitslag3_2" localSheetId="8">'[1]4'!$S$21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8" i="8" l="1"/>
  <c r="D128" i="8"/>
  <c r="G119" i="8"/>
  <c r="D119" i="8"/>
  <c r="G110" i="8"/>
  <c r="D110" i="8"/>
  <c r="G101" i="8"/>
  <c r="D101" i="8"/>
  <c r="G92" i="8"/>
  <c r="D92" i="8"/>
  <c r="G83" i="8"/>
  <c r="D83" i="8"/>
  <c r="G74" i="8"/>
  <c r="D74" i="8"/>
  <c r="G65" i="8"/>
  <c r="D65" i="8"/>
  <c r="G56" i="8"/>
  <c r="D56" i="8"/>
  <c r="G47" i="8"/>
  <c r="D47" i="8"/>
  <c r="G38" i="8"/>
  <c r="D38" i="8"/>
  <c r="G29" i="8"/>
  <c r="D29" i="8"/>
  <c r="G20" i="8"/>
  <c r="D20" i="8"/>
  <c r="G98" i="9"/>
  <c r="D98" i="9"/>
  <c r="G90" i="9"/>
  <c r="D90" i="9"/>
  <c r="G82" i="9"/>
  <c r="D82" i="9"/>
  <c r="G74" i="9"/>
  <c r="D74" i="9"/>
  <c r="G66" i="9"/>
  <c r="D66" i="9"/>
  <c r="G58" i="9"/>
  <c r="D58" i="9"/>
  <c r="G50" i="9"/>
  <c r="D50" i="9"/>
  <c r="G42" i="9"/>
  <c r="D42" i="9"/>
  <c r="G34" i="9"/>
  <c r="D34" i="9"/>
  <c r="G26" i="9"/>
  <c r="D26" i="9"/>
  <c r="G18" i="9"/>
  <c r="D18" i="9"/>
  <c r="H73" i="1"/>
  <c r="D73" i="1"/>
  <c r="H66" i="1"/>
  <c r="D66" i="1"/>
  <c r="H59" i="1"/>
  <c r="D59" i="1"/>
  <c r="H52" i="1"/>
  <c r="D52" i="1"/>
  <c r="H45" i="1"/>
  <c r="D45" i="1"/>
  <c r="H38" i="1"/>
  <c r="D38" i="1"/>
  <c r="H31" i="1"/>
  <c r="D31" i="1"/>
  <c r="H24" i="1"/>
  <c r="H17" i="1"/>
  <c r="D24" i="1"/>
  <c r="D17" i="1"/>
  <c r="G51" i="2"/>
  <c r="D51" i="2"/>
  <c r="G45" i="2"/>
  <c r="D45" i="2"/>
  <c r="G39" i="2"/>
  <c r="D39" i="2"/>
  <c r="G33" i="2"/>
  <c r="D33" i="2"/>
  <c r="G27" i="2"/>
  <c r="D27" i="2"/>
  <c r="G21" i="2"/>
  <c r="D21" i="2"/>
  <c r="G15" i="2"/>
  <c r="D15" i="2"/>
  <c r="F33" i="3"/>
  <c r="D33" i="3"/>
  <c r="F28" i="3"/>
  <c r="D28" i="3"/>
  <c r="F23" i="3"/>
  <c r="D23" i="3"/>
  <c r="F18" i="3"/>
  <c r="D18" i="3"/>
  <c r="F13" i="3"/>
  <c r="D13" i="3"/>
  <c r="G19" i="4"/>
  <c r="D19" i="4"/>
  <c r="G15" i="4"/>
  <c r="G11" i="4"/>
  <c r="D15" i="4"/>
  <c r="D11" i="4"/>
  <c r="I34" i="10"/>
  <c r="J34" i="10" s="1"/>
  <c r="K34" i="10" s="1"/>
  <c r="L34" i="10" s="1"/>
  <c r="M34" i="10" s="1"/>
  <c r="N34" i="10" s="1"/>
  <c r="O34" i="10" s="1"/>
  <c r="P34" i="10" s="1"/>
  <c r="Q34" i="10" s="1"/>
  <c r="R34" i="10" s="1"/>
  <c r="S34" i="10" s="1"/>
  <c r="T34" i="10" s="1"/>
  <c r="U34" i="10" s="1"/>
  <c r="V34" i="10" s="1"/>
  <c r="W34" i="10" s="1"/>
  <c r="X34" i="10" s="1"/>
  <c r="Y34" i="10" s="1"/>
  <c r="Z34" i="10" s="1"/>
  <c r="AA34" i="10" s="1"/>
  <c r="AB34" i="10" s="1"/>
  <c r="AC34" i="10" s="1"/>
  <c r="AD34" i="10" s="1"/>
  <c r="AE34" i="10" s="1"/>
  <c r="AF34" i="10" s="1"/>
  <c r="AG34" i="10" s="1"/>
  <c r="H34" i="10"/>
  <c r="H31" i="10"/>
  <c r="I31" i="10" s="1"/>
  <c r="J31" i="10" s="1"/>
  <c r="K31" i="10" s="1"/>
  <c r="L31" i="10" s="1"/>
  <c r="M31" i="10" s="1"/>
  <c r="N31" i="10" s="1"/>
  <c r="O31" i="10" s="1"/>
  <c r="P31" i="10" s="1"/>
  <c r="Q31" i="10" s="1"/>
  <c r="R31" i="10" s="1"/>
  <c r="S31" i="10" s="1"/>
  <c r="T31" i="10" s="1"/>
  <c r="U31" i="10" s="1"/>
  <c r="V31" i="10" s="1"/>
  <c r="W31" i="10" s="1"/>
  <c r="X31" i="10" s="1"/>
  <c r="Y31" i="10" s="1"/>
  <c r="Z31" i="10" s="1"/>
  <c r="AA31" i="10" s="1"/>
  <c r="AB31" i="10" s="1"/>
  <c r="AC31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H25" i="10"/>
  <c r="I25" i="10" s="1"/>
  <c r="J25" i="10" s="1"/>
  <c r="K25" i="10" s="1"/>
  <c r="L25" i="10" s="1"/>
  <c r="M25" i="10" s="1"/>
  <c r="N25" i="10" s="1"/>
  <c r="O25" i="10" s="1"/>
  <c r="P25" i="10" s="1"/>
  <c r="Q25" i="10" s="1"/>
  <c r="R25" i="10" s="1"/>
  <c r="S25" i="10" s="1"/>
  <c r="T25" i="10" s="1"/>
  <c r="U25" i="10" s="1"/>
  <c r="H22" i="10"/>
  <c r="I22" i="10" s="1"/>
  <c r="J22" i="10" s="1"/>
  <c r="K22" i="10" s="1"/>
  <c r="L22" i="10" s="1"/>
  <c r="M22" i="10" s="1"/>
  <c r="N22" i="10" s="1"/>
  <c r="O22" i="10" s="1"/>
  <c r="P22" i="10" s="1"/>
  <c r="Q22" i="10" s="1"/>
  <c r="I19" i="10"/>
  <c r="J19" i="10" s="1"/>
  <c r="K19" i="10" s="1"/>
  <c r="L19" i="10" s="1"/>
  <c r="M19" i="10" s="1"/>
  <c r="H19" i="10"/>
  <c r="R15" i="3"/>
  <c r="R16" i="3"/>
  <c r="B23" i="4"/>
  <c r="AP21" i="4"/>
  <c r="AO21" i="4"/>
  <c r="Q21" i="4"/>
  <c r="N21" i="4"/>
  <c r="AR4" i="4" s="1"/>
  <c r="J21" i="4"/>
  <c r="AM21" i="4" s="1"/>
  <c r="E21" i="4"/>
  <c r="C21" i="4"/>
  <c r="AP20" i="4"/>
  <c r="AO20" i="4"/>
  <c r="Q20" i="4"/>
  <c r="N20" i="4"/>
  <c r="J20" i="4"/>
  <c r="E20" i="4"/>
  <c r="C20" i="4"/>
  <c r="AP17" i="4"/>
  <c r="AO17" i="4"/>
  <c r="Q17" i="4"/>
  <c r="N17" i="4"/>
  <c r="J17" i="4"/>
  <c r="E17" i="4"/>
  <c r="C17" i="4"/>
  <c r="AP16" i="4"/>
  <c r="AO16" i="4"/>
  <c r="Q16" i="4"/>
  <c r="N16" i="4"/>
  <c r="J16" i="4"/>
  <c r="E16" i="4"/>
  <c r="C16" i="4"/>
  <c r="AS13" i="4"/>
  <c r="AP13" i="4"/>
  <c r="AO13" i="4"/>
  <c r="Q13" i="4"/>
  <c r="N13" i="4"/>
  <c r="AP5" i="4" s="1"/>
  <c r="J13" i="4"/>
  <c r="E13" i="4"/>
  <c r="C13" i="4"/>
  <c r="AP12" i="4"/>
  <c r="AO12" i="4"/>
  <c r="Q12" i="4"/>
  <c r="N12" i="4"/>
  <c r="J12" i="4"/>
  <c r="AS12" i="4" s="1"/>
  <c r="E12" i="4"/>
  <c r="C12" i="4"/>
  <c r="S8" i="4"/>
  <c r="AX7" i="4"/>
  <c r="AW7" i="4"/>
  <c r="AV7" i="4"/>
  <c r="AU7" i="4"/>
  <c r="AT7" i="4"/>
  <c r="AS7" i="4"/>
  <c r="AR7" i="4"/>
  <c r="V7" i="4"/>
  <c r="P7" i="4"/>
  <c r="AX6" i="4"/>
  <c r="AW6" i="4"/>
  <c r="AV6" i="4"/>
  <c r="AU6" i="4"/>
  <c r="AT6" i="4"/>
  <c r="AS6" i="4"/>
  <c r="AP6" i="4"/>
  <c r="BA6" i="4" s="1"/>
  <c r="V6" i="4"/>
  <c r="O6" i="4"/>
  <c r="BA5" i="4"/>
  <c r="AX5" i="4"/>
  <c r="AW5" i="4"/>
  <c r="AV5" i="4"/>
  <c r="AU5" i="4"/>
  <c r="AT5" i="4"/>
  <c r="AS5" i="4"/>
  <c r="V5" i="4"/>
  <c r="N5" i="4"/>
  <c r="AX4" i="4"/>
  <c r="AW4" i="4"/>
  <c r="AV4" i="4"/>
  <c r="AU4" i="4"/>
  <c r="AT4" i="4"/>
  <c r="AS4" i="4"/>
  <c r="AQ4" i="4"/>
  <c r="V4" i="4"/>
  <c r="M4" i="4"/>
  <c r="S1" i="4"/>
  <c r="B39" i="3"/>
  <c r="AT36" i="3"/>
  <c r="AS36" i="3"/>
  <c r="R36" i="3"/>
  <c r="M36" i="3"/>
  <c r="J36" i="3"/>
  <c r="E36" i="3"/>
  <c r="C36" i="3"/>
  <c r="AT35" i="3"/>
  <c r="AS35" i="3"/>
  <c r="R35" i="3"/>
  <c r="M35" i="3"/>
  <c r="J35" i="3"/>
  <c r="E35" i="3"/>
  <c r="C35" i="3"/>
  <c r="AT34" i="3"/>
  <c r="AS34" i="3"/>
  <c r="R34" i="3"/>
  <c r="M34" i="3"/>
  <c r="AX9" i="3" s="1"/>
  <c r="J34" i="3"/>
  <c r="E34" i="3"/>
  <c r="C34" i="3"/>
  <c r="AT31" i="3"/>
  <c r="AS31" i="3"/>
  <c r="AQ31" i="3"/>
  <c r="R31" i="3"/>
  <c r="M31" i="3"/>
  <c r="AW7" i="3" s="1"/>
  <c r="J31" i="3"/>
  <c r="AW8" i="3" s="1"/>
  <c r="E31" i="3"/>
  <c r="C31" i="3"/>
  <c r="AT30" i="3"/>
  <c r="AS30" i="3"/>
  <c r="R30" i="3"/>
  <c r="M30" i="3"/>
  <c r="AW6" i="3" s="1"/>
  <c r="J30" i="3"/>
  <c r="AQ30" i="3" s="1"/>
  <c r="J4" i="3" s="1"/>
  <c r="E30" i="3"/>
  <c r="C30" i="3"/>
  <c r="AT29" i="3"/>
  <c r="AS29" i="3"/>
  <c r="R29" i="3"/>
  <c r="M29" i="3"/>
  <c r="AQ29" i="3" s="1"/>
  <c r="M5" i="3" s="1"/>
  <c r="J29" i="3"/>
  <c r="AW9" i="3" s="1"/>
  <c r="E29" i="3"/>
  <c r="C29" i="3"/>
  <c r="AT26" i="3"/>
  <c r="AS26" i="3"/>
  <c r="R26" i="3"/>
  <c r="M26" i="3"/>
  <c r="J26" i="3"/>
  <c r="AQ26" i="3" s="1"/>
  <c r="I6" i="3" s="1"/>
  <c r="E26" i="3"/>
  <c r="C26" i="3"/>
  <c r="AT25" i="3"/>
  <c r="AS25" i="3"/>
  <c r="R25" i="3"/>
  <c r="M25" i="3"/>
  <c r="AV4" i="3" s="1"/>
  <c r="J25" i="3"/>
  <c r="AQ25" i="3" s="1"/>
  <c r="H7" i="3" s="1"/>
  <c r="E25" i="3"/>
  <c r="C25" i="3"/>
  <c r="AT24" i="3"/>
  <c r="AS24" i="3"/>
  <c r="R24" i="3"/>
  <c r="M24" i="3"/>
  <c r="AQ24" i="3" s="1"/>
  <c r="L9" i="3" s="1"/>
  <c r="J24" i="3"/>
  <c r="E24" i="3"/>
  <c r="C24" i="3"/>
  <c r="AT21" i="3"/>
  <c r="AS21" i="3"/>
  <c r="R21" i="3"/>
  <c r="M21" i="3"/>
  <c r="AU8" i="3" s="1"/>
  <c r="J21" i="3"/>
  <c r="E21" i="3"/>
  <c r="C21" i="3"/>
  <c r="AT20" i="3"/>
  <c r="AS20" i="3"/>
  <c r="R20" i="3"/>
  <c r="M20" i="3"/>
  <c r="AU7" i="3" s="1"/>
  <c r="J20" i="3"/>
  <c r="AU5" i="3" s="1"/>
  <c r="E20" i="3"/>
  <c r="C20" i="3"/>
  <c r="AT19" i="3"/>
  <c r="AS19" i="3"/>
  <c r="R19" i="3"/>
  <c r="M19" i="3"/>
  <c r="J19" i="3"/>
  <c r="AQ19" i="3" s="1"/>
  <c r="E19" i="3"/>
  <c r="C19" i="3"/>
  <c r="AT16" i="3"/>
  <c r="AS16" i="3"/>
  <c r="M16" i="3"/>
  <c r="J16" i="3"/>
  <c r="AT7" i="3" s="1"/>
  <c r="BE7" i="3" s="1"/>
  <c r="E16" i="3"/>
  <c r="C16" i="3"/>
  <c r="AT15" i="3"/>
  <c r="AS15" i="3"/>
  <c r="M15" i="3"/>
  <c r="AX15" i="3" s="1"/>
  <c r="J15" i="3"/>
  <c r="E15" i="3"/>
  <c r="C15" i="3"/>
  <c r="AT14" i="3"/>
  <c r="AS14" i="3"/>
  <c r="R14" i="3"/>
  <c r="M14" i="3"/>
  <c r="AX14" i="3" s="1"/>
  <c r="J14" i="3"/>
  <c r="E14" i="3"/>
  <c r="C14" i="3"/>
  <c r="BB9" i="3"/>
  <c r="BA9" i="3"/>
  <c r="AZ9" i="3"/>
  <c r="AY9" i="3"/>
  <c r="AV9" i="3"/>
  <c r="AU9" i="3"/>
  <c r="W9" i="3"/>
  <c r="M9" i="3"/>
  <c r="BB8" i="3"/>
  <c r="BA8" i="3"/>
  <c r="AZ8" i="3"/>
  <c r="AY8" i="3"/>
  <c r="AV8" i="3"/>
  <c r="W8" i="3"/>
  <c r="L8" i="3"/>
  <c r="BB7" i="3"/>
  <c r="BA7" i="3"/>
  <c r="AZ7" i="3"/>
  <c r="AY7" i="3"/>
  <c r="W7" i="3"/>
  <c r="K7" i="3"/>
  <c r="BB6" i="3"/>
  <c r="BA6" i="3"/>
  <c r="AZ6" i="3"/>
  <c r="AY6" i="3"/>
  <c r="AX6" i="3"/>
  <c r="AU6" i="3"/>
  <c r="W6" i="3"/>
  <c r="J6" i="3"/>
  <c r="BB5" i="3"/>
  <c r="BA5" i="3"/>
  <c r="AZ5" i="3"/>
  <c r="AY5" i="3"/>
  <c r="AV5" i="3"/>
  <c r="W5" i="3"/>
  <c r="I5" i="3"/>
  <c r="BB4" i="3"/>
  <c r="BA4" i="3"/>
  <c r="AZ4" i="3"/>
  <c r="AY4" i="3"/>
  <c r="AX4" i="3"/>
  <c r="W4" i="3"/>
  <c r="H4" i="3"/>
  <c r="T1" i="3"/>
  <c r="C67" i="2"/>
  <c r="C66" i="2"/>
  <c r="C65" i="2"/>
  <c r="C64" i="2"/>
  <c r="C63" i="2"/>
  <c r="C62" i="2"/>
  <c r="C61" i="2"/>
  <c r="C60" i="2"/>
  <c r="B57" i="2"/>
  <c r="AW55" i="2"/>
  <c r="AV55" i="2"/>
  <c r="R55" i="2"/>
  <c r="M55" i="2"/>
  <c r="BC4" i="2" s="1"/>
  <c r="J55" i="2"/>
  <c r="E55" i="2"/>
  <c r="C55" i="2"/>
  <c r="AW54" i="2"/>
  <c r="AV54" i="2"/>
  <c r="R54" i="2"/>
  <c r="M54" i="2"/>
  <c r="J54" i="2"/>
  <c r="BC6" i="2" s="1"/>
  <c r="E54" i="2"/>
  <c r="C54" i="2"/>
  <c r="AW53" i="2"/>
  <c r="AV53" i="2"/>
  <c r="R53" i="2"/>
  <c r="M53" i="2"/>
  <c r="J53" i="2"/>
  <c r="AT53" i="2" s="1"/>
  <c r="K9" i="2" s="1"/>
  <c r="E53" i="2"/>
  <c r="C53" i="2"/>
  <c r="AW52" i="2"/>
  <c r="AV52" i="2"/>
  <c r="R52" i="2"/>
  <c r="M52" i="2"/>
  <c r="BC11" i="2" s="1"/>
  <c r="J52" i="2"/>
  <c r="AT52" i="2" s="1"/>
  <c r="O8" i="2" s="1"/>
  <c r="E52" i="2"/>
  <c r="C52" i="2"/>
  <c r="AW49" i="2"/>
  <c r="AV49" i="2"/>
  <c r="R49" i="2"/>
  <c r="M49" i="2"/>
  <c r="BB8" i="2" s="1"/>
  <c r="J49" i="2"/>
  <c r="AT49" i="2" s="1"/>
  <c r="L9" i="2" s="1"/>
  <c r="E49" i="2"/>
  <c r="C49" i="2"/>
  <c r="AW48" i="2"/>
  <c r="AV48" i="2"/>
  <c r="R48" i="2"/>
  <c r="M48" i="2"/>
  <c r="BB7" i="2" s="1"/>
  <c r="J48" i="2"/>
  <c r="E48" i="2"/>
  <c r="C48" i="2"/>
  <c r="AW47" i="2"/>
  <c r="AV47" i="2"/>
  <c r="R47" i="2"/>
  <c r="M47" i="2"/>
  <c r="BB6" i="2" s="1"/>
  <c r="J47" i="2"/>
  <c r="E47" i="2"/>
  <c r="C47" i="2"/>
  <c r="AW46" i="2"/>
  <c r="AV46" i="2"/>
  <c r="R46" i="2"/>
  <c r="M46" i="2"/>
  <c r="J46" i="2"/>
  <c r="E46" i="2"/>
  <c r="C46" i="2"/>
  <c r="AW43" i="2"/>
  <c r="AV43" i="2"/>
  <c r="R43" i="2"/>
  <c r="M43" i="2"/>
  <c r="BA5" i="2" s="1"/>
  <c r="J43" i="2"/>
  <c r="BA6" i="2" s="1"/>
  <c r="E43" i="2"/>
  <c r="C43" i="2"/>
  <c r="AW42" i="2"/>
  <c r="AV42" i="2"/>
  <c r="R42" i="2"/>
  <c r="M42" i="2"/>
  <c r="J42" i="2"/>
  <c r="E42" i="2"/>
  <c r="C42" i="2"/>
  <c r="AW41" i="2"/>
  <c r="AV41" i="2"/>
  <c r="R41" i="2"/>
  <c r="M41" i="2"/>
  <c r="J41" i="2"/>
  <c r="AT41" i="2" s="1"/>
  <c r="N8" i="2" s="1"/>
  <c r="E41" i="2"/>
  <c r="C41" i="2"/>
  <c r="AW40" i="2"/>
  <c r="AV40" i="2"/>
  <c r="R40" i="2"/>
  <c r="M40" i="2"/>
  <c r="BA11" i="2" s="1"/>
  <c r="J40" i="2"/>
  <c r="AT40" i="2" s="1"/>
  <c r="O9" i="2" s="1"/>
  <c r="E40" i="2"/>
  <c r="C40" i="2"/>
  <c r="AW37" i="2"/>
  <c r="AV37" i="2"/>
  <c r="R37" i="2"/>
  <c r="M37" i="2"/>
  <c r="AZ9" i="2" s="1"/>
  <c r="J37" i="2"/>
  <c r="E37" i="2"/>
  <c r="C37" i="2"/>
  <c r="AW36" i="2"/>
  <c r="AV36" i="2"/>
  <c r="R36" i="2"/>
  <c r="M36" i="2"/>
  <c r="AZ8" i="2" s="1"/>
  <c r="J36" i="2"/>
  <c r="AT36" i="2" s="1"/>
  <c r="E36" i="2"/>
  <c r="C36" i="2"/>
  <c r="AW35" i="2"/>
  <c r="AV35" i="2"/>
  <c r="R35" i="2"/>
  <c r="M35" i="2"/>
  <c r="AZ7" i="2" s="1"/>
  <c r="J35" i="2"/>
  <c r="AT35" i="2" s="1"/>
  <c r="I7" i="2" s="1"/>
  <c r="E35" i="2"/>
  <c r="C35" i="2"/>
  <c r="AW34" i="2"/>
  <c r="AV34" i="2"/>
  <c r="R34" i="2"/>
  <c r="M34" i="2"/>
  <c r="AZ6" i="2" s="1"/>
  <c r="J34" i="2"/>
  <c r="AZ11" i="2" s="1"/>
  <c r="E34" i="2"/>
  <c r="C34" i="2"/>
  <c r="AW31" i="2"/>
  <c r="AV31" i="2"/>
  <c r="R31" i="2"/>
  <c r="M31" i="2"/>
  <c r="AY6" i="2" s="1"/>
  <c r="J31" i="2"/>
  <c r="AY7" i="2" s="1"/>
  <c r="E31" i="2"/>
  <c r="C31" i="2"/>
  <c r="AW30" i="2"/>
  <c r="AV30" i="2"/>
  <c r="R30" i="2"/>
  <c r="M30" i="2"/>
  <c r="AY5" i="2" s="1"/>
  <c r="J30" i="2"/>
  <c r="E30" i="2"/>
  <c r="C30" i="2"/>
  <c r="AW29" i="2"/>
  <c r="AV29" i="2"/>
  <c r="R29" i="2"/>
  <c r="M29" i="2"/>
  <c r="AT29" i="2" s="1"/>
  <c r="J29" i="2"/>
  <c r="AY9" i="2" s="1"/>
  <c r="E29" i="2"/>
  <c r="C29" i="2"/>
  <c r="AW28" i="2"/>
  <c r="AV28" i="2"/>
  <c r="R28" i="2"/>
  <c r="M28" i="2"/>
  <c r="AY11" i="2" s="1"/>
  <c r="J28" i="2"/>
  <c r="AT28" i="2" s="1"/>
  <c r="O10" i="2" s="1"/>
  <c r="E28" i="2"/>
  <c r="C28" i="2"/>
  <c r="AW25" i="2"/>
  <c r="AV25" i="2"/>
  <c r="R25" i="2"/>
  <c r="M25" i="2"/>
  <c r="AX10" i="2" s="1"/>
  <c r="J25" i="2"/>
  <c r="E25" i="2"/>
  <c r="C25" i="2"/>
  <c r="AW24" i="2"/>
  <c r="AV24" i="2"/>
  <c r="R24" i="2"/>
  <c r="M24" i="2"/>
  <c r="J24" i="2"/>
  <c r="AT24" i="2" s="1"/>
  <c r="M5" i="2" s="1"/>
  <c r="E24" i="2"/>
  <c r="C24" i="2"/>
  <c r="AW23" i="2"/>
  <c r="AV23" i="2"/>
  <c r="R23" i="2"/>
  <c r="M23" i="2"/>
  <c r="AX8" i="2" s="1"/>
  <c r="J23" i="2"/>
  <c r="AT23" i="2" s="1"/>
  <c r="E23" i="2"/>
  <c r="C23" i="2"/>
  <c r="AW22" i="2"/>
  <c r="AV22" i="2"/>
  <c r="R22" i="2"/>
  <c r="M22" i="2"/>
  <c r="J22" i="2"/>
  <c r="AX11" i="2" s="1"/>
  <c r="E22" i="2"/>
  <c r="C22" i="2"/>
  <c r="AW19" i="2"/>
  <c r="AV19" i="2"/>
  <c r="R19" i="2"/>
  <c r="M19" i="2"/>
  <c r="BA19" i="2" s="1"/>
  <c r="J19" i="2"/>
  <c r="AT19" i="2" s="1"/>
  <c r="L7" i="2" s="1"/>
  <c r="E19" i="2"/>
  <c r="C19" i="2"/>
  <c r="BA18" i="2"/>
  <c r="AZ18" i="2"/>
  <c r="AW18" i="2"/>
  <c r="AV18" i="2"/>
  <c r="AT18" i="2"/>
  <c r="R18" i="2"/>
  <c r="M18" i="2"/>
  <c r="AW6" i="2" s="1"/>
  <c r="BH6" i="2" s="1"/>
  <c r="J18" i="2"/>
  <c r="AW9" i="2" s="1"/>
  <c r="BH9" i="2" s="1"/>
  <c r="E18" i="2"/>
  <c r="C18" i="2"/>
  <c r="BA17" i="2"/>
  <c r="AW17" i="2"/>
  <c r="AV17" i="2"/>
  <c r="R17" i="2"/>
  <c r="M17" i="2"/>
  <c r="J17" i="2"/>
  <c r="AZ17" i="2" s="1"/>
  <c r="E17" i="2"/>
  <c r="C17" i="2"/>
  <c r="AW16" i="2"/>
  <c r="AV16" i="2"/>
  <c r="R16" i="2"/>
  <c r="M16" i="2"/>
  <c r="BA16" i="2" s="1"/>
  <c r="J16" i="2"/>
  <c r="AW11" i="2" s="1"/>
  <c r="BH11" i="2" s="1"/>
  <c r="AX22" i="2" s="1"/>
  <c r="E16" i="2"/>
  <c r="C16" i="2"/>
  <c r="BE11" i="2"/>
  <c r="BD11" i="2"/>
  <c r="BB11" i="2"/>
  <c r="X11" i="2"/>
  <c r="O11" i="2"/>
  <c r="BE10" i="2"/>
  <c r="BD10" i="2"/>
  <c r="BA10" i="2"/>
  <c r="AZ10" i="2"/>
  <c r="X10" i="2"/>
  <c r="N10" i="2"/>
  <c r="BE9" i="2"/>
  <c r="BD9" i="2"/>
  <c r="BC9" i="2"/>
  <c r="AX9" i="2"/>
  <c r="X9" i="2"/>
  <c r="M9" i="2"/>
  <c r="BE8" i="2"/>
  <c r="BD8" i="2"/>
  <c r="AY8" i="2"/>
  <c r="AW8" i="2"/>
  <c r="BH8" i="2" s="1"/>
  <c r="X8" i="2"/>
  <c r="M8" i="2"/>
  <c r="L8" i="2"/>
  <c r="K8" i="2"/>
  <c r="BE7" i="2"/>
  <c r="BD7" i="2"/>
  <c r="BA7" i="2"/>
  <c r="AX7" i="2"/>
  <c r="X7" i="2"/>
  <c r="M7" i="2"/>
  <c r="K7" i="2"/>
  <c r="BE6" i="2"/>
  <c r="BD6" i="2"/>
  <c r="X6" i="2"/>
  <c r="J6" i="2"/>
  <c r="BE5" i="2"/>
  <c r="BD5" i="2"/>
  <c r="BC5" i="2"/>
  <c r="BB5" i="2"/>
  <c r="AW5" i="2"/>
  <c r="BH5" i="2" s="1"/>
  <c r="X5" i="2"/>
  <c r="Q5" i="2"/>
  <c r="P5" i="2"/>
  <c r="I5" i="2"/>
  <c r="BE4" i="2"/>
  <c r="BD4" i="2"/>
  <c r="BB4" i="2"/>
  <c r="BA4" i="2"/>
  <c r="AZ4" i="2"/>
  <c r="AY4" i="2"/>
  <c r="AX4" i="2"/>
  <c r="AW4" i="2"/>
  <c r="BH4" i="2" s="1"/>
  <c r="AX25" i="2" s="1"/>
  <c r="X4" i="2"/>
  <c r="H4" i="2"/>
  <c r="T1" i="2"/>
  <c r="D80" i="1"/>
  <c r="AW79" i="1"/>
  <c r="AZ78" i="1"/>
  <c r="AY78" i="1"/>
  <c r="R78" i="1"/>
  <c r="M78" i="1"/>
  <c r="BH4" i="1" s="1"/>
  <c r="J78" i="1"/>
  <c r="BH12" i="1" s="1"/>
  <c r="E78" i="1"/>
  <c r="C78" i="1"/>
  <c r="AZ77" i="1"/>
  <c r="AY77" i="1"/>
  <c r="R77" i="1"/>
  <c r="M77" i="1"/>
  <c r="BH5" i="1" s="1"/>
  <c r="J77" i="1"/>
  <c r="AW77" i="1" s="1"/>
  <c r="E77" i="1"/>
  <c r="C77" i="1"/>
  <c r="AZ76" i="1"/>
  <c r="AY76" i="1"/>
  <c r="R76" i="1"/>
  <c r="M76" i="1"/>
  <c r="J76" i="1"/>
  <c r="AW76" i="1" s="1"/>
  <c r="E76" i="1"/>
  <c r="C76" i="1"/>
  <c r="AZ75" i="1"/>
  <c r="AY75" i="1"/>
  <c r="R75" i="1"/>
  <c r="M75" i="1"/>
  <c r="J75" i="1"/>
  <c r="BH9" i="1" s="1"/>
  <c r="E75" i="1"/>
  <c r="C75" i="1"/>
  <c r="AZ74" i="1"/>
  <c r="AY74" i="1"/>
  <c r="R74" i="1"/>
  <c r="M74" i="1"/>
  <c r="J74" i="1"/>
  <c r="AW74" i="1" s="1"/>
  <c r="L13" i="1" s="1"/>
  <c r="E74" i="1"/>
  <c r="C74" i="1"/>
  <c r="AW72" i="1"/>
  <c r="AZ71" i="1"/>
  <c r="AY71" i="1"/>
  <c r="R71" i="1"/>
  <c r="M71" i="1"/>
  <c r="J71" i="1"/>
  <c r="BG7" i="1" s="1"/>
  <c r="E71" i="1"/>
  <c r="C71" i="1"/>
  <c r="AZ70" i="1"/>
  <c r="AY70" i="1"/>
  <c r="R70" i="1"/>
  <c r="M70" i="1"/>
  <c r="BG9" i="1" s="1"/>
  <c r="J70" i="1"/>
  <c r="AW70" i="1" s="1"/>
  <c r="E70" i="1"/>
  <c r="C70" i="1"/>
  <c r="AZ69" i="1"/>
  <c r="AY69" i="1"/>
  <c r="AW69" i="1"/>
  <c r="N5" i="1" s="1"/>
  <c r="R69" i="1"/>
  <c r="M69" i="1"/>
  <c r="BG10" i="1" s="1"/>
  <c r="J69" i="1"/>
  <c r="E69" i="1"/>
  <c r="C69" i="1"/>
  <c r="AZ68" i="1"/>
  <c r="AY68" i="1"/>
  <c r="R68" i="1"/>
  <c r="M68" i="1"/>
  <c r="J68" i="1"/>
  <c r="BG4" i="1" s="1"/>
  <c r="E68" i="1"/>
  <c r="C68" i="1"/>
  <c r="AZ67" i="1"/>
  <c r="AY67" i="1"/>
  <c r="R67" i="1"/>
  <c r="M67" i="1"/>
  <c r="BG12" i="1" s="1"/>
  <c r="J67" i="1"/>
  <c r="BG13" i="1" s="1"/>
  <c r="E67" i="1"/>
  <c r="C67" i="1"/>
  <c r="AW65" i="1"/>
  <c r="AZ64" i="1"/>
  <c r="AY64" i="1"/>
  <c r="R64" i="1"/>
  <c r="M64" i="1"/>
  <c r="BF12" i="1" s="1"/>
  <c r="J64" i="1"/>
  <c r="E64" i="1"/>
  <c r="C64" i="1"/>
  <c r="AZ63" i="1"/>
  <c r="AY63" i="1"/>
  <c r="R63" i="1"/>
  <c r="M63" i="1"/>
  <c r="J63" i="1"/>
  <c r="E63" i="1"/>
  <c r="C63" i="1"/>
  <c r="AZ62" i="1"/>
  <c r="AY62" i="1"/>
  <c r="R62" i="1"/>
  <c r="M62" i="1"/>
  <c r="BF5" i="1" s="1"/>
  <c r="J62" i="1"/>
  <c r="E62" i="1"/>
  <c r="C62" i="1"/>
  <c r="AZ61" i="1"/>
  <c r="AY61" i="1"/>
  <c r="R61" i="1"/>
  <c r="M61" i="1"/>
  <c r="J61" i="1"/>
  <c r="E61" i="1"/>
  <c r="C61" i="1"/>
  <c r="AZ60" i="1"/>
  <c r="AY60" i="1"/>
  <c r="R60" i="1"/>
  <c r="M60" i="1"/>
  <c r="J60" i="1"/>
  <c r="AW60" i="1" s="1"/>
  <c r="K13" i="1" s="1"/>
  <c r="E60" i="1"/>
  <c r="C60" i="1"/>
  <c r="AW58" i="1"/>
  <c r="AZ57" i="1"/>
  <c r="AY57" i="1"/>
  <c r="R57" i="1"/>
  <c r="M57" i="1"/>
  <c r="J57" i="1"/>
  <c r="E57" i="1"/>
  <c r="C57" i="1"/>
  <c r="AZ56" i="1"/>
  <c r="AY56" i="1"/>
  <c r="R56" i="1"/>
  <c r="M56" i="1"/>
  <c r="J56" i="1"/>
  <c r="BE5" i="1" s="1"/>
  <c r="E56" i="1"/>
  <c r="C56" i="1"/>
  <c r="AZ55" i="1"/>
  <c r="AY55" i="1"/>
  <c r="R55" i="1"/>
  <c r="M55" i="1"/>
  <c r="BE9" i="1" s="1"/>
  <c r="J55" i="1"/>
  <c r="BE4" i="1" s="1"/>
  <c r="E55" i="1"/>
  <c r="C55" i="1"/>
  <c r="AZ54" i="1"/>
  <c r="AY54" i="1"/>
  <c r="R54" i="1"/>
  <c r="M54" i="1"/>
  <c r="J54" i="1"/>
  <c r="E54" i="1"/>
  <c r="C54" i="1"/>
  <c r="AZ53" i="1"/>
  <c r="AY53" i="1"/>
  <c r="R53" i="1"/>
  <c r="M53" i="1"/>
  <c r="J53" i="1"/>
  <c r="E53" i="1"/>
  <c r="C53" i="1"/>
  <c r="AW51" i="1"/>
  <c r="AZ50" i="1"/>
  <c r="AY50" i="1"/>
  <c r="R50" i="1"/>
  <c r="M50" i="1"/>
  <c r="J50" i="1"/>
  <c r="E50" i="1"/>
  <c r="C50" i="1"/>
  <c r="AZ49" i="1"/>
  <c r="AY49" i="1"/>
  <c r="R49" i="1"/>
  <c r="M49" i="1"/>
  <c r="BD12" i="1" s="1"/>
  <c r="J49" i="1"/>
  <c r="E49" i="1"/>
  <c r="C49" i="1"/>
  <c r="AZ48" i="1"/>
  <c r="AY48" i="1"/>
  <c r="R48" i="1"/>
  <c r="M48" i="1"/>
  <c r="BD4" i="1" s="1"/>
  <c r="J48" i="1"/>
  <c r="E48" i="1"/>
  <c r="C48" i="1"/>
  <c r="AZ47" i="1"/>
  <c r="AY47" i="1"/>
  <c r="R47" i="1"/>
  <c r="M47" i="1"/>
  <c r="BD5" i="1" s="1"/>
  <c r="J47" i="1"/>
  <c r="E47" i="1"/>
  <c r="C47" i="1"/>
  <c r="AZ46" i="1"/>
  <c r="AY46" i="1"/>
  <c r="R46" i="1"/>
  <c r="M46" i="1"/>
  <c r="J46" i="1"/>
  <c r="E46" i="1"/>
  <c r="C46" i="1"/>
  <c r="AW44" i="1"/>
  <c r="AZ43" i="1"/>
  <c r="AY43" i="1"/>
  <c r="R43" i="1"/>
  <c r="M43" i="1"/>
  <c r="J43" i="1"/>
  <c r="AW43" i="1" s="1"/>
  <c r="E43" i="1"/>
  <c r="C43" i="1"/>
  <c r="AZ42" i="1"/>
  <c r="AY42" i="1"/>
  <c r="R42" i="1"/>
  <c r="M42" i="1"/>
  <c r="BC7" i="1" s="1"/>
  <c r="J42" i="1"/>
  <c r="E42" i="1"/>
  <c r="C42" i="1"/>
  <c r="AZ41" i="1"/>
  <c r="AY41" i="1"/>
  <c r="R41" i="1"/>
  <c r="M41" i="1"/>
  <c r="AW41" i="1" s="1"/>
  <c r="P8" i="1" s="1"/>
  <c r="J41" i="1"/>
  <c r="E41" i="1"/>
  <c r="C41" i="1"/>
  <c r="AZ40" i="1"/>
  <c r="AY40" i="1"/>
  <c r="R40" i="1"/>
  <c r="M40" i="1"/>
  <c r="J40" i="1"/>
  <c r="BC11" i="1" s="1"/>
  <c r="E40" i="1"/>
  <c r="C40" i="1"/>
  <c r="AZ39" i="1"/>
  <c r="AY39" i="1"/>
  <c r="R39" i="1"/>
  <c r="M39" i="1"/>
  <c r="J39" i="1"/>
  <c r="E39" i="1"/>
  <c r="C39" i="1"/>
  <c r="AW37" i="1"/>
  <c r="AZ36" i="1"/>
  <c r="AY36" i="1"/>
  <c r="R36" i="1"/>
  <c r="M36" i="1"/>
  <c r="BB10" i="1" s="1"/>
  <c r="J36" i="1"/>
  <c r="BB9" i="1" s="1"/>
  <c r="E36" i="1"/>
  <c r="C36" i="1"/>
  <c r="AZ35" i="1"/>
  <c r="AY35" i="1"/>
  <c r="R35" i="1"/>
  <c r="M35" i="1"/>
  <c r="J35" i="1"/>
  <c r="E35" i="1"/>
  <c r="C35" i="1"/>
  <c r="AZ34" i="1"/>
  <c r="AY34" i="1"/>
  <c r="R34" i="1"/>
  <c r="M34" i="1"/>
  <c r="J34" i="1"/>
  <c r="AW34" i="1" s="1"/>
  <c r="K12" i="1" s="1"/>
  <c r="E34" i="1"/>
  <c r="C34" i="1"/>
  <c r="AZ33" i="1"/>
  <c r="AY33" i="1"/>
  <c r="R33" i="1"/>
  <c r="M33" i="1"/>
  <c r="J33" i="1"/>
  <c r="E33" i="1"/>
  <c r="C33" i="1"/>
  <c r="AZ32" i="1"/>
  <c r="AY32" i="1"/>
  <c r="R32" i="1"/>
  <c r="M32" i="1"/>
  <c r="J32" i="1"/>
  <c r="AW32" i="1" s="1"/>
  <c r="E32" i="1"/>
  <c r="C32" i="1"/>
  <c r="AW30" i="1"/>
  <c r="AZ29" i="1"/>
  <c r="AY29" i="1"/>
  <c r="R29" i="1"/>
  <c r="M29" i="1"/>
  <c r="BA5" i="1" s="1"/>
  <c r="J29" i="1"/>
  <c r="BA4" i="1" s="1"/>
  <c r="E29" i="1"/>
  <c r="C29" i="1"/>
  <c r="AZ28" i="1"/>
  <c r="AY28" i="1"/>
  <c r="R28" i="1"/>
  <c r="M28" i="1"/>
  <c r="J28" i="1"/>
  <c r="AW28" i="1" s="1"/>
  <c r="E28" i="1"/>
  <c r="C28" i="1"/>
  <c r="AZ27" i="1"/>
  <c r="AY27" i="1"/>
  <c r="R27" i="1"/>
  <c r="M27" i="1"/>
  <c r="J27" i="1"/>
  <c r="E27" i="1"/>
  <c r="C27" i="1"/>
  <c r="AZ26" i="1"/>
  <c r="AY26" i="1"/>
  <c r="R26" i="1"/>
  <c r="M26" i="1"/>
  <c r="BA8" i="1" s="1"/>
  <c r="J26" i="1"/>
  <c r="AW26" i="1" s="1"/>
  <c r="N8" i="1" s="1"/>
  <c r="E26" i="1"/>
  <c r="C26" i="1"/>
  <c r="AZ25" i="1"/>
  <c r="AY25" i="1"/>
  <c r="R25" i="1"/>
  <c r="M25" i="1"/>
  <c r="J25" i="1"/>
  <c r="BA13" i="1" s="1"/>
  <c r="E25" i="1"/>
  <c r="C25" i="1"/>
  <c r="AW23" i="1"/>
  <c r="AZ22" i="1"/>
  <c r="AY22" i="1"/>
  <c r="R22" i="1"/>
  <c r="M22" i="1"/>
  <c r="AZ9" i="1" s="1"/>
  <c r="BK9" i="1" s="1"/>
  <c r="J22" i="1"/>
  <c r="AZ8" i="1" s="1"/>
  <c r="BK8" i="1" s="1"/>
  <c r="E22" i="1"/>
  <c r="C22" i="1"/>
  <c r="AZ21" i="1"/>
  <c r="AY21" i="1"/>
  <c r="R21" i="1"/>
  <c r="M21" i="1"/>
  <c r="BD21" i="1" s="1"/>
  <c r="J21" i="1"/>
  <c r="AZ7" i="1" s="1"/>
  <c r="BK7" i="1" s="1"/>
  <c r="E21" i="1"/>
  <c r="C21" i="1"/>
  <c r="AZ20" i="1"/>
  <c r="AY20" i="1"/>
  <c r="R20" i="1"/>
  <c r="M20" i="1"/>
  <c r="AZ11" i="1" s="1"/>
  <c r="BK11" i="1" s="1"/>
  <c r="J20" i="1"/>
  <c r="BC20" i="1" s="1"/>
  <c r="E20" i="1"/>
  <c r="C20" i="1"/>
  <c r="BC19" i="1"/>
  <c r="AZ19" i="1"/>
  <c r="AY19" i="1"/>
  <c r="R19" i="1"/>
  <c r="M19" i="1"/>
  <c r="BD19" i="1" s="1"/>
  <c r="J19" i="1"/>
  <c r="E19" i="1"/>
  <c r="C19" i="1"/>
  <c r="AZ18" i="1"/>
  <c r="AY18" i="1"/>
  <c r="R18" i="1"/>
  <c r="M18" i="1"/>
  <c r="BD18" i="1" s="1"/>
  <c r="J18" i="1"/>
  <c r="BC18" i="1" s="1"/>
  <c r="E18" i="1"/>
  <c r="C18" i="1"/>
  <c r="BH13" i="1"/>
  <c r="BF13" i="1"/>
  <c r="BB13" i="1"/>
  <c r="AC13" i="1"/>
  <c r="Q13" i="1"/>
  <c r="BE12" i="1"/>
  <c r="BC12" i="1"/>
  <c r="BB12" i="1"/>
  <c r="BA12" i="1"/>
  <c r="AZ12" i="1"/>
  <c r="BK12" i="1" s="1"/>
  <c r="BA28" i="1" s="1"/>
  <c r="AC12" i="1"/>
  <c r="P12" i="1"/>
  <c r="L12" i="1"/>
  <c r="BF11" i="1"/>
  <c r="AC11" i="1"/>
  <c r="O11" i="1"/>
  <c r="BC10" i="1"/>
  <c r="AZ10" i="1"/>
  <c r="BK10" i="1" s="1"/>
  <c r="BA26" i="1" s="1"/>
  <c r="AC10" i="1"/>
  <c r="N10" i="1"/>
  <c r="I10" i="1"/>
  <c r="BF9" i="1"/>
  <c r="BA9" i="1"/>
  <c r="AC9" i="1"/>
  <c r="M9" i="1"/>
  <c r="BF8" i="1"/>
  <c r="BE8" i="1"/>
  <c r="BD8" i="1"/>
  <c r="BC8" i="1"/>
  <c r="AC8" i="1"/>
  <c r="Q8" i="1"/>
  <c r="L8" i="1"/>
  <c r="BD7" i="1"/>
  <c r="BB7" i="1"/>
  <c r="BA7" i="1"/>
  <c r="AC7" i="1"/>
  <c r="P7" i="1"/>
  <c r="K7" i="1"/>
  <c r="BH6" i="1"/>
  <c r="BG6" i="1"/>
  <c r="BE6" i="1"/>
  <c r="BD6" i="1"/>
  <c r="BC6" i="1"/>
  <c r="BA6" i="1"/>
  <c r="AC6" i="1"/>
  <c r="J6" i="1"/>
  <c r="BG5" i="1"/>
  <c r="BB5" i="1"/>
  <c r="AZ5" i="1"/>
  <c r="BK5" i="1" s="1"/>
  <c r="AC5" i="1"/>
  <c r="I5" i="1"/>
  <c r="BC4" i="1"/>
  <c r="AC4" i="1"/>
  <c r="H4" i="1"/>
  <c r="T1" i="1"/>
  <c r="B106" i="9"/>
  <c r="AZ104" i="9"/>
  <c r="AY104" i="9"/>
  <c r="M104" i="9"/>
  <c r="J104" i="9"/>
  <c r="E104" i="9"/>
  <c r="C104" i="9"/>
  <c r="AZ103" i="9"/>
  <c r="AY103" i="9"/>
  <c r="R103" i="9"/>
  <c r="M103" i="9"/>
  <c r="AW103" i="9" s="1"/>
  <c r="Q5" i="9" s="1"/>
  <c r="J103" i="9"/>
  <c r="E103" i="9"/>
  <c r="C103" i="9"/>
  <c r="AZ102" i="9"/>
  <c r="AY102" i="9"/>
  <c r="R102" i="9"/>
  <c r="M102" i="9"/>
  <c r="J102" i="9"/>
  <c r="AW102" i="9" s="1"/>
  <c r="P6" i="9" s="1"/>
  <c r="E102" i="9"/>
  <c r="C102" i="9"/>
  <c r="AZ101" i="9"/>
  <c r="AY101" i="9"/>
  <c r="R101" i="9"/>
  <c r="M101" i="9"/>
  <c r="J101" i="9"/>
  <c r="AW101" i="9" s="1"/>
  <c r="E101" i="9"/>
  <c r="C101" i="9"/>
  <c r="AZ100" i="9"/>
  <c r="AY100" i="9"/>
  <c r="R100" i="9"/>
  <c r="M100" i="9"/>
  <c r="AW100" i="9" s="1"/>
  <c r="J100" i="9"/>
  <c r="E100" i="9"/>
  <c r="C100" i="9"/>
  <c r="AZ99" i="9"/>
  <c r="AY99" i="9"/>
  <c r="R99" i="9"/>
  <c r="M99" i="9"/>
  <c r="J99" i="9"/>
  <c r="AW99" i="9" s="1"/>
  <c r="E99" i="9"/>
  <c r="C99" i="9"/>
  <c r="AZ96" i="9"/>
  <c r="AY96" i="9"/>
  <c r="M96" i="9"/>
  <c r="AW96" i="9" s="1"/>
  <c r="J96" i="9"/>
  <c r="E96" i="9"/>
  <c r="C96" i="9"/>
  <c r="AZ95" i="9"/>
  <c r="AY95" i="9"/>
  <c r="R95" i="9"/>
  <c r="M95" i="9"/>
  <c r="J95" i="9"/>
  <c r="AW95" i="9" s="1"/>
  <c r="E95" i="9"/>
  <c r="C95" i="9"/>
  <c r="AZ94" i="9"/>
  <c r="AY94" i="9"/>
  <c r="R94" i="9"/>
  <c r="M94" i="9"/>
  <c r="J94" i="9"/>
  <c r="AW94" i="9" s="1"/>
  <c r="E94" i="9"/>
  <c r="C94" i="9"/>
  <c r="AZ93" i="9"/>
  <c r="AY93" i="9"/>
  <c r="R93" i="9"/>
  <c r="M93" i="9"/>
  <c r="J93" i="9"/>
  <c r="E93" i="9"/>
  <c r="C93" i="9"/>
  <c r="AZ92" i="9"/>
  <c r="AY92" i="9"/>
  <c r="R92" i="9"/>
  <c r="M92" i="9"/>
  <c r="J92" i="9"/>
  <c r="E92" i="9"/>
  <c r="C92" i="9"/>
  <c r="AZ91" i="9"/>
  <c r="AY91" i="9"/>
  <c r="R91" i="9"/>
  <c r="M91" i="9"/>
  <c r="J91" i="9"/>
  <c r="E91" i="9"/>
  <c r="C91" i="9"/>
  <c r="AZ88" i="9"/>
  <c r="AY88" i="9"/>
  <c r="M88" i="9"/>
  <c r="J88" i="9"/>
  <c r="E88" i="9"/>
  <c r="C88" i="9"/>
  <c r="AZ87" i="9"/>
  <c r="AY87" i="9"/>
  <c r="R87" i="9"/>
  <c r="M87" i="9"/>
  <c r="J87" i="9"/>
  <c r="AW87" i="9" s="1"/>
  <c r="E87" i="9"/>
  <c r="C87" i="9"/>
  <c r="AZ86" i="9"/>
  <c r="AY86" i="9"/>
  <c r="R86" i="9"/>
  <c r="M86" i="9"/>
  <c r="J86" i="9"/>
  <c r="E86" i="9"/>
  <c r="C86" i="9"/>
  <c r="AZ85" i="9"/>
  <c r="AY85" i="9"/>
  <c r="R85" i="9"/>
  <c r="M85" i="9"/>
  <c r="AW85" i="9" s="1"/>
  <c r="J10" i="9" s="1"/>
  <c r="J85" i="9"/>
  <c r="E85" i="9"/>
  <c r="C85" i="9"/>
  <c r="AZ84" i="9"/>
  <c r="AY84" i="9"/>
  <c r="R84" i="9"/>
  <c r="M84" i="9"/>
  <c r="J84" i="9"/>
  <c r="AW84" i="9" s="1"/>
  <c r="M7" i="9" s="1"/>
  <c r="E84" i="9"/>
  <c r="C84" i="9"/>
  <c r="AZ83" i="9"/>
  <c r="AY83" i="9"/>
  <c r="R83" i="9"/>
  <c r="M83" i="9"/>
  <c r="J83" i="9"/>
  <c r="AW83" i="9" s="1"/>
  <c r="E83" i="9"/>
  <c r="C83" i="9"/>
  <c r="AZ80" i="9"/>
  <c r="AY80" i="9"/>
  <c r="M80" i="9"/>
  <c r="J80" i="9"/>
  <c r="AW80" i="9" s="1"/>
  <c r="E80" i="9"/>
  <c r="C80" i="9"/>
  <c r="AZ79" i="9"/>
  <c r="AY79" i="9"/>
  <c r="R79" i="9"/>
  <c r="M79" i="9"/>
  <c r="J79" i="9"/>
  <c r="AW79" i="9" s="1"/>
  <c r="E79" i="9"/>
  <c r="C79" i="9"/>
  <c r="AZ78" i="9"/>
  <c r="AY78" i="9"/>
  <c r="R78" i="9"/>
  <c r="M78" i="9"/>
  <c r="AW78" i="9" s="1"/>
  <c r="J78" i="9"/>
  <c r="E78" i="9"/>
  <c r="C78" i="9"/>
  <c r="AZ77" i="9"/>
  <c r="AY77" i="9"/>
  <c r="R77" i="9"/>
  <c r="M77" i="9"/>
  <c r="J77" i="9"/>
  <c r="E77" i="9"/>
  <c r="C77" i="9"/>
  <c r="AZ76" i="9"/>
  <c r="AY76" i="9"/>
  <c r="R76" i="9"/>
  <c r="M76" i="9"/>
  <c r="J76" i="9"/>
  <c r="AW76" i="9" s="1"/>
  <c r="E76" i="9"/>
  <c r="C76" i="9"/>
  <c r="AZ75" i="9"/>
  <c r="AY75" i="9"/>
  <c r="R75" i="9"/>
  <c r="M75" i="9"/>
  <c r="J75" i="9"/>
  <c r="AW75" i="9" s="1"/>
  <c r="Q15" i="9" s="1"/>
  <c r="E75" i="9"/>
  <c r="C75" i="9"/>
  <c r="AZ72" i="9"/>
  <c r="AY72" i="9"/>
  <c r="M72" i="9"/>
  <c r="J72" i="9"/>
  <c r="AW72" i="9" s="1"/>
  <c r="Q12" i="9" s="1"/>
  <c r="E72" i="9"/>
  <c r="C72" i="9"/>
  <c r="AZ71" i="9"/>
  <c r="AY71" i="9"/>
  <c r="R71" i="9"/>
  <c r="M71" i="9"/>
  <c r="J71" i="9"/>
  <c r="E71" i="9"/>
  <c r="C71" i="9"/>
  <c r="AZ70" i="9"/>
  <c r="AY70" i="9"/>
  <c r="AW70" i="9"/>
  <c r="N4" i="9" s="1"/>
  <c r="R70" i="9"/>
  <c r="M70" i="9"/>
  <c r="J70" i="9"/>
  <c r="E70" i="9"/>
  <c r="C70" i="9"/>
  <c r="AZ69" i="9"/>
  <c r="AY69" i="9"/>
  <c r="R69" i="9"/>
  <c r="M69" i="9"/>
  <c r="J69" i="9"/>
  <c r="E69" i="9"/>
  <c r="C69" i="9"/>
  <c r="AZ68" i="9"/>
  <c r="AY68" i="9"/>
  <c r="AW68" i="9"/>
  <c r="J8" i="9" s="1"/>
  <c r="R68" i="9"/>
  <c r="M68" i="9"/>
  <c r="J68" i="9"/>
  <c r="E68" i="9"/>
  <c r="C68" i="9"/>
  <c r="AZ67" i="9"/>
  <c r="AY67" i="9"/>
  <c r="R67" i="9"/>
  <c r="M67" i="9"/>
  <c r="AW67" i="9" s="1"/>
  <c r="J67" i="9"/>
  <c r="E67" i="9"/>
  <c r="C67" i="9"/>
  <c r="AZ64" i="9"/>
  <c r="AY64" i="9"/>
  <c r="M64" i="9"/>
  <c r="J64" i="9"/>
  <c r="AW64" i="9" s="1"/>
  <c r="J7" i="9" s="1"/>
  <c r="E64" i="9"/>
  <c r="C64" i="9"/>
  <c r="AZ63" i="9"/>
  <c r="AY63" i="9"/>
  <c r="R63" i="9"/>
  <c r="M63" i="9"/>
  <c r="J63" i="9"/>
  <c r="AW63" i="9" s="1"/>
  <c r="E63" i="9"/>
  <c r="C63" i="9"/>
  <c r="AZ62" i="9"/>
  <c r="AY62" i="9"/>
  <c r="R62" i="9"/>
  <c r="M62" i="9"/>
  <c r="J62" i="9"/>
  <c r="E62" i="9"/>
  <c r="C62" i="9"/>
  <c r="AZ61" i="9"/>
  <c r="AY61" i="9"/>
  <c r="R61" i="9"/>
  <c r="M61" i="9"/>
  <c r="J61" i="9"/>
  <c r="AW61" i="9" s="1"/>
  <c r="E61" i="9"/>
  <c r="C61" i="9"/>
  <c r="AZ60" i="9"/>
  <c r="AY60" i="9"/>
  <c r="R60" i="9"/>
  <c r="M60" i="9"/>
  <c r="AW60" i="9" s="1"/>
  <c r="Q11" i="9" s="1"/>
  <c r="J60" i="9"/>
  <c r="E60" i="9"/>
  <c r="C60" i="9"/>
  <c r="AZ59" i="9"/>
  <c r="AY59" i="9"/>
  <c r="R59" i="9"/>
  <c r="M59" i="9"/>
  <c r="J59" i="9"/>
  <c r="E59" i="9"/>
  <c r="C59" i="9"/>
  <c r="AZ56" i="9"/>
  <c r="AY56" i="9"/>
  <c r="M56" i="9"/>
  <c r="J56" i="9"/>
  <c r="E56" i="9"/>
  <c r="C56" i="9"/>
  <c r="AZ55" i="9"/>
  <c r="AY55" i="9"/>
  <c r="R55" i="9"/>
  <c r="M55" i="9"/>
  <c r="J55" i="9"/>
  <c r="E55" i="9"/>
  <c r="C55" i="9"/>
  <c r="AZ54" i="9"/>
  <c r="AY54" i="9"/>
  <c r="R54" i="9"/>
  <c r="M54" i="9"/>
  <c r="J54" i="9"/>
  <c r="AW54" i="9" s="1"/>
  <c r="E54" i="9"/>
  <c r="C54" i="9"/>
  <c r="AZ53" i="9"/>
  <c r="AY53" i="9"/>
  <c r="AW53" i="9"/>
  <c r="R53" i="9"/>
  <c r="M53" i="9"/>
  <c r="J53" i="9"/>
  <c r="E53" i="9"/>
  <c r="C53" i="9"/>
  <c r="AZ52" i="9"/>
  <c r="AY52" i="9"/>
  <c r="R52" i="9"/>
  <c r="M52" i="9"/>
  <c r="J52" i="9"/>
  <c r="E52" i="9"/>
  <c r="C52" i="9"/>
  <c r="AZ51" i="9"/>
  <c r="AY51" i="9"/>
  <c r="R51" i="9"/>
  <c r="M51" i="9"/>
  <c r="J51" i="9"/>
  <c r="AW51" i="9" s="1"/>
  <c r="E51" i="9"/>
  <c r="C51" i="9"/>
  <c r="AZ48" i="9"/>
  <c r="AY48" i="9"/>
  <c r="M48" i="9"/>
  <c r="J48" i="9"/>
  <c r="AW48" i="9" s="1"/>
  <c r="J5" i="9" s="1"/>
  <c r="E48" i="9"/>
  <c r="C48" i="9"/>
  <c r="AZ47" i="9"/>
  <c r="AY47" i="9"/>
  <c r="R47" i="9"/>
  <c r="M47" i="9"/>
  <c r="J47" i="9"/>
  <c r="AW47" i="9" s="1"/>
  <c r="E47" i="9"/>
  <c r="C47" i="9"/>
  <c r="AZ46" i="9"/>
  <c r="AY46" i="9"/>
  <c r="R46" i="9"/>
  <c r="M46" i="9"/>
  <c r="J46" i="9"/>
  <c r="E46" i="9"/>
  <c r="C46" i="9"/>
  <c r="AZ45" i="9"/>
  <c r="AY45" i="9"/>
  <c r="R45" i="9"/>
  <c r="M45" i="9"/>
  <c r="J45" i="9"/>
  <c r="E45" i="9"/>
  <c r="C45" i="9"/>
  <c r="AZ44" i="9"/>
  <c r="AY44" i="9"/>
  <c r="R44" i="9"/>
  <c r="M44" i="9"/>
  <c r="J44" i="9"/>
  <c r="E44" i="9"/>
  <c r="C44" i="9"/>
  <c r="AZ43" i="9"/>
  <c r="AY43" i="9"/>
  <c r="R43" i="9"/>
  <c r="M43" i="9"/>
  <c r="J43" i="9"/>
  <c r="AW43" i="9" s="1"/>
  <c r="S11" i="9" s="1"/>
  <c r="E43" i="9"/>
  <c r="C43" i="9"/>
  <c r="AZ40" i="9"/>
  <c r="AY40" i="9"/>
  <c r="M40" i="9"/>
  <c r="J40" i="9"/>
  <c r="AW40" i="9" s="1"/>
  <c r="E40" i="9"/>
  <c r="C40" i="9"/>
  <c r="AZ39" i="9"/>
  <c r="AY39" i="9"/>
  <c r="R39" i="9"/>
  <c r="M39" i="9"/>
  <c r="J39" i="9"/>
  <c r="E39" i="9"/>
  <c r="C39" i="9"/>
  <c r="AZ38" i="9"/>
  <c r="AY38" i="9"/>
  <c r="R38" i="9"/>
  <c r="M38" i="9"/>
  <c r="J38" i="9"/>
  <c r="AW38" i="9" s="1"/>
  <c r="E38" i="9"/>
  <c r="C38" i="9"/>
  <c r="AZ37" i="9"/>
  <c r="AY37" i="9"/>
  <c r="R37" i="9"/>
  <c r="M37" i="9"/>
  <c r="AW37" i="9" s="1"/>
  <c r="J37" i="9"/>
  <c r="E37" i="9"/>
  <c r="C37" i="9"/>
  <c r="AZ36" i="9"/>
  <c r="AY36" i="9"/>
  <c r="R36" i="9"/>
  <c r="M36" i="9"/>
  <c r="J36" i="9"/>
  <c r="AW36" i="9" s="1"/>
  <c r="E36" i="9"/>
  <c r="C36" i="9"/>
  <c r="AZ35" i="9"/>
  <c r="AY35" i="9"/>
  <c r="R35" i="9"/>
  <c r="M35" i="9"/>
  <c r="J35" i="9"/>
  <c r="E35" i="9"/>
  <c r="C35" i="9"/>
  <c r="AZ32" i="9"/>
  <c r="AY32" i="9"/>
  <c r="M32" i="9"/>
  <c r="J32" i="9"/>
  <c r="AW32" i="9" s="1"/>
  <c r="E32" i="9"/>
  <c r="C32" i="9"/>
  <c r="AZ31" i="9"/>
  <c r="AY31" i="9"/>
  <c r="R31" i="9"/>
  <c r="M31" i="9"/>
  <c r="J31" i="9"/>
  <c r="E31" i="9"/>
  <c r="C31" i="9"/>
  <c r="AZ30" i="9"/>
  <c r="AY30" i="9"/>
  <c r="R30" i="9"/>
  <c r="M30" i="9"/>
  <c r="J30" i="9"/>
  <c r="E30" i="9"/>
  <c r="C30" i="9"/>
  <c r="AZ29" i="9"/>
  <c r="AY29" i="9"/>
  <c r="R29" i="9"/>
  <c r="M29" i="9"/>
  <c r="AW29" i="9" s="1"/>
  <c r="J29" i="9"/>
  <c r="E29" i="9"/>
  <c r="C29" i="9"/>
  <c r="AZ28" i="9"/>
  <c r="AY28" i="9"/>
  <c r="R28" i="9"/>
  <c r="M28" i="9"/>
  <c r="J28" i="9"/>
  <c r="AW28" i="9" s="1"/>
  <c r="E28" i="9"/>
  <c r="C28" i="9"/>
  <c r="AZ27" i="9"/>
  <c r="AY27" i="9"/>
  <c r="R27" i="9"/>
  <c r="M27" i="9"/>
  <c r="J27" i="9"/>
  <c r="AW27" i="9" s="1"/>
  <c r="N15" i="9" s="1"/>
  <c r="E27" i="9"/>
  <c r="C27" i="9"/>
  <c r="AZ24" i="9"/>
  <c r="AY24" i="9"/>
  <c r="M24" i="9"/>
  <c r="J24" i="9"/>
  <c r="E24" i="9"/>
  <c r="C24" i="9"/>
  <c r="AZ23" i="9"/>
  <c r="AY23" i="9"/>
  <c r="R23" i="9"/>
  <c r="M23" i="9"/>
  <c r="J23" i="9"/>
  <c r="E23" i="9"/>
  <c r="C23" i="9"/>
  <c r="AZ22" i="9"/>
  <c r="AY22" i="9"/>
  <c r="R22" i="9"/>
  <c r="M22" i="9"/>
  <c r="J22" i="9"/>
  <c r="AW22" i="9" s="1"/>
  <c r="P7" i="9" s="1"/>
  <c r="E22" i="9"/>
  <c r="C22" i="9"/>
  <c r="AZ21" i="9"/>
  <c r="AY21" i="9"/>
  <c r="R21" i="9"/>
  <c r="M21" i="9"/>
  <c r="J21" i="9"/>
  <c r="AW21" i="9" s="1"/>
  <c r="Q6" i="9" s="1"/>
  <c r="E21" i="9"/>
  <c r="C21" i="9"/>
  <c r="AZ20" i="9"/>
  <c r="AY20" i="9"/>
  <c r="R20" i="9"/>
  <c r="M20" i="9"/>
  <c r="J20" i="9"/>
  <c r="AW20" i="9" s="1"/>
  <c r="E20" i="9"/>
  <c r="C20" i="9"/>
  <c r="AZ19" i="9"/>
  <c r="AY19" i="9"/>
  <c r="R19" i="9"/>
  <c r="M19" i="9"/>
  <c r="J19" i="9"/>
  <c r="AW19" i="9" s="1"/>
  <c r="E19" i="9"/>
  <c r="C19" i="9"/>
  <c r="S15" i="9"/>
  <c r="R14" i="9"/>
  <c r="S13" i="9"/>
  <c r="Q13" i="9"/>
  <c r="O13" i="9"/>
  <c r="J13" i="9"/>
  <c r="P12" i="9"/>
  <c r="O11" i="9"/>
  <c r="N10" i="9"/>
  <c r="M9" i="9"/>
  <c r="L8" i="9"/>
  <c r="I8" i="9"/>
  <c r="K7" i="9"/>
  <c r="N6" i="9"/>
  <c r="J6" i="9"/>
  <c r="L5" i="9"/>
  <c r="I5" i="9"/>
  <c r="H4" i="9"/>
  <c r="V1" i="9"/>
  <c r="D137" i="8"/>
  <c r="BD135" i="8"/>
  <c r="BC135" i="8"/>
  <c r="V135" i="8"/>
  <c r="M135" i="8"/>
  <c r="J135" i="8"/>
  <c r="BA135" i="8" s="1"/>
  <c r="E135" i="8"/>
  <c r="C135" i="8"/>
  <c r="BD134" i="8"/>
  <c r="BC134" i="8"/>
  <c r="V134" i="8"/>
  <c r="M134" i="8"/>
  <c r="BA134" i="8" s="1"/>
  <c r="T6" i="8" s="1"/>
  <c r="J134" i="8"/>
  <c r="E134" i="8"/>
  <c r="C134" i="8"/>
  <c r="BD133" i="8"/>
  <c r="BC133" i="8"/>
  <c r="V133" i="8"/>
  <c r="M133" i="8"/>
  <c r="J133" i="8"/>
  <c r="BA133" i="8" s="1"/>
  <c r="K15" i="8" s="1"/>
  <c r="E133" i="8"/>
  <c r="C133" i="8"/>
  <c r="BD132" i="8"/>
  <c r="BC132" i="8"/>
  <c r="V132" i="8"/>
  <c r="M132" i="8"/>
  <c r="BA132" i="8" s="1"/>
  <c r="J132" i="8"/>
  <c r="E132" i="8"/>
  <c r="C132" i="8"/>
  <c r="BD131" i="8"/>
  <c r="BC131" i="8"/>
  <c r="V131" i="8"/>
  <c r="M131" i="8"/>
  <c r="J131" i="8"/>
  <c r="BA131" i="8" s="1"/>
  <c r="Q9" i="8" s="1"/>
  <c r="E131" i="8"/>
  <c r="C131" i="8"/>
  <c r="BD130" i="8"/>
  <c r="BC130" i="8"/>
  <c r="V130" i="8"/>
  <c r="M130" i="8"/>
  <c r="J130" i="8"/>
  <c r="BA130" i="8" s="1"/>
  <c r="E130" i="8"/>
  <c r="C130" i="8"/>
  <c r="BD129" i="8"/>
  <c r="BC129" i="8"/>
  <c r="V129" i="8"/>
  <c r="M129" i="8"/>
  <c r="J129" i="8"/>
  <c r="BA129" i="8" s="1"/>
  <c r="E129" i="8"/>
  <c r="C129" i="8"/>
  <c r="BD126" i="8"/>
  <c r="BC126" i="8"/>
  <c r="V126" i="8"/>
  <c r="M126" i="8"/>
  <c r="J126" i="8"/>
  <c r="BA126" i="8" s="1"/>
  <c r="E126" i="8"/>
  <c r="C126" i="8"/>
  <c r="BD125" i="8"/>
  <c r="BC125" i="8"/>
  <c r="V125" i="8"/>
  <c r="M125" i="8"/>
  <c r="J125" i="8"/>
  <c r="BA125" i="8" s="1"/>
  <c r="E125" i="8"/>
  <c r="C125" i="8"/>
  <c r="BD124" i="8"/>
  <c r="BC124" i="8"/>
  <c r="V124" i="8"/>
  <c r="M124" i="8"/>
  <c r="J124" i="8"/>
  <c r="E124" i="8"/>
  <c r="C124" i="8"/>
  <c r="BD123" i="8"/>
  <c r="BC123" i="8"/>
  <c r="V123" i="8"/>
  <c r="M123" i="8"/>
  <c r="J123" i="8"/>
  <c r="BA123" i="8" s="1"/>
  <c r="E123" i="8"/>
  <c r="C123" i="8"/>
  <c r="BD122" i="8"/>
  <c r="BC122" i="8"/>
  <c r="V122" i="8"/>
  <c r="M122" i="8"/>
  <c r="J122" i="8"/>
  <c r="BA122" i="8" s="1"/>
  <c r="E122" i="8"/>
  <c r="C122" i="8"/>
  <c r="BD121" i="8"/>
  <c r="BC121" i="8"/>
  <c r="V121" i="8"/>
  <c r="M121" i="8"/>
  <c r="J121" i="8"/>
  <c r="E121" i="8"/>
  <c r="C121" i="8"/>
  <c r="BD120" i="8"/>
  <c r="BC120" i="8"/>
  <c r="V120" i="8"/>
  <c r="M120" i="8"/>
  <c r="J120" i="8"/>
  <c r="BA120" i="8" s="1"/>
  <c r="E120" i="8"/>
  <c r="C120" i="8"/>
  <c r="BD117" i="8"/>
  <c r="BC117" i="8"/>
  <c r="BA117" i="8"/>
  <c r="V117" i="8"/>
  <c r="M117" i="8"/>
  <c r="J117" i="8"/>
  <c r="E117" i="8"/>
  <c r="C117" i="8"/>
  <c r="BD116" i="8"/>
  <c r="BC116" i="8"/>
  <c r="V116" i="8"/>
  <c r="M116" i="8"/>
  <c r="J116" i="8"/>
  <c r="BA116" i="8" s="1"/>
  <c r="H7" i="8" s="1"/>
  <c r="E116" i="8"/>
  <c r="C116" i="8"/>
  <c r="BD115" i="8"/>
  <c r="BC115" i="8"/>
  <c r="V115" i="8"/>
  <c r="M115" i="8"/>
  <c r="J115" i="8"/>
  <c r="BA115" i="8" s="1"/>
  <c r="E115" i="8"/>
  <c r="C115" i="8"/>
  <c r="BD114" i="8"/>
  <c r="BC114" i="8"/>
  <c r="V114" i="8"/>
  <c r="M114" i="8"/>
  <c r="J114" i="8"/>
  <c r="E114" i="8"/>
  <c r="C114" i="8"/>
  <c r="BD113" i="8"/>
  <c r="BC113" i="8"/>
  <c r="V113" i="8"/>
  <c r="M113" i="8"/>
  <c r="J113" i="8"/>
  <c r="BA113" i="8" s="1"/>
  <c r="E113" i="8"/>
  <c r="C113" i="8"/>
  <c r="BD112" i="8"/>
  <c r="BC112" i="8"/>
  <c r="V112" i="8"/>
  <c r="M112" i="8"/>
  <c r="BA112" i="8" s="1"/>
  <c r="J112" i="8"/>
  <c r="E112" i="8"/>
  <c r="C112" i="8"/>
  <c r="BD111" i="8"/>
  <c r="BC111" i="8"/>
  <c r="V111" i="8"/>
  <c r="M111" i="8"/>
  <c r="J111" i="8"/>
  <c r="BA111" i="8" s="1"/>
  <c r="E111" i="8"/>
  <c r="C111" i="8"/>
  <c r="BD108" i="8"/>
  <c r="BC108" i="8"/>
  <c r="V108" i="8"/>
  <c r="M108" i="8"/>
  <c r="J108" i="8"/>
  <c r="BA108" i="8" s="1"/>
  <c r="U6" i="8" s="1"/>
  <c r="E108" i="8"/>
  <c r="C108" i="8"/>
  <c r="BD107" i="8"/>
  <c r="BC107" i="8"/>
  <c r="V107" i="8"/>
  <c r="M107" i="8"/>
  <c r="J107" i="8"/>
  <c r="E107" i="8"/>
  <c r="C107" i="8"/>
  <c r="BD106" i="8"/>
  <c r="BC106" i="8"/>
  <c r="V106" i="8"/>
  <c r="M106" i="8"/>
  <c r="BA106" i="8" s="1"/>
  <c r="L4" i="8" s="1"/>
  <c r="J106" i="8"/>
  <c r="E106" i="8"/>
  <c r="C106" i="8"/>
  <c r="BD105" i="8"/>
  <c r="BC105" i="8"/>
  <c r="V105" i="8"/>
  <c r="M105" i="8"/>
  <c r="J105" i="8"/>
  <c r="BA105" i="8" s="1"/>
  <c r="E105" i="8"/>
  <c r="C105" i="8"/>
  <c r="BD104" i="8"/>
  <c r="BC104" i="8"/>
  <c r="V104" i="8"/>
  <c r="M104" i="8"/>
  <c r="J104" i="8"/>
  <c r="E104" i="8"/>
  <c r="C104" i="8"/>
  <c r="BD103" i="8"/>
  <c r="BC103" i="8"/>
  <c r="V103" i="8"/>
  <c r="M103" i="8"/>
  <c r="J103" i="8"/>
  <c r="BA103" i="8" s="1"/>
  <c r="E103" i="8"/>
  <c r="C103" i="8"/>
  <c r="BD102" i="8"/>
  <c r="BC102" i="8"/>
  <c r="V102" i="8"/>
  <c r="M102" i="8"/>
  <c r="BA102" i="8" s="1"/>
  <c r="P13" i="8" s="1"/>
  <c r="J102" i="8"/>
  <c r="E102" i="8"/>
  <c r="C102" i="8"/>
  <c r="BD99" i="8"/>
  <c r="BC99" i="8"/>
  <c r="V99" i="8"/>
  <c r="M99" i="8"/>
  <c r="J99" i="8"/>
  <c r="BA99" i="8" s="1"/>
  <c r="J7" i="8" s="1"/>
  <c r="E99" i="8"/>
  <c r="C99" i="8"/>
  <c r="BD98" i="8"/>
  <c r="BC98" i="8"/>
  <c r="V98" i="8"/>
  <c r="M98" i="8"/>
  <c r="J98" i="8"/>
  <c r="BA98" i="8" s="1"/>
  <c r="L5" i="8" s="1"/>
  <c r="E98" i="8"/>
  <c r="C98" i="8"/>
  <c r="BD97" i="8"/>
  <c r="BC97" i="8"/>
  <c r="V97" i="8"/>
  <c r="M97" i="8"/>
  <c r="J97" i="8"/>
  <c r="E97" i="8"/>
  <c r="C97" i="8"/>
  <c r="BD96" i="8"/>
  <c r="BC96" i="8"/>
  <c r="V96" i="8"/>
  <c r="M96" i="8"/>
  <c r="J96" i="8"/>
  <c r="BA96" i="8" s="1"/>
  <c r="E96" i="8"/>
  <c r="C96" i="8"/>
  <c r="BD95" i="8"/>
  <c r="BC95" i="8"/>
  <c r="V95" i="8"/>
  <c r="M95" i="8"/>
  <c r="J95" i="8"/>
  <c r="E95" i="8"/>
  <c r="C95" i="8"/>
  <c r="BD94" i="8"/>
  <c r="BC94" i="8"/>
  <c r="BA94" i="8"/>
  <c r="P14" i="8" s="1"/>
  <c r="V94" i="8"/>
  <c r="M94" i="8"/>
  <c r="J94" i="8"/>
  <c r="E94" i="8"/>
  <c r="C94" i="8"/>
  <c r="BD93" i="8"/>
  <c r="BC93" i="8"/>
  <c r="V93" i="8"/>
  <c r="M93" i="8"/>
  <c r="J93" i="8"/>
  <c r="BA93" i="8" s="1"/>
  <c r="E93" i="8"/>
  <c r="C93" i="8"/>
  <c r="BD90" i="8"/>
  <c r="BC90" i="8"/>
  <c r="V90" i="8"/>
  <c r="M90" i="8"/>
  <c r="J90" i="8"/>
  <c r="E90" i="8"/>
  <c r="C90" i="8"/>
  <c r="BD89" i="8"/>
  <c r="BC89" i="8"/>
  <c r="V89" i="8"/>
  <c r="M89" i="8"/>
  <c r="J89" i="8"/>
  <c r="BA89" i="8" s="1"/>
  <c r="J8" i="8" s="1"/>
  <c r="E89" i="8"/>
  <c r="C89" i="8"/>
  <c r="BD88" i="8"/>
  <c r="BC88" i="8"/>
  <c r="V88" i="8"/>
  <c r="M88" i="8"/>
  <c r="J88" i="8"/>
  <c r="E88" i="8"/>
  <c r="C88" i="8"/>
  <c r="BD87" i="8"/>
  <c r="BC87" i="8"/>
  <c r="V87" i="8"/>
  <c r="M87" i="8"/>
  <c r="J87" i="8"/>
  <c r="BA87" i="8" s="1"/>
  <c r="E87" i="8"/>
  <c r="C87" i="8"/>
  <c r="BD86" i="8"/>
  <c r="BC86" i="8"/>
  <c r="V86" i="8"/>
  <c r="M86" i="8"/>
  <c r="J86" i="8"/>
  <c r="BA86" i="8" s="1"/>
  <c r="E86" i="8"/>
  <c r="C86" i="8"/>
  <c r="BD85" i="8"/>
  <c r="BC85" i="8"/>
  <c r="V85" i="8"/>
  <c r="M85" i="8"/>
  <c r="J85" i="8"/>
  <c r="BA85" i="8" s="1"/>
  <c r="E85" i="8"/>
  <c r="C85" i="8"/>
  <c r="BD84" i="8"/>
  <c r="BC84" i="8"/>
  <c r="BA84" i="8"/>
  <c r="V84" i="8"/>
  <c r="M84" i="8"/>
  <c r="J84" i="8"/>
  <c r="E84" i="8"/>
  <c r="C84" i="8"/>
  <c r="BA82" i="8"/>
  <c r="BD81" i="8"/>
  <c r="BC81" i="8"/>
  <c r="V81" i="8"/>
  <c r="M81" i="8"/>
  <c r="J81" i="8"/>
  <c r="BA81" i="8" s="1"/>
  <c r="E81" i="8"/>
  <c r="C81" i="8"/>
  <c r="BD80" i="8"/>
  <c r="BC80" i="8"/>
  <c r="V80" i="8"/>
  <c r="M80" i="8"/>
  <c r="BA80" i="8" s="1"/>
  <c r="J80" i="8"/>
  <c r="E80" i="8"/>
  <c r="C80" i="8"/>
  <c r="BF79" i="8"/>
  <c r="BG79" i="8" s="1"/>
  <c r="BD79" i="8"/>
  <c r="BC79" i="8"/>
  <c r="V79" i="8"/>
  <c r="M79" i="8"/>
  <c r="J79" i="8"/>
  <c r="BA79" i="8" s="1"/>
  <c r="I10" i="8" s="1"/>
  <c r="E79" i="8"/>
  <c r="C79" i="8"/>
  <c r="BD78" i="8"/>
  <c r="BC78" i="8"/>
  <c r="V78" i="8"/>
  <c r="M78" i="8"/>
  <c r="J78" i="8"/>
  <c r="BA78" i="8" s="1"/>
  <c r="E78" i="8"/>
  <c r="C78" i="8"/>
  <c r="BD77" i="8"/>
  <c r="BC77" i="8"/>
  <c r="BA77" i="8"/>
  <c r="P16" i="8" s="1"/>
  <c r="V77" i="8"/>
  <c r="M77" i="8"/>
  <c r="J77" i="8"/>
  <c r="E77" i="8"/>
  <c r="C77" i="8"/>
  <c r="BD76" i="8"/>
  <c r="BC76" i="8"/>
  <c r="V76" i="8"/>
  <c r="M76" i="8"/>
  <c r="J76" i="8"/>
  <c r="E76" i="8"/>
  <c r="C76" i="8"/>
  <c r="BD75" i="8"/>
  <c r="BC75" i="8"/>
  <c r="BA75" i="8"/>
  <c r="R17" i="8" s="1"/>
  <c r="V75" i="8"/>
  <c r="M75" i="8"/>
  <c r="J75" i="8"/>
  <c r="E75" i="8"/>
  <c r="C75" i="8"/>
  <c r="BA74" i="8"/>
  <c r="BA73" i="8"/>
  <c r="BE72" i="8"/>
  <c r="BH72" i="8" s="1"/>
  <c r="BD72" i="8"/>
  <c r="BC72" i="8"/>
  <c r="V72" i="8"/>
  <c r="M72" i="8"/>
  <c r="J72" i="8"/>
  <c r="BA72" i="8" s="1"/>
  <c r="U8" i="8" s="1"/>
  <c r="E72" i="8"/>
  <c r="C72" i="8"/>
  <c r="BD71" i="8"/>
  <c r="BC71" i="8"/>
  <c r="BA71" i="8"/>
  <c r="V71" i="8"/>
  <c r="M71" i="8"/>
  <c r="J71" i="8"/>
  <c r="E71" i="8"/>
  <c r="C71" i="8"/>
  <c r="BD70" i="8"/>
  <c r="BC70" i="8"/>
  <c r="V70" i="8"/>
  <c r="M70" i="8"/>
  <c r="BA70" i="8" s="1"/>
  <c r="J10" i="8" s="1"/>
  <c r="J70" i="8"/>
  <c r="E70" i="8"/>
  <c r="C70" i="8"/>
  <c r="BD69" i="8"/>
  <c r="BC69" i="8"/>
  <c r="V69" i="8"/>
  <c r="M69" i="8"/>
  <c r="J69" i="8"/>
  <c r="E69" i="8"/>
  <c r="C69" i="8"/>
  <c r="BD68" i="8"/>
  <c r="BC68" i="8"/>
  <c r="V68" i="8"/>
  <c r="M68" i="8"/>
  <c r="BA68" i="8" s="1"/>
  <c r="J68" i="8"/>
  <c r="E68" i="8"/>
  <c r="C68" i="8"/>
  <c r="BD67" i="8"/>
  <c r="BC67" i="8"/>
  <c r="V67" i="8"/>
  <c r="M67" i="8"/>
  <c r="J67" i="8"/>
  <c r="BA67" i="8" s="1"/>
  <c r="E67" i="8"/>
  <c r="C67" i="8"/>
  <c r="BF66" i="8"/>
  <c r="BG66" i="8" s="1"/>
  <c r="BD66" i="8"/>
  <c r="BC66" i="8"/>
  <c r="BA66" i="8"/>
  <c r="S14" i="8" s="1"/>
  <c r="V66" i="8"/>
  <c r="M66" i="8"/>
  <c r="J66" i="8"/>
  <c r="E66" i="8"/>
  <c r="C66" i="8"/>
  <c r="BA65" i="8"/>
  <c r="BA64" i="8"/>
  <c r="BD63" i="8"/>
  <c r="BC63" i="8"/>
  <c r="V63" i="8"/>
  <c r="M63" i="8"/>
  <c r="J63" i="8"/>
  <c r="E63" i="8"/>
  <c r="C63" i="8"/>
  <c r="BD62" i="8"/>
  <c r="BC62" i="8"/>
  <c r="V62" i="8"/>
  <c r="M62" i="8"/>
  <c r="J62" i="8"/>
  <c r="E62" i="8"/>
  <c r="C62" i="8"/>
  <c r="BD61" i="8"/>
  <c r="BC61" i="8"/>
  <c r="V61" i="8"/>
  <c r="M61" i="8"/>
  <c r="J61" i="8"/>
  <c r="BA61" i="8" s="1"/>
  <c r="O6" i="8" s="1"/>
  <c r="E61" i="8"/>
  <c r="C61" i="8"/>
  <c r="BD60" i="8"/>
  <c r="BC60" i="8"/>
  <c r="V60" i="8"/>
  <c r="M60" i="8"/>
  <c r="J60" i="8"/>
  <c r="BA60" i="8" s="1"/>
  <c r="E60" i="8"/>
  <c r="C60" i="8"/>
  <c r="BE59" i="8"/>
  <c r="BH59" i="8" s="1"/>
  <c r="BD59" i="8"/>
  <c r="BC59" i="8"/>
  <c r="V59" i="8"/>
  <c r="M59" i="8"/>
  <c r="J59" i="8"/>
  <c r="E59" i="8"/>
  <c r="C59" i="8"/>
  <c r="BD58" i="8"/>
  <c r="BC58" i="8"/>
  <c r="V58" i="8"/>
  <c r="M58" i="8"/>
  <c r="J58" i="8"/>
  <c r="BA58" i="8" s="1"/>
  <c r="E58" i="8"/>
  <c r="C58" i="8"/>
  <c r="BD57" i="8"/>
  <c r="BC57" i="8"/>
  <c r="V57" i="8"/>
  <c r="M57" i="8"/>
  <c r="J57" i="8"/>
  <c r="E57" i="8"/>
  <c r="C57" i="8"/>
  <c r="BA56" i="8"/>
  <c r="BD54" i="8"/>
  <c r="BC54" i="8"/>
  <c r="V54" i="8"/>
  <c r="M54" i="8"/>
  <c r="J54" i="8"/>
  <c r="BA54" i="8" s="1"/>
  <c r="E54" i="8"/>
  <c r="C54" i="8"/>
  <c r="BD53" i="8"/>
  <c r="BC53" i="8"/>
  <c r="V53" i="8"/>
  <c r="M53" i="8"/>
  <c r="J53" i="8"/>
  <c r="E53" i="8"/>
  <c r="C53" i="8"/>
  <c r="BD52" i="8"/>
  <c r="BC52" i="8"/>
  <c r="V52" i="8"/>
  <c r="M52" i="8"/>
  <c r="J52" i="8"/>
  <c r="BA52" i="8" s="1"/>
  <c r="O7" i="8" s="1"/>
  <c r="E52" i="8"/>
  <c r="C52" i="8"/>
  <c r="BD51" i="8"/>
  <c r="BC51" i="8"/>
  <c r="V51" i="8"/>
  <c r="M51" i="8"/>
  <c r="J51" i="8"/>
  <c r="E51" i="8"/>
  <c r="C51" i="8"/>
  <c r="BD50" i="8"/>
  <c r="BC50" i="8"/>
  <c r="V50" i="8"/>
  <c r="M50" i="8"/>
  <c r="J50" i="8"/>
  <c r="E50" i="8"/>
  <c r="C50" i="8"/>
  <c r="BD49" i="8"/>
  <c r="BC49" i="8"/>
  <c r="V49" i="8"/>
  <c r="M49" i="8"/>
  <c r="J49" i="8"/>
  <c r="BA49" i="8" s="1"/>
  <c r="E49" i="8"/>
  <c r="C49" i="8"/>
  <c r="BD48" i="8"/>
  <c r="BC48" i="8"/>
  <c r="BA48" i="8"/>
  <c r="S16" i="8" s="1"/>
  <c r="V48" i="8"/>
  <c r="M48" i="8"/>
  <c r="J48" i="8"/>
  <c r="E48" i="8"/>
  <c r="C48" i="8"/>
  <c r="BA47" i="8"/>
  <c r="BA46" i="8"/>
  <c r="BD45" i="8"/>
  <c r="BC45" i="8"/>
  <c r="V45" i="8"/>
  <c r="M45" i="8"/>
  <c r="J45" i="8"/>
  <c r="BA45" i="8" s="1"/>
  <c r="M10" i="8" s="1"/>
  <c r="E45" i="8"/>
  <c r="C45" i="8"/>
  <c r="BD44" i="8"/>
  <c r="BC44" i="8"/>
  <c r="V44" i="8"/>
  <c r="M44" i="8"/>
  <c r="J44" i="8"/>
  <c r="E44" i="8"/>
  <c r="C44" i="8"/>
  <c r="BD43" i="8"/>
  <c r="BC43" i="8"/>
  <c r="V43" i="8"/>
  <c r="M43" i="8"/>
  <c r="J43" i="8"/>
  <c r="BA43" i="8" s="1"/>
  <c r="P7" i="8" s="1"/>
  <c r="E43" i="8"/>
  <c r="C43" i="8"/>
  <c r="BD42" i="8"/>
  <c r="BC42" i="8"/>
  <c r="V42" i="8"/>
  <c r="M42" i="8"/>
  <c r="J42" i="8"/>
  <c r="BA42" i="8" s="1"/>
  <c r="J13" i="8" s="1"/>
  <c r="E42" i="8"/>
  <c r="C42" i="8"/>
  <c r="BD41" i="8"/>
  <c r="BC41" i="8"/>
  <c r="V41" i="8"/>
  <c r="M41" i="8"/>
  <c r="J41" i="8"/>
  <c r="BA41" i="8" s="1"/>
  <c r="E41" i="8"/>
  <c r="C41" i="8"/>
  <c r="BD40" i="8"/>
  <c r="BC40" i="8"/>
  <c r="V40" i="8"/>
  <c r="M40" i="8"/>
  <c r="J40" i="8"/>
  <c r="E40" i="8"/>
  <c r="C40" i="8"/>
  <c r="BD39" i="8"/>
  <c r="BC39" i="8"/>
  <c r="V39" i="8"/>
  <c r="M39" i="8"/>
  <c r="J39" i="8"/>
  <c r="BA39" i="8" s="1"/>
  <c r="E39" i="8"/>
  <c r="C39" i="8"/>
  <c r="BA38" i="8"/>
  <c r="BA37" i="8"/>
  <c r="BD36" i="8"/>
  <c r="BC36" i="8"/>
  <c r="V36" i="8"/>
  <c r="M36" i="8"/>
  <c r="J36" i="8"/>
  <c r="BA36" i="8" s="1"/>
  <c r="E36" i="8"/>
  <c r="C36" i="8"/>
  <c r="BD35" i="8"/>
  <c r="BC35" i="8"/>
  <c r="V35" i="8"/>
  <c r="M35" i="8"/>
  <c r="J35" i="8"/>
  <c r="BA35" i="8" s="1"/>
  <c r="E35" i="8"/>
  <c r="C35" i="8"/>
  <c r="BD34" i="8"/>
  <c r="BC34" i="8"/>
  <c r="BA34" i="8"/>
  <c r="V34" i="8"/>
  <c r="M34" i="8"/>
  <c r="J34" i="8"/>
  <c r="E34" i="8"/>
  <c r="C34" i="8"/>
  <c r="BD33" i="8"/>
  <c r="BC33" i="8"/>
  <c r="V33" i="8"/>
  <c r="M33" i="8"/>
  <c r="BA33" i="8" s="1"/>
  <c r="J33" i="8"/>
  <c r="E33" i="8"/>
  <c r="C33" i="8"/>
  <c r="BD32" i="8"/>
  <c r="BC32" i="8"/>
  <c r="V32" i="8"/>
  <c r="M32" i="8"/>
  <c r="J32" i="8"/>
  <c r="E32" i="8"/>
  <c r="C32" i="8"/>
  <c r="BD31" i="8"/>
  <c r="BC31" i="8"/>
  <c r="V31" i="8"/>
  <c r="M31" i="8"/>
  <c r="BA31" i="8" s="1"/>
  <c r="J31" i="8"/>
  <c r="E31" i="8"/>
  <c r="C31" i="8"/>
  <c r="BD30" i="8"/>
  <c r="BC30" i="8"/>
  <c r="V30" i="8"/>
  <c r="M30" i="8"/>
  <c r="J30" i="8"/>
  <c r="BA30" i="8" s="1"/>
  <c r="E30" i="8"/>
  <c r="C30" i="8"/>
  <c r="BA29" i="8"/>
  <c r="BA28" i="8"/>
  <c r="BD27" i="8"/>
  <c r="BC27" i="8"/>
  <c r="V27" i="8"/>
  <c r="M27" i="8"/>
  <c r="J27" i="8"/>
  <c r="E27" i="8"/>
  <c r="C27" i="8"/>
  <c r="BD26" i="8"/>
  <c r="BC26" i="8"/>
  <c r="V26" i="8"/>
  <c r="M26" i="8"/>
  <c r="J26" i="8"/>
  <c r="E26" i="8"/>
  <c r="C26" i="8"/>
  <c r="BD25" i="8"/>
  <c r="BC25" i="8"/>
  <c r="V25" i="8"/>
  <c r="M25" i="8"/>
  <c r="J25" i="8"/>
  <c r="BA25" i="8" s="1"/>
  <c r="Q8" i="8" s="1"/>
  <c r="E25" i="8"/>
  <c r="C25" i="8"/>
  <c r="BH24" i="8"/>
  <c r="BG24" i="8"/>
  <c r="BD24" i="8"/>
  <c r="BC24" i="8"/>
  <c r="V24" i="8"/>
  <c r="M24" i="8"/>
  <c r="BA24" i="8" s="1"/>
  <c r="K14" i="8" s="1"/>
  <c r="J24" i="8"/>
  <c r="E24" i="8"/>
  <c r="C24" i="8"/>
  <c r="BH23" i="8"/>
  <c r="BG23" i="8"/>
  <c r="BD23" i="8"/>
  <c r="BC23" i="8"/>
  <c r="V23" i="8"/>
  <c r="M23" i="8"/>
  <c r="J23" i="8"/>
  <c r="BA23" i="8" s="1"/>
  <c r="J15" i="8" s="1"/>
  <c r="E23" i="8"/>
  <c r="C23" i="8"/>
  <c r="BH22" i="8"/>
  <c r="BG22" i="8"/>
  <c r="BD22" i="8"/>
  <c r="BC22" i="8"/>
  <c r="V22" i="8"/>
  <c r="M22" i="8"/>
  <c r="J22" i="8"/>
  <c r="BA22" i="8" s="1"/>
  <c r="E22" i="8"/>
  <c r="C22" i="8"/>
  <c r="BH21" i="8"/>
  <c r="BG21" i="8"/>
  <c r="BD21" i="8"/>
  <c r="BC21" i="8"/>
  <c r="V21" i="8"/>
  <c r="M21" i="8"/>
  <c r="J21" i="8"/>
  <c r="BA21" i="8" s="1"/>
  <c r="H17" i="8" s="1"/>
  <c r="E21" i="8"/>
  <c r="C21" i="8"/>
  <c r="BH20" i="8"/>
  <c r="BG20" i="8"/>
  <c r="BI17" i="8"/>
  <c r="BE17" i="8"/>
  <c r="AZ17" i="8"/>
  <c r="AY17" i="8"/>
  <c r="U17" i="8"/>
  <c r="M17" i="8"/>
  <c r="I17" i="8"/>
  <c r="AZ16" i="8"/>
  <c r="AY16" i="8"/>
  <c r="BD16" i="8" s="1"/>
  <c r="BS16" i="8" s="1"/>
  <c r="T16" i="8"/>
  <c r="AZ15" i="8"/>
  <c r="AY15" i="8"/>
  <c r="BM15" i="8" s="1"/>
  <c r="S15" i="8"/>
  <c r="R15" i="8"/>
  <c r="BP14" i="8"/>
  <c r="BN14" i="8"/>
  <c r="BM14" i="8"/>
  <c r="BL14" i="8"/>
  <c r="BJ14" i="8"/>
  <c r="BI14" i="8"/>
  <c r="BG14" i="8"/>
  <c r="AZ14" i="8"/>
  <c r="AY14" i="8"/>
  <c r="BO14" i="8" s="1"/>
  <c r="R14" i="8"/>
  <c r="AZ13" i="8"/>
  <c r="AY13" i="8"/>
  <c r="BD13" i="8" s="1"/>
  <c r="BS13" i="8" s="1"/>
  <c r="Q13" i="8"/>
  <c r="AZ12" i="8"/>
  <c r="AY12" i="8"/>
  <c r="BN12" i="8" s="1"/>
  <c r="T12" i="8"/>
  <c r="P12" i="8"/>
  <c r="BP11" i="8"/>
  <c r="BO11" i="8"/>
  <c r="BN11" i="8"/>
  <c r="BD11" i="8"/>
  <c r="BS11" i="8" s="1"/>
  <c r="AZ11" i="8"/>
  <c r="AY11" i="8"/>
  <c r="BI11" i="8" s="1"/>
  <c r="O11" i="8"/>
  <c r="J11" i="8"/>
  <c r="BN10" i="8"/>
  <c r="BM10" i="8"/>
  <c r="BL10" i="8"/>
  <c r="BK10" i="8"/>
  <c r="BJ10" i="8"/>
  <c r="BI10" i="8"/>
  <c r="BH10" i="8"/>
  <c r="BG10" i="8"/>
  <c r="AZ10" i="8"/>
  <c r="AY10" i="8"/>
  <c r="BP10" i="8" s="1"/>
  <c r="N10" i="8"/>
  <c r="AZ9" i="8"/>
  <c r="AY9" i="8"/>
  <c r="BF9" i="8" s="1"/>
  <c r="U9" i="8"/>
  <c r="M9" i="8"/>
  <c r="BP8" i="8"/>
  <c r="BO8" i="8"/>
  <c r="BN8" i="8"/>
  <c r="BM8" i="8"/>
  <c r="BL8" i="8"/>
  <c r="BK8" i="8"/>
  <c r="BJ8" i="8"/>
  <c r="AZ8" i="8"/>
  <c r="AY8" i="8"/>
  <c r="BE8" i="8" s="1"/>
  <c r="L8" i="8"/>
  <c r="BM7" i="8"/>
  <c r="BL7" i="8"/>
  <c r="BK7" i="8"/>
  <c r="BJ7" i="8"/>
  <c r="BI7" i="8"/>
  <c r="BH7" i="8"/>
  <c r="BG7" i="8"/>
  <c r="AZ7" i="8"/>
  <c r="AY7" i="8"/>
  <c r="BN7" i="8" s="1"/>
  <c r="K7" i="8"/>
  <c r="AZ6" i="8"/>
  <c r="AY6" i="8"/>
  <c r="BF6" i="8" s="1"/>
  <c r="J6" i="8"/>
  <c r="AZ5" i="8"/>
  <c r="AY5" i="8"/>
  <c r="BN5" i="8" s="1"/>
  <c r="U5" i="8"/>
  <c r="I5" i="8"/>
  <c r="AZ4" i="8"/>
  <c r="AY4" i="8"/>
  <c r="BM4" i="8" s="1"/>
  <c r="U4" i="8"/>
  <c r="H4" i="8"/>
  <c r="X1" i="8"/>
  <c r="BL7" i="1" l="1"/>
  <c r="BM7" i="1" s="1"/>
  <c r="BN7" i="1" s="1"/>
  <c r="BA47" i="1" s="1"/>
  <c r="BD47" i="1" s="1"/>
  <c r="L10" i="9"/>
  <c r="N8" i="9"/>
  <c r="M11" i="8"/>
  <c r="O9" i="8"/>
  <c r="I12" i="8"/>
  <c r="P5" i="8"/>
  <c r="R9" i="9"/>
  <c r="M14" i="9"/>
  <c r="R5" i="9"/>
  <c r="I14" i="9"/>
  <c r="K15" i="9"/>
  <c r="S7" i="9"/>
  <c r="I6" i="1"/>
  <c r="J5" i="1"/>
  <c r="N5" i="9"/>
  <c r="I10" i="9"/>
  <c r="S9" i="9"/>
  <c r="M15" i="9"/>
  <c r="J12" i="1"/>
  <c r="P6" i="1"/>
  <c r="L7" i="8"/>
  <c r="K8" i="8"/>
  <c r="P8" i="9"/>
  <c r="L12" i="9"/>
  <c r="H6" i="9"/>
  <c r="J4" i="9"/>
  <c r="Q7" i="8"/>
  <c r="K13" i="8"/>
  <c r="N6" i="1"/>
  <c r="J10" i="1"/>
  <c r="M6" i="1"/>
  <c r="J9" i="1"/>
  <c r="I15" i="8"/>
  <c r="S5" i="8"/>
  <c r="P10" i="8"/>
  <c r="N12" i="8"/>
  <c r="M14" i="8"/>
  <c r="R9" i="8"/>
  <c r="H6" i="8"/>
  <c r="J4" i="8"/>
  <c r="N11" i="9"/>
  <c r="O10" i="9"/>
  <c r="T5" i="8"/>
  <c r="I16" i="8"/>
  <c r="Q11" i="8"/>
  <c r="O13" i="8"/>
  <c r="BB25" i="1"/>
  <c r="BC25" i="1" s="1"/>
  <c r="AV13" i="1" s="1"/>
  <c r="BL9" i="1"/>
  <c r="L10" i="1"/>
  <c r="BA62" i="8"/>
  <c r="BG4" i="8"/>
  <c r="BG16" i="8"/>
  <c r="BA97" i="8"/>
  <c r="M4" i="8" s="1"/>
  <c r="BA114" i="8"/>
  <c r="L6" i="9"/>
  <c r="AW45" i="9"/>
  <c r="M13" i="9" s="1"/>
  <c r="BF7" i="1"/>
  <c r="AW54" i="1"/>
  <c r="AX5" i="2"/>
  <c r="BP12" i="8"/>
  <c r="BP15" i="8"/>
  <c r="BH11" i="1"/>
  <c r="AW64" i="1"/>
  <c r="AW62" i="1"/>
  <c r="BO5" i="8"/>
  <c r="BO12" i="8"/>
  <c r="N5" i="8"/>
  <c r="BO15" i="8"/>
  <c r="BE7" i="8"/>
  <c r="BD10" i="8"/>
  <c r="BS10" i="8" s="1"/>
  <c r="BA27" i="8"/>
  <c r="BA44" i="8"/>
  <c r="O8" i="8" s="1"/>
  <c r="BA90" i="8"/>
  <c r="BA107" i="8"/>
  <c r="I7" i="8" s="1"/>
  <c r="AZ13" i="1"/>
  <c r="BK13" i="1" s="1"/>
  <c r="BL13" i="1" s="1"/>
  <c r="AZ5" i="2"/>
  <c r="BC7" i="2"/>
  <c r="BA9" i="2"/>
  <c r="AT42" i="2"/>
  <c r="AV6" i="3"/>
  <c r="AT13" i="4"/>
  <c r="BA95" i="8"/>
  <c r="AQ20" i="3"/>
  <c r="I7" i="3" s="1"/>
  <c r="AW22" i="1"/>
  <c r="BN15" i="8"/>
  <c r="BD7" i="8"/>
  <c r="BS7" i="8" s="1"/>
  <c r="BF7" i="8"/>
  <c r="BE10" i="8"/>
  <c r="M13" i="8"/>
  <c r="BA59" i="8"/>
  <c r="AW30" i="9"/>
  <c r="AW35" i="9"/>
  <c r="AW91" i="9"/>
  <c r="R15" i="9" s="1"/>
  <c r="AZ6" i="1"/>
  <c r="BK6" i="1" s="1"/>
  <c r="BL6" i="1" s="1"/>
  <c r="BA33" i="1" s="1"/>
  <c r="BD33" i="1" s="1"/>
  <c r="AV4" i="1" s="1"/>
  <c r="AW19" i="1"/>
  <c r="BB9" i="2"/>
  <c r="AT47" i="2"/>
  <c r="J4" i="2" s="1"/>
  <c r="AW31" i="9"/>
  <c r="AW92" i="9"/>
  <c r="BC5" i="1"/>
  <c r="AW48" i="1"/>
  <c r="AT43" i="2"/>
  <c r="AT48" i="2"/>
  <c r="AT5" i="3"/>
  <c r="BE5" i="3" s="1"/>
  <c r="N9" i="8"/>
  <c r="AY10" i="2"/>
  <c r="BH16" i="8"/>
  <c r="U14" i="8"/>
  <c r="BH8" i="1"/>
  <c r="AW29" i="1"/>
  <c r="H5" i="1" s="1"/>
  <c r="AW36" i="1"/>
  <c r="BE12" i="8"/>
  <c r="BJ16" i="8"/>
  <c r="AW59" i="9"/>
  <c r="AW20" i="1"/>
  <c r="BA8" i="2"/>
  <c r="BE16" i="8"/>
  <c r="BT16" i="8" s="1"/>
  <c r="BA69" i="8"/>
  <c r="AW23" i="9"/>
  <c r="L11" i="9" s="1"/>
  <c r="AQ16" i="3"/>
  <c r="BJ4" i="8"/>
  <c r="BD6" i="8"/>
  <c r="BS6" i="8" s="1"/>
  <c r="BO7" i="8"/>
  <c r="BG15" i="8"/>
  <c r="BA10" i="1"/>
  <c r="BL10" i="1" s="1"/>
  <c r="BC22" i="1"/>
  <c r="BB10" i="2"/>
  <c r="BK4" i="8"/>
  <c r="BE6" i="8"/>
  <c r="BP7" i="8"/>
  <c r="BG12" i="8"/>
  <c r="BH15" i="8"/>
  <c r="BK16" i="8"/>
  <c r="BA50" i="8"/>
  <c r="BA63" i="8"/>
  <c r="AW39" i="9"/>
  <c r="AW44" i="9"/>
  <c r="AW62" i="9"/>
  <c r="M4" i="9" s="1"/>
  <c r="Q7" i="1"/>
  <c r="AW18" i="1"/>
  <c r="BD22" i="1"/>
  <c r="AT31" i="2"/>
  <c r="K6" i="2" s="1"/>
  <c r="AW5" i="3"/>
  <c r="BD15" i="8"/>
  <c r="BS15" i="8" s="1"/>
  <c r="BI12" i="8"/>
  <c r="BC8" i="2"/>
  <c r="AW16" i="3"/>
  <c r="BN4" i="8"/>
  <c r="BH6" i="8"/>
  <c r="K11" i="8"/>
  <c r="BJ12" i="8"/>
  <c r="BH14" i="8"/>
  <c r="BJ15" i="8"/>
  <c r="BM16" i="8"/>
  <c r="BA26" i="8"/>
  <c r="BA53" i="8"/>
  <c r="L10" i="8" s="1"/>
  <c r="O15" i="9"/>
  <c r="AW24" i="9"/>
  <c r="AW52" i="9"/>
  <c r="I7" i="9" s="1"/>
  <c r="AZ4" i="1"/>
  <c r="BK4" i="1" s="1"/>
  <c r="BL4" i="1" s="1"/>
  <c r="BE10" i="1"/>
  <c r="K5" i="2"/>
  <c r="N11" i="2"/>
  <c r="AW56" i="9"/>
  <c r="P11" i="9" s="1"/>
  <c r="BA32" i="8"/>
  <c r="BH4" i="8"/>
  <c r="BE15" i="8"/>
  <c r="BL16" i="8"/>
  <c r="BD20" i="1"/>
  <c r="AW7" i="2"/>
  <c r="BH7" i="2" s="1"/>
  <c r="AY22" i="2" s="1"/>
  <c r="AZ22" i="2" s="1"/>
  <c r="AZ19" i="2"/>
  <c r="BF16" i="8"/>
  <c r="BI16" i="8"/>
  <c r="BI15" i="8"/>
  <c r="BO4" i="8"/>
  <c r="BI6" i="8"/>
  <c r="BK12" i="8"/>
  <c r="BK15" i="8"/>
  <c r="BN16" i="8"/>
  <c r="AW78" i="1"/>
  <c r="AW71" i="9"/>
  <c r="Q12" i="8"/>
  <c r="AT55" i="2"/>
  <c r="BA88" i="8"/>
  <c r="AW67" i="1"/>
  <c r="K9" i="9"/>
  <c r="AW55" i="1"/>
  <c r="BA76" i="8"/>
  <c r="S13" i="8" s="1"/>
  <c r="BI4" i="8"/>
  <c r="BD12" i="8"/>
  <c r="BS12" i="8" s="1"/>
  <c r="BF15" i="8"/>
  <c r="BL4" i="8"/>
  <c r="BP4" i="8"/>
  <c r="BM12" i="8"/>
  <c r="BL15" i="8"/>
  <c r="BO16" i="8"/>
  <c r="I9" i="2"/>
  <c r="BK14" i="8"/>
  <c r="BP16" i="8"/>
  <c r="BA104" i="8"/>
  <c r="BA121" i="8"/>
  <c r="I6" i="9"/>
  <c r="AW88" i="9"/>
  <c r="AW93" i="9"/>
  <c r="H6" i="3"/>
  <c r="AR5" i="4"/>
  <c r="AM13" i="4"/>
  <c r="AZ16" i="2"/>
  <c r="M6" i="8"/>
  <c r="J9" i="8"/>
  <c r="O10" i="8"/>
  <c r="N11" i="8"/>
  <c r="I13" i="8"/>
  <c r="Q5" i="8"/>
  <c r="J14" i="8"/>
  <c r="R6" i="8"/>
  <c r="N17" i="8"/>
  <c r="U10" i="8"/>
  <c r="O4" i="8"/>
  <c r="H11" i="8"/>
  <c r="J9" i="9"/>
  <c r="M6" i="9"/>
  <c r="H16" i="8"/>
  <c r="T4" i="8"/>
  <c r="P14" i="9"/>
  <c r="R12" i="9"/>
  <c r="H5" i="8"/>
  <c r="I4" i="8"/>
  <c r="K4" i="8"/>
  <c r="M7" i="8"/>
  <c r="K9" i="8"/>
  <c r="R7" i="8"/>
  <c r="U13" i="8"/>
  <c r="Q17" i="8"/>
  <c r="P11" i="8"/>
  <c r="O12" i="8"/>
  <c r="L15" i="8"/>
  <c r="S8" i="8"/>
  <c r="H5" i="9"/>
  <c r="I4" i="9"/>
  <c r="K6" i="3"/>
  <c r="J7" i="3"/>
  <c r="BP6" i="8"/>
  <c r="BO6" i="8"/>
  <c r="BN6" i="8"/>
  <c r="BL6" i="8"/>
  <c r="BK6" i="8"/>
  <c r="BJ6" i="8"/>
  <c r="BM6" i="8"/>
  <c r="BG6" i="8"/>
  <c r="S7" i="8"/>
  <c r="BH17" i="8"/>
  <c r="BG17" i="8"/>
  <c r="BF17" i="8"/>
  <c r="BD17" i="8"/>
  <c r="BS17" i="8" s="1"/>
  <c r="BN17" i="8"/>
  <c r="BP17" i="8"/>
  <c r="BO17" i="8"/>
  <c r="BK17" i="8"/>
  <c r="BM17" i="8"/>
  <c r="BJ17" i="8"/>
  <c r="BL17" i="8"/>
  <c r="L11" i="8"/>
  <c r="R16" i="8"/>
  <c r="T14" i="8"/>
  <c r="O14" i="8"/>
  <c r="R11" i="8"/>
  <c r="BF6" i="1"/>
  <c r="BD26" i="1"/>
  <c r="AQ35" i="3"/>
  <c r="AX8" i="3"/>
  <c r="N15" i="8"/>
  <c r="S10" i="8"/>
  <c r="O7" i="9"/>
  <c r="K11" i="9"/>
  <c r="AM17" i="4"/>
  <c r="AQ6" i="4"/>
  <c r="O16" i="8"/>
  <c r="T11" i="8"/>
  <c r="N14" i="8"/>
  <c r="R10" i="8"/>
  <c r="R7" i="9"/>
  <c r="K14" i="9"/>
  <c r="T17" i="8"/>
  <c r="U16" i="8"/>
  <c r="T10" i="8"/>
  <c r="N16" i="8"/>
  <c r="BE7" i="1"/>
  <c r="AW57" i="1"/>
  <c r="H8" i="8"/>
  <c r="BE9" i="8"/>
  <c r="U11" i="8"/>
  <c r="O17" i="8"/>
  <c r="AT54" i="2"/>
  <c r="BC10" i="2"/>
  <c r="N6" i="8"/>
  <c r="Q9" i="9"/>
  <c r="M11" i="9"/>
  <c r="O9" i="9"/>
  <c r="N14" i="9"/>
  <c r="R10" i="9"/>
  <c r="N6" i="4"/>
  <c r="O5" i="4"/>
  <c r="AQ21" i="3"/>
  <c r="AU4" i="3"/>
  <c r="R4" i="8"/>
  <c r="H14" i="8"/>
  <c r="P15" i="8"/>
  <c r="S12" i="8"/>
  <c r="J5" i="8"/>
  <c r="I6" i="8"/>
  <c r="AW69" i="9"/>
  <c r="BL8" i="1"/>
  <c r="BB26" i="1"/>
  <c r="BC26" i="1" s="1"/>
  <c r="AV10" i="1" s="1"/>
  <c r="BE11" i="1"/>
  <c r="L6" i="8"/>
  <c r="K17" i="8"/>
  <c r="U7" i="8"/>
  <c r="BP5" i="8"/>
  <c r="BL5" i="8"/>
  <c r="BJ5" i="8"/>
  <c r="BK5" i="8"/>
  <c r="BI5" i="8"/>
  <c r="BH5" i="8"/>
  <c r="BF5" i="8"/>
  <c r="BE5" i="8"/>
  <c r="BG5" i="8"/>
  <c r="R12" i="8"/>
  <c r="J17" i="8"/>
  <c r="K6" i="9"/>
  <c r="J15" i="9"/>
  <c r="S6" i="9"/>
  <c r="Q5" i="1"/>
  <c r="I13" i="1"/>
  <c r="J16" i="8"/>
  <c r="L15" i="9"/>
  <c r="S8" i="9"/>
  <c r="R13" i="9"/>
  <c r="Q14" i="9"/>
  <c r="P5" i="9"/>
  <c r="I12" i="9"/>
  <c r="Q16" i="8"/>
  <c r="T13" i="8"/>
  <c r="I8" i="8"/>
  <c r="L13" i="9"/>
  <c r="Q8" i="9"/>
  <c r="K6" i="8"/>
  <c r="J11" i="9"/>
  <c r="O6" i="9"/>
  <c r="L17" i="8"/>
  <c r="N7" i="8"/>
  <c r="K10" i="8"/>
  <c r="P4" i="8"/>
  <c r="H12" i="8"/>
  <c r="O15" i="8"/>
  <c r="S11" i="8"/>
  <c r="P15" i="9"/>
  <c r="S12" i="9"/>
  <c r="U12" i="8"/>
  <c r="P17" i="8"/>
  <c r="BI9" i="8"/>
  <c r="BP9" i="8"/>
  <c r="BM9" i="8"/>
  <c r="BO9" i="8"/>
  <c r="BN9" i="8"/>
  <c r="BL9" i="8"/>
  <c r="BH9" i="8"/>
  <c r="BK9" i="8"/>
  <c r="BG9" i="8"/>
  <c r="BJ9" i="8"/>
  <c r="BD9" i="8"/>
  <c r="BS9" i="8" s="1"/>
  <c r="BO13" i="8"/>
  <c r="BN13" i="8"/>
  <c r="BL13" i="8"/>
  <c r="BP13" i="8"/>
  <c r="BF13" i="8"/>
  <c r="BE13" i="8"/>
  <c r="BT13" i="8" s="1"/>
  <c r="BM13" i="8"/>
  <c r="BK13" i="8"/>
  <c r="BJ13" i="8"/>
  <c r="BI13" i="8"/>
  <c r="BH13" i="8"/>
  <c r="BG13" i="8"/>
  <c r="Q14" i="8"/>
  <c r="R13" i="8"/>
  <c r="K12" i="9"/>
  <c r="L14" i="8"/>
  <c r="R8" i="8"/>
  <c r="K5" i="8"/>
  <c r="BD5" i="8"/>
  <c r="BS5" i="8" s="1"/>
  <c r="S6" i="8"/>
  <c r="L13" i="8"/>
  <c r="L12" i="8"/>
  <c r="P8" i="8"/>
  <c r="T9" i="8"/>
  <c r="M16" i="8"/>
  <c r="H9" i="9"/>
  <c r="BB8" i="1"/>
  <c r="AW35" i="1"/>
  <c r="N4" i="8"/>
  <c r="H10" i="8"/>
  <c r="Q6" i="8"/>
  <c r="BD13" i="1"/>
  <c r="BM5" i="8"/>
  <c r="I14" i="8"/>
  <c r="R5" i="8"/>
  <c r="L16" i="8"/>
  <c r="T8" i="8"/>
  <c r="I13" i="9"/>
  <c r="K4" i="9"/>
  <c r="H7" i="9"/>
  <c r="BD28" i="1"/>
  <c r="AV6" i="1" s="1"/>
  <c r="BB11" i="1"/>
  <c r="L4" i="2"/>
  <c r="H8" i="2"/>
  <c r="BA57" i="8"/>
  <c r="O5" i="1"/>
  <c r="I11" i="1"/>
  <c r="M8" i="9"/>
  <c r="L9" i="9"/>
  <c r="AV7" i="3"/>
  <c r="T15" i="8"/>
  <c r="BA40" i="8"/>
  <c r="P10" i="9"/>
  <c r="N12" i="9"/>
  <c r="BC13" i="1"/>
  <c r="AW39" i="1"/>
  <c r="BE13" i="1"/>
  <c r="AW53" i="1"/>
  <c r="BH7" i="1"/>
  <c r="BB4" i="1"/>
  <c r="BD9" i="1"/>
  <c r="AW49" i="1"/>
  <c r="BF11" i="8"/>
  <c r="AW33" i="1"/>
  <c r="BB6" i="1"/>
  <c r="BG11" i="8"/>
  <c r="N7" i="9"/>
  <c r="K10" i="9"/>
  <c r="BD8" i="8"/>
  <c r="BS8" i="8" s="1"/>
  <c r="BH11" i="8"/>
  <c r="AW55" i="9"/>
  <c r="AT16" i="2"/>
  <c r="O4" i="2" s="1"/>
  <c r="BG8" i="8"/>
  <c r="BF10" i="8"/>
  <c r="BO10" i="8"/>
  <c r="BK11" i="8"/>
  <c r="BD14" i="8"/>
  <c r="BS14" i="8" s="1"/>
  <c r="I4" i="2"/>
  <c r="H5" i="2"/>
  <c r="BL12" i="1"/>
  <c r="BE11" i="8"/>
  <c r="BT11" i="8" s="1"/>
  <c r="BJ11" i="8"/>
  <c r="P13" i="9"/>
  <c r="BB29" i="1"/>
  <c r="BC29" i="1" s="1"/>
  <c r="BL5" i="1"/>
  <c r="BE4" i="8"/>
  <c r="BH8" i="8"/>
  <c r="BL11" i="8"/>
  <c r="K12" i="8"/>
  <c r="BE14" i="8"/>
  <c r="BA51" i="8"/>
  <c r="S10" i="9"/>
  <c r="H7" i="2"/>
  <c r="K4" i="2"/>
  <c r="BF8" i="8"/>
  <c r="L6" i="2"/>
  <c r="J8" i="2"/>
  <c r="BD4" i="8"/>
  <c r="BS4" i="8" s="1"/>
  <c r="BF4" i="8"/>
  <c r="BI8" i="8"/>
  <c r="BM11" i="8"/>
  <c r="BL12" i="8"/>
  <c r="BH12" i="8"/>
  <c r="BF12" i="8"/>
  <c r="BF14" i="8"/>
  <c r="J12" i="9"/>
  <c r="BG8" i="1"/>
  <c r="AW61" i="1"/>
  <c r="J5" i="2"/>
  <c r="I6" i="2"/>
  <c r="K10" i="2"/>
  <c r="N7" i="2"/>
  <c r="AW56" i="1"/>
  <c r="H9" i="2"/>
  <c r="M4" i="2"/>
  <c r="BA27" i="1"/>
  <c r="BD27" i="1" s="1"/>
  <c r="AT46" i="2"/>
  <c r="J5" i="3"/>
  <c r="AW86" i="9"/>
  <c r="AW40" i="1"/>
  <c r="AW50" i="1"/>
  <c r="AX7" i="3"/>
  <c r="AQ34" i="3"/>
  <c r="K9" i="3" s="1"/>
  <c r="AW42" i="1"/>
  <c r="AW46" i="1"/>
  <c r="AW68" i="1"/>
  <c r="AT22" i="2"/>
  <c r="AT25" i="2"/>
  <c r="AT34" i="2"/>
  <c r="AT37" i="2"/>
  <c r="H12" i="9"/>
  <c r="P4" i="9"/>
  <c r="BA11" i="1"/>
  <c r="BL11" i="1" s="1"/>
  <c r="AW27" i="1"/>
  <c r="BF10" i="1"/>
  <c r="AW63" i="1"/>
  <c r="AT4" i="3"/>
  <c r="BE4" i="3" s="1"/>
  <c r="H10" i="9"/>
  <c r="O12" i="9"/>
  <c r="K8" i="9"/>
  <c r="L7" i="9"/>
  <c r="BF4" i="1"/>
  <c r="AT9" i="3"/>
  <c r="BE9" i="3" s="1"/>
  <c r="AW14" i="3"/>
  <c r="AQ14" i="3"/>
  <c r="AM20" i="4"/>
  <c r="AR6" i="4"/>
  <c r="AW25" i="1"/>
  <c r="AW47" i="1"/>
  <c r="BC9" i="1"/>
  <c r="BH10" i="1"/>
  <c r="BD11" i="1"/>
  <c r="BC21" i="1"/>
  <c r="AW21" i="1"/>
  <c r="K8" i="3"/>
  <c r="L7" i="3"/>
  <c r="AX5" i="3"/>
  <c r="AQ36" i="3"/>
  <c r="AR17" i="4"/>
  <c r="AS17" i="4" s="1"/>
  <c r="H8" i="9"/>
  <c r="L4" i="9"/>
  <c r="BA124" i="8"/>
  <c r="BB27" i="1"/>
  <c r="BC27" i="1" s="1"/>
  <c r="AV11" i="1" s="1"/>
  <c r="BB6" i="4"/>
  <c r="H15" i="9"/>
  <c r="S4" i="9"/>
  <c r="BG11" i="1"/>
  <c r="BD10" i="1"/>
  <c r="L10" i="2"/>
  <c r="AT6" i="3"/>
  <c r="BE6" i="3" s="1"/>
  <c r="BF6" i="3" s="1"/>
  <c r="AU26" i="3" s="1"/>
  <c r="AX16" i="3"/>
  <c r="AR16" i="4"/>
  <c r="AS16" i="4" s="1"/>
  <c r="AT30" i="2"/>
  <c r="AQ7" i="4"/>
  <c r="M6" i="3"/>
  <c r="J9" i="3"/>
  <c r="AW77" i="9"/>
  <c r="AW71" i="1"/>
  <c r="AT8" i="3"/>
  <c r="BE8" i="3" s="1"/>
  <c r="BF8" i="3" s="1"/>
  <c r="BG8" i="3" s="1"/>
  <c r="AQ15" i="3"/>
  <c r="AQ5" i="4"/>
  <c r="BB5" i="4" s="1"/>
  <c r="AP4" i="4"/>
  <c r="BA4" i="4" s="1"/>
  <c r="AT12" i="4"/>
  <c r="AM16" i="4"/>
  <c r="I4" i="1"/>
  <c r="AM12" i="4"/>
  <c r="AW104" i="9"/>
  <c r="AW75" i="1"/>
  <c r="AW10" i="2"/>
  <c r="BH10" i="2" s="1"/>
  <c r="AY25" i="2" s="1"/>
  <c r="AZ25" i="2" s="1"/>
  <c r="AS4" i="2" s="1"/>
  <c r="AT17" i="2"/>
  <c r="M5" i="4"/>
  <c r="N4" i="4"/>
  <c r="AW46" i="9"/>
  <c r="AW15" i="3"/>
  <c r="AP7" i="4"/>
  <c r="BA7" i="4" s="1"/>
  <c r="AW4" i="3"/>
  <c r="AX6" i="2"/>
  <c r="BI6" i="2" s="1"/>
  <c r="L11" i="2"/>
  <c r="H6" i="2"/>
  <c r="M11" i="2"/>
  <c r="J7" i="2"/>
  <c r="BA25" i="2"/>
  <c r="AS10" i="2" s="1"/>
  <c r="AX24" i="2"/>
  <c r="BI5" i="2"/>
  <c r="H11" i="2"/>
  <c r="M6" i="2"/>
  <c r="J9" i="2"/>
  <c r="AX23" i="2"/>
  <c r="AY23" i="2"/>
  <c r="AZ23" i="2" s="1"/>
  <c r="AS6" i="2" s="1"/>
  <c r="BI8" i="2"/>
  <c r="BI9" i="2"/>
  <c r="BA22" i="2"/>
  <c r="BI11" i="2"/>
  <c r="BI4" i="2"/>
  <c r="AY24" i="2"/>
  <c r="AZ24" i="2" s="1"/>
  <c r="AS5" i="2" s="1"/>
  <c r="I9" i="3"/>
  <c r="K4" i="3"/>
  <c r="M8" i="3"/>
  <c r="AU19" i="3"/>
  <c r="BF9" i="3"/>
  <c r="BG6" i="3"/>
  <c r="BF7" i="3"/>
  <c r="AV20" i="3"/>
  <c r="AW20" i="3" s="1"/>
  <c r="AP5" i="3" s="1"/>
  <c r="BF5" i="3"/>
  <c r="AU20" i="3"/>
  <c r="AV19" i="3"/>
  <c r="AW19" i="3" s="1"/>
  <c r="BT7" i="8" l="1"/>
  <c r="BU13" i="8"/>
  <c r="BT10" i="8"/>
  <c r="BU7" i="8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U11" i="8"/>
  <c r="BV11" i="8" s="1"/>
  <c r="BV13" i="8"/>
  <c r="BW13" i="8" s="1"/>
  <c r="BF70" i="8"/>
  <c r="BG70" i="8" s="1"/>
  <c r="BA29" i="1"/>
  <c r="BA34" i="1"/>
  <c r="BD34" i="1" s="1"/>
  <c r="BO7" i="1"/>
  <c r="BB42" i="1"/>
  <c r="BC42" i="1" s="1"/>
  <c r="BM13" i="1"/>
  <c r="BB32" i="1"/>
  <c r="BC32" i="1" s="1"/>
  <c r="P9" i="9"/>
  <c r="M12" i="9"/>
  <c r="T12" i="9" s="1"/>
  <c r="M12" i="8"/>
  <c r="P9" i="8"/>
  <c r="M8" i="8"/>
  <c r="L9" i="8"/>
  <c r="J11" i="1"/>
  <c r="O6" i="1"/>
  <c r="BF48" i="8"/>
  <c r="BG48" i="8" s="1"/>
  <c r="I12" i="1"/>
  <c r="P5" i="1"/>
  <c r="S9" i="8"/>
  <c r="M15" i="8"/>
  <c r="N9" i="1"/>
  <c r="M10" i="1"/>
  <c r="P13" i="1"/>
  <c r="Q12" i="1"/>
  <c r="BI7" i="2"/>
  <c r="BJ7" i="2" s="1"/>
  <c r="K5" i="9"/>
  <c r="O8" i="9"/>
  <c r="I9" i="8"/>
  <c r="M5" i="8"/>
  <c r="BT15" i="8"/>
  <c r="BU15" i="8" s="1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I10" i="2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S14" i="9"/>
  <c r="L9" i="1"/>
  <c r="M8" i="1"/>
  <c r="I9" i="1"/>
  <c r="M5" i="1"/>
  <c r="S5" i="9"/>
  <c r="I15" i="9"/>
  <c r="T15" i="9" s="1"/>
  <c r="H9" i="8"/>
  <c r="BF4" i="3"/>
  <c r="AV25" i="3" s="1"/>
  <c r="AW25" i="3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T12" i="8"/>
  <c r="BU12" i="8" s="1"/>
  <c r="BV12" i="8" s="1"/>
  <c r="K13" i="9"/>
  <c r="Q7" i="9"/>
  <c r="T7" i="9" s="1"/>
  <c r="Q4" i="8"/>
  <c r="H13" i="8"/>
  <c r="N8" i="8"/>
  <c r="H9" i="1"/>
  <c r="M4" i="1"/>
  <c r="BM9" i="1"/>
  <c r="BB40" i="1" s="1"/>
  <c r="BC40" i="1" s="1"/>
  <c r="BA36" i="1"/>
  <c r="BD36" i="1" s="1"/>
  <c r="BM6" i="1"/>
  <c r="BN6" i="1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P11" i="1"/>
  <c r="O12" i="1"/>
  <c r="Q10" i="8"/>
  <c r="V10" i="8" s="1"/>
  <c r="N13" i="8"/>
  <c r="O14" i="9"/>
  <c r="R11" i="9"/>
  <c r="L4" i="1"/>
  <c r="H8" i="1"/>
  <c r="BW11" i="8"/>
  <c r="BX11" i="8" s="1"/>
  <c r="BY11" i="8" s="1"/>
  <c r="BZ11" i="8" s="1"/>
  <c r="CA11" i="8" s="1"/>
  <c r="CB11" i="8" s="1"/>
  <c r="CC11" i="8" s="1"/>
  <c r="CD11" i="8" s="1"/>
  <c r="CE11" i="8" s="1"/>
  <c r="H12" i="1"/>
  <c r="P4" i="1"/>
  <c r="H13" i="1"/>
  <c r="Q4" i="1"/>
  <c r="BA25" i="1"/>
  <c r="BD25" i="1" s="1"/>
  <c r="BB28" i="1"/>
  <c r="BC28" i="1" s="1"/>
  <c r="AV12" i="1" s="1"/>
  <c r="K5" i="3"/>
  <c r="Q15" i="8"/>
  <c r="M10" i="9"/>
  <c r="N9" i="9"/>
  <c r="I11" i="8"/>
  <c r="V11" i="8" s="1"/>
  <c r="O5" i="8"/>
  <c r="H13" i="9"/>
  <c r="Q4" i="9"/>
  <c r="AV8" i="1"/>
  <c r="J14" i="9"/>
  <c r="R6" i="9"/>
  <c r="T6" i="9" s="1"/>
  <c r="N12" i="1"/>
  <c r="P10" i="1"/>
  <c r="BB35" i="1"/>
  <c r="BC35" i="1" s="1"/>
  <c r="BM11" i="1"/>
  <c r="I8" i="3"/>
  <c r="L5" i="3"/>
  <c r="AV7" i="1"/>
  <c r="J13" i="1"/>
  <c r="Q6" i="1"/>
  <c r="BA32" i="1"/>
  <c r="BM5" i="1"/>
  <c r="BF31" i="8"/>
  <c r="BG31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E30" i="8"/>
  <c r="BH30" i="8" s="1"/>
  <c r="BE34" i="8"/>
  <c r="BH34" i="8" s="1"/>
  <c r="BE69" i="8"/>
  <c r="BH69" i="8" s="1"/>
  <c r="BE28" i="8"/>
  <c r="BH28" i="8" s="1"/>
  <c r="H7" i="1"/>
  <c r="K4" i="1"/>
  <c r="L5" i="1"/>
  <c r="I8" i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76" i="8"/>
  <c r="BG76" i="8" s="1"/>
  <c r="BA35" i="1"/>
  <c r="BM8" i="1"/>
  <c r="BF59" i="8"/>
  <c r="BG59" i="8" s="1"/>
  <c r="BE37" i="8"/>
  <c r="BH37" i="8" s="1"/>
  <c r="BF41" i="8"/>
  <c r="BG41" i="8" s="1"/>
  <c r="BB4" i="4"/>
  <c r="AQ17" i="4"/>
  <c r="AQ21" i="4"/>
  <c r="BC5" i="4"/>
  <c r="BD5" i="4" s="1"/>
  <c r="BE5" i="4" s="1"/>
  <c r="BF5" i="4" s="1"/>
  <c r="BG5" i="4" s="1"/>
  <c r="BH5" i="4" s="1"/>
  <c r="BI5" i="4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Q11" i="1"/>
  <c r="O13" i="1"/>
  <c r="BF73" i="8"/>
  <c r="BG73" i="8" s="1"/>
  <c r="I9" i="9"/>
  <c r="T9" i="9" s="1"/>
  <c r="M5" i="9"/>
  <c r="BE73" i="8"/>
  <c r="BH73" i="8" s="1"/>
  <c r="BE29" i="8"/>
  <c r="BH29" i="8" s="1"/>
  <c r="BF71" i="8"/>
  <c r="BG71" i="8" s="1"/>
  <c r="BF44" i="8"/>
  <c r="BG44" i="8" s="1"/>
  <c r="BE35" i="8"/>
  <c r="BH35" i="8" s="1"/>
  <c r="BE78" i="8"/>
  <c r="BH78" i="8" s="1"/>
  <c r="BF77" i="8"/>
  <c r="BG77" i="8" s="1"/>
  <c r="L7" i="1"/>
  <c r="K8" i="1"/>
  <c r="BE71" i="8"/>
  <c r="BH71" i="8" s="1"/>
  <c r="BX13" i="8"/>
  <c r="BY13" i="8" s="1"/>
  <c r="BZ13" i="8" s="1"/>
  <c r="CA13" i="8" s="1"/>
  <c r="CB13" i="8" s="1"/>
  <c r="CC13" i="8" s="1"/>
  <c r="CD13" i="8" s="1"/>
  <c r="CE13" i="8" s="1"/>
  <c r="H10" i="1"/>
  <c r="N4" i="1"/>
  <c r="L11" i="1"/>
  <c r="O8" i="1"/>
  <c r="BE55" i="8"/>
  <c r="BH55" i="8" s="1"/>
  <c r="BE58" i="8"/>
  <c r="BH58" i="8" s="1"/>
  <c r="BF43" i="8"/>
  <c r="BG43" i="8" s="1"/>
  <c r="BE36" i="8"/>
  <c r="BH36" i="8" s="1"/>
  <c r="L14" i="9"/>
  <c r="R8" i="9"/>
  <c r="S4" i="8"/>
  <c r="H15" i="8"/>
  <c r="BE45" i="8"/>
  <c r="BH45" i="8" s="1"/>
  <c r="BE48" i="8"/>
  <c r="BH48" i="8" s="1"/>
  <c r="BF29" i="8"/>
  <c r="BG29" i="8" s="1"/>
  <c r="BE50" i="8"/>
  <c r="BH50" i="8" s="1"/>
  <c r="BF72" i="8"/>
  <c r="BG72" i="8" s="1"/>
  <c r="BE42" i="8"/>
  <c r="BH42" i="8" s="1"/>
  <c r="N11" i="1"/>
  <c r="O10" i="1"/>
  <c r="AQ20" i="4"/>
  <c r="BC6" i="4"/>
  <c r="BD6" i="4" s="1"/>
  <c r="BE6" i="4" s="1"/>
  <c r="BF6" i="4" s="1"/>
  <c r="BG6" i="4" s="1"/>
  <c r="BH6" i="4" s="1"/>
  <c r="BI6" i="4" s="1"/>
  <c r="BE57" i="8"/>
  <c r="BH57" i="8" s="1"/>
  <c r="I11" i="9"/>
  <c r="O5" i="9"/>
  <c r="K11" i="1"/>
  <c r="O7" i="1"/>
  <c r="BF80" i="8"/>
  <c r="BG80" i="8" s="1"/>
  <c r="R9" i="2"/>
  <c r="O5" i="2"/>
  <c r="I11" i="2"/>
  <c r="R11" i="2" s="1"/>
  <c r="BA39" i="1"/>
  <c r="BD39" i="1" s="1"/>
  <c r="BN13" i="1"/>
  <c r="BF69" i="8"/>
  <c r="BG69" i="8" s="1"/>
  <c r="BF37" i="8"/>
  <c r="BG37" i="8" s="1"/>
  <c r="BE56" i="8"/>
  <c r="BH56" i="8" s="1"/>
  <c r="N9" i="2"/>
  <c r="M10" i="2"/>
  <c r="BM10" i="1"/>
  <c r="BB36" i="1"/>
  <c r="BC36" i="1" s="1"/>
  <c r="AV9" i="1" s="1"/>
  <c r="BE31" i="8"/>
  <c r="BH31" i="8" s="1"/>
  <c r="BE38" i="8"/>
  <c r="BH38" i="8" s="1"/>
  <c r="BF42" i="8"/>
  <c r="BG42" i="8" s="1"/>
  <c r="BE77" i="8"/>
  <c r="BH77" i="8" s="1"/>
  <c r="N13" i="1"/>
  <c r="Q10" i="1"/>
  <c r="BF50" i="8"/>
  <c r="BG50" i="8" s="1"/>
  <c r="BE79" i="8"/>
  <c r="BH79" i="8" s="1"/>
  <c r="BF36" i="8"/>
  <c r="BG36" i="8" s="1"/>
  <c r="BE41" i="8"/>
  <c r="BH41" i="8" s="1"/>
  <c r="BF38" i="8"/>
  <c r="BG38" i="8" s="1"/>
  <c r="T7" i="8"/>
  <c r="V7" i="8" s="1"/>
  <c r="K16" i="8"/>
  <c r="V16" i="8" s="1"/>
  <c r="L6" i="1"/>
  <c r="J8" i="1"/>
  <c r="BF52" i="8"/>
  <c r="BG52" i="8" s="1"/>
  <c r="BT14" i="8"/>
  <c r="BU14" i="8" s="1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A14" i="8"/>
  <c r="BE62" i="8"/>
  <c r="BH62" i="8" s="1"/>
  <c r="BE27" i="8"/>
  <c r="BH27" i="8" s="1"/>
  <c r="BF78" i="8"/>
  <c r="BG78" i="8" s="1"/>
  <c r="BF27" i="8"/>
  <c r="BG27" i="8" s="1"/>
  <c r="I4" i="3"/>
  <c r="H5" i="3"/>
  <c r="M7" i="4"/>
  <c r="P4" i="4"/>
  <c r="H9" i="3"/>
  <c r="R9" i="3" s="1"/>
  <c r="M4" i="3"/>
  <c r="O6" i="2"/>
  <c r="R6" i="2" s="1"/>
  <c r="J11" i="2"/>
  <c r="L4" i="3"/>
  <c r="H8" i="3"/>
  <c r="BF62" i="8"/>
  <c r="BG62" i="8" s="1"/>
  <c r="BE44" i="8"/>
  <c r="BH44" i="8" s="1"/>
  <c r="BT17" i="8"/>
  <c r="BU17" i="8" s="1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F55" i="8"/>
  <c r="BG55" i="8" s="1"/>
  <c r="BF28" i="8"/>
  <c r="BG28" i="8" s="1"/>
  <c r="BE43" i="8"/>
  <c r="BH43" i="8" s="1"/>
  <c r="O4" i="9"/>
  <c r="H11" i="9"/>
  <c r="BM12" i="1"/>
  <c r="BB34" i="1"/>
  <c r="BC34" i="1" s="1"/>
  <c r="H6" i="1"/>
  <c r="J4" i="1"/>
  <c r="AU21" i="3"/>
  <c r="AX21" i="3" s="1"/>
  <c r="AP8" i="3" s="1"/>
  <c r="BE64" i="8"/>
  <c r="BH64" i="8" s="1"/>
  <c r="V14" i="8"/>
  <c r="BE49" i="8"/>
  <c r="BH49" i="8" s="1"/>
  <c r="BF49" i="8"/>
  <c r="BG49" i="8" s="1"/>
  <c r="J10" i="2"/>
  <c r="N6" i="2"/>
  <c r="J12" i="8"/>
  <c r="P6" i="8"/>
  <c r="V6" i="8" s="1"/>
  <c r="P9" i="1"/>
  <c r="M12" i="1"/>
  <c r="R4" i="9"/>
  <c r="H14" i="9"/>
  <c r="M7" i="3"/>
  <c r="R7" i="3" s="1"/>
  <c r="N4" i="2"/>
  <c r="H10" i="2"/>
  <c r="N13" i="9"/>
  <c r="Q10" i="9"/>
  <c r="T10" i="9" s="1"/>
  <c r="BF51" i="8"/>
  <c r="BG51" i="8" s="1"/>
  <c r="BF45" i="8"/>
  <c r="BG45" i="8" s="1"/>
  <c r="BF65" i="8"/>
  <c r="BG65" i="8" s="1"/>
  <c r="BF63" i="8"/>
  <c r="BG63" i="8" s="1"/>
  <c r="AU24" i="3"/>
  <c r="BF64" i="8"/>
  <c r="BG64" i="8" s="1"/>
  <c r="M11" i="1"/>
  <c r="O9" i="1"/>
  <c r="AV21" i="3"/>
  <c r="AW21" i="3" s="1"/>
  <c r="AP4" i="3" s="1"/>
  <c r="BF35" i="8"/>
  <c r="BG35" i="8" s="1"/>
  <c r="BF57" i="8"/>
  <c r="BG57" i="8" s="1"/>
  <c r="BD29" i="1"/>
  <c r="AV5" i="1" s="1"/>
  <c r="Q5" i="4"/>
  <c r="M13" i="1"/>
  <c r="Q9" i="1"/>
  <c r="BE63" i="8"/>
  <c r="BH63" i="8" s="1"/>
  <c r="N5" i="2"/>
  <c r="I10" i="2"/>
  <c r="AL4" i="4"/>
  <c r="M6" i="4"/>
  <c r="O4" i="4"/>
  <c r="R4" i="2"/>
  <c r="BE76" i="8"/>
  <c r="BH76" i="8" s="1"/>
  <c r="O7" i="2"/>
  <c r="K11" i="2"/>
  <c r="S17" i="8"/>
  <c r="V17" i="8" s="1"/>
  <c r="U15" i="8"/>
  <c r="BE51" i="8"/>
  <c r="BH51" i="8" s="1"/>
  <c r="BF56" i="8"/>
  <c r="BG56" i="8" s="1"/>
  <c r="BE66" i="8"/>
  <c r="BH66" i="8" s="1"/>
  <c r="J7" i="1"/>
  <c r="K6" i="1"/>
  <c r="BE52" i="8"/>
  <c r="BH52" i="8" s="1"/>
  <c r="AQ16" i="4"/>
  <c r="BB7" i="4"/>
  <c r="I7" i="1"/>
  <c r="K5" i="1"/>
  <c r="BP7" i="1"/>
  <c r="BB57" i="1"/>
  <c r="BC57" i="1" s="1"/>
  <c r="BB33" i="1"/>
  <c r="BC33" i="1" s="1"/>
  <c r="BM4" i="1"/>
  <c r="BA10" i="8"/>
  <c r="BE65" i="8"/>
  <c r="BH65" i="8" s="1"/>
  <c r="BF30" i="8"/>
  <c r="BG30" i="8" s="1"/>
  <c r="BE80" i="8"/>
  <c r="BH80" i="8" s="1"/>
  <c r="BF34" i="8"/>
  <c r="BG34" i="8" s="1"/>
  <c r="R4" i="3"/>
  <c r="K9" i="1"/>
  <c r="M7" i="1"/>
  <c r="L5" i="2"/>
  <c r="I8" i="2"/>
  <c r="R8" i="2" s="1"/>
  <c r="AM6" i="4"/>
  <c r="U5" i="4" s="1"/>
  <c r="O7" i="4"/>
  <c r="P6" i="4"/>
  <c r="BA7" i="8"/>
  <c r="R7" i="2"/>
  <c r="N7" i="4"/>
  <c r="P5" i="4"/>
  <c r="N7" i="1"/>
  <c r="K10" i="1"/>
  <c r="H11" i="1"/>
  <c r="O4" i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E70" i="8"/>
  <c r="BH70" i="8" s="1"/>
  <c r="BF58" i="8"/>
  <c r="BG58" i="8" s="1"/>
  <c r="L6" i="3"/>
  <c r="R6" i="3" s="1"/>
  <c r="J8" i="3"/>
  <c r="AX30" i="2"/>
  <c r="BJ8" i="2"/>
  <c r="BJ6" i="2"/>
  <c r="AY31" i="2"/>
  <c r="AZ31" i="2" s="1"/>
  <c r="AS7" i="2" s="1"/>
  <c r="BA23" i="2"/>
  <c r="AS8" i="2" s="1"/>
  <c r="BJ4" i="2"/>
  <c r="AY29" i="2"/>
  <c r="AZ29" i="2" s="1"/>
  <c r="AY28" i="2"/>
  <c r="AZ28" i="2" s="1"/>
  <c r="BJ11" i="2"/>
  <c r="BJ9" i="2"/>
  <c r="AX29" i="2"/>
  <c r="AY30" i="2"/>
  <c r="AZ30" i="2" s="1"/>
  <c r="BJ5" i="2"/>
  <c r="BA24" i="2"/>
  <c r="AS9" i="2" s="1"/>
  <c r="AX31" i="2"/>
  <c r="BJ10" i="2"/>
  <c r="AX28" i="2"/>
  <c r="BG4" i="3"/>
  <c r="BH4" i="3" s="1"/>
  <c r="AX20" i="3"/>
  <c r="AP7" i="3" s="1"/>
  <c r="AV26" i="3"/>
  <c r="AW26" i="3" s="1"/>
  <c r="AP6" i="3" s="1"/>
  <c r="BG5" i="3"/>
  <c r="AU25" i="3"/>
  <c r="BG7" i="3"/>
  <c r="AX26" i="3"/>
  <c r="BH6" i="3"/>
  <c r="AV30" i="3"/>
  <c r="AW30" i="3" s="1"/>
  <c r="AX24" i="3"/>
  <c r="AP9" i="3" s="1"/>
  <c r="BH8" i="3"/>
  <c r="AU31" i="3"/>
  <c r="AX31" i="3" s="1"/>
  <c r="AV24" i="3"/>
  <c r="AW24" i="3" s="1"/>
  <c r="BG9" i="3"/>
  <c r="AX19" i="3"/>
  <c r="V8" i="8" l="1"/>
  <c r="BA16" i="8"/>
  <c r="V9" i="8"/>
  <c r="V4" i="8"/>
  <c r="V5" i="8"/>
  <c r="BA9" i="8"/>
  <c r="V13" i="8"/>
  <c r="T8" i="9"/>
  <c r="BN9" i="1"/>
  <c r="BA49" i="1" s="1"/>
  <c r="BD49" i="1" s="1"/>
  <c r="BB43" i="1"/>
  <c r="BC43" i="1" s="1"/>
  <c r="R4" i="1"/>
  <c r="BW12" i="8"/>
  <c r="BX12" i="8" s="1"/>
  <c r="BY12" i="8" s="1"/>
  <c r="BZ12" i="8" s="1"/>
  <c r="CA12" i="8" s="1"/>
  <c r="CB12" i="8" s="1"/>
  <c r="CC12" i="8" s="1"/>
  <c r="CD12" i="8" s="1"/>
  <c r="CE12" i="8" s="1"/>
  <c r="BA12" i="8"/>
  <c r="Q4" i="4"/>
  <c r="BA6" i="8"/>
  <c r="T13" i="9"/>
  <c r="R5" i="2"/>
  <c r="S11" i="2" s="1"/>
  <c r="BA11" i="8"/>
  <c r="T4" i="9"/>
  <c r="BA13" i="8"/>
  <c r="R8" i="1"/>
  <c r="T5" i="9"/>
  <c r="R12" i="1"/>
  <c r="V12" i="8"/>
  <c r="R8" i="3"/>
  <c r="Z5" i="2"/>
  <c r="Z8" i="2"/>
  <c r="AT16" i="4"/>
  <c r="BB46" i="1"/>
  <c r="BC46" i="1" s="1"/>
  <c r="BO13" i="1"/>
  <c r="S8" i="3"/>
  <c r="BA17" i="8"/>
  <c r="R7" i="1"/>
  <c r="R11" i="1"/>
  <c r="BA42" i="1"/>
  <c r="BN4" i="1"/>
  <c r="R10" i="2"/>
  <c r="Z10" i="2" s="1"/>
  <c r="BB39" i="1"/>
  <c r="BC39" i="1" s="1"/>
  <c r="BN10" i="1"/>
  <c r="R10" i="1"/>
  <c r="R6" i="1"/>
  <c r="BN12" i="1"/>
  <c r="BA41" i="1"/>
  <c r="V15" i="8"/>
  <c r="BA8" i="8"/>
  <c r="T14" i="9"/>
  <c r="AK6" i="4"/>
  <c r="AT20" i="4"/>
  <c r="AL7" i="4" s="1"/>
  <c r="BB41" i="1"/>
  <c r="BC41" i="1" s="1"/>
  <c r="BN8" i="1"/>
  <c r="BN5" i="1"/>
  <c r="BA43" i="1"/>
  <c r="BD43" i="1" s="1"/>
  <c r="AU30" i="3"/>
  <c r="AX30" i="3" s="1"/>
  <c r="BQ7" i="1"/>
  <c r="BA60" i="1"/>
  <c r="Q7" i="4"/>
  <c r="BD35" i="1"/>
  <c r="BD32" i="1"/>
  <c r="BA4" i="8"/>
  <c r="T11" i="9"/>
  <c r="R5" i="1"/>
  <c r="Q6" i="4"/>
  <c r="R5" i="3"/>
  <c r="Y6" i="3" s="1"/>
  <c r="R9" i="1"/>
  <c r="AT17" i="4"/>
  <c r="AL6" i="4" s="1"/>
  <c r="BC4" i="4"/>
  <c r="BD4" i="4" s="1"/>
  <c r="BE4" i="4" s="1"/>
  <c r="BF4" i="4" s="1"/>
  <c r="BG4" i="4" s="1"/>
  <c r="BH4" i="4" s="1"/>
  <c r="BI4" i="4" s="1"/>
  <c r="AR21" i="4"/>
  <c r="AS21" i="4" s="1"/>
  <c r="AL5" i="4" s="1"/>
  <c r="BN11" i="1"/>
  <c r="BA40" i="1"/>
  <c r="R13" i="1"/>
  <c r="AK5" i="4"/>
  <c r="AT21" i="4"/>
  <c r="AM5" i="4"/>
  <c r="U6" i="4" s="1"/>
  <c r="BA46" i="1"/>
  <c r="BO6" i="1"/>
  <c r="Z7" i="2"/>
  <c r="S4" i="2"/>
  <c r="AR20" i="4"/>
  <c r="AS20" i="4" s="1"/>
  <c r="BC7" i="4"/>
  <c r="BA15" i="8"/>
  <c r="BA5" i="8"/>
  <c r="BA31" i="2"/>
  <c r="BA28" i="2"/>
  <c r="AS11" i="2" s="1"/>
  <c r="AY35" i="2"/>
  <c r="AZ35" i="2" s="1"/>
  <c r="BK7" i="2"/>
  <c r="AX35" i="2"/>
  <c r="BK5" i="2"/>
  <c r="BA29" i="2"/>
  <c r="AY37" i="2"/>
  <c r="AZ37" i="2" s="1"/>
  <c r="BK9" i="2"/>
  <c r="BK11" i="2"/>
  <c r="AX34" i="2"/>
  <c r="BK4" i="2"/>
  <c r="AX36" i="2"/>
  <c r="AX37" i="2"/>
  <c r="BA37" i="2" s="1"/>
  <c r="BK10" i="2"/>
  <c r="BK6" i="2"/>
  <c r="AY34" i="2"/>
  <c r="AZ34" i="2" s="1"/>
  <c r="BK8" i="2"/>
  <c r="AY36" i="2"/>
  <c r="AZ36" i="2" s="1"/>
  <c r="BA30" i="2"/>
  <c r="AU35" i="3"/>
  <c r="BI6" i="3"/>
  <c r="BJ6" i="3" s="1"/>
  <c r="BK6" i="3" s="1"/>
  <c r="BL6" i="3" s="1"/>
  <c r="BM6" i="3" s="1"/>
  <c r="AQ6" i="3"/>
  <c r="V7" i="3" s="1"/>
  <c r="BH7" i="3"/>
  <c r="AV31" i="3"/>
  <c r="AW31" i="3" s="1"/>
  <c r="AV29" i="3"/>
  <c r="AW29" i="3" s="1"/>
  <c r="BH5" i="3"/>
  <c r="BH9" i="3"/>
  <c r="AU29" i="3"/>
  <c r="AV36" i="3"/>
  <c r="AW36" i="3" s="1"/>
  <c r="BI4" i="3"/>
  <c r="BJ4" i="3" s="1"/>
  <c r="BK4" i="3" s="1"/>
  <c r="BL4" i="3" s="1"/>
  <c r="BM4" i="3" s="1"/>
  <c r="BI8" i="3"/>
  <c r="BJ8" i="3" s="1"/>
  <c r="BK8" i="3" s="1"/>
  <c r="BL8" i="3" s="1"/>
  <c r="BM8" i="3" s="1"/>
  <c r="AV35" i="3"/>
  <c r="AW35" i="3" s="1"/>
  <c r="AX25" i="3"/>
  <c r="W5" i="8" l="1"/>
  <c r="I141" i="8" s="1"/>
  <c r="AI15" i="8"/>
  <c r="AI5" i="8"/>
  <c r="Z12" i="9"/>
  <c r="Z6" i="9"/>
  <c r="Z15" i="9"/>
  <c r="U4" i="9"/>
  <c r="S6" i="1"/>
  <c r="BO9" i="1"/>
  <c r="BB55" i="1" s="1"/>
  <c r="BC55" i="1" s="1"/>
  <c r="AE12" i="1"/>
  <c r="U15" i="9"/>
  <c r="Z7" i="9"/>
  <c r="U13" i="9"/>
  <c r="W12" i="8"/>
  <c r="I148" i="8" s="1"/>
  <c r="U9" i="9"/>
  <c r="Z4" i="9"/>
  <c r="W8" i="8"/>
  <c r="F144" i="8" s="1"/>
  <c r="S5" i="2"/>
  <c r="AH4" i="2" s="1"/>
  <c r="AI9" i="8"/>
  <c r="AQ8" i="3"/>
  <c r="V5" i="3" s="1"/>
  <c r="U11" i="9"/>
  <c r="W11" i="8"/>
  <c r="F147" i="8" s="1"/>
  <c r="AI6" i="8"/>
  <c r="Z4" i="2"/>
  <c r="Z11" i="9"/>
  <c r="AI17" i="8"/>
  <c r="W10" i="8"/>
  <c r="H146" i="8" s="1"/>
  <c r="AI13" i="8"/>
  <c r="W6" i="8"/>
  <c r="F142" i="8" s="1"/>
  <c r="W13" i="8"/>
  <c r="F149" i="8" s="1"/>
  <c r="Z13" i="9"/>
  <c r="W7" i="8"/>
  <c r="I143" i="8" s="1"/>
  <c r="AE6" i="1"/>
  <c r="W4" i="8"/>
  <c r="F140" i="8" s="1"/>
  <c r="AI14" i="8"/>
  <c r="U10" i="9"/>
  <c r="AI4" i="8"/>
  <c r="AI11" i="8"/>
  <c r="S12" i="1"/>
  <c r="AI10" i="8"/>
  <c r="AI16" i="8"/>
  <c r="AI12" i="8"/>
  <c r="Z8" i="9"/>
  <c r="Z10" i="9"/>
  <c r="BP9" i="1"/>
  <c r="BQ9" i="1" s="1"/>
  <c r="X6" i="4"/>
  <c r="W9" i="8"/>
  <c r="F145" i="8" s="1"/>
  <c r="W15" i="8"/>
  <c r="I151" i="8" s="1"/>
  <c r="W17" i="8"/>
  <c r="AI8" i="8"/>
  <c r="S10" i="1"/>
  <c r="S8" i="2"/>
  <c r="U7" i="9"/>
  <c r="Z9" i="9"/>
  <c r="U6" i="9"/>
  <c r="S6" i="2"/>
  <c r="S8" i="1"/>
  <c r="I146" i="8"/>
  <c r="X5" i="4"/>
  <c r="AE9" i="1"/>
  <c r="AE7" i="1"/>
  <c r="R7" i="4"/>
  <c r="X7" i="4"/>
  <c r="BD41" i="1"/>
  <c r="S7" i="1"/>
  <c r="S13" i="1"/>
  <c r="AE13" i="1"/>
  <c r="S4" i="1"/>
  <c r="Y4" i="3"/>
  <c r="S6" i="3"/>
  <c r="S4" i="3"/>
  <c r="Y5" i="3"/>
  <c r="BD60" i="1"/>
  <c r="BO12" i="1"/>
  <c r="BB49" i="1"/>
  <c r="BC49" i="1" s="1"/>
  <c r="S9" i="1"/>
  <c r="S10" i="2"/>
  <c r="R6" i="4"/>
  <c r="S14" i="1"/>
  <c r="R5" i="4"/>
  <c r="BP6" i="1"/>
  <c r="BA57" i="1"/>
  <c r="BD57" i="1" s="1"/>
  <c r="BO4" i="1"/>
  <c r="BB48" i="1"/>
  <c r="BC48" i="1" s="1"/>
  <c r="X4" i="4"/>
  <c r="Z9" i="2"/>
  <c r="BD46" i="1"/>
  <c r="AK4" i="4"/>
  <c r="Z14" i="9"/>
  <c r="BD42" i="1"/>
  <c r="R8" i="4"/>
  <c r="AF8" i="4" s="1"/>
  <c r="Z11" i="2"/>
  <c r="BA71" i="1"/>
  <c r="BD71" i="1" s="1"/>
  <c r="BR7" i="1"/>
  <c r="S5" i="1"/>
  <c r="BD40" i="1"/>
  <c r="AE8" i="1"/>
  <c r="S7" i="2"/>
  <c r="U14" i="9"/>
  <c r="AE11" i="1"/>
  <c r="S9" i="2"/>
  <c r="AM4" i="4"/>
  <c r="U7" i="4" s="1"/>
  <c r="BO10" i="1"/>
  <c r="BA50" i="1"/>
  <c r="AK7" i="4"/>
  <c r="Y9" i="3"/>
  <c r="U5" i="9"/>
  <c r="W16" i="8"/>
  <c r="BD7" i="4"/>
  <c r="BE7" i="4" s="1"/>
  <c r="BF7" i="4" s="1"/>
  <c r="BG7" i="4" s="1"/>
  <c r="BH7" i="4" s="1"/>
  <c r="BI7" i="4" s="1"/>
  <c r="AM7" i="4"/>
  <c r="U4" i="4" s="1"/>
  <c r="BO5" i="1"/>
  <c r="BB47" i="1"/>
  <c r="BC47" i="1" s="1"/>
  <c r="BB50" i="1"/>
  <c r="BC50" i="1" s="1"/>
  <c r="BO11" i="1"/>
  <c r="S5" i="3"/>
  <c r="Y8" i="3"/>
  <c r="U12" i="9"/>
  <c r="AE5" i="1"/>
  <c r="AE10" i="1"/>
  <c r="AE4" i="1"/>
  <c r="R4" i="4"/>
  <c r="AF4" i="4" s="1"/>
  <c r="S7" i="3"/>
  <c r="Y7" i="3"/>
  <c r="U8" i="9"/>
  <c r="W14" i="8"/>
  <c r="BA48" i="1"/>
  <c r="BO8" i="1"/>
  <c r="BA53" i="1"/>
  <c r="BP13" i="1"/>
  <c r="S11" i="1"/>
  <c r="S9" i="3"/>
  <c r="Z6" i="2"/>
  <c r="Z5" i="9"/>
  <c r="AI7" i="8"/>
  <c r="BA34" i="2"/>
  <c r="BA36" i="2"/>
  <c r="BL9" i="2"/>
  <c r="AX40" i="2"/>
  <c r="BA35" i="2"/>
  <c r="BL6" i="2"/>
  <c r="AX43" i="2"/>
  <c r="AY42" i="2"/>
  <c r="AZ42" i="2" s="1"/>
  <c r="BL4" i="2"/>
  <c r="BL11" i="2"/>
  <c r="AY40" i="2"/>
  <c r="AZ40" i="2" s="1"/>
  <c r="BL5" i="2"/>
  <c r="AY43" i="2"/>
  <c r="AZ43" i="2" s="1"/>
  <c r="BL8" i="2"/>
  <c r="AX41" i="2"/>
  <c r="AX42" i="2"/>
  <c r="BL7" i="2"/>
  <c r="AY41" i="2"/>
  <c r="AZ41" i="2" s="1"/>
  <c r="BL10" i="2"/>
  <c r="AO4" i="3"/>
  <c r="F47" i="3" s="1"/>
  <c r="AQ4" i="3"/>
  <c r="V9" i="3" s="1"/>
  <c r="AX29" i="3"/>
  <c r="AV34" i="3"/>
  <c r="AW34" i="3" s="1"/>
  <c r="BI9" i="3"/>
  <c r="AU36" i="3"/>
  <c r="BI5" i="3"/>
  <c r="BJ5" i="3" s="1"/>
  <c r="BK5" i="3" s="1"/>
  <c r="BL5" i="3" s="1"/>
  <c r="BM5" i="3" s="1"/>
  <c r="AU34" i="3"/>
  <c r="BI7" i="3"/>
  <c r="AO8" i="3"/>
  <c r="F43" i="3" s="1"/>
  <c r="AX35" i="3"/>
  <c r="AO6" i="3"/>
  <c r="F45" i="3" s="1"/>
  <c r="F151" i="8" l="1"/>
  <c r="H147" i="8"/>
  <c r="F146" i="8"/>
  <c r="H151" i="8"/>
  <c r="H149" i="8"/>
  <c r="H141" i="8"/>
  <c r="I153" i="8"/>
  <c r="F141" i="8"/>
  <c r="F153" i="8"/>
  <c r="I145" i="8"/>
  <c r="F143" i="8"/>
  <c r="AQ12" i="8"/>
  <c r="H143" i="8"/>
  <c r="H148" i="8"/>
  <c r="F148" i="8"/>
  <c r="I144" i="8"/>
  <c r="I140" i="8"/>
  <c r="H140" i="8"/>
  <c r="H144" i="8"/>
  <c r="AQ6" i="8"/>
  <c r="AI18" i="8"/>
  <c r="AJ12" i="8" s="1"/>
  <c r="H142" i="8"/>
  <c r="I149" i="8"/>
  <c r="AH7" i="9"/>
  <c r="AH15" i="9"/>
  <c r="AQ5" i="8"/>
  <c r="AH13" i="9"/>
  <c r="AH7" i="2"/>
  <c r="H145" i="8"/>
  <c r="AQ5" i="3"/>
  <c r="V8" i="3" s="1"/>
  <c r="Z13" i="2"/>
  <c r="BA62" i="1"/>
  <c r="BD62" i="1" s="1"/>
  <c r="AQ10" i="8"/>
  <c r="AQ7" i="8"/>
  <c r="AM5" i="1"/>
  <c r="Z16" i="9"/>
  <c r="AA6" i="9" s="1"/>
  <c r="X9" i="4"/>
  <c r="Y4" i="4" s="1"/>
  <c r="AQ15" i="8"/>
  <c r="AH12" i="9"/>
  <c r="AM6" i="1"/>
  <c r="I147" i="8"/>
  <c r="H153" i="8"/>
  <c r="I142" i="8"/>
  <c r="AQ8" i="8"/>
  <c r="AG9" i="3"/>
  <c r="AA8" i="2"/>
  <c r="AA6" i="2"/>
  <c r="AA4" i="2"/>
  <c r="AA9" i="2"/>
  <c r="AB9" i="2" s="1"/>
  <c r="AA5" i="2"/>
  <c r="AA10" i="2"/>
  <c r="AA11" i="2"/>
  <c r="AA7" i="2"/>
  <c r="AG6" i="3"/>
  <c r="AF7" i="4"/>
  <c r="AE15" i="1"/>
  <c r="AH11" i="9"/>
  <c r="Y11" i="3"/>
  <c r="BB53" i="1"/>
  <c r="BC53" i="1" s="1"/>
  <c r="BP11" i="1"/>
  <c r="BB70" i="1"/>
  <c r="BC70" i="1" s="1"/>
  <c r="BR9" i="1"/>
  <c r="BB54" i="1"/>
  <c r="BC54" i="1" s="1"/>
  <c r="BP10" i="1"/>
  <c r="BD53" i="1"/>
  <c r="AH10" i="9"/>
  <c r="BD48" i="1"/>
  <c r="AH8" i="9"/>
  <c r="AH10" i="2"/>
  <c r="AM9" i="1"/>
  <c r="AH8" i="2"/>
  <c r="BQ13" i="1"/>
  <c r="BB60" i="1"/>
  <c r="BC60" i="1" s="1"/>
  <c r="BB61" i="1"/>
  <c r="BC61" i="1" s="1"/>
  <c r="BQ6" i="1"/>
  <c r="AM8" i="1"/>
  <c r="AH11" i="2"/>
  <c r="AH9" i="9"/>
  <c r="F152" i="8"/>
  <c r="I152" i="8"/>
  <c r="AQ16" i="8"/>
  <c r="H152" i="8"/>
  <c r="AQ4" i="8"/>
  <c r="BP12" i="1"/>
  <c r="BA54" i="1"/>
  <c r="AM13" i="1"/>
  <c r="AM11" i="1"/>
  <c r="BA55" i="1"/>
  <c r="BP4" i="1"/>
  <c r="AM4" i="1"/>
  <c r="AH6" i="9"/>
  <c r="AQ9" i="8"/>
  <c r="AQ13" i="8"/>
  <c r="AM7" i="1"/>
  <c r="AH6" i="2"/>
  <c r="AG5" i="3"/>
  <c r="AG8" i="3"/>
  <c r="AH12" i="2"/>
  <c r="AI12" i="2" s="1"/>
  <c r="AG7" i="3"/>
  <c r="AH9" i="2"/>
  <c r="BD50" i="1"/>
  <c r="BA56" i="1"/>
  <c r="BP5" i="1"/>
  <c r="AH4" i="9"/>
  <c r="AQ14" i="8"/>
  <c r="H150" i="8"/>
  <c r="F150" i="8"/>
  <c r="I150" i="8"/>
  <c r="AH5" i="2"/>
  <c r="BB56" i="1"/>
  <c r="BC56" i="1" s="1"/>
  <c r="BP8" i="1"/>
  <c r="AF5" i="4"/>
  <c r="AM12" i="1"/>
  <c r="AF6" i="4"/>
  <c r="AH5" i="9"/>
  <c r="BB75" i="1"/>
  <c r="BC75" i="1" s="1"/>
  <c r="BS7" i="1"/>
  <c r="AW7" i="1" s="1"/>
  <c r="AB10" i="1" s="1"/>
  <c r="AQ11" i="8"/>
  <c r="AQ17" i="8"/>
  <c r="AH14" i="9"/>
  <c r="AG4" i="3"/>
  <c r="AM10" i="1"/>
  <c r="AY49" i="2"/>
  <c r="AZ49" i="2" s="1"/>
  <c r="BM8" i="2"/>
  <c r="AX46" i="2"/>
  <c r="BM11" i="2"/>
  <c r="BM4" i="2"/>
  <c r="AX47" i="2"/>
  <c r="BA43" i="2"/>
  <c r="BM6" i="2"/>
  <c r="AY47" i="2"/>
  <c r="AZ47" i="2" s="1"/>
  <c r="BA40" i="2"/>
  <c r="AX48" i="2"/>
  <c r="BM10" i="2"/>
  <c r="AX49" i="2"/>
  <c r="BA49" i="2" s="1"/>
  <c r="BM9" i="2"/>
  <c r="AY46" i="2"/>
  <c r="AZ46" i="2" s="1"/>
  <c r="BM5" i="2"/>
  <c r="BM7" i="2"/>
  <c r="AY48" i="2"/>
  <c r="AZ48" i="2" s="1"/>
  <c r="BA42" i="2"/>
  <c r="BA41" i="2"/>
  <c r="BJ7" i="3"/>
  <c r="BK7" i="3" s="1"/>
  <c r="BL7" i="3" s="1"/>
  <c r="BM7" i="3" s="1"/>
  <c r="AX34" i="3"/>
  <c r="AO7" i="3"/>
  <c r="F44" i="3" s="1"/>
  <c r="AX36" i="3"/>
  <c r="AO5" i="3"/>
  <c r="F46" i="3" s="1"/>
  <c r="BJ9" i="3"/>
  <c r="BK9" i="3" s="1"/>
  <c r="BL9" i="3" s="1"/>
  <c r="BM9" i="3" s="1"/>
  <c r="AQ9" i="3"/>
  <c r="V4" i="3" s="1"/>
  <c r="AO9" i="3"/>
  <c r="F42" i="3" s="1"/>
  <c r="AJ5" i="8" l="1"/>
  <c r="AJ13" i="8"/>
  <c r="AJ10" i="8"/>
  <c r="AJ4" i="8"/>
  <c r="AJ7" i="8"/>
  <c r="AJ11" i="8"/>
  <c r="AJ8" i="8"/>
  <c r="AJ14" i="8"/>
  <c r="AJ6" i="8"/>
  <c r="AJ9" i="8"/>
  <c r="AJ15" i="8"/>
  <c r="AJ16" i="8"/>
  <c r="AJ17" i="8"/>
  <c r="AA4" i="9"/>
  <c r="AA10" i="9"/>
  <c r="AA15" i="9"/>
  <c r="AB8" i="2"/>
  <c r="AB5" i="2"/>
  <c r="AB6" i="2"/>
  <c r="AA14" i="9"/>
  <c r="AA11" i="9"/>
  <c r="AA7" i="9"/>
  <c r="Y6" i="4"/>
  <c r="Z6" i="4" s="1"/>
  <c r="AA5" i="9"/>
  <c r="Y7" i="4"/>
  <c r="Z7" i="4" s="1"/>
  <c r="AA13" i="9"/>
  <c r="Y5" i="4"/>
  <c r="Z5" i="4" s="1"/>
  <c r="AA8" i="9"/>
  <c r="AA12" i="9"/>
  <c r="AA9" i="9"/>
  <c r="AB11" i="2"/>
  <c r="BB62" i="1"/>
  <c r="BC62" i="1" s="1"/>
  <c r="BQ5" i="1"/>
  <c r="BD56" i="1"/>
  <c r="BD54" i="1"/>
  <c r="AB10" i="2"/>
  <c r="BQ12" i="1"/>
  <c r="BB64" i="1"/>
  <c r="BC64" i="1" s="1"/>
  <c r="BR6" i="1"/>
  <c r="BA70" i="1"/>
  <c r="AB7" i="2"/>
  <c r="BQ11" i="1"/>
  <c r="BA64" i="1"/>
  <c r="AF10" i="1"/>
  <c r="AF4" i="1"/>
  <c r="AF12" i="1"/>
  <c r="AF8" i="1"/>
  <c r="AF6" i="1"/>
  <c r="AF13" i="1"/>
  <c r="AF5" i="1"/>
  <c r="AF7" i="1"/>
  <c r="AF11" i="1"/>
  <c r="AF9" i="1"/>
  <c r="BA63" i="1"/>
  <c r="BQ10" i="1"/>
  <c r="Z9" i="3"/>
  <c r="Z7" i="3"/>
  <c r="Z5" i="3"/>
  <c r="Z6" i="3"/>
  <c r="Z8" i="3"/>
  <c r="Z4" i="3"/>
  <c r="BA61" i="1"/>
  <c r="BQ8" i="1"/>
  <c r="BA67" i="1"/>
  <c r="BR13" i="1"/>
  <c r="BB63" i="1"/>
  <c r="BC63" i="1" s="1"/>
  <c r="BQ4" i="1"/>
  <c r="BS9" i="1"/>
  <c r="AW9" i="1" s="1"/>
  <c r="AB8" i="1" s="1"/>
  <c r="BA75" i="1"/>
  <c r="Z4" i="4"/>
  <c r="AB4" i="2"/>
  <c r="BD55" i="1"/>
  <c r="BN6" i="2"/>
  <c r="BO6" i="2" s="1"/>
  <c r="BP6" i="2" s="1"/>
  <c r="AX54" i="2"/>
  <c r="BA47" i="2"/>
  <c r="BN11" i="2"/>
  <c r="BO11" i="2" s="1"/>
  <c r="BP11" i="2" s="1"/>
  <c r="AY52" i="2"/>
  <c r="AZ52" i="2" s="1"/>
  <c r="AT11" i="2"/>
  <c r="W11" i="2" s="1"/>
  <c r="BN5" i="2"/>
  <c r="BO5" i="2" s="1"/>
  <c r="BP5" i="2" s="1"/>
  <c r="AT5" i="2" s="1"/>
  <c r="W4" i="2" s="1"/>
  <c r="AX55" i="2"/>
  <c r="AY53" i="2"/>
  <c r="BN9" i="2"/>
  <c r="AY54" i="2"/>
  <c r="AZ54" i="2" s="1"/>
  <c r="BN10" i="2"/>
  <c r="BO10" i="2" s="1"/>
  <c r="BP10" i="2" s="1"/>
  <c r="BA48" i="2"/>
  <c r="AR10" i="2"/>
  <c r="G61" i="2" s="1"/>
  <c r="BN4" i="2"/>
  <c r="BO4" i="2" s="1"/>
  <c r="BP4" i="2" s="1"/>
  <c r="AT4" i="2" s="1"/>
  <c r="W6" i="2" s="1"/>
  <c r="AY55" i="2"/>
  <c r="AZ55" i="2" s="1"/>
  <c r="BA46" i="2"/>
  <c r="AX53" i="2"/>
  <c r="BN7" i="2"/>
  <c r="AX52" i="2"/>
  <c r="BN8" i="2"/>
  <c r="AQ7" i="3"/>
  <c r="V6" i="3" s="1"/>
  <c r="AK14" i="8" l="1"/>
  <c r="AK11" i="8"/>
  <c r="AK12" i="8"/>
  <c r="AK4" i="8"/>
  <c r="AK15" i="8"/>
  <c r="AK13" i="8"/>
  <c r="AK17" i="8"/>
  <c r="AK6" i="8"/>
  <c r="AK9" i="8"/>
  <c r="AK7" i="8"/>
  <c r="AK16" i="8"/>
  <c r="AK5" i="8"/>
  <c r="AK8" i="8"/>
  <c r="AK10" i="8"/>
  <c r="AB4" i="9"/>
  <c r="AB9" i="9"/>
  <c r="AB5" i="9"/>
  <c r="AB12" i="9"/>
  <c r="AB8" i="9"/>
  <c r="AB11" i="9"/>
  <c r="AB7" i="9"/>
  <c r="AB6" i="9"/>
  <c r="AB10" i="9"/>
  <c r="AB13" i="2"/>
  <c r="AB13" i="9"/>
  <c r="AB14" i="9"/>
  <c r="AB15" i="9"/>
  <c r="AA4" i="3"/>
  <c r="AG5" i="1"/>
  <c r="AC5" i="2"/>
  <c r="AC6" i="2"/>
  <c r="AC4" i="2"/>
  <c r="AC8" i="2"/>
  <c r="AC7" i="2"/>
  <c r="AC10" i="2"/>
  <c r="AC11" i="2"/>
  <c r="AC9" i="2"/>
  <c r="AD8" i="2" s="1"/>
  <c r="BB74" i="1"/>
  <c r="BC74" i="1" s="1"/>
  <c r="BS13" i="1"/>
  <c r="AW13" i="1" s="1"/>
  <c r="AB4" i="1" s="1"/>
  <c r="AG13" i="1"/>
  <c r="BR4" i="1"/>
  <c r="BA68" i="1"/>
  <c r="AG10" i="1"/>
  <c r="BD64" i="1"/>
  <c r="BD67" i="1"/>
  <c r="AG8" i="1"/>
  <c r="AA6" i="3"/>
  <c r="AA7" i="3"/>
  <c r="AG4" i="1"/>
  <c r="AA5" i="3"/>
  <c r="BB69" i="1"/>
  <c r="BC69" i="1" s="1"/>
  <c r="BR10" i="1"/>
  <c r="Z9" i="4"/>
  <c r="BD63" i="1"/>
  <c r="BA69" i="1"/>
  <c r="BR5" i="1"/>
  <c r="BD61" i="1"/>
  <c r="BB67" i="1"/>
  <c r="BC67" i="1" s="1"/>
  <c r="BR12" i="1"/>
  <c r="BD75" i="1"/>
  <c r="AU9" i="1"/>
  <c r="H87" i="1" s="1"/>
  <c r="BD70" i="1"/>
  <c r="AG7" i="1"/>
  <c r="AG6" i="1"/>
  <c r="BB71" i="1"/>
  <c r="BC71" i="1" s="1"/>
  <c r="BR8" i="1"/>
  <c r="BR11" i="1"/>
  <c r="BB68" i="1"/>
  <c r="BC68" i="1" s="1"/>
  <c r="BS6" i="1"/>
  <c r="AW6" i="1" s="1"/>
  <c r="AB11" i="1" s="1"/>
  <c r="BB76" i="1"/>
  <c r="BC76" i="1" s="1"/>
  <c r="AG9" i="1"/>
  <c r="AG12" i="1"/>
  <c r="AR11" i="2"/>
  <c r="G67" i="2" s="1"/>
  <c r="AA8" i="3"/>
  <c r="AA9" i="3"/>
  <c r="AG11" i="1"/>
  <c r="AT6" i="2"/>
  <c r="W8" i="2" s="1"/>
  <c r="AT10" i="2"/>
  <c r="W5" i="2" s="1"/>
  <c r="BA54" i="2"/>
  <c r="AR6" i="2"/>
  <c r="G64" i="2" s="1"/>
  <c r="BA52" i="2"/>
  <c r="AR8" i="2"/>
  <c r="G65" i="2" s="1"/>
  <c r="BO9" i="2"/>
  <c r="BP9" i="2" s="1"/>
  <c r="AZ53" i="2"/>
  <c r="AR9" i="2"/>
  <c r="G63" i="2" s="1"/>
  <c r="BA55" i="2"/>
  <c r="AR5" i="2"/>
  <c r="BA53" i="2"/>
  <c r="AR7" i="2"/>
  <c r="G66" i="2" s="1"/>
  <c r="BO7" i="2"/>
  <c r="BP7" i="2" s="1"/>
  <c r="AT7" i="2"/>
  <c r="W10" i="2" s="1"/>
  <c r="BO8" i="2"/>
  <c r="BP8" i="2" s="1"/>
  <c r="AR4" i="2"/>
  <c r="G62" i="2" s="1"/>
  <c r="AD6" i="2"/>
  <c r="AD7" i="2" s="1"/>
  <c r="AD9" i="2"/>
  <c r="AD11" i="2"/>
  <c r="AD12" i="2" s="1"/>
  <c r="AD5" i="2"/>
  <c r="AK18" i="8" l="1"/>
  <c r="AL14" i="8" s="1"/>
  <c r="AB16" i="9"/>
  <c r="AC9" i="9" s="1"/>
  <c r="AA11" i="3"/>
  <c r="AD4" i="2"/>
  <c r="AT9" i="2"/>
  <c r="W7" i="2" s="1"/>
  <c r="AD10" i="2"/>
  <c r="AD13" i="2" s="1"/>
  <c r="AE10" i="2" s="1"/>
  <c r="AB4" i="3"/>
  <c r="AB8" i="3"/>
  <c r="AB5" i="3"/>
  <c r="AC4" i="3" s="1"/>
  <c r="AB6" i="3"/>
  <c r="AC6" i="3" s="1"/>
  <c r="AB7" i="3"/>
  <c r="AC7" i="3" s="1"/>
  <c r="AB9" i="3"/>
  <c r="AC8" i="3" s="1"/>
  <c r="BD69" i="1"/>
  <c r="AA7" i="4"/>
  <c r="AA6" i="4"/>
  <c r="AA5" i="4"/>
  <c r="AA4" i="4"/>
  <c r="AB4" i="4" s="1"/>
  <c r="BD68" i="1"/>
  <c r="AU4" i="1"/>
  <c r="H92" i="1" s="1"/>
  <c r="BA77" i="1"/>
  <c r="BS11" i="1"/>
  <c r="AW11" i="1" s="1"/>
  <c r="AB6" i="1" s="1"/>
  <c r="BS8" i="1"/>
  <c r="AW8" i="1" s="1"/>
  <c r="AB9" i="1" s="1"/>
  <c r="BA74" i="1"/>
  <c r="AG15" i="1"/>
  <c r="BB78" i="1"/>
  <c r="BS4" i="1"/>
  <c r="AW4" i="1" s="1"/>
  <c r="AB13" i="1" s="1"/>
  <c r="BS10" i="1"/>
  <c r="BA76" i="1"/>
  <c r="AW10" i="1"/>
  <c r="AB7" i="1" s="1"/>
  <c r="BS12" i="1"/>
  <c r="AW12" i="1" s="1"/>
  <c r="AB5" i="1" s="1"/>
  <c r="BA78" i="1"/>
  <c r="BB77" i="1"/>
  <c r="BC77" i="1" s="1"/>
  <c r="BS5" i="1"/>
  <c r="AW5" i="1"/>
  <c r="AB12" i="1" s="1"/>
  <c r="AU13" i="1"/>
  <c r="H83" i="1" s="1"/>
  <c r="AT8" i="2"/>
  <c r="W9" i="2" s="1"/>
  <c r="AL12" i="8" l="1"/>
  <c r="AL17" i="8"/>
  <c r="AL5" i="8"/>
  <c r="AL7" i="8"/>
  <c r="AL8" i="8"/>
  <c r="AL4" i="8"/>
  <c r="AL11" i="8"/>
  <c r="AL15" i="8"/>
  <c r="AL6" i="8"/>
  <c r="AL16" i="8"/>
  <c r="AL9" i="8"/>
  <c r="AL10" i="8"/>
  <c r="AL13" i="8"/>
  <c r="AC4" i="9"/>
  <c r="AC14" i="9"/>
  <c r="AC7" i="9"/>
  <c r="AC13" i="9"/>
  <c r="AC6" i="9"/>
  <c r="AC8" i="9"/>
  <c r="AC10" i="9"/>
  <c r="AC11" i="9"/>
  <c r="AC5" i="9"/>
  <c r="AC15" i="9"/>
  <c r="AC12" i="9"/>
  <c r="AD12" i="9" s="1"/>
  <c r="AD9" i="9"/>
  <c r="AC9" i="3"/>
  <c r="BD74" i="1"/>
  <c r="AU8" i="1"/>
  <c r="H88" i="1" s="1"/>
  <c r="AE6" i="2"/>
  <c r="AG11" i="2" s="1"/>
  <c r="AI11" i="2" s="1"/>
  <c r="AH4" i="1"/>
  <c r="AI4" i="1" s="1"/>
  <c r="AH12" i="1"/>
  <c r="AI12" i="1" s="1"/>
  <c r="AH11" i="1"/>
  <c r="AI11" i="1" s="1"/>
  <c r="AH10" i="1"/>
  <c r="AI10" i="1" s="1"/>
  <c r="AH8" i="1"/>
  <c r="AI8" i="1" s="1"/>
  <c r="AH6" i="1"/>
  <c r="AI6" i="1" s="1"/>
  <c r="AJ4" i="1"/>
  <c r="AH5" i="1"/>
  <c r="AI5" i="1" s="1"/>
  <c r="AJ5" i="1" s="1"/>
  <c r="AH13" i="1"/>
  <c r="AI13" i="1" s="1"/>
  <c r="AH7" i="1"/>
  <c r="AI7" i="1" s="1"/>
  <c r="AJ7" i="1" s="1"/>
  <c r="AH9" i="1"/>
  <c r="AI9" i="1" s="1"/>
  <c r="AU5" i="1"/>
  <c r="H91" i="1" s="1"/>
  <c r="AD6" i="9"/>
  <c r="AC5" i="3"/>
  <c r="AD10" i="9"/>
  <c r="BD76" i="1"/>
  <c r="AU10" i="1"/>
  <c r="H86" i="1" s="1"/>
  <c r="BC78" i="1"/>
  <c r="AU6" i="1"/>
  <c r="H90" i="1" s="1"/>
  <c r="AB6" i="4"/>
  <c r="AB9" i="4" s="1"/>
  <c r="BD77" i="1"/>
  <c r="AU11" i="1"/>
  <c r="H85" i="1" s="1"/>
  <c r="AB5" i="4"/>
  <c r="AB7" i="4"/>
  <c r="AD15" i="9"/>
  <c r="BD78" i="1"/>
  <c r="AU7" i="1"/>
  <c r="H89" i="1" s="1"/>
  <c r="AU12" i="1"/>
  <c r="H84" i="1" s="1"/>
  <c r="AE5" i="2"/>
  <c r="AE8" i="2"/>
  <c r="AE4" i="2"/>
  <c r="AE9" i="2"/>
  <c r="AE7" i="2"/>
  <c r="AE11" i="2"/>
  <c r="AG8" i="2"/>
  <c r="AI8" i="2" s="1"/>
  <c r="AG6" i="2"/>
  <c r="AI6" i="2" s="1"/>
  <c r="AG9" i="2"/>
  <c r="AI9" i="2" s="1"/>
  <c r="AG5" i="2"/>
  <c r="AI5" i="2" s="1"/>
  <c r="AG10" i="2"/>
  <c r="AI10" i="2" s="1"/>
  <c r="AC11" i="3"/>
  <c r="AD5" i="3" s="1"/>
  <c r="AD8" i="3"/>
  <c r="AM13" i="8" l="1"/>
  <c r="AM10" i="8"/>
  <c r="AM15" i="8"/>
  <c r="AM6" i="8"/>
  <c r="AM11" i="8"/>
  <c r="AM14" i="8"/>
  <c r="AM5" i="8"/>
  <c r="AM17" i="8"/>
  <c r="AM12" i="8"/>
  <c r="AM16" i="8"/>
  <c r="AM9" i="8"/>
  <c r="AM7" i="8"/>
  <c r="AM4" i="8"/>
  <c r="AM8" i="8"/>
  <c r="AD5" i="9"/>
  <c r="AD8" i="9"/>
  <c r="AD7" i="9"/>
  <c r="AD4" i="9"/>
  <c r="AD11" i="9"/>
  <c r="AD13" i="9"/>
  <c r="AD14" i="9"/>
  <c r="AJ9" i="1"/>
  <c r="AG4" i="2"/>
  <c r="AI4" i="2" s="1"/>
  <c r="AJ13" i="1"/>
  <c r="AD6" i="3"/>
  <c r="AG7" i="2"/>
  <c r="AI7" i="2" s="1"/>
  <c r="AJ8" i="2" s="1"/>
  <c r="T8" i="2" s="1"/>
  <c r="A8" i="2" s="1"/>
  <c r="AD7" i="3"/>
  <c r="AJ8" i="1"/>
  <c r="AJ11" i="1"/>
  <c r="AJ6" i="1"/>
  <c r="AI15" i="1"/>
  <c r="AC7" i="4"/>
  <c r="AC6" i="4"/>
  <c r="AC5" i="4"/>
  <c r="AE5" i="4" s="1"/>
  <c r="AG5" i="4" s="1"/>
  <c r="AC4" i="4"/>
  <c r="AJ10" i="1"/>
  <c r="AJ12" i="1"/>
  <c r="AJ6" i="2"/>
  <c r="T6" i="2" s="1"/>
  <c r="A6" i="2" s="1"/>
  <c r="AJ5" i="2"/>
  <c r="T5" i="2" s="1"/>
  <c r="A5" i="2" s="1"/>
  <c r="AD9" i="3"/>
  <c r="AD4" i="3"/>
  <c r="AM18" i="8" l="1"/>
  <c r="AD16" i="9"/>
  <c r="AE12" i="9" s="1"/>
  <c r="AL9" i="1"/>
  <c r="AN9" i="1" s="1"/>
  <c r="AL12" i="1"/>
  <c r="AN12" i="1" s="1"/>
  <c r="AJ9" i="2"/>
  <c r="T9" i="2" s="1"/>
  <c r="A9" i="2" s="1"/>
  <c r="AE6" i="4"/>
  <c r="AG6" i="4" s="1"/>
  <c r="AN17" i="8"/>
  <c r="AN5" i="8"/>
  <c r="AN15" i="8"/>
  <c r="AN14" i="8"/>
  <c r="AN6" i="8"/>
  <c r="AN7" i="8"/>
  <c r="AN12" i="8"/>
  <c r="AN10" i="8"/>
  <c r="AN13" i="8"/>
  <c r="AN8" i="8"/>
  <c r="AN4" i="8"/>
  <c r="AN9" i="8"/>
  <c r="AN16" i="8"/>
  <c r="AN11" i="8"/>
  <c r="AP11" i="8" s="1"/>
  <c r="AR11" i="8" s="1"/>
  <c r="AL6" i="1"/>
  <c r="AN6" i="1" s="1"/>
  <c r="AL10" i="1"/>
  <c r="AN10" i="1" s="1"/>
  <c r="AE7" i="4"/>
  <c r="AG7" i="4" s="1"/>
  <c r="AL7" i="1"/>
  <c r="AN7" i="1" s="1"/>
  <c r="AE13" i="9"/>
  <c r="AE7" i="9"/>
  <c r="AE14" i="9"/>
  <c r="AE11" i="9"/>
  <c r="AE9" i="9"/>
  <c r="AE4" i="9"/>
  <c r="AE4" i="4"/>
  <c r="AG4" i="4" s="1"/>
  <c r="AF4" i="3"/>
  <c r="AH4" i="3" s="1"/>
  <c r="AL11" i="1"/>
  <c r="AN11" i="1" s="1"/>
  <c r="AJ4" i="2"/>
  <c r="T4" i="2" s="1"/>
  <c r="A4" i="2" s="1"/>
  <c r="H64" i="2" s="1"/>
  <c r="AL13" i="1"/>
  <c r="AN13" i="1" s="1"/>
  <c r="AL8" i="1"/>
  <c r="AN8" i="1" s="1"/>
  <c r="AJ10" i="2"/>
  <c r="T10" i="2" s="1"/>
  <c r="A10" i="2" s="1"/>
  <c r="AJ12" i="2"/>
  <c r="T12" i="2" s="1"/>
  <c r="A12" i="2" s="1"/>
  <c r="AL5" i="1"/>
  <c r="AN5" i="1" s="1"/>
  <c r="AJ7" i="2"/>
  <c r="T7" i="2" s="1"/>
  <c r="A7" i="2" s="1"/>
  <c r="AJ11" i="2"/>
  <c r="T11" i="2" s="1"/>
  <c r="A11" i="2" s="1"/>
  <c r="AL4" i="1"/>
  <c r="AN4" i="1" s="1"/>
  <c r="AF5" i="3"/>
  <c r="AH5" i="3" s="1"/>
  <c r="AF7" i="3"/>
  <c r="AH7" i="3" s="1"/>
  <c r="AF6" i="3"/>
  <c r="AH6" i="3" s="1"/>
  <c r="AF9" i="3"/>
  <c r="AH9" i="3" s="1"/>
  <c r="AF8" i="3"/>
  <c r="AH8" i="3" s="1"/>
  <c r="AI8" i="3" s="1"/>
  <c r="T8" i="3" s="1"/>
  <c r="A8" i="3" s="1"/>
  <c r="AE6" i="9" l="1"/>
  <c r="AE10" i="9"/>
  <c r="AE8" i="9"/>
  <c r="AE5" i="9"/>
  <c r="AG10" i="9" s="1"/>
  <c r="AI10" i="9" s="1"/>
  <c r="AE15" i="9"/>
  <c r="AG15" i="9" s="1"/>
  <c r="AI15" i="9" s="1"/>
  <c r="AO12" i="1"/>
  <c r="T12" i="1" s="1"/>
  <c r="A12" i="1" s="1"/>
  <c r="E61" i="2"/>
  <c r="AO6" i="1"/>
  <c r="T6" i="1" s="1"/>
  <c r="A6" i="1" s="1"/>
  <c r="E65" i="2"/>
  <c r="AH7" i="4"/>
  <c r="S7" i="4" s="1"/>
  <c r="A7" i="4" s="1"/>
  <c r="AO13" i="1"/>
  <c r="T13" i="1" s="1"/>
  <c r="A13" i="1" s="1"/>
  <c r="F61" i="2"/>
  <c r="F65" i="2"/>
  <c r="AH4" i="4"/>
  <c r="S4" i="4" s="1"/>
  <c r="A4" i="4" s="1"/>
  <c r="AP8" i="8"/>
  <c r="AR8" i="8" s="1"/>
  <c r="AO10" i="1"/>
  <c r="T10" i="1" s="1"/>
  <c r="A10" i="1" s="1"/>
  <c r="H61" i="2"/>
  <c r="AP9" i="8"/>
  <c r="AR9" i="8" s="1"/>
  <c r="E63" i="2"/>
  <c r="AP13" i="8"/>
  <c r="AR13" i="8" s="1"/>
  <c r="AP12" i="8"/>
  <c r="AR12" i="8" s="1"/>
  <c r="E60" i="2"/>
  <c r="AP15" i="8"/>
  <c r="AR15" i="8" s="1"/>
  <c r="F66" i="2"/>
  <c r="AP10" i="8"/>
  <c r="AR10" i="8" s="1"/>
  <c r="E64" i="2"/>
  <c r="AG5" i="9"/>
  <c r="AI5" i="9" s="1"/>
  <c r="AP5" i="8"/>
  <c r="AR5" i="8" s="1"/>
  <c r="E66" i="2"/>
  <c r="AO9" i="1"/>
  <c r="T9" i="1" s="1"/>
  <c r="A9" i="1" s="1"/>
  <c r="AG14" i="9"/>
  <c r="AI14" i="9" s="1"/>
  <c r="H62" i="2"/>
  <c r="AG13" i="9"/>
  <c r="AI13" i="9" s="1"/>
  <c r="AP6" i="8"/>
  <c r="AR6" i="8" s="1"/>
  <c r="AO14" i="1"/>
  <c r="AO4" i="1"/>
  <c r="T4" i="1" s="1"/>
  <c r="A4" i="1" s="1"/>
  <c r="AO5" i="1"/>
  <c r="T5" i="1" s="1"/>
  <c r="A5" i="1" s="1"/>
  <c r="AP17" i="8"/>
  <c r="AR17" i="8" s="1"/>
  <c r="H66" i="2"/>
  <c r="H63" i="2"/>
  <c r="H67" i="2"/>
  <c r="F67" i="2"/>
  <c r="AH5" i="4"/>
  <c r="S5" i="4" s="1"/>
  <c r="A5" i="4" s="1"/>
  <c r="AO8" i="1"/>
  <c r="T8" i="1" s="1"/>
  <c r="A8" i="1" s="1"/>
  <c r="AO11" i="1"/>
  <c r="T11" i="1" s="1"/>
  <c r="A11" i="1" s="1"/>
  <c r="H65" i="2"/>
  <c r="AP16" i="8"/>
  <c r="AR16" i="8" s="1"/>
  <c r="AP4" i="8"/>
  <c r="AR4" i="8" s="1"/>
  <c r="AG11" i="9"/>
  <c r="AI11" i="9" s="1"/>
  <c r="E67" i="2"/>
  <c r="F62" i="2"/>
  <c r="E62" i="2"/>
  <c r="F63" i="2"/>
  <c r="AP7" i="8"/>
  <c r="AR7" i="8" s="1"/>
  <c r="AP14" i="8"/>
  <c r="AR14" i="8" s="1"/>
  <c r="F60" i="2"/>
  <c r="F64" i="2"/>
  <c r="G60" i="2"/>
  <c r="H60" i="2"/>
  <c r="AO7" i="1"/>
  <c r="T7" i="1" s="1"/>
  <c r="A7" i="1" s="1"/>
  <c r="AH6" i="4"/>
  <c r="S6" i="4" s="1"/>
  <c r="A6" i="4" s="1"/>
  <c r="AI6" i="3"/>
  <c r="T6" i="3" s="1"/>
  <c r="A6" i="3" s="1"/>
  <c r="AI7" i="3"/>
  <c r="T7" i="3" s="1"/>
  <c r="A7" i="3" s="1"/>
  <c r="AI9" i="3"/>
  <c r="T9" i="3" s="1"/>
  <c r="A9" i="3" s="1"/>
  <c r="AI4" i="3"/>
  <c r="T4" i="3" s="1"/>
  <c r="A4" i="3" s="1"/>
  <c r="AI5" i="3"/>
  <c r="T5" i="3" s="1"/>
  <c r="A5" i="3" s="1"/>
  <c r="AG12" i="9" l="1"/>
  <c r="AI12" i="9" s="1"/>
  <c r="AG6" i="9"/>
  <c r="AI6" i="9" s="1"/>
  <c r="AG9" i="9"/>
  <c r="AI9" i="9" s="1"/>
  <c r="AG7" i="9"/>
  <c r="AI7" i="9" s="1"/>
  <c r="AG4" i="9"/>
  <c r="AI4" i="9" s="1"/>
  <c r="AG8" i="9"/>
  <c r="AI8" i="9" s="1"/>
  <c r="AJ7" i="9" s="1"/>
  <c r="V7" i="9" s="1"/>
  <c r="A7" i="9" s="1"/>
  <c r="AS10" i="8"/>
  <c r="X10" i="8" s="1"/>
  <c r="A10" i="8" s="1"/>
  <c r="AS14" i="8"/>
  <c r="X14" i="8" s="1"/>
  <c r="A14" i="8" s="1"/>
  <c r="AS9" i="8"/>
  <c r="X9" i="8" s="1"/>
  <c r="A9" i="8" s="1"/>
  <c r="AS7" i="8"/>
  <c r="X7" i="8" s="1"/>
  <c r="A7" i="8" s="1"/>
  <c r="AS8" i="8"/>
  <c r="X8" i="8" s="1"/>
  <c r="A8" i="8" s="1"/>
  <c r="AS17" i="8"/>
  <c r="X17" i="8" s="1"/>
  <c r="A17" i="8" s="1"/>
  <c r="AS6" i="8"/>
  <c r="X6" i="8" s="1"/>
  <c r="A6" i="8" s="1"/>
  <c r="E27" i="4"/>
  <c r="D27" i="4"/>
  <c r="G26" i="4"/>
  <c r="F26" i="4"/>
  <c r="E26" i="4"/>
  <c r="D26" i="4"/>
  <c r="D29" i="4"/>
  <c r="E28" i="4"/>
  <c r="D28" i="4"/>
  <c r="G27" i="4"/>
  <c r="F27" i="4"/>
  <c r="G28" i="4"/>
  <c r="G29" i="4"/>
  <c r="E29" i="4"/>
  <c r="F28" i="4"/>
  <c r="F29" i="4"/>
  <c r="AS11" i="8"/>
  <c r="X11" i="8" s="1"/>
  <c r="A11" i="8" s="1"/>
  <c r="AS15" i="8"/>
  <c r="X15" i="8" s="1"/>
  <c r="A15" i="8" s="1"/>
  <c r="AS12" i="8"/>
  <c r="X12" i="8" s="1"/>
  <c r="A12" i="8" s="1"/>
  <c r="AS16" i="8"/>
  <c r="X16" i="8" s="1"/>
  <c r="A16" i="8" s="1"/>
  <c r="AS13" i="8"/>
  <c r="X13" i="8" s="1"/>
  <c r="A13" i="8" s="1"/>
  <c r="AS5" i="8"/>
  <c r="X5" i="8" s="1"/>
  <c r="A5" i="8" s="1"/>
  <c r="I88" i="1"/>
  <c r="I83" i="1"/>
  <c r="G88" i="1"/>
  <c r="G83" i="1"/>
  <c r="F88" i="1"/>
  <c r="F83" i="1"/>
  <c r="I92" i="1"/>
  <c r="I87" i="1"/>
  <c r="F92" i="1"/>
  <c r="F87" i="1"/>
  <c r="G91" i="1"/>
  <c r="I84" i="1"/>
  <c r="F91" i="1"/>
  <c r="I90" i="1"/>
  <c r="G84" i="1"/>
  <c r="G90" i="1"/>
  <c r="Y14" i="1"/>
  <c r="F90" i="1"/>
  <c r="I89" i="1"/>
  <c r="G89" i="1"/>
  <c r="F89" i="1"/>
  <c r="G87" i="1"/>
  <c r="I86" i="1"/>
  <c r="G92" i="1"/>
  <c r="I91" i="1"/>
  <c r="F85" i="1"/>
  <c r="F84" i="1"/>
  <c r="F86" i="1"/>
  <c r="I85" i="1"/>
  <c r="G86" i="1"/>
  <c r="G85" i="1"/>
  <c r="AS4" i="8"/>
  <c r="X4" i="8" s="1"/>
  <c r="A4" i="8" s="1"/>
  <c r="D43" i="3"/>
  <c r="G47" i="3"/>
  <c r="G42" i="3"/>
  <c r="E42" i="3"/>
  <c r="D47" i="3"/>
  <c r="D42" i="3"/>
  <c r="G46" i="3"/>
  <c r="E46" i="3"/>
  <c r="D46" i="3"/>
  <c r="G45" i="3"/>
  <c r="E45" i="3"/>
  <c r="G44" i="3"/>
  <c r="E44" i="3"/>
  <c r="E43" i="3"/>
  <c r="D48" i="3"/>
  <c r="E47" i="3"/>
  <c r="D45" i="3"/>
  <c r="G43" i="3"/>
  <c r="D44" i="3"/>
  <c r="AJ8" i="9" l="1"/>
  <c r="V8" i="9" s="1"/>
  <c r="A8" i="9" s="1"/>
  <c r="AJ5" i="9"/>
  <c r="V5" i="9" s="1"/>
  <c r="A5" i="9" s="1"/>
  <c r="AJ6" i="9"/>
  <c r="V6" i="9" s="1"/>
  <c r="A6" i="9" s="1"/>
  <c r="AJ14" i="9"/>
  <c r="V14" i="9" s="1"/>
  <c r="A14" i="9" s="1"/>
  <c r="AJ15" i="9"/>
  <c r="V15" i="9" s="1"/>
  <c r="A15" i="9" s="1"/>
  <c r="AJ9" i="9"/>
  <c r="V9" i="9" s="1"/>
  <c r="A9" i="9" s="1"/>
  <c r="AJ13" i="9"/>
  <c r="V13" i="9" s="1"/>
  <c r="A13" i="9" s="1"/>
  <c r="AJ11" i="9"/>
  <c r="V11" i="9" s="1"/>
  <c r="A11" i="9" s="1"/>
  <c r="AJ12" i="9"/>
  <c r="V12" i="9" s="1"/>
  <c r="A12" i="9" s="1"/>
  <c r="AJ4" i="9"/>
  <c r="V4" i="9" s="1"/>
  <c r="A4" i="9" s="1"/>
  <c r="C112" i="9" s="1"/>
  <c r="AJ10" i="9"/>
  <c r="V10" i="9" s="1"/>
  <c r="A10" i="9" s="1"/>
  <c r="G109" i="9"/>
  <c r="C109" i="9"/>
  <c r="G116" i="9"/>
  <c r="D149" i="8"/>
  <c r="D145" i="8"/>
  <c r="E153" i="8"/>
  <c r="G149" i="8"/>
  <c r="D142" i="8"/>
  <c r="D153" i="8"/>
  <c r="G145" i="8"/>
  <c r="E149" i="8"/>
  <c r="G141" i="8"/>
  <c r="G152" i="8"/>
  <c r="E141" i="8"/>
  <c r="D148" i="8"/>
  <c r="D151" i="8"/>
  <c r="G146" i="8"/>
  <c r="D141" i="8"/>
  <c r="E146" i="8"/>
  <c r="G140" i="8"/>
  <c r="G150" i="8"/>
  <c r="E145" i="8"/>
  <c r="E140" i="8"/>
  <c r="D150" i="8"/>
  <c r="G144" i="8"/>
  <c r="G142" i="8"/>
  <c r="E147" i="8"/>
  <c r="G147" i="8"/>
  <c r="E142" i="8"/>
  <c r="D152" i="8"/>
  <c r="D146" i="8"/>
  <c r="G153" i="8"/>
  <c r="D147" i="8"/>
  <c r="E152" i="8"/>
  <c r="D140" i="8"/>
  <c r="E151" i="8"/>
  <c r="D144" i="8"/>
  <c r="E143" i="8"/>
  <c r="G148" i="8"/>
  <c r="D143" i="8"/>
  <c r="E148" i="8"/>
  <c r="G151" i="8"/>
  <c r="E150" i="8"/>
  <c r="E144" i="8"/>
  <c r="G143" i="8"/>
  <c r="H118" i="9" l="1"/>
  <c r="G118" i="9"/>
  <c r="G114" i="9"/>
  <c r="G119" i="9"/>
  <c r="G117" i="9"/>
  <c r="H112" i="9"/>
  <c r="C114" i="9"/>
  <c r="H110" i="9"/>
  <c r="C120" i="9"/>
  <c r="G111" i="9"/>
  <c r="H116" i="9"/>
  <c r="C115" i="9"/>
  <c r="C117" i="9"/>
  <c r="C113" i="9"/>
  <c r="G110" i="9"/>
  <c r="H120" i="9"/>
  <c r="C111" i="9"/>
  <c r="G113" i="9"/>
  <c r="H114" i="9"/>
  <c r="C116" i="9"/>
  <c r="G115" i="9"/>
  <c r="G112" i="9"/>
  <c r="C118" i="9"/>
  <c r="H119" i="9"/>
  <c r="H113" i="9"/>
  <c r="G120" i="9"/>
  <c r="H109" i="9"/>
  <c r="C119" i="9"/>
  <c r="C110" i="9"/>
  <c r="H117" i="9"/>
  <c r="H111" i="9"/>
  <c r="H115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<sst xmlns="http://schemas.openxmlformats.org/spreadsheetml/2006/main" count="949" uniqueCount="125">
  <si>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</si>
  <si>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</si>
  <si>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</si>
  <si>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</si>
  <si>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</si>
  <si>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</si>
  <si>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</si>
  <si>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</si>
  <si>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</si>
  <si>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</si>
  <si>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</si>
  <si>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</si>
  <si>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</si>
  <si>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</si>
  <si>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</si>
  <si>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</si>
  <si>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</si>
  <si>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</si>
  <si>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</si>
  <si>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</si>
  <si>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</si>
  <si>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</si>
  <si>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</si>
  <si>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</si>
  <si>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</si>
  <si>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</si>
  <si>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</si>
  <si>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</si>
  <si>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</si>
  <si>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</si>
  <si>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</si>
  <si>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</si>
  <si>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</si>
  <si>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</si>
  <si>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</si>
  <si>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</si>
  <si>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</si>
  <si>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</si>
  <si>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</si>
  <si>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</si>
  <si>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</si>
  <si>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</si>
  <si>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</si>
  <si>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</si>
  <si>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</si>
  <si>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</si>
  <si>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</si>
  <si>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</si>
  <si>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</si>
  <si>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</si>
  <si>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</si>
  <si>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</si>
  <si>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</si>
  <si>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</si>
  <si>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</si>
  <si>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</si>
  <si>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</si>
  <si>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</si>
  <si>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</si>
  <si>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</si>
  <si>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</si>
  <si>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</si>
  <si>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</si>
  <si>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</si>
  <si>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</si>
  <si>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</si>
  <si>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</si>
  <si>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</si>
  <si>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</si>
  <si>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</si>
  <si>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</si>
  <si>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</si>
  <si>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</si>
  <si>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</si>
  <si>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</si>
  <si>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</si>
  <si>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</si>
  <si>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</si>
  <si>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</si>
  <si>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</si>
  <si>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</si>
  <si>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</si>
  <si>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</si>
  <si>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</si>
  <si>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</si>
  <si>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</si>
  <si>
    <t>Tijdschemas</t>
  </si>
  <si>
    <t>starttijd</t>
  </si>
  <si>
    <t>speeltempo</t>
  </si>
  <si>
    <t>tussentijd</t>
  </si>
  <si>
    <t>eindtijd</t>
  </si>
  <si>
    <t>pauze na ronde</t>
  </si>
  <si>
    <t>Invoer</t>
  </si>
  <si>
    <t>Uitslag (handmatig)</t>
  </si>
  <si>
    <t>basis</t>
  </si>
  <si>
    <t>increment</t>
  </si>
  <si>
    <t>start 1e</t>
  </si>
  <si>
    <t>einde 1 e</t>
  </si>
  <si>
    <t>start 2e</t>
  </si>
  <si>
    <t>einde 2e</t>
  </si>
  <si>
    <t>start 3e</t>
  </si>
  <si>
    <t>einde 3e</t>
  </si>
  <si>
    <t>start 4e</t>
  </si>
  <si>
    <t>einde 4e</t>
  </si>
  <si>
    <t>start 5e</t>
  </si>
  <si>
    <t>einde 5e</t>
  </si>
  <si>
    <t>start 6e</t>
  </si>
  <si>
    <t>einde 6e</t>
  </si>
  <si>
    <t>start 7e</t>
  </si>
  <si>
    <t>einde 7e</t>
  </si>
  <si>
    <t>start 8e</t>
  </si>
  <si>
    <t>einde 8e</t>
  </si>
  <si>
    <t>start 9e</t>
  </si>
  <si>
    <t>einde 9e</t>
  </si>
  <si>
    <t>start 10e</t>
  </si>
  <si>
    <t>einde 10e</t>
  </si>
  <si>
    <t>start 11e</t>
  </si>
  <si>
    <t>einde 11e</t>
  </si>
  <si>
    <t>start 12e</t>
  </si>
  <si>
    <t>einde 12e</t>
  </si>
  <si>
    <t>start 13e</t>
  </si>
  <si>
    <t>einde 13e</t>
  </si>
  <si>
    <t>pauzetijd</t>
  </si>
  <si>
    <t>zetaantal
(voor berekening)</t>
  </si>
  <si>
    <t>Speelschema per groepgrootte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</si>
</sst>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[$-F400]h:mm:ss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20">
    <xf numFmtId="0" fontId="0" fillId="0" borderId="0" xfId="0"/>
    <xf numFmtId="0" fontId="0" fillId="0" borderId="1" xfId="0" quotePrefix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" fontId="8" fillId="0" borderId="5" xfId="1" applyNumberFormat="1" applyFont="1" applyBorder="1" applyAlignment="1">
      <alignment horizontal="center" vertical="center"/>
    </xf>
    <xf numFmtId="1" fontId="8" fillId="0" borderId="0" xfId="1" applyNumberFormat="1" applyFont="1" applyAlignment="1">
      <alignment horizontal="center" vertical="center"/>
    </xf>
    <xf numFmtId="0" fontId="0" fillId="3" borderId="0" xfId="0" applyFill="1"/>
    <xf numFmtId="0" fontId="3" fillId="0" borderId="5" xfId="1" applyFont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8" fillId="0" borderId="0" xfId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2" xfId="0" applyFill="1" applyBorder="1" applyAlignment="1">
      <alignment horizontal="center"/>
    </xf>
    <xf numFmtId="0" fontId="6" fillId="4" borderId="1" xfId="0" applyFont="1" applyFill="1" applyBorder="1"/>
    <xf numFmtId="0" fontId="2" fillId="4" borderId="3" xfId="0" applyFont="1" applyFill="1" applyBorder="1" applyAlignment="1">
      <alignment horizontal="center"/>
    </xf>
    <xf numFmtId="0" fontId="9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1" xfId="0" applyFon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3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" fontId="9" fillId="0" borderId="0" xfId="0" applyNumberFormat="1" applyFont="1"/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3" fillId="0" borderId="0" xfId="1" applyFont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2" xfId="0" applyBorder="1"/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3" fillId="0" borderId="8" xfId="1" applyFont="1" applyBorder="1" applyAlignment="1">
      <alignment horizontal="center" vertical="center"/>
    </xf>
    <xf numFmtId="0" fontId="5" fillId="0" borderId="0" xfId="0" applyFont="1"/>
    <xf numFmtId="0" fontId="0" fillId="0" borderId="0" xfId="0" quotePrefix="1" applyAlignment="1" applyProtection="1">
      <alignment horizontal="center"/>
      <protection locked="0"/>
    </xf>
    <xf numFmtId="0" fontId="12" fillId="0" borderId="0" xfId="0" applyFont="1" applyAlignment="1">
      <alignment horizontal="right"/>
    </xf>
    <xf numFmtId="1" fontId="11" fillId="0" borderId="0" xfId="0" applyNumberFormat="1" applyFont="1"/>
    <xf numFmtId="0" fontId="13" fillId="0" borderId="0" xfId="0" applyFont="1" applyAlignment="1">
      <alignment horizontal="right"/>
    </xf>
    <xf numFmtId="165" fontId="0" fillId="0" borderId="0" xfId="0" applyNumberFormat="1"/>
    <xf numFmtId="20" fontId="0" fillId="0" borderId="0" xfId="0" applyNumberFormat="1"/>
    <xf numFmtId="0" fontId="0" fillId="0" borderId="4" xfId="0" applyBorder="1"/>
    <xf numFmtId="0" fontId="0" fillId="0" borderId="11" xfId="0" applyBorder="1"/>
    <xf numFmtId="165" fontId="0" fillId="0" borderId="13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20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0" xfId="0" applyProtection="1">
      <protection locked="0"/>
    </xf>
    <xf numFmtId="0" fontId="0" fillId="0" borderId="20" xfId="0" applyBorder="1" applyProtection="1">
      <protection locked="0"/>
    </xf>
    <xf numFmtId="20" fontId="0" fillId="0" borderId="19" xfId="0" applyNumberFormat="1" applyBorder="1" applyProtection="1">
      <protection locked="0"/>
    </xf>
    <xf numFmtId="165" fontId="0" fillId="0" borderId="19" xfId="2" applyNumberFormat="1" applyFont="1" applyBorder="1" applyProtection="1">
      <protection locked="0"/>
    </xf>
    <xf numFmtId="165" fontId="0" fillId="0" borderId="19" xfId="0" applyNumberFormat="1" applyBorder="1" applyProtection="1">
      <protection locked="0"/>
    </xf>
    <xf numFmtId="20" fontId="0" fillId="0" borderId="21" xfId="0" applyNumberFormat="1" applyBorder="1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9" xfId="0" applyBorder="1"/>
    <xf numFmtId="0" fontId="0" fillId="0" borderId="7" xfId="0" applyBorder="1"/>
    <xf numFmtId="0" fontId="0" fillId="0" borderId="4" xfId="0" applyBorder="1"/>
    <xf numFmtId="0" fontId="0" fillId="0" borderId="3" xfId="0" applyBorder="1"/>
    <xf numFmtId="0" fontId="0" fillId="4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20" fontId="1" fillId="0" borderId="0" xfId="0" applyNumberFormat="1" applyFont="1"/>
    <xf numFmtId="20" fontId="0" fillId="0" borderId="0" xfId="0" applyNumberFormat="1"/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5" fontId="0" fillId="0" borderId="0" xfId="0" applyNumberFormat="1"/>
    <xf numFmtId="0" fontId="0" fillId="0" borderId="0" xfId="0" applyBorder="1" applyProtection="1">
      <protection locked="0"/>
    </xf>
    <xf numFmtId="0" fontId="0" fillId="0" borderId="0" xfId="0" applyAlignment="1">
      <alignment wrapText="1"/>
    </xf>
    <xf numFmtId="0" fontId="0" fillId="0" borderId="0" xfId="0" applyAlignment="1"/>
    <xf numFmtId="20" fontId="1" fillId="0" borderId="0" xfId="0" applyNumberFormat="1" applyFont="1" applyAlignment="1"/>
    <xf numFmtId="20" fontId="0" fillId="0" borderId="0" xfId="0" applyNumberFormat="1" applyAlignment="1"/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1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1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53"/>
  <sheetViews>
    <sheetView view="pageBreakPreview" topLeftCell="A21" zoomScale="60" zoomScaleNormal="100" workbookViewId="0">
      <selection activeCell="X21" sqref="X21"/>
    </sheetView>
  </sheetViews>
  <sheetFormatPr defaultRowHeight="14.4" x14ac:dyDescent="0.3"/>
  <cols>
    <col min="1" max="2" width="3.44140625" customWidth="1"/>
    <col min="3" max="3" width="21.6640625" customWidth="1"/>
    <col min="8" max="21" width="4.6640625" customWidth="1"/>
    <col min="23" max="23" width="16.5546875" bestFit="1" customWidth="1"/>
    <col min="27" max="27" width="0" hidden="1" customWidth="1"/>
    <col min="28" max="28" width="23.5546875" customWidth="1"/>
    <col min="29" max="29" width="11.44140625" customWidth="1"/>
    <col min="30" max="30" width="0" hidden="1" customWidth="1"/>
    <col min="31" max="31" width="10.44140625" customWidth="1"/>
    <col min="32" max="81" width="9.109375" hidden="1" customWidth="1"/>
    <col min="82" max="84" width="0" hidden="1" customWidth="1"/>
  </cols>
  <sheetData>
    <row r="1" spans="1:83" ht="25.8" x14ac:dyDescent="0.5">
      <c r="A1" s="17">
        <v>14</v>
      </c>
      <c r="C1" s="85" t="s">
        <v>31</v>
      </c>
      <c r="D1" s="85"/>
      <c r="E1" s="85"/>
      <c r="F1" s="85"/>
      <c r="G1" s="10" t="s">
        <v>32</v>
      </c>
      <c r="X1" s="63" t="e">
        <f>"versie " &amp;#REF!</f>
        <v>#REF!</v>
      </c>
      <c r="Y1" s="61"/>
    </row>
    <row r="2" spans="1:83" x14ac:dyDescent="0.3">
      <c r="AY2" s="11" t="s">
        <v>27</v>
      </c>
      <c r="AZ2" s="11" t="s">
        <v>26</v>
      </c>
      <c r="BA2" s="11" t="s">
        <v>28</v>
      </c>
      <c r="BD2" s="90" t="s">
        <v>22</v>
      </c>
      <c r="BE2" s="90"/>
      <c r="BF2" s="90"/>
      <c r="BG2" s="90"/>
      <c r="BH2" s="90"/>
      <c r="BI2" s="90"/>
      <c r="BJ2" s="90"/>
      <c r="BK2" s="90"/>
      <c r="BL2" s="90"/>
      <c r="BM2" s="12"/>
      <c r="BN2" s="12"/>
      <c r="BO2" s="12"/>
      <c r="BP2" s="12"/>
      <c r="BQ2" s="12"/>
      <c r="BR2" s="12"/>
      <c r="BT2" s="90" t="s">
        <v>23</v>
      </c>
      <c r="BU2" s="90"/>
      <c r="BV2" s="90"/>
      <c r="BW2" s="90"/>
      <c r="BX2" s="90"/>
      <c r="BY2" s="90"/>
      <c r="BZ2" s="90"/>
      <c r="CA2" s="90"/>
      <c r="CB2" s="90"/>
    </row>
    <row r="3" spans="1:83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>
        <v>13</v>
      </c>
      <c r="U3" s="2">
        <v>14</v>
      </c>
      <c r="V3" s="2" t="s">
        <v>17</v>
      </c>
      <c r="W3" s="2" t="s">
        <v>26</v>
      </c>
      <c r="X3" s="2" t="s">
        <v>69</v>
      </c>
      <c r="AH3" s="8"/>
      <c r="AI3" s="2" t="s">
        <v>60</v>
      </c>
      <c r="AJ3" s="2" t="s">
        <v>61</v>
      </c>
      <c r="AK3" s="2" t="s">
        <v>62</v>
      </c>
      <c r="AL3" s="2" t="s">
        <v>63</v>
      </c>
      <c r="AM3" s="2" t="s">
        <v>64</v>
      </c>
      <c r="AN3" s="2" t="s">
        <v>65</v>
      </c>
      <c r="AO3" s="2"/>
      <c r="AP3" s="2" t="s">
        <v>66</v>
      </c>
      <c r="AQ3" s="2" t="s">
        <v>67</v>
      </c>
      <c r="AR3" s="2" t="s">
        <v>68</v>
      </c>
      <c r="AS3" s="2" t="s">
        <v>69</v>
      </c>
      <c r="AT3" s="8"/>
      <c r="AU3" s="8"/>
      <c r="AV3" s="8"/>
      <c r="AW3" s="12"/>
      <c r="AX3" s="2" t="s">
        <v>36</v>
      </c>
      <c r="AY3" s="16" t="s">
        <v>25</v>
      </c>
      <c r="AZ3" s="11" t="s">
        <v>25</v>
      </c>
      <c r="BA3" s="11" t="s">
        <v>25</v>
      </c>
      <c r="BC3" t="s">
        <v>30</v>
      </c>
      <c r="BD3">
        <v>1</v>
      </c>
      <c r="BE3">
        <v>2</v>
      </c>
      <c r="BF3">
        <v>3</v>
      </c>
      <c r="BG3">
        <v>4</v>
      </c>
      <c r="BH3">
        <v>5</v>
      </c>
      <c r="BI3">
        <v>6</v>
      </c>
      <c r="BJ3">
        <v>7</v>
      </c>
      <c r="BK3">
        <v>8</v>
      </c>
      <c r="BL3">
        <v>9</v>
      </c>
      <c r="BM3">
        <v>10</v>
      </c>
      <c r="BN3">
        <v>11</v>
      </c>
      <c r="BO3">
        <v>12</v>
      </c>
      <c r="BP3">
        <v>13</v>
      </c>
      <c r="BR3" t="s">
        <v>30</v>
      </c>
      <c r="BS3">
        <v>1</v>
      </c>
      <c r="BT3">
        <v>2</v>
      </c>
      <c r="BU3">
        <v>3</v>
      </c>
      <c r="BV3">
        <v>4</v>
      </c>
      <c r="BW3">
        <v>5</v>
      </c>
      <c r="BX3">
        <v>6</v>
      </c>
      <c r="BY3">
        <v>7</v>
      </c>
      <c r="BZ3">
        <v>8</v>
      </c>
      <c r="CA3">
        <v>9</v>
      </c>
      <c r="CB3">
        <v>10</v>
      </c>
      <c r="CC3">
        <v>11</v>
      </c>
      <c r="CD3">
        <v>12</v>
      </c>
      <c r="CE3">
        <v>13</v>
      </c>
    </row>
    <row r="4" spans="1:83" x14ac:dyDescent="0.3">
      <c r="A4" s="17">
        <f>X4</f>
        <v>1</v>
      </c>
      <c r="B4" s="18">
        <v>1</v>
      </c>
      <c r="C4" s="18" t="s">
        <v>40</v>
      </c>
      <c r="D4" s="92"/>
      <c r="E4" s="93"/>
      <c r="F4" s="18">
        <v>1000</v>
      </c>
      <c r="H4" s="59" t="str">
        <f>IF((SUMIF($BC$21:$BC$102,$B4*100+H$3,$BA$22:$BA$103)+SUMIF($BC$21:$BC$102,$B4+H$3*100,$BA$22:$BA$103))=1,(SUMIF($BC$21:$BC$102,$B4*100+H$3,$J$19:$J$99)+SUMIF($BD$21:$BD$102,$B4*100+H$3,$M$19:$M$99)),"")</f>
        <v/>
      </c>
      <c r="I4" s="20" t="str">
        <f>IF((SUMIF($BC$18:$BC$135,$B4*100+I$3,$BA$18:$BA$135)+SUMIF($BC$18:$BC$135,$B4+I$3*100,$BA$18:$BA$135))=1,(SUMIF($BC$18:$BC$135,$B4*100+I$3,$J$18:$J$135)+SUMIF($BD$18:$BD$135,$B4*100+I$3,$M$18:$M$135)),"")</f>
        <v/>
      </c>
      <c r="J4" s="20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20" t="str">
        <f t="shared" si="0"/>
        <v/>
      </c>
      <c r="U4" s="20" t="str">
        <f t="shared" si="0"/>
        <v/>
      </c>
      <c r="V4" s="3">
        <f>SUM(H4:U4)</f>
        <v>0</v>
      </c>
      <c r="W4" s="3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3">
        <f>AS4</f>
        <v>1</v>
      </c>
      <c r="AH4" s="46"/>
      <c r="AI4" s="7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7">
        <f>$AI$18*V4+AI4</f>
        <v>0</v>
      </c>
      <c r="AK4" s="7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7">
        <f>$AK$18*AJ4+AK4</f>
        <v>0</v>
      </c>
      <c r="AM4" s="7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7">
        <f>$AM$18*AL4+AM4</f>
        <v>0</v>
      </c>
      <c r="AO4" s="7"/>
      <c r="AP4" s="7">
        <f>RANK(AN4,$AN$4:$AN$17,1)-1</f>
        <v>0</v>
      </c>
      <c r="AQ4" s="7">
        <f>RANK(W4,$W$4:$W$17,1)-1</f>
        <v>0</v>
      </c>
      <c r="AR4" s="7">
        <f>14*AP4+AQ4</f>
        <v>0</v>
      </c>
      <c r="AS4" s="7">
        <f>RANK(AR4,$AR$4:$AR$17)</f>
        <v>1</v>
      </c>
      <c r="AT4" s="46"/>
      <c r="AU4" s="46"/>
      <c r="AV4" s="46"/>
      <c r="AW4" s="23"/>
      <c r="AX4" s="26">
        <v>1</v>
      </c>
      <c r="AY4" s="29">
        <f t="shared" ref="AY4:AY17" si="1">SUMIF($AU$15:$AU$77,F4,$BA$19:$BA$81)+SUMIF($AV$15:$AV$77,F4,$BB$15:$BB$77)</f>
        <v>0</v>
      </c>
      <c r="AZ4" s="30">
        <f t="shared" ref="AZ4:AZ17" ca="1" si="2">SUMIF($AU$15:$AU$77,F4,$BC$19:$BC$80)+SUMIF($AV$15:$AV$77,F4,$BD$19:$BD$80)</f>
        <v>0</v>
      </c>
      <c r="BA4" s="30">
        <f t="shared" ref="BA4:BA17" si="3">SUM(BS4:CA4)</f>
        <v>0</v>
      </c>
      <c r="BC4">
        <v>1</v>
      </c>
      <c r="BD4">
        <f t="shared" ref="BD4:BP17" si="4" xml:space="preserve"> SUMIFS( $J$18:$J$77, $AU$18:$AU$77,$AY4, $AT$18:$AT$77,BD$3) + SUMIFS( $M$18:$M$77, $AV$18:$AV$77,$AY4, $AT$18:$AT$77,BD$3)</f>
        <v>0</v>
      </c>
      <c r="BE4">
        <f t="shared" si="4"/>
        <v>0</v>
      </c>
      <c r="BF4">
        <f t="shared" si="4"/>
        <v>0</v>
      </c>
      <c r="BG4">
        <f t="shared" si="4"/>
        <v>0</v>
      </c>
      <c r="BH4">
        <f t="shared" si="4"/>
        <v>0</v>
      </c>
      <c r="BI4">
        <f t="shared" si="4"/>
        <v>0</v>
      </c>
      <c r="BJ4">
        <f t="shared" si="4"/>
        <v>0</v>
      </c>
      <c r="BK4">
        <f t="shared" si="4"/>
        <v>0</v>
      </c>
      <c r="BL4">
        <f t="shared" si="4"/>
        <v>0</v>
      </c>
      <c r="BM4">
        <f t="shared" si="4"/>
        <v>0</v>
      </c>
      <c r="BN4">
        <f t="shared" si="4"/>
        <v>0</v>
      </c>
      <c r="BO4">
        <f t="shared" si="4"/>
        <v>0</v>
      </c>
      <c r="BP4">
        <f t="shared" si="4"/>
        <v>0</v>
      </c>
      <c r="BR4">
        <v>1</v>
      </c>
      <c r="BS4">
        <f t="shared" ref="BS4:BS17" si="5">BD4</f>
        <v>0</v>
      </c>
      <c r="BT4">
        <f t="shared" ref="BT4:BT17" si="6">BS4+BE4</f>
        <v>0</v>
      </c>
      <c r="BU4">
        <f t="shared" ref="BU4:BU17" si="7">BT4+BF4</f>
        <v>0</v>
      </c>
      <c r="BV4">
        <f t="shared" ref="BV4:BV17" si="8">BU4+BG4</f>
        <v>0</v>
      </c>
      <c r="BW4">
        <f t="shared" ref="BW4:BW17" si="9">BV4+BH4</f>
        <v>0</v>
      </c>
      <c r="BX4">
        <f t="shared" ref="BX4:BX17" si="10">BW4+BI4</f>
        <v>0</v>
      </c>
      <c r="BY4">
        <f t="shared" ref="BY4:BY17" si="11">BX4+BJ4</f>
        <v>0</v>
      </c>
      <c r="BZ4">
        <f t="shared" ref="BZ4:BZ17" si="12">BY4+BK4</f>
        <v>0</v>
      </c>
      <c r="CA4">
        <f t="shared" ref="CA4:CA17" si="13">BZ4+BL4</f>
        <v>0</v>
      </c>
      <c r="CB4">
        <f t="shared" ref="CB4:CB17" si="14">CA4+BM4</f>
        <v>0</v>
      </c>
      <c r="CC4">
        <f t="shared" ref="CC4:CC17" si="15">CB4+BN4</f>
        <v>0</v>
      </c>
      <c r="CD4">
        <f t="shared" ref="CD4:CD17" si="16">CC4+BO4</f>
        <v>0</v>
      </c>
      <c r="CE4">
        <f t="shared" ref="CE4:CE17" si="17">CD4+BP4</f>
        <v>0</v>
      </c>
    </row>
    <row r="5" spans="1:83" x14ac:dyDescent="0.3">
      <c r="A5" s="17">
        <f t="shared" ref="A5:A17" si="18">X5</f>
        <v>1</v>
      </c>
      <c r="B5" s="18">
        <v>2</v>
      </c>
      <c r="C5" s="18" t="s">
        <v>41</v>
      </c>
      <c r="D5" s="92"/>
      <c r="E5" s="93"/>
      <c r="F5" s="18">
        <v>1000</v>
      </c>
      <c r="H5" s="20" t="str">
        <f>IF((SUMIF($BC$18:$BC$135,$B5*100+H$3,$BA$18:$BA$135)+SUMIF($BC$18:$BC$135,$B5+H$3*100,$BA$18:$BA$135))=1,(SUMIF($BC$18:$BC$135,$B5*100+H$3,$J$18:$J$135)+SUMIF($BD$18:$BD$135,$B5*100+H$3,$M$18:$M$135)),"")</f>
        <v/>
      </c>
      <c r="I5" s="59" t="str">
        <f>IF((SUMIF($BC$21:$BC$102,$B5*100+I$3,$BA$22:$BA$103)+SUMIF($BC$21:$BC$102,$B5+I$3*100,$BA$22:$BA$103))=1,(SUMIF($BC$21:$BC$102,$B5*100+I$3,$J$19:$J$99)+SUMIF($BD$21:$BD$102,$B5*100+I$3,$M$19:$M$99)),"")</f>
        <v/>
      </c>
      <c r="J5" s="58" t="str">
        <f t="shared" si="0"/>
        <v/>
      </c>
      <c r="K5" s="58" t="str">
        <f t="shared" si="0"/>
        <v/>
      </c>
      <c r="L5" s="58" t="str">
        <f t="shared" si="0"/>
        <v/>
      </c>
      <c r="M5" s="58" t="str">
        <f t="shared" si="0"/>
        <v/>
      </c>
      <c r="N5" s="58" t="str">
        <f t="shared" si="0"/>
        <v/>
      </c>
      <c r="O5" s="58" t="str">
        <f t="shared" si="0"/>
        <v/>
      </c>
      <c r="P5" s="58" t="str">
        <f t="shared" si="0"/>
        <v/>
      </c>
      <c r="Q5" s="58" t="str">
        <f t="shared" si="0"/>
        <v/>
      </c>
      <c r="R5" s="58" t="str">
        <f t="shared" si="0"/>
        <v/>
      </c>
      <c r="S5" s="58" t="str">
        <f t="shared" si="0"/>
        <v/>
      </c>
      <c r="T5" s="58" t="str">
        <f t="shared" si="0"/>
        <v/>
      </c>
      <c r="U5" s="58" t="str">
        <f t="shared" si="0"/>
        <v/>
      </c>
      <c r="V5" s="3">
        <f t="shared" ref="V5:V17" si="19">SUM(H5:U5)</f>
        <v>0</v>
      </c>
      <c r="W5" s="3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3">
        <f t="shared" ref="X5:X17" si="21">AS5</f>
        <v>1</v>
      </c>
      <c r="AH5" s="46"/>
      <c r="AI5" s="7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7">
        <f t="shared" ref="AJ5:AJ17" si="23">$AI$18*V5+AI5</f>
        <v>0</v>
      </c>
      <c r="AK5" s="7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7">
        <f t="shared" ref="AL5:AL17" si="25">$AK$18*AJ5+AK5</f>
        <v>0</v>
      </c>
      <c r="AM5" s="7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7">
        <f t="shared" ref="AN5:AN17" si="27">$AM$18*AL5+AM5</f>
        <v>0</v>
      </c>
      <c r="AO5" s="7"/>
      <c r="AP5" s="7">
        <f t="shared" ref="AP5:AP17" si="28">RANK(AN5,$AN$4:$AN$17,1)-1</f>
        <v>0</v>
      </c>
      <c r="AQ5" s="7">
        <f t="shared" ref="AQ5:AQ17" si="29">RANK(W5,$W$4:$W$17,1)-1</f>
        <v>0</v>
      </c>
      <c r="AR5" s="7">
        <f t="shared" ref="AR5:AR17" si="30">14*AP5+AQ5</f>
        <v>0</v>
      </c>
      <c r="AS5" s="7">
        <f t="shared" ref="AS5:AS17" si="31">RANK(AR5,$AR$4:$AR$17)</f>
        <v>1</v>
      </c>
      <c r="AT5" s="46"/>
      <c r="AU5" s="46"/>
      <c r="AV5" s="46"/>
      <c r="AW5" s="23"/>
      <c r="AX5" s="26">
        <v>2</v>
      </c>
      <c r="AY5" s="29">
        <f t="shared" si="1"/>
        <v>0</v>
      </c>
      <c r="AZ5" s="30">
        <f t="shared" ca="1" si="2"/>
        <v>0</v>
      </c>
      <c r="BA5" s="30">
        <f t="shared" si="3"/>
        <v>0</v>
      </c>
      <c r="BC5">
        <v>2</v>
      </c>
      <c r="BD5">
        <f t="shared" si="4"/>
        <v>0</v>
      </c>
      <c r="BE5">
        <f t="shared" si="4"/>
        <v>0</v>
      </c>
      <c r="BF5">
        <f t="shared" si="4"/>
        <v>0</v>
      </c>
      <c r="BG5">
        <f t="shared" si="4"/>
        <v>0</v>
      </c>
      <c r="BH5">
        <f t="shared" si="4"/>
        <v>0</v>
      </c>
      <c r="BI5">
        <f t="shared" si="4"/>
        <v>0</v>
      </c>
      <c r="BJ5">
        <f t="shared" si="4"/>
        <v>0</v>
      </c>
      <c r="BK5">
        <f t="shared" si="4"/>
        <v>0</v>
      </c>
      <c r="BL5">
        <f t="shared" si="4"/>
        <v>0</v>
      </c>
      <c r="BM5">
        <f t="shared" si="4"/>
        <v>0</v>
      </c>
      <c r="BN5">
        <f t="shared" si="4"/>
        <v>0</v>
      </c>
      <c r="BO5">
        <f t="shared" si="4"/>
        <v>0</v>
      </c>
      <c r="BP5">
        <f t="shared" si="4"/>
        <v>0</v>
      </c>
      <c r="BR5">
        <v>2</v>
      </c>
      <c r="BS5">
        <f t="shared" si="5"/>
        <v>0</v>
      </c>
      <c r="BT5">
        <f t="shared" si="6"/>
        <v>0</v>
      </c>
      <c r="BU5">
        <f t="shared" si="7"/>
        <v>0</v>
      </c>
      <c r="BV5">
        <f t="shared" si="8"/>
        <v>0</v>
      </c>
      <c r="BW5">
        <f t="shared" si="9"/>
        <v>0</v>
      </c>
      <c r="BX5">
        <f t="shared" si="10"/>
        <v>0</v>
      </c>
      <c r="BY5">
        <f t="shared" si="11"/>
        <v>0</v>
      </c>
      <c r="BZ5">
        <f t="shared" si="12"/>
        <v>0</v>
      </c>
      <c r="CA5">
        <f t="shared" si="13"/>
        <v>0</v>
      </c>
      <c r="CB5">
        <f t="shared" si="14"/>
        <v>0</v>
      </c>
      <c r="CC5">
        <f t="shared" si="15"/>
        <v>0</v>
      </c>
      <c r="CD5">
        <f t="shared" si="16"/>
        <v>0</v>
      </c>
      <c r="CE5">
        <f t="shared" si="17"/>
        <v>0</v>
      </c>
    </row>
    <row r="6" spans="1:83" x14ac:dyDescent="0.3">
      <c r="A6" s="17">
        <f t="shared" si="18"/>
        <v>1</v>
      </c>
      <c r="B6" s="18">
        <v>3</v>
      </c>
      <c r="C6" s="18" t="s">
        <v>42</v>
      </c>
      <c r="D6" s="92"/>
      <c r="E6" s="93"/>
      <c r="F6" s="18">
        <v>1000</v>
      </c>
      <c r="H6" s="20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20" t="str">
        <f>IF((SUMIF($BC$18:$BC$135,$B6*100+I$3,$BA$18:$BA$135)+SUMIF($BC$18:$BC$135,$B6+I$3*100,$BA$18:$BA$135))=1,(SUMIF($BC$18:$BC$135,$B6*100+I$3,$J$18:$J$135)+SUMIF($BD$18:$BD$135,$B6*100+I$3,$M$18:$M$135)),"")</f>
        <v/>
      </c>
      <c r="J6" s="59" t="str">
        <f>IF((SUMIF($BC$21:$BC$102,$B6*100+J$3,$BA$22:$BA$103)+SUMIF($BC$21:$BC$102,$B6+J$3*100,$BA$22:$BA$103))=1,(SUMIF($BC$21:$BC$102,$B6*100+J$3,$J$19:$J$99)+SUMIF($BD$21:$BD$102,$B6*100+J$3,$M$19:$M$99)),"")</f>
        <v/>
      </c>
      <c r="K6" s="58" t="str">
        <f t="shared" si="0"/>
        <v/>
      </c>
      <c r="L6" s="58" t="str">
        <f t="shared" si="0"/>
        <v/>
      </c>
      <c r="M6" s="58" t="str">
        <f t="shared" si="0"/>
        <v/>
      </c>
      <c r="N6" s="58" t="str">
        <f t="shared" si="0"/>
        <v/>
      </c>
      <c r="O6" s="58" t="str">
        <f t="shared" si="0"/>
        <v/>
      </c>
      <c r="P6" s="58" t="str">
        <f t="shared" si="0"/>
        <v/>
      </c>
      <c r="Q6" s="58" t="str">
        <f t="shared" si="0"/>
        <v/>
      </c>
      <c r="R6" s="58" t="str">
        <f t="shared" si="0"/>
        <v/>
      </c>
      <c r="S6" s="58" t="str">
        <f t="shared" si="0"/>
        <v/>
      </c>
      <c r="T6" s="58" t="str">
        <f t="shared" si="0"/>
        <v/>
      </c>
      <c r="U6" s="58" t="str">
        <f t="shared" si="0"/>
        <v/>
      </c>
      <c r="V6" s="3">
        <f t="shared" si="19"/>
        <v>0</v>
      </c>
      <c r="W6" s="3">
        <f t="shared" si="20"/>
        <v>0</v>
      </c>
      <c r="X6" s="3">
        <f t="shared" si="21"/>
        <v>1</v>
      </c>
      <c r="AH6" s="46"/>
      <c r="AI6" s="7">
        <f t="shared" si="22"/>
        <v>0</v>
      </c>
      <c r="AJ6" s="7">
        <f t="shared" si="23"/>
        <v>0</v>
      </c>
      <c r="AK6" s="7">
        <f t="shared" si="24"/>
        <v>0</v>
      </c>
      <c r="AL6" s="7">
        <f t="shared" si="25"/>
        <v>0</v>
      </c>
      <c r="AM6" s="7">
        <f t="shared" si="26"/>
        <v>0</v>
      </c>
      <c r="AN6" s="7">
        <f t="shared" si="27"/>
        <v>0</v>
      </c>
      <c r="AO6" s="7"/>
      <c r="AP6" s="7">
        <f t="shared" si="28"/>
        <v>0</v>
      </c>
      <c r="AQ6" s="7">
        <f t="shared" si="29"/>
        <v>0</v>
      </c>
      <c r="AR6" s="7">
        <f t="shared" si="30"/>
        <v>0</v>
      </c>
      <c r="AS6" s="7">
        <f t="shared" si="31"/>
        <v>1</v>
      </c>
      <c r="AT6" s="46"/>
      <c r="AU6" s="46"/>
      <c r="AV6" s="46"/>
      <c r="AW6" s="23"/>
      <c r="AX6" s="26">
        <v>3</v>
      </c>
      <c r="AY6" s="29">
        <f t="shared" si="1"/>
        <v>0</v>
      </c>
      <c r="AZ6" s="30">
        <f t="shared" ca="1" si="2"/>
        <v>0</v>
      </c>
      <c r="BA6" s="30">
        <f t="shared" si="3"/>
        <v>0</v>
      </c>
      <c r="BC6">
        <v>3</v>
      </c>
      <c r="BD6">
        <f t="shared" si="4"/>
        <v>0</v>
      </c>
      <c r="BE6">
        <f t="shared" si="4"/>
        <v>0</v>
      </c>
      <c r="BF6">
        <f t="shared" si="4"/>
        <v>0</v>
      </c>
      <c r="BG6">
        <f t="shared" si="4"/>
        <v>0</v>
      </c>
      <c r="BH6">
        <f t="shared" si="4"/>
        <v>0</v>
      </c>
      <c r="BI6">
        <f t="shared" si="4"/>
        <v>0</v>
      </c>
      <c r="BJ6">
        <f t="shared" si="4"/>
        <v>0</v>
      </c>
      <c r="BK6">
        <f t="shared" si="4"/>
        <v>0</v>
      </c>
      <c r="BL6">
        <f t="shared" si="4"/>
        <v>0</v>
      </c>
      <c r="BM6">
        <f t="shared" si="4"/>
        <v>0</v>
      </c>
      <c r="BN6">
        <f t="shared" si="4"/>
        <v>0</v>
      </c>
      <c r="BO6">
        <f t="shared" si="4"/>
        <v>0</v>
      </c>
      <c r="BP6">
        <f t="shared" si="4"/>
        <v>0</v>
      </c>
      <c r="BR6">
        <v>3</v>
      </c>
      <c r="BS6">
        <f t="shared" si="5"/>
        <v>0</v>
      </c>
      <c r="BT6">
        <f t="shared" si="6"/>
        <v>0</v>
      </c>
      <c r="BU6">
        <f t="shared" si="7"/>
        <v>0</v>
      </c>
      <c r="BV6">
        <f t="shared" si="8"/>
        <v>0</v>
      </c>
      <c r="BW6">
        <f t="shared" si="9"/>
        <v>0</v>
      </c>
      <c r="BX6">
        <f t="shared" si="10"/>
        <v>0</v>
      </c>
      <c r="BY6">
        <f t="shared" si="11"/>
        <v>0</v>
      </c>
      <c r="BZ6">
        <f t="shared" si="12"/>
        <v>0</v>
      </c>
      <c r="CA6">
        <f t="shared" si="13"/>
        <v>0</v>
      </c>
      <c r="CB6">
        <f t="shared" si="14"/>
        <v>0</v>
      </c>
      <c r="CC6">
        <f t="shared" si="15"/>
        <v>0</v>
      </c>
      <c r="CD6">
        <f t="shared" si="16"/>
        <v>0</v>
      </c>
      <c r="CE6">
        <f t="shared" si="17"/>
        <v>0</v>
      </c>
    </row>
    <row r="7" spans="1:83" x14ac:dyDescent="0.3">
      <c r="A7" s="17">
        <f t="shared" si="18"/>
        <v>1</v>
      </c>
      <c r="B7" s="18">
        <v>4</v>
      </c>
      <c r="C7" s="18" t="s">
        <v>43</v>
      </c>
      <c r="D7" s="92"/>
      <c r="E7" s="93"/>
      <c r="F7" s="18">
        <v>1000</v>
      </c>
      <c r="H7" s="20" t="str">
        <f t="shared" si="32"/>
        <v/>
      </c>
      <c r="I7" s="20" t="str">
        <f t="shared" si="32"/>
        <v/>
      </c>
      <c r="J7" s="20" t="str">
        <f t="shared" si="32"/>
        <v/>
      </c>
      <c r="K7" s="59" t="str">
        <f>IF((SUMIF($BC$21:$BC$102,$B7*100+K$3,$BA$22:$BA$103)+SUMIF($BC$21:$BC$102,$B7+K$3*100,$BA$22:$BA$103))=1,(SUMIF($BC$21:$BC$102,$B7*100+K$3,$J$19:$J$99)+SUMIF($BD$21:$BD$102,$B7*100+K$3,$M$19:$M$99)),"")</f>
        <v/>
      </c>
      <c r="L7" s="58" t="str">
        <f t="shared" si="0"/>
        <v/>
      </c>
      <c r="M7" s="58" t="str">
        <f t="shared" si="0"/>
        <v/>
      </c>
      <c r="N7" s="58" t="str">
        <f t="shared" si="0"/>
        <v/>
      </c>
      <c r="O7" s="58" t="str">
        <f t="shared" si="0"/>
        <v/>
      </c>
      <c r="P7" s="58" t="str">
        <f t="shared" si="0"/>
        <v/>
      </c>
      <c r="Q7" s="58" t="str">
        <f>IF((SUMIF($BC$18:$BC$135,$B7*100+Q$3,$BA$18:$BA$135)+SUMIF($BC$18:$BC$135,$B7+Q$3*100,$BA$18:$BA$135))=1,(SUMIF($BC$18:$BC$135,$B7*100+Q$3,$J$18:$J$135)+SUMIF($BD$18:$BD$135,$B7*100+Q$3,$M$18:$M$135)),"")</f>
        <v/>
      </c>
      <c r="R7" s="58" t="str">
        <f t="shared" si="0"/>
        <v/>
      </c>
      <c r="S7" s="58" t="str">
        <f t="shared" si="0"/>
        <v/>
      </c>
      <c r="T7" s="58" t="str">
        <f t="shared" si="0"/>
        <v/>
      </c>
      <c r="U7" s="58" t="str">
        <f t="shared" si="0"/>
        <v/>
      </c>
      <c r="V7" s="3">
        <f t="shared" si="19"/>
        <v>0</v>
      </c>
      <c r="W7" s="3">
        <f t="shared" si="20"/>
        <v>0</v>
      </c>
      <c r="X7" s="3">
        <f t="shared" si="21"/>
        <v>1</v>
      </c>
      <c r="AH7" s="46"/>
      <c r="AI7" s="7">
        <f t="shared" si="22"/>
        <v>0</v>
      </c>
      <c r="AJ7" s="7">
        <f t="shared" si="23"/>
        <v>0</v>
      </c>
      <c r="AK7" s="7">
        <f t="shared" si="24"/>
        <v>0</v>
      </c>
      <c r="AL7" s="7">
        <f t="shared" si="25"/>
        <v>0</v>
      </c>
      <c r="AM7" s="7">
        <f t="shared" si="26"/>
        <v>0</v>
      </c>
      <c r="AN7" s="7">
        <f t="shared" si="27"/>
        <v>0</v>
      </c>
      <c r="AO7" s="7"/>
      <c r="AP7" s="7">
        <f t="shared" si="28"/>
        <v>0</v>
      </c>
      <c r="AQ7" s="7">
        <f t="shared" si="29"/>
        <v>0</v>
      </c>
      <c r="AR7" s="7">
        <f t="shared" si="30"/>
        <v>0</v>
      </c>
      <c r="AS7" s="7">
        <f t="shared" si="31"/>
        <v>1</v>
      </c>
      <c r="AT7" s="46"/>
      <c r="AU7" s="46"/>
      <c r="AV7" s="46"/>
      <c r="AW7" s="23"/>
      <c r="AX7" s="26">
        <v>4</v>
      </c>
      <c r="AY7" s="29">
        <f t="shared" si="1"/>
        <v>0</v>
      </c>
      <c r="AZ7" s="30">
        <f t="shared" ca="1" si="2"/>
        <v>0</v>
      </c>
      <c r="BA7" s="30">
        <f t="shared" si="3"/>
        <v>0</v>
      </c>
      <c r="BC7">
        <v>4</v>
      </c>
      <c r="BD7">
        <f t="shared" si="4"/>
        <v>0</v>
      </c>
      <c r="BE7">
        <f t="shared" si="4"/>
        <v>0</v>
      </c>
      <c r="BF7">
        <f t="shared" si="4"/>
        <v>0</v>
      </c>
      <c r="BG7">
        <f t="shared" si="4"/>
        <v>0</v>
      </c>
      <c r="BH7">
        <f t="shared" si="4"/>
        <v>0</v>
      </c>
      <c r="BI7">
        <f t="shared" si="4"/>
        <v>0</v>
      </c>
      <c r="BJ7">
        <f t="shared" si="4"/>
        <v>0</v>
      </c>
      <c r="BK7">
        <f t="shared" si="4"/>
        <v>0</v>
      </c>
      <c r="BL7">
        <f t="shared" si="4"/>
        <v>0</v>
      </c>
      <c r="BM7">
        <f t="shared" si="4"/>
        <v>0</v>
      </c>
      <c r="BN7">
        <f t="shared" si="4"/>
        <v>0</v>
      </c>
      <c r="BO7">
        <f t="shared" si="4"/>
        <v>0</v>
      </c>
      <c r="BP7">
        <f t="shared" si="4"/>
        <v>0</v>
      </c>
      <c r="BR7">
        <v>4</v>
      </c>
      <c r="BS7">
        <f t="shared" si="5"/>
        <v>0</v>
      </c>
      <c r="BT7">
        <f t="shared" si="6"/>
        <v>0</v>
      </c>
      <c r="BU7">
        <f t="shared" si="7"/>
        <v>0</v>
      </c>
      <c r="BV7">
        <f t="shared" si="8"/>
        <v>0</v>
      </c>
      <c r="BW7">
        <f t="shared" si="9"/>
        <v>0</v>
      </c>
      <c r="BX7">
        <f t="shared" si="10"/>
        <v>0</v>
      </c>
      <c r="BY7">
        <f t="shared" si="11"/>
        <v>0</v>
      </c>
      <c r="BZ7">
        <f t="shared" si="12"/>
        <v>0</v>
      </c>
      <c r="CA7">
        <f t="shared" si="13"/>
        <v>0</v>
      </c>
      <c r="CB7">
        <f t="shared" si="14"/>
        <v>0</v>
      </c>
      <c r="CC7">
        <f t="shared" si="15"/>
        <v>0</v>
      </c>
      <c r="CD7">
        <f t="shared" si="16"/>
        <v>0</v>
      </c>
      <c r="CE7">
        <f t="shared" si="17"/>
        <v>0</v>
      </c>
    </row>
    <row r="8" spans="1:83" x14ac:dyDescent="0.3">
      <c r="A8" s="17">
        <f t="shared" si="18"/>
        <v>1</v>
      </c>
      <c r="B8" s="18">
        <v>5</v>
      </c>
      <c r="C8" s="18" t="s">
        <v>47</v>
      </c>
      <c r="D8" s="92"/>
      <c r="E8" s="93"/>
      <c r="F8" s="18">
        <v>1000</v>
      </c>
      <c r="H8" s="20" t="str">
        <f t="shared" si="32"/>
        <v/>
      </c>
      <c r="I8" s="20" t="str">
        <f t="shared" si="32"/>
        <v/>
      </c>
      <c r="J8" s="20" t="str">
        <f t="shared" si="32"/>
        <v/>
      </c>
      <c r="K8" s="20" t="str">
        <f t="shared" si="32"/>
        <v/>
      </c>
      <c r="L8" s="59" t="str">
        <f>IF((SUMIF($BC$21:$BC$102,$B8*100+L$3,$BA$22:$BA$103)+SUMIF($BC$21:$BC$102,$B8+L$3*100,$BA$22:$BA$103))=1,(SUMIF($BC$21:$BC$102,$B8*100+L$3,$J$19:$J$99)+SUMIF($BD$21:$BD$102,$B8*100+L$3,$M$19:$M$99)),"")</f>
        <v/>
      </c>
      <c r="M8" s="58" t="str">
        <f t="shared" si="0"/>
        <v/>
      </c>
      <c r="N8" s="58" t="str">
        <f t="shared" si="0"/>
        <v/>
      </c>
      <c r="O8" s="58" t="str">
        <f t="shared" si="0"/>
        <v/>
      </c>
      <c r="P8" s="58" t="str">
        <f t="shared" si="0"/>
        <v/>
      </c>
      <c r="Q8" s="58" t="str">
        <f t="shared" si="0"/>
        <v/>
      </c>
      <c r="R8" s="58" t="str">
        <f t="shared" si="0"/>
        <v/>
      </c>
      <c r="S8" s="58" t="str">
        <f t="shared" si="0"/>
        <v/>
      </c>
      <c r="T8" s="58" t="str">
        <f t="shared" si="0"/>
        <v/>
      </c>
      <c r="U8" s="58" t="str">
        <f t="shared" si="0"/>
        <v/>
      </c>
      <c r="V8" s="3">
        <f t="shared" si="19"/>
        <v>0</v>
      </c>
      <c r="W8" s="3">
        <f t="shared" si="20"/>
        <v>0</v>
      </c>
      <c r="X8" s="3">
        <f t="shared" si="21"/>
        <v>1</v>
      </c>
      <c r="AH8" s="46"/>
      <c r="AI8" s="7">
        <f t="shared" si="22"/>
        <v>0</v>
      </c>
      <c r="AJ8" s="7">
        <f t="shared" si="23"/>
        <v>0</v>
      </c>
      <c r="AK8" s="7">
        <f t="shared" si="24"/>
        <v>0</v>
      </c>
      <c r="AL8" s="7">
        <f t="shared" si="25"/>
        <v>0</v>
      </c>
      <c r="AM8" s="7">
        <f t="shared" si="26"/>
        <v>0</v>
      </c>
      <c r="AN8" s="7">
        <f t="shared" si="27"/>
        <v>0</v>
      </c>
      <c r="AO8" s="7"/>
      <c r="AP8" s="7">
        <f t="shared" si="28"/>
        <v>0</v>
      </c>
      <c r="AQ8" s="7">
        <f t="shared" si="29"/>
        <v>0</v>
      </c>
      <c r="AR8" s="7">
        <f t="shared" si="30"/>
        <v>0</v>
      </c>
      <c r="AS8" s="7">
        <f t="shared" si="31"/>
        <v>1</v>
      </c>
      <c r="AT8" s="46"/>
      <c r="AU8" s="46"/>
      <c r="AV8" s="46"/>
      <c r="AW8" s="23"/>
      <c r="AX8" s="26">
        <v>5</v>
      </c>
      <c r="AY8" s="29">
        <f t="shared" si="1"/>
        <v>0</v>
      </c>
      <c r="AZ8" s="30">
        <f t="shared" ca="1" si="2"/>
        <v>0</v>
      </c>
      <c r="BA8" s="30">
        <f t="shared" si="3"/>
        <v>0</v>
      </c>
      <c r="BC8">
        <v>5</v>
      </c>
      <c r="BD8">
        <f t="shared" si="4"/>
        <v>0</v>
      </c>
      <c r="BE8">
        <f t="shared" si="4"/>
        <v>0</v>
      </c>
      <c r="BF8">
        <f t="shared" si="4"/>
        <v>0</v>
      </c>
      <c r="BG8">
        <f t="shared" si="4"/>
        <v>0</v>
      </c>
      <c r="BH8">
        <f t="shared" si="4"/>
        <v>0</v>
      </c>
      <c r="BI8">
        <f t="shared" si="4"/>
        <v>0</v>
      </c>
      <c r="BJ8">
        <f t="shared" si="4"/>
        <v>0</v>
      </c>
      <c r="BK8">
        <f t="shared" si="4"/>
        <v>0</v>
      </c>
      <c r="BL8">
        <f t="shared" si="4"/>
        <v>0</v>
      </c>
      <c r="BM8">
        <f t="shared" si="4"/>
        <v>0</v>
      </c>
      <c r="BN8">
        <f t="shared" si="4"/>
        <v>0</v>
      </c>
      <c r="BO8">
        <f t="shared" si="4"/>
        <v>0</v>
      </c>
      <c r="BP8">
        <f t="shared" si="4"/>
        <v>0</v>
      </c>
      <c r="BR8">
        <v>5</v>
      </c>
      <c r="BS8">
        <f t="shared" si="5"/>
        <v>0</v>
      </c>
      <c r="BT8">
        <f t="shared" si="6"/>
        <v>0</v>
      </c>
      <c r="BU8">
        <f t="shared" si="7"/>
        <v>0</v>
      </c>
      <c r="BV8">
        <f t="shared" si="8"/>
        <v>0</v>
      </c>
      <c r="BW8">
        <f t="shared" si="9"/>
        <v>0</v>
      </c>
      <c r="BX8">
        <f t="shared" si="10"/>
        <v>0</v>
      </c>
      <c r="BY8">
        <f t="shared" si="11"/>
        <v>0</v>
      </c>
      <c r="BZ8">
        <f t="shared" si="12"/>
        <v>0</v>
      </c>
      <c r="CA8">
        <f t="shared" si="13"/>
        <v>0</v>
      </c>
      <c r="CB8">
        <f t="shared" si="14"/>
        <v>0</v>
      </c>
      <c r="CC8">
        <f t="shared" si="15"/>
        <v>0</v>
      </c>
      <c r="CD8">
        <f t="shared" si="16"/>
        <v>0</v>
      </c>
      <c r="CE8">
        <f t="shared" si="17"/>
        <v>0</v>
      </c>
    </row>
    <row r="9" spans="1:83" x14ac:dyDescent="0.3">
      <c r="A9" s="17">
        <f t="shared" si="18"/>
        <v>1</v>
      </c>
      <c r="B9" s="18">
        <v>6</v>
      </c>
      <c r="C9" s="18" t="s">
        <v>45</v>
      </c>
      <c r="D9" s="92"/>
      <c r="E9" s="93"/>
      <c r="F9" s="18">
        <v>1000</v>
      </c>
      <c r="H9" s="20" t="str">
        <f t="shared" si="32"/>
        <v/>
      </c>
      <c r="I9" s="20" t="str">
        <f t="shared" si="32"/>
        <v/>
      </c>
      <c r="J9" s="20" t="str">
        <f t="shared" si="32"/>
        <v/>
      </c>
      <c r="K9" s="20" t="str">
        <f t="shared" si="32"/>
        <v/>
      </c>
      <c r="L9" s="20" t="str">
        <f t="shared" si="32"/>
        <v/>
      </c>
      <c r="M9" s="59" t="str">
        <f>IF((SUMIF($BC$21:$BC$102,$B9*100+M$3,$BA$22:$BA$103)+SUMIF($BC$21:$BC$102,$B9+M$3*100,$BA$22:$BA$103))=1,(SUMIF($BC$21:$BC$102,$B9*100+M$3,$J$19:$J$99)+SUMIF($BD$21:$BD$102,$B9*100+M$3,$M$19:$M$99)),"")</f>
        <v/>
      </c>
      <c r="N9" s="58" t="str">
        <f t="shared" si="0"/>
        <v/>
      </c>
      <c r="O9" s="58" t="str">
        <f t="shared" si="0"/>
        <v/>
      </c>
      <c r="P9" s="58" t="str">
        <f t="shared" si="0"/>
        <v/>
      </c>
      <c r="Q9" s="58" t="str">
        <f t="shared" si="0"/>
        <v/>
      </c>
      <c r="R9" s="58" t="str">
        <f t="shared" si="0"/>
        <v/>
      </c>
      <c r="S9" s="58" t="str">
        <f t="shared" si="0"/>
        <v/>
      </c>
      <c r="T9" s="58" t="str">
        <f t="shared" si="0"/>
        <v/>
      </c>
      <c r="U9" s="58" t="str">
        <f t="shared" si="0"/>
        <v/>
      </c>
      <c r="V9" s="3">
        <f t="shared" si="19"/>
        <v>0</v>
      </c>
      <c r="W9" s="3">
        <f t="shared" si="20"/>
        <v>0</v>
      </c>
      <c r="X9" s="3">
        <f t="shared" si="21"/>
        <v>1</v>
      </c>
      <c r="AH9" s="46"/>
      <c r="AI9" s="7">
        <f t="shared" si="22"/>
        <v>0</v>
      </c>
      <c r="AJ9" s="7">
        <f t="shared" si="23"/>
        <v>0</v>
      </c>
      <c r="AK9" s="7">
        <f t="shared" si="24"/>
        <v>0</v>
      </c>
      <c r="AL9" s="7">
        <f t="shared" si="25"/>
        <v>0</v>
      </c>
      <c r="AM9" s="7">
        <f t="shared" si="26"/>
        <v>0</v>
      </c>
      <c r="AN9" s="7">
        <f t="shared" si="27"/>
        <v>0</v>
      </c>
      <c r="AO9" s="7"/>
      <c r="AP9" s="7">
        <f t="shared" si="28"/>
        <v>0</v>
      </c>
      <c r="AQ9" s="7">
        <f t="shared" si="29"/>
        <v>0</v>
      </c>
      <c r="AR9" s="7">
        <f t="shared" si="30"/>
        <v>0</v>
      </c>
      <c r="AS9" s="7">
        <f t="shared" si="31"/>
        <v>1</v>
      </c>
      <c r="AT9" s="46"/>
      <c r="AU9" s="46"/>
      <c r="AV9" s="46"/>
      <c r="AW9" s="23"/>
      <c r="AX9" s="26">
        <v>6</v>
      </c>
      <c r="AY9" s="29">
        <f t="shared" si="1"/>
        <v>0</v>
      </c>
      <c r="AZ9" s="30">
        <f t="shared" ca="1" si="2"/>
        <v>0</v>
      </c>
      <c r="BA9" s="30">
        <f t="shared" si="3"/>
        <v>0</v>
      </c>
      <c r="BC9">
        <v>6</v>
      </c>
      <c r="BD9">
        <f t="shared" si="4"/>
        <v>0</v>
      </c>
      <c r="BE9">
        <f t="shared" si="4"/>
        <v>0</v>
      </c>
      <c r="BF9">
        <f t="shared" si="4"/>
        <v>0</v>
      </c>
      <c r="BG9">
        <f t="shared" si="4"/>
        <v>0</v>
      </c>
      <c r="BH9">
        <f t="shared" si="4"/>
        <v>0</v>
      </c>
      <c r="BI9">
        <f t="shared" si="4"/>
        <v>0</v>
      </c>
      <c r="BJ9">
        <f t="shared" si="4"/>
        <v>0</v>
      </c>
      <c r="BK9">
        <f t="shared" si="4"/>
        <v>0</v>
      </c>
      <c r="BL9">
        <f t="shared" si="4"/>
        <v>0</v>
      </c>
      <c r="BM9">
        <f t="shared" si="4"/>
        <v>0</v>
      </c>
      <c r="BN9">
        <f t="shared" si="4"/>
        <v>0</v>
      </c>
      <c r="BO9">
        <f t="shared" si="4"/>
        <v>0</v>
      </c>
      <c r="BP9">
        <f t="shared" si="4"/>
        <v>0</v>
      </c>
      <c r="BR9">
        <v>6</v>
      </c>
      <c r="BS9">
        <f t="shared" si="5"/>
        <v>0</v>
      </c>
      <c r="BT9">
        <f t="shared" si="6"/>
        <v>0</v>
      </c>
      <c r="BU9">
        <f t="shared" si="7"/>
        <v>0</v>
      </c>
      <c r="BV9">
        <f t="shared" si="8"/>
        <v>0</v>
      </c>
      <c r="BW9">
        <f t="shared" si="9"/>
        <v>0</v>
      </c>
      <c r="BX9">
        <f t="shared" si="10"/>
        <v>0</v>
      </c>
      <c r="BY9">
        <f t="shared" si="11"/>
        <v>0</v>
      </c>
      <c r="BZ9">
        <f t="shared" si="12"/>
        <v>0</v>
      </c>
      <c r="CA9">
        <f t="shared" si="13"/>
        <v>0</v>
      </c>
      <c r="CB9">
        <f t="shared" si="14"/>
        <v>0</v>
      </c>
      <c r="CC9">
        <f t="shared" si="15"/>
        <v>0</v>
      </c>
      <c r="CD9">
        <f t="shared" si="16"/>
        <v>0</v>
      </c>
      <c r="CE9">
        <f t="shared" si="17"/>
        <v>0</v>
      </c>
    </row>
    <row r="10" spans="1:83" x14ac:dyDescent="0.3">
      <c r="A10" s="17">
        <f t="shared" si="18"/>
        <v>1</v>
      </c>
      <c r="B10" s="18">
        <v>7</v>
      </c>
      <c r="C10" s="18" t="s">
        <v>46</v>
      </c>
      <c r="D10" s="92"/>
      <c r="E10" s="93"/>
      <c r="F10" s="18">
        <v>1000</v>
      </c>
      <c r="H10" s="20" t="str">
        <f t="shared" si="32"/>
        <v/>
      </c>
      <c r="I10" s="20" t="str">
        <f t="shared" si="32"/>
        <v/>
      </c>
      <c r="J10" s="20" t="str">
        <f t="shared" si="32"/>
        <v/>
      </c>
      <c r="K10" s="20" t="str">
        <f t="shared" si="32"/>
        <v/>
      </c>
      <c r="L10" s="20" t="str">
        <f t="shared" si="32"/>
        <v/>
      </c>
      <c r="M10" s="20" t="str">
        <f t="shared" si="32"/>
        <v/>
      </c>
      <c r="N10" s="59" t="str">
        <f>IF((SUMIF($BC$21:$BC$102,$B10*100+N$3,$BA$22:$BA$103)+SUMIF($BC$21:$BC$102,$B10+N$3*100,$BA$22:$BA$103))=1,(SUMIF($BC$21:$BC$102,$B10*100+N$3,$J$19:$J$99)+SUMIF($BD$21:$BD$102,$B10*100+N$3,$M$19:$M$99)),"")</f>
        <v/>
      </c>
      <c r="O10" s="58" t="str">
        <f t="shared" si="0"/>
        <v/>
      </c>
      <c r="P10" s="58" t="str">
        <f t="shared" si="0"/>
        <v/>
      </c>
      <c r="Q10" s="58" t="str">
        <f t="shared" si="0"/>
        <v/>
      </c>
      <c r="R10" s="58" t="str">
        <f t="shared" si="0"/>
        <v/>
      </c>
      <c r="S10" s="58" t="str">
        <f t="shared" si="0"/>
        <v/>
      </c>
      <c r="T10" s="58" t="str">
        <f t="shared" si="0"/>
        <v/>
      </c>
      <c r="U10" s="58" t="str">
        <f t="shared" si="0"/>
        <v/>
      </c>
      <c r="V10" s="3">
        <f t="shared" si="19"/>
        <v>0</v>
      </c>
      <c r="W10" s="3">
        <f t="shared" si="20"/>
        <v>0</v>
      </c>
      <c r="X10" s="3">
        <f t="shared" si="21"/>
        <v>1</v>
      </c>
      <c r="AH10" s="46"/>
      <c r="AI10" s="7">
        <f t="shared" si="22"/>
        <v>0</v>
      </c>
      <c r="AJ10" s="7">
        <f t="shared" si="23"/>
        <v>0</v>
      </c>
      <c r="AK10" s="7">
        <f t="shared" si="24"/>
        <v>0</v>
      </c>
      <c r="AL10" s="7">
        <f t="shared" si="25"/>
        <v>0</v>
      </c>
      <c r="AM10" s="7">
        <f t="shared" si="26"/>
        <v>0</v>
      </c>
      <c r="AN10" s="7">
        <f t="shared" si="27"/>
        <v>0</v>
      </c>
      <c r="AO10" s="7"/>
      <c r="AP10" s="7">
        <f t="shared" si="28"/>
        <v>0</v>
      </c>
      <c r="AQ10" s="7">
        <f t="shared" si="29"/>
        <v>0</v>
      </c>
      <c r="AR10" s="7">
        <f t="shared" si="30"/>
        <v>0</v>
      </c>
      <c r="AS10" s="7">
        <f t="shared" si="31"/>
        <v>1</v>
      </c>
      <c r="AT10" s="46"/>
      <c r="AU10" s="46"/>
      <c r="AV10" s="46"/>
      <c r="AW10" s="23"/>
      <c r="AX10" s="26">
        <v>7</v>
      </c>
      <c r="AY10" s="29">
        <f t="shared" si="1"/>
        <v>0</v>
      </c>
      <c r="AZ10" s="30">
        <f t="shared" ca="1" si="2"/>
        <v>0</v>
      </c>
      <c r="BA10" s="30">
        <f t="shared" si="3"/>
        <v>0</v>
      </c>
      <c r="BC10">
        <v>7</v>
      </c>
      <c r="BD10">
        <f t="shared" si="4"/>
        <v>0</v>
      </c>
      <c r="BE10">
        <f t="shared" si="4"/>
        <v>0</v>
      </c>
      <c r="BF10">
        <f t="shared" si="4"/>
        <v>0</v>
      </c>
      <c r="BG10">
        <f t="shared" si="4"/>
        <v>0</v>
      </c>
      <c r="BH10">
        <f t="shared" si="4"/>
        <v>0</v>
      </c>
      <c r="BI10">
        <f t="shared" si="4"/>
        <v>0</v>
      </c>
      <c r="BJ10">
        <f t="shared" si="4"/>
        <v>0</v>
      </c>
      <c r="BK10">
        <f t="shared" si="4"/>
        <v>0</v>
      </c>
      <c r="BL10">
        <f t="shared" si="4"/>
        <v>0</v>
      </c>
      <c r="BM10">
        <f t="shared" si="4"/>
        <v>0</v>
      </c>
      <c r="BN10">
        <f t="shared" si="4"/>
        <v>0</v>
      </c>
      <c r="BO10">
        <f t="shared" si="4"/>
        <v>0</v>
      </c>
      <c r="BP10">
        <f t="shared" si="4"/>
        <v>0</v>
      </c>
      <c r="BR10">
        <v>7</v>
      </c>
      <c r="BS10">
        <f t="shared" si="5"/>
        <v>0</v>
      </c>
      <c r="BT10">
        <f t="shared" si="6"/>
        <v>0</v>
      </c>
      <c r="BU10">
        <f t="shared" si="7"/>
        <v>0</v>
      </c>
      <c r="BV10">
        <f t="shared" si="8"/>
        <v>0</v>
      </c>
      <c r="BW10">
        <f t="shared" si="9"/>
        <v>0</v>
      </c>
      <c r="BX10">
        <f t="shared" si="10"/>
        <v>0</v>
      </c>
      <c r="BY10">
        <f t="shared" si="11"/>
        <v>0</v>
      </c>
      <c r="BZ10">
        <f t="shared" si="12"/>
        <v>0</v>
      </c>
      <c r="CA10">
        <f t="shared" si="13"/>
        <v>0</v>
      </c>
      <c r="CB10">
        <f t="shared" si="14"/>
        <v>0</v>
      </c>
      <c r="CC10">
        <f t="shared" si="15"/>
        <v>0</v>
      </c>
      <c r="CD10">
        <f t="shared" si="16"/>
        <v>0</v>
      </c>
      <c r="CE10">
        <f t="shared" si="17"/>
        <v>0</v>
      </c>
    </row>
    <row r="11" spans="1:83" x14ac:dyDescent="0.3">
      <c r="A11" s="17">
        <f t="shared" si="18"/>
        <v>1</v>
      </c>
      <c r="B11" s="18">
        <v>8</v>
      </c>
      <c r="C11" s="18" t="s">
        <v>48</v>
      </c>
      <c r="D11" s="92"/>
      <c r="E11" s="93"/>
      <c r="F11" s="18">
        <v>1000</v>
      </c>
      <c r="H11" s="20" t="str">
        <f t="shared" si="32"/>
        <v/>
      </c>
      <c r="I11" s="20" t="str">
        <f t="shared" si="32"/>
        <v/>
      </c>
      <c r="J11" s="20" t="str">
        <f t="shared" si="32"/>
        <v/>
      </c>
      <c r="K11" s="20" t="str">
        <f t="shared" si="32"/>
        <v/>
      </c>
      <c r="L11" s="20" t="str">
        <f t="shared" si="32"/>
        <v/>
      </c>
      <c r="M11" s="20" t="str">
        <f t="shared" si="32"/>
        <v/>
      </c>
      <c r="N11" s="20" t="str">
        <f t="shared" si="32"/>
        <v/>
      </c>
      <c r="O11" s="59" t="str">
        <f>IF((SUMIF($BC$21:$BC$102,$B11*100+O$3,$BA$22:$BA$103)+SUMIF($BC$21:$BC$102,$B11+O$3*100,$BA$22:$BA$103))=1,(SUMIF($BC$21:$BC$102,$B11*100+O$3,$J$19:$J$99)+SUMIF($BD$21:$BD$102,$B11*100+O$3,$M$19:$M$99)),"")</f>
        <v/>
      </c>
      <c r="P11" s="58" t="str">
        <f t="shared" si="0"/>
        <v/>
      </c>
      <c r="Q11" s="58" t="str">
        <f t="shared" si="0"/>
        <v/>
      </c>
      <c r="R11" s="58" t="str">
        <f t="shared" si="0"/>
        <v/>
      </c>
      <c r="S11" s="58" t="str">
        <f t="shared" si="0"/>
        <v/>
      </c>
      <c r="T11" s="58" t="str">
        <f t="shared" si="0"/>
        <v/>
      </c>
      <c r="U11" s="58" t="str">
        <f t="shared" si="0"/>
        <v/>
      </c>
      <c r="V11" s="3">
        <f t="shared" si="19"/>
        <v>0</v>
      </c>
      <c r="W11" s="3">
        <f t="shared" si="20"/>
        <v>0</v>
      </c>
      <c r="X11" s="3">
        <f t="shared" si="21"/>
        <v>1</v>
      </c>
      <c r="AH11" s="46"/>
      <c r="AI11" s="7">
        <f t="shared" si="22"/>
        <v>0</v>
      </c>
      <c r="AJ11" s="7">
        <f t="shared" si="23"/>
        <v>0</v>
      </c>
      <c r="AK11" s="7">
        <f t="shared" si="24"/>
        <v>0</v>
      </c>
      <c r="AL11" s="7">
        <f t="shared" si="25"/>
        <v>0</v>
      </c>
      <c r="AM11" s="7">
        <f t="shared" si="26"/>
        <v>0</v>
      </c>
      <c r="AN11" s="7">
        <f t="shared" si="27"/>
        <v>0</v>
      </c>
      <c r="AO11" s="7"/>
      <c r="AP11" s="7">
        <f t="shared" si="28"/>
        <v>0</v>
      </c>
      <c r="AQ11" s="7">
        <f t="shared" si="29"/>
        <v>0</v>
      </c>
      <c r="AR11" s="7">
        <f t="shared" si="30"/>
        <v>0</v>
      </c>
      <c r="AS11" s="7">
        <f t="shared" si="31"/>
        <v>1</v>
      </c>
      <c r="AT11" s="46"/>
      <c r="AU11" s="46"/>
      <c r="AV11" s="46"/>
      <c r="AW11" s="23"/>
      <c r="AX11" s="26">
        <v>8</v>
      </c>
      <c r="AY11" s="29">
        <f t="shared" si="1"/>
        <v>0</v>
      </c>
      <c r="AZ11" s="30">
        <f t="shared" ca="1" si="2"/>
        <v>0</v>
      </c>
      <c r="BA11" s="30">
        <f t="shared" si="3"/>
        <v>0</v>
      </c>
      <c r="BC11">
        <v>8</v>
      </c>
      <c r="BD11">
        <f t="shared" si="4"/>
        <v>0</v>
      </c>
      <c r="BE11">
        <f t="shared" si="4"/>
        <v>0</v>
      </c>
      <c r="BF11">
        <f t="shared" si="4"/>
        <v>0</v>
      </c>
      <c r="BG11">
        <f t="shared" si="4"/>
        <v>0</v>
      </c>
      <c r="BH11">
        <f t="shared" si="4"/>
        <v>0</v>
      </c>
      <c r="BI11">
        <f t="shared" si="4"/>
        <v>0</v>
      </c>
      <c r="BJ11">
        <f t="shared" si="4"/>
        <v>0</v>
      </c>
      <c r="BK11">
        <f t="shared" si="4"/>
        <v>0</v>
      </c>
      <c r="BL11">
        <f t="shared" si="4"/>
        <v>0</v>
      </c>
      <c r="BM11">
        <f t="shared" si="4"/>
        <v>0</v>
      </c>
      <c r="BN11">
        <f t="shared" si="4"/>
        <v>0</v>
      </c>
      <c r="BO11">
        <f t="shared" si="4"/>
        <v>0</v>
      </c>
      <c r="BP11">
        <f t="shared" si="4"/>
        <v>0</v>
      </c>
      <c r="BR11">
        <v>8</v>
      </c>
      <c r="BS11">
        <f t="shared" si="5"/>
        <v>0</v>
      </c>
      <c r="BT11">
        <f t="shared" si="6"/>
        <v>0</v>
      </c>
      <c r="BU11">
        <f t="shared" si="7"/>
        <v>0</v>
      </c>
      <c r="BV11">
        <f t="shared" si="8"/>
        <v>0</v>
      </c>
      <c r="BW11">
        <f t="shared" si="9"/>
        <v>0</v>
      </c>
      <c r="BX11">
        <f t="shared" si="10"/>
        <v>0</v>
      </c>
      <c r="BY11">
        <f t="shared" si="11"/>
        <v>0</v>
      </c>
      <c r="BZ11">
        <f t="shared" si="12"/>
        <v>0</v>
      </c>
      <c r="CA11">
        <f t="shared" si="13"/>
        <v>0</v>
      </c>
      <c r="CB11">
        <f t="shared" si="14"/>
        <v>0</v>
      </c>
      <c r="CC11">
        <f t="shared" si="15"/>
        <v>0</v>
      </c>
      <c r="CD11">
        <f t="shared" si="16"/>
        <v>0</v>
      </c>
      <c r="CE11">
        <f t="shared" si="17"/>
        <v>0</v>
      </c>
    </row>
    <row r="12" spans="1:83" x14ac:dyDescent="0.3">
      <c r="A12" s="17">
        <f t="shared" si="18"/>
        <v>1</v>
      </c>
      <c r="B12" s="18">
        <v>9</v>
      </c>
      <c r="C12" s="18" t="s">
        <v>49</v>
      </c>
      <c r="D12" s="92"/>
      <c r="E12" s="93"/>
      <c r="F12" s="18">
        <v>1000</v>
      </c>
      <c r="H12" s="20" t="str">
        <f t="shared" si="32"/>
        <v/>
      </c>
      <c r="I12" s="20" t="str">
        <f t="shared" si="32"/>
        <v/>
      </c>
      <c r="J12" s="20" t="str">
        <f t="shared" si="32"/>
        <v/>
      </c>
      <c r="K12" s="20" t="str">
        <f t="shared" si="32"/>
        <v/>
      </c>
      <c r="L12" s="20" t="str">
        <f t="shared" si="32"/>
        <v/>
      </c>
      <c r="M12" s="20" t="str">
        <f t="shared" si="32"/>
        <v/>
      </c>
      <c r="N12" s="20" t="str">
        <f t="shared" si="32"/>
        <v/>
      </c>
      <c r="O12" s="20" t="str">
        <f t="shared" si="32"/>
        <v/>
      </c>
      <c r="P12" s="59" t="str">
        <f>IF((SUMIF($BC$21:$BC$102,$B12*100+P$3,$BA$22:$BA$103)+SUMIF($BC$21:$BC$102,$B12+P$3*100,$BA$22:$BA$103))=1,(SUMIF($BC$21:$BC$102,$B12*100+P$3,$J$19:$J$99)+SUMIF($BD$21:$BD$102,$B12*100+P$3,$M$19:$M$99)),"")</f>
        <v/>
      </c>
      <c r="Q12" s="58" t="str">
        <f t="shared" si="0"/>
        <v/>
      </c>
      <c r="R12" s="58" t="str">
        <f t="shared" si="0"/>
        <v/>
      </c>
      <c r="S12" s="58" t="str">
        <f t="shared" si="0"/>
        <v/>
      </c>
      <c r="T12" s="58" t="str">
        <f t="shared" si="0"/>
        <v/>
      </c>
      <c r="U12" s="58" t="str">
        <f t="shared" si="0"/>
        <v/>
      </c>
      <c r="V12" s="3">
        <f t="shared" si="19"/>
        <v>0</v>
      </c>
      <c r="W12" s="3">
        <f t="shared" si="20"/>
        <v>0</v>
      </c>
      <c r="X12" s="3">
        <f t="shared" si="21"/>
        <v>1</v>
      </c>
      <c r="AH12" s="46"/>
      <c r="AI12" s="7">
        <f t="shared" si="22"/>
        <v>0</v>
      </c>
      <c r="AJ12" s="7">
        <f t="shared" si="23"/>
        <v>0</v>
      </c>
      <c r="AK12" s="7">
        <f t="shared" si="24"/>
        <v>0</v>
      </c>
      <c r="AL12" s="7">
        <f t="shared" si="25"/>
        <v>0</v>
      </c>
      <c r="AM12" s="7">
        <f t="shared" si="26"/>
        <v>0</v>
      </c>
      <c r="AN12" s="7">
        <f t="shared" si="27"/>
        <v>0</v>
      </c>
      <c r="AO12" s="7"/>
      <c r="AP12" s="7">
        <f t="shared" si="28"/>
        <v>0</v>
      </c>
      <c r="AQ12" s="7">
        <f t="shared" si="29"/>
        <v>0</v>
      </c>
      <c r="AR12" s="7">
        <f t="shared" si="30"/>
        <v>0</v>
      </c>
      <c r="AS12" s="7">
        <f t="shared" si="31"/>
        <v>1</v>
      </c>
      <c r="AT12" s="46"/>
      <c r="AU12" s="46"/>
      <c r="AV12" s="46"/>
      <c r="AW12" s="23"/>
      <c r="AX12" s="26">
        <v>9</v>
      </c>
      <c r="AY12" s="29">
        <f t="shared" si="1"/>
        <v>0</v>
      </c>
      <c r="AZ12" s="30">
        <f t="shared" ca="1" si="2"/>
        <v>0</v>
      </c>
      <c r="BA12" s="30">
        <f t="shared" si="3"/>
        <v>0</v>
      </c>
      <c r="BC12">
        <v>9</v>
      </c>
      <c r="BD12">
        <f t="shared" si="4"/>
        <v>0</v>
      </c>
      <c r="BE12">
        <f t="shared" si="4"/>
        <v>0</v>
      </c>
      <c r="BF12">
        <f t="shared" si="4"/>
        <v>0</v>
      </c>
      <c r="BG12">
        <f t="shared" si="4"/>
        <v>0</v>
      </c>
      <c r="BH12">
        <f t="shared" si="4"/>
        <v>0</v>
      </c>
      <c r="BI12">
        <f t="shared" si="4"/>
        <v>0</v>
      </c>
      <c r="BJ12">
        <f t="shared" si="4"/>
        <v>0</v>
      </c>
      <c r="BK12">
        <f t="shared" si="4"/>
        <v>0</v>
      </c>
      <c r="BL12">
        <f t="shared" si="4"/>
        <v>0</v>
      </c>
      <c r="BM12">
        <f t="shared" si="4"/>
        <v>0</v>
      </c>
      <c r="BN12">
        <f t="shared" si="4"/>
        <v>0</v>
      </c>
      <c r="BO12">
        <f t="shared" si="4"/>
        <v>0</v>
      </c>
      <c r="BP12">
        <f t="shared" si="4"/>
        <v>0</v>
      </c>
      <c r="BR12">
        <v>9</v>
      </c>
      <c r="BS12">
        <f t="shared" si="5"/>
        <v>0</v>
      </c>
      <c r="BT12">
        <f t="shared" si="6"/>
        <v>0</v>
      </c>
      <c r="BU12">
        <f t="shared" si="7"/>
        <v>0</v>
      </c>
      <c r="BV12">
        <f t="shared" si="8"/>
        <v>0</v>
      </c>
      <c r="BW12">
        <f t="shared" si="9"/>
        <v>0</v>
      </c>
      <c r="BX12">
        <f t="shared" si="10"/>
        <v>0</v>
      </c>
      <c r="BY12">
        <f t="shared" si="11"/>
        <v>0</v>
      </c>
      <c r="BZ12">
        <f t="shared" si="12"/>
        <v>0</v>
      </c>
      <c r="CA12">
        <f t="shared" si="13"/>
        <v>0</v>
      </c>
      <c r="CB12">
        <f t="shared" si="14"/>
        <v>0</v>
      </c>
      <c r="CC12">
        <f t="shared" si="15"/>
        <v>0</v>
      </c>
      <c r="CD12">
        <f t="shared" si="16"/>
        <v>0</v>
      </c>
      <c r="CE12">
        <f t="shared" si="17"/>
        <v>0</v>
      </c>
    </row>
    <row r="13" spans="1:83" x14ac:dyDescent="0.3">
      <c r="A13" s="17">
        <f t="shared" si="18"/>
        <v>1</v>
      </c>
      <c r="B13" s="18">
        <v>10</v>
      </c>
      <c r="C13" s="18" t="s">
        <v>75</v>
      </c>
      <c r="D13" s="87"/>
      <c r="E13" s="88"/>
      <c r="F13" s="18">
        <v>1000</v>
      </c>
      <c r="H13" s="20" t="str">
        <f t="shared" si="32"/>
        <v/>
      </c>
      <c r="I13" s="20" t="str">
        <f t="shared" si="32"/>
        <v/>
      </c>
      <c r="J13" s="20" t="str">
        <f t="shared" si="32"/>
        <v/>
      </c>
      <c r="K13" s="20" t="str">
        <f t="shared" si="32"/>
        <v/>
      </c>
      <c r="L13" s="20" t="str">
        <f t="shared" si="32"/>
        <v/>
      </c>
      <c r="M13" s="20" t="str">
        <f t="shared" si="32"/>
        <v/>
      </c>
      <c r="N13" s="20" t="str">
        <f t="shared" si="32"/>
        <v/>
      </c>
      <c r="O13" s="20" t="str">
        <f t="shared" si="32"/>
        <v/>
      </c>
      <c r="P13" s="20" t="str">
        <f t="shared" si="32"/>
        <v/>
      </c>
      <c r="Q13" s="59" t="str">
        <f>IF((SUMIF($BC$21:$BC$102,$B13*100+Q$3,$BA$22:$BA$103)+SUMIF($BC$21:$BC$102,$B13+Q$3*100,$BA$22:$BA$103))=1,(SUMIF($BC$21:$BC$102,$B13*100+Q$3,$J$19:$J$99)+SUMIF($BD$21:$BD$102,$B13*100+Q$3,$M$19:$M$99)),"")</f>
        <v/>
      </c>
      <c r="R13" s="58" t="str">
        <f t="shared" si="0"/>
        <v/>
      </c>
      <c r="S13" s="58" t="str">
        <f t="shared" si="0"/>
        <v/>
      </c>
      <c r="T13" s="58" t="str">
        <f t="shared" si="0"/>
        <v/>
      </c>
      <c r="U13" s="58" t="str">
        <f t="shared" si="0"/>
        <v/>
      </c>
      <c r="V13" s="3">
        <f t="shared" si="19"/>
        <v>0</v>
      </c>
      <c r="W13" s="3">
        <f t="shared" si="20"/>
        <v>0</v>
      </c>
      <c r="X13" s="3">
        <f t="shared" si="21"/>
        <v>1</v>
      </c>
      <c r="AH13" s="46"/>
      <c r="AI13" s="7">
        <f t="shared" si="22"/>
        <v>0</v>
      </c>
      <c r="AJ13" s="7">
        <f t="shared" si="23"/>
        <v>0</v>
      </c>
      <c r="AK13" s="7">
        <f t="shared" si="24"/>
        <v>0</v>
      </c>
      <c r="AL13" s="7">
        <f t="shared" si="25"/>
        <v>0</v>
      </c>
      <c r="AM13" s="7">
        <f t="shared" si="26"/>
        <v>0</v>
      </c>
      <c r="AN13" s="7">
        <f t="shared" si="27"/>
        <v>0</v>
      </c>
      <c r="AO13" s="7"/>
      <c r="AP13" s="7">
        <f t="shared" si="28"/>
        <v>0</v>
      </c>
      <c r="AQ13" s="7">
        <f t="shared" si="29"/>
        <v>0</v>
      </c>
      <c r="AR13" s="7">
        <f t="shared" si="30"/>
        <v>0</v>
      </c>
      <c r="AS13" s="7">
        <f t="shared" si="31"/>
        <v>1</v>
      </c>
      <c r="AT13" s="46"/>
      <c r="AU13" s="46"/>
      <c r="AV13" s="46"/>
      <c r="AW13" s="23"/>
      <c r="AX13" s="26">
        <v>10</v>
      </c>
      <c r="AY13" s="29">
        <f t="shared" si="1"/>
        <v>0</v>
      </c>
      <c r="AZ13" s="30">
        <f t="shared" ca="1" si="2"/>
        <v>0</v>
      </c>
      <c r="BA13" s="30">
        <f t="shared" si="3"/>
        <v>0</v>
      </c>
      <c r="BC13">
        <v>10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>
        <f t="shared" si="4"/>
        <v>0</v>
      </c>
      <c r="BL13">
        <f t="shared" si="4"/>
        <v>0</v>
      </c>
      <c r="BM13">
        <f t="shared" si="4"/>
        <v>0</v>
      </c>
      <c r="BN13">
        <f t="shared" si="4"/>
        <v>0</v>
      </c>
      <c r="BO13">
        <f t="shared" si="4"/>
        <v>0</v>
      </c>
      <c r="BP13">
        <f t="shared" si="4"/>
        <v>0</v>
      </c>
      <c r="BR13">
        <v>10</v>
      </c>
      <c r="BS13">
        <f t="shared" si="5"/>
        <v>0</v>
      </c>
      <c r="BT13">
        <f t="shared" si="6"/>
        <v>0</v>
      </c>
      <c r="BU13">
        <f t="shared" si="7"/>
        <v>0</v>
      </c>
      <c r="BV13">
        <f t="shared" si="8"/>
        <v>0</v>
      </c>
      <c r="BW13">
        <f t="shared" si="9"/>
        <v>0</v>
      </c>
      <c r="BX13">
        <f t="shared" si="10"/>
        <v>0</v>
      </c>
      <c r="BY13">
        <f t="shared" si="11"/>
        <v>0</v>
      </c>
      <c r="BZ13">
        <f t="shared" si="12"/>
        <v>0</v>
      </c>
      <c r="CA13">
        <f t="shared" si="13"/>
        <v>0</v>
      </c>
      <c r="CB13">
        <f t="shared" si="14"/>
        <v>0</v>
      </c>
      <c r="CC13">
        <f t="shared" si="15"/>
        <v>0</v>
      </c>
      <c r="CD13">
        <f t="shared" si="16"/>
        <v>0</v>
      </c>
      <c r="CE13">
        <f t="shared" si="17"/>
        <v>0</v>
      </c>
    </row>
    <row r="14" spans="1:83" x14ac:dyDescent="0.3">
      <c r="A14" s="17">
        <f t="shared" si="18"/>
        <v>1</v>
      </c>
      <c r="B14" s="18">
        <v>11</v>
      </c>
      <c r="C14" s="55" t="s">
        <v>76</v>
      </c>
      <c r="D14" s="87"/>
      <c r="E14" s="88"/>
      <c r="F14" s="18">
        <v>1000</v>
      </c>
      <c r="H14" s="20" t="str">
        <f t="shared" si="32"/>
        <v/>
      </c>
      <c r="I14" s="20" t="str">
        <f t="shared" si="32"/>
        <v/>
      </c>
      <c r="J14" s="20" t="str">
        <f t="shared" si="32"/>
        <v/>
      </c>
      <c r="K14" s="20" t="str">
        <f t="shared" si="32"/>
        <v/>
      </c>
      <c r="L14" s="20" t="str">
        <f t="shared" si="32"/>
        <v/>
      </c>
      <c r="M14" s="20" t="str">
        <f t="shared" si="32"/>
        <v/>
      </c>
      <c r="N14" s="20" t="str">
        <f t="shared" si="32"/>
        <v/>
      </c>
      <c r="O14" s="20" t="str">
        <f t="shared" si="32"/>
        <v/>
      </c>
      <c r="P14" s="20" t="str">
        <f t="shared" si="32"/>
        <v/>
      </c>
      <c r="Q14" s="20" t="str">
        <f t="shared" si="32"/>
        <v/>
      </c>
      <c r="R14" s="59" t="str">
        <f>IF((SUMIF($BC$21:$BC$102,$B14*100+R$3,$BA$22:$BA$103)+SUMIF($BC$21:$BC$102,$B14+R$3*100,$BA$22:$BA$103))=1,(SUMIF($BC$21:$BC$102,$B14*100+R$3,$J$19:$J$99)+SUMIF($BD$21:$BD$102,$B14*100+R$3,$M$19:$M$99)),"")</f>
        <v/>
      </c>
      <c r="S14" s="58" t="str">
        <f t="shared" si="0"/>
        <v/>
      </c>
      <c r="T14" s="58" t="str">
        <f t="shared" si="0"/>
        <v/>
      </c>
      <c r="U14" s="58" t="str">
        <f t="shared" si="0"/>
        <v/>
      </c>
      <c r="V14" s="3">
        <f t="shared" si="19"/>
        <v>0</v>
      </c>
      <c r="W14" s="3">
        <f t="shared" si="20"/>
        <v>0</v>
      </c>
      <c r="X14" s="3">
        <f t="shared" si="21"/>
        <v>1</v>
      </c>
      <c r="AH14" s="46"/>
      <c r="AI14" s="7">
        <f t="shared" si="22"/>
        <v>0</v>
      </c>
      <c r="AJ14" s="7">
        <f t="shared" si="23"/>
        <v>0</v>
      </c>
      <c r="AK14" s="7">
        <f t="shared" si="24"/>
        <v>0</v>
      </c>
      <c r="AL14" s="7">
        <f t="shared" si="25"/>
        <v>0</v>
      </c>
      <c r="AM14" s="7">
        <f t="shared" si="26"/>
        <v>0</v>
      </c>
      <c r="AN14" s="7">
        <f t="shared" si="27"/>
        <v>0</v>
      </c>
      <c r="AO14" s="7"/>
      <c r="AP14" s="7">
        <f t="shared" si="28"/>
        <v>0</v>
      </c>
      <c r="AQ14" s="7">
        <f t="shared" si="29"/>
        <v>0</v>
      </c>
      <c r="AR14" s="7">
        <f t="shared" si="30"/>
        <v>0</v>
      </c>
      <c r="AS14" s="7">
        <f t="shared" si="31"/>
        <v>1</v>
      </c>
      <c r="AX14" s="26">
        <v>11</v>
      </c>
      <c r="AY14" s="29">
        <f t="shared" si="1"/>
        <v>0</v>
      </c>
      <c r="AZ14" s="30">
        <f t="shared" ca="1" si="2"/>
        <v>0</v>
      </c>
      <c r="BA14" s="30">
        <f t="shared" si="3"/>
        <v>0</v>
      </c>
      <c r="BC14">
        <v>11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>
        <f t="shared" si="4"/>
        <v>0</v>
      </c>
      <c r="BL14">
        <f t="shared" si="4"/>
        <v>0</v>
      </c>
      <c r="BM14">
        <f t="shared" si="4"/>
        <v>0</v>
      </c>
      <c r="BN14">
        <f t="shared" si="4"/>
        <v>0</v>
      </c>
      <c r="BO14">
        <f t="shared" si="4"/>
        <v>0</v>
      </c>
      <c r="BP14">
        <f t="shared" si="4"/>
        <v>0</v>
      </c>
      <c r="BR14">
        <v>11</v>
      </c>
      <c r="BS14">
        <f t="shared" si="5"/>
        <v>0</v>
      </c>
      <c r="BT14">
        <f t="shared" si="6"/>
        <v>0</v>
      </c>
      <c r="BU14">
        <f t="shared" si="7"/>
        <v>0</v>
      </c>
      <c r="BV14">
        <f t="shared" si="8"/>
        <v>0</v>
      </c>
      <c r="BW14">
        <f t="shared" si="9"/>
        <v>0</v>
      </c>
      <c r="BX14">
        <f t="shared" si="10"/>
        <v>0</v>
      </c>
      <c r="BY14">
        <f t="shared" si="11"/>
        <v>0</v>
      </c>
      <c r="BZ14">
        <f t="shared" si="12"/>
        <v>0</v>
      </c>
      <c r="CA14">
        <f t="shared" si="13"/>
        <v>0</v>
      </c>
      <c r="CB14">
        <f t="shared" si="14"/>
        <v>0</v>
      </c>
      <c r="CC14">
        <f t="shared" si="15"/>
        <v>0</v>
      </c>
      <c r="CD14">
        <f t="shared" si="16"/>
        <v>0</v>
      </c>
      <c r="CE14">
        <f t="shared" si="17"/>
        <v>0</v>
      </c>
    </row>
    <row r="15" spans="1:83" x14ac:dyDescent="0.3">
      <c r="A15" s="17">
        <f t="shared" si="18"/>
        <v>1</v>
      </c>
      <c r="B15" s="18">
        <v>12</v>
      </c>
      <c r="C15" s="18" t="s">
        <v>77</v>
      </c>
      <c r="D15" s="87"/>
      <c r="E15" s="88"/>
      <c r="F15" s="18">
        <v>1000</v>
      </c>
      <c r="H15" s="20" t="str">
        <f t="shared" si="32"/>
        <v/>
      </c>
      <c r="I15" s="20" t="str">
        <f t="shared" si="32"/>
        <v/>
      </c>
      <c r="J15" s="20" t="str">
        <f t="shared" si="32"/>
        <v/>
      </c>
      <c r="K15" s="20" t="str">
        <f t="shared" si="32"/>
        <v/>
      </c>
      <c r="L15" s="20" t="str">
        <f t="shared" si="32"/>
        <v/>
      </c>
      <c r="M15" s="20" t="str">
        <f t="shared" si="32"/>
        <v/>
      </c>
      <c r="N15" s="20" t="str">
        <f t="shared" si="32"/>
        <v/>
      </c>
      <c r="O15" s="20" t="str">
        <f t="shared" si="32"/>
        <v/>
      </c>
      <c r="P15" s="20" t="str">
        <f t="shared" si="32"/>
        <v/>
      </c>
      <c r="Q15" s="20" t="str">
        <f t="shared" si="32"/>
        <v/>
      </c>
      <c r="R15" s="20" t="str">
        <f t="shared" si="32"/>
        <v/>
      </c>
      <c r="S15" s="59" t="str">
        <f>IF((SUMIF($BC$21:$BC$102,$B15*100+S$3,$BA$22:$BA$103)+SUMIF($BC$21:$BC$102,$B15+S$3*100,$BA$22:$BA$103))=1,(SUMIF($BC$21:$BC$102,$B15*100+S$3,$J$19:$J$99)+SUMIF($BD$21:$BD$102,$B15*100+S$3,$M$19:$M$99)),"")</f>
        <v/>
      </c>
      <c r="T15" s="58" t="str">
        <f t="shared" si="0"/>
        <v/>
      </c>
      <c r="U15" s="58" t="str">
        <f t="shared" si="0"/>
        <v/>
      </c>
      <c r="V15" s="3">
        <f t="shared" si="19"/>
        <v>0</v>
      </c>
      <c r="W15" s="3">
        <f t="shared" si="20"/>
        <v>0</v>
      </c>
      <c r="X15" s="3">
        <f t="shared" si="21"/>
        <v>1</v>
      </c>
      <c r="AH15" s="46"/>
      <c r="AI15" s="7">
        <f t="shared" si="22"/>
        <v>0</v>
      </c>
      <c r="AJ15" s="7">
        <f t="shared" si="23"/>
        <v>0</v>
      </c>
      <c r="AK15" s="7">
        <f t="shared" si="24"/>
        <v>0</v>
      </c>
      <c r="AL15" s="7">
        <f t="shared" si="25"/>
        <v>0</v>
      </c>
      <c r="AM15" s="7">
        <f t="shared" si="26"/>
        <v>0</v>
      </c>
      <c r="AN15" s="7">
        <f t="shared" si="27"/>
        <v>0</v>
      </c>
      <c r="AO15" s="7"/>
      <c r="AP15" s="7">
        <f t="shared" si="28"/>
        <v>0</v>
      </c>
      <c r="AQ15" s="7">
        <f t="shared" si="29"/>
        <v>0</v>
      </c>
      <c r="AR15" s="7">
        <f t="shared" si="30"/>
        <v>0</v>
      </c>
      <c r="AS15" s="7">
        <f t="shared" si="31"/>
        <v>1</v>
      </c>
      <c r="AX15" s="26">
        <v>12</v>
      </c>
      <c r="AY15" s="29">
        <f t="shared" si="1"/>
        <v>0</v>
      </c>
      <c r="AZ15" s="30">
        <f t="shared" ca="1" si="2"/>
        <v>0</v>
      </c>
      <c r="BA15" s="30">
        <f t="shared" si="3"/>
        <v>0</v>
      </c>
      <c r="BC15">
        <v>12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>
        <f t="shared" si="4"/>
        <v>0</v>
      </c>
      <c r="BL15">
        <f t="shared" si="4"/>
        <v>0</v>
      </c>
      <c r="BM15">
        <f t="shared" si="4"/>
        <v>0</v>
      </c>
      <c r="BN15">
        <f t="shared" si="4"/>
        <v>0</v>
      </c>
      <c r="BO15">
        <f t="shared" si="4"/>
        <v>0</v>
      </c>
      <c r="BP15">
        <f t="shared" si="4"/>
        <v>0</v>
      </c>
      <c r="BR15">
        <v>12</v>
      </c>
      <c r="BS15">
        <f t="shared" si="5"/>
        <v>0</v>
      </c>
      <c r="BT15">
        <f t="shared" si="6"/>
        <v>0</v>
      </c>
      <c r="BU15">
        <f t="shared" si="7"/>
        <v>0</v>
      </c>
      <c r="BV15">
        <f t="shared" si="8"/>
        <v>0</v>
      </c>
      <c r="BW15">
        <f t="shared" si="9"/>
        <v>0</v>
      </c>
      <c r="BX15">
        <f t="shared" si="10"/>
        <v>0</v>
      </c>
      <c r="BY15">
        <f t="shared" si="11"/>
        <v>0</v>
      </c>
      <c r="BZ15">
        <f t="shared" si="12"/>
        <v>0</v>
      </c>
      <c r="CA15">
        <f t="shared" si="13"/>
        <v>0</v>
      </c>
      <c r="CB15">
        <f t="shared" si="14"/>
        <v>0</v>
      </c>
      <c r="CC15">
        <f t="shared" si="15"/>
        <v>0</v>
      </c>
      <c r="CD15">
        <f t="shared" si="16"/>
        <v>0</v>
      </c>
      <c r="CE15">
        <f t="shared" si="17"/>
        <v>0</v>
      </c>
    </row>
    <row r="16" spans="1:83" x14ac:dyDescent="0.3">
      <c r="A16" s="17">
        <f>X16</f>
        <v>1</v>
      </c>
      <c r="B16" s="18">
        <v>13</v>
      </c>
      <c r="C16" s="18" t="s">
        <v>79</v>
      </c>
      <c r="D16" s="87"/>
      <c r="E16" s="88"/>
      <c r="F16" s="18">
        <v>1000</v>
      </c>
      <c r="H16" s="20" t="str">
        <f t="shared" si="32"/>
        <v/>
      </c>
      <c r="I16" s="20" t="str">
        <f t="shared" si="32"/>
        <v/>
      </c>
      <c r="J16" s="20" t="str">
        <f t="shared" si="32"/>
        <v/>
      </c>
      <c r="K16" s="20" t="str">
        <f t="shared" si="32"/>
        <v/>
      </c>
      <c r="L16" s="20" t="str">
        <f t="shared" si="32"/>
        <v/>
      </c>
      <c r="M16" s="20" t="str">
        <f t="shared" si="32"/>
        <v/>
      </c>
      <c r="N16" s="20" t="str">
        <f t="shared" si="32"/>
        <v/>
      </c>
      <c r="O16" s="20" t="str">
        <f t="shared" si="32"/>
        <v/>
      </c>
      <c r="P16" s="20" t="str">
        <f t="shared" si="32"/>
        <v/>
      </c>
      <c r="Q16" s="20" t="str">
        <f t="shared" si="32"/>
        <v/>
      </c>
      <c r="R16" s="20" t="str">
        <f t="shared" si="32"/>
        <v/>
      </c>
      <c r="S16" s="20" t="str">
        <f t="shared" si="32"/>
        <v/>
      </c>
      <c r="T16" s="59" t="str">
        <f>IF((SUMIF($BC$21:$BC$102,$B16*100+T$3,$BA$22:$BA$103)+SUMIF($BC$21:$BC$102,$B16+T$3*100,$BA$22:$BA$103))=1,(SUMIF($BC$21:$BC$102,$B16*100+T$3,$J$19:$J$99)+SUMIF($BD$21:$BD$102,$B16*100+T$3,$M$19:$M$99)),"")</f>
        <v/>
      </c>
      <c r="U16" s="58" t="str">
        <f t="shared" si="0"/>
        <v/>
      </c>
      <c r="V16" s="3">
        <f t="shared" si="19"/>
        <v>0</v>
      </c>
      <c r="W16" s="3">
        <f t="shared" si="20"/>
        <v>0</v>
      </c>
      <c r="X16" s="3">
        <f t="shared" si="21"/>
        <v>1</v>
      </c>
      <c r="AH16" s="46"/>
      <c r="AI16" s="7">
        <f t="shared" si="22"/>
        <v>0</v>
      </c>
      <c r="AJ16" s="7">
        <f t="shared" si="23"/>
        <v>0</v>
      </c>
      <c r="AK16" s="7">
        <f t="shared" si="24"/>
        <v>0</v>
      </c>
      <c r="AL16" s="7">
        <f t="shared" si="25"/>
        <v>0</v>
      </c>
      <c r="AM16" s="7">
        <f t="shared" si="26"/>
        <v>0</v>
      </c>
      <c r="AN16" s="7">
        <f t="shared" si="27"/>
        <v>0</v>
      </c>
      <c r="AO16" s="7"/>
      <c r="AP16" s="7">
        <f t="shared" si="28"/>
        <v>0</v>
      </c>
      <c r="AQ16" s="7">
        <f t="shared" si="29"/>
        <v>0</v>
      </c>
      <c r="AR16" s="7">
        <f t="shared" si="30"/>
        <v>0</v>
      </c>
      <c r="AS16" s="7">
        <f t="shared" si="31"/>
        <v>1</v>
      </c>
      <c r="AX16" s="26">
        <v>13</v>
      </c>
      <c r="AY16" s="29">
        <f t="shared" si="1"/>
        <v>0</v>
      </c>
      <c r="AZ16" s="30">
        <f t="shared" ca="1" si="2"/>
        <v>0</v>
      </c>
      <c r="BA16" s="30">
        <f t="shared" si="3"/>
        <v>0</v>
      </c>
      <c r="BC16">
        <v>13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>
        <f t="shared" si="4"/>
        <v>0</v>
      </c>
      <c r="BL16">
        <f t="shared" si="4"/>
        <v>0</v>
      </c>
      <c r="BM16">
        <f t="shared" si="4"/>
        <v>0</v>
      </c>
      <c r="BN16">
        <f t="shared" si="4"/>
        <v>0</v>
      </c>
      <c r="BO16">
        <f t="shared" si="4"/>
        <v>0</v>
      </c>
      <c r="BP16">
        <f t="shared" si="4"/>
        <v>0</v>
      </c>
      <c r="BR16">
        <v>13</v>
      </c>
      <c r="BS16">
        <f t="shared" si="5"/>
        <v>0</v>
      </c>
      <c r="BT16">
        <f t="shared" si="6"/>
        <v>0</v>
      </c>
      <c r="BU16">
        <f t="shared" si="7"/>
        <v>0</v>
      </c>
      <c r="BV16">
        <f t="shared" si="8"/>
        <v>0</v>
      </c>
      <c r="BW16">
        <f t="shared" si="9"/>
        <v>0</v>
      </c>
      <c r="BX16">
        <f t="shared" si="10"/>
        <v>0</v>
      </c>
      <c r="BY16">
        <f t="shared" si="11"/>
        <v>0</v>
      </c>
      <c r="BZ16">
        <f t="shared" si="12"/>
        <v>0</v>
      </c>
      <c r="CA16">
        <f t="shared" si="13"/>
        <v>0</v>
      </c>
      <c r="CB16">
        <f t="shared" si="14"/>
        <v>0</v>
      </c>
      <c r="CC16">
        <f t="shared" si="15"/>
        <v>0</v>
      </c>
      <c r="CD16">
        <f t="shared" si="16"/>
        <v>0</v>
      </c>
      <c r="CE16">
        <f t="shared" si="17"/>
        <v>0</v>
      </c>
    </row>
    <row r="17" spans="1:83" x14ac:dyDescent="0.3">
      <c r="A17" s="17">
        <f t="shared" si="18"/>
        <v>1</v>
      </c>
      <c r="B17" s="18">
        <v>14</v>
      </c>
      <c r="C17" s="18" t="s">
        <v>78</v>
      </c>
      <c r="D17" s="92"/>
      <c r="E17" s="93"/>
      <c r="F17" s="18">
        <v>1000</v>
      </c>
      <c r="H17" s="20" t="str">
        <f t="shared" si="32"/>
        <v/>
      </c>
      <c r="I17" s="20" t="str">
        <f t="shared" si="32"/>
        <v/>
      </c>
      <c r="J17" s="20" t="str">
        <f t="shared" si="32"/>
        <v/>
      </c>
      <c r="K17" s="20" t="str">
        <f t="shared" si="32"/>
        <v/>
      </c>
      <c r="L17" s="20" t="str">
        <f t="shared" si="32"/>
        <v/>
      </c>
      <c r="M17" s="20" t="str">
        <f t="shared" si="32"/>
        <v/>
      </c>
      <c r="N17" s="20" t="str">
        <f t="shared" si="32"/>
        <v/>
      </c>
      <c r="O17" s="20" t="str">
        <f t="shared" si="32"/>
        <v/>
      </c>
      <c r="P17" s="20" t="str">
        <f t="shared" si="32"/>
        <v/>
      </c>
      <c r="Q17" s="20" t="str">
        <f t="shared" si="32"/>
        <v/>
      </c>
      <c r="R17" s="20" t="str">
        <f t="shared" si="32"/>
        <v/>
      </c>
      <c r="S17" s="20" t="str">
        <f t="shared" si="32"/>
        <v/>
      </c>
      <c r="T17" s="20" t="str">
        <f t="shared" si="32"/>
        <v/>
      </c>
      <c r="U17" s="59" t="str">
        <f>IF((SUMIF($BC$21:$BC$102,$B17*100+U$3,$BA$22:$BA$103)+SUMIF($BC$21:$BC$102,$B17+U$3*100,$BA$22:$BA$103))=1,(SUMIF($BC$21:$BC$102,$B17*100+U$3,$J$19:$J$99)+SUMIF($BD$21:$BD$102,$B17*100+U$3,$M$19:$M$99)),"")</f>
        <v/>
      </c>
      <c r="V17" s="3">
        <f t="shared" si="19"/>
        <v>0</v>
      </c>
      <c r="W17" s="3">
        <f t="shared" si="20"/>
        <v>0</v>
      </c>
      <c r="X17" s="3">
        <f t="shared" si="21"/>
        <v>1</v>
      </c>
      <c r="AH17" s="46"/>
      <c r="AI17" s="7">
        <f t="shared" si="22"/>
        <v>0</v>
      </c>
      <c r="AJ17" s="7">
        <f t="shared" si="23"/>
        <v>0</v>
      </c>
      <c r="AK17" s="7">
        <f t="shared" si="24"/>
        <v>0</v>
      </c>
      <c r="AL17" s="7">
        <f t="shared" si="25"/>
        <v>0</v>
      </c>
      <c r="AM17" s="7">
        <f t="shared" si="26"/>
        <v>0</v>
      </c>
      <c r="AN17" s="7">
        <f t="shared" si="27"/>
        <v>0</v>
      </c>
      <c r="AO17" s="7"/>
      <c r="AP17" s="7">
        <f t="shared" si="28"/>
        <v>0</v>
      </c>
      <c r="AQ17" s="7">
        <f t="shared" si="29"/>
        <v>0</v>
      </c>
      <c r="AR17" s="7">
        <f t="shared" si="30"/>
        <v>0</v>
      </c>
      <c r="AS17" s="7">
        <f t="shared" si="31"/>
        <v>1</v>
      </c>
      <c r="AX17" s="26">
        <v>14</v>
      </c>
      <c r="AY17" s="29">
        <f t="shared" si="1"/>
        <v>0</v>
      </c>
      <c r="AZ17" s="30">
        <f t="shared" ca="1" si="2"/>
        <v>0</v>
      </c>
      <c r="BA17" s="30">
        <f t="shared" si="3"/>
        <v>0</v>
      </c>
      <c r="BC17">
        <v>14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>
        <f t="shared" si="4"/>
        <v>0</v>
      </c>
      <c r="BL17">
        <f t="shared" si="4"/>
        <v>0</v>
      </c>
      <c r="BM17">
        <f t="shared" si="4"/>
        <v>0</v>
      </c>
      <c r="BN17">
        <f t="shared" si="4"/>
        <v>0</v>
      </c>
      <c r="BO17">
        <f t="shared" si="4"/>
        <v>0</v>
      </c>
      <c r="BP17">
        <f t="shared" si="4"/>
        <v>0</v>
      </c>
      <c r="BR17">
        <v>14</v>
      </c>
      <c r="BS17">
        <f t="shared" si="5"/>
        <v>0</v>
      </c>
      <c r="BT17">
        <f t="shared" si="6"/>
        <v>0</v>
      </c>
      <c r="BU17">
        <f t="shared" si="7"/>
        <v>0</v>
      </c>
      <c r="BV17">
        <f t="shared" si="8"/>
        <v>0</v>
      </c>
      <c r="BW17">
        <f t="shared" si="9"/>
        <v>0</v>
      </c>
      <c r="BX17">
        <f t="shared" si="10"/>
        <v>0</v>
      </c>
      <c r="BY17">
        <f t="shared" si="11"/>
        <v>0</v>
      </c>
      <c r="BZ17">
        <f t="shared" si="12"/>
        <v>0</v>
      </c>
      <c r="CA17">
        <f t="shared" si="13"/>
        <v>0</v>
      </c>
      <c r="CB17">
        <f t="shared" si="14"/>
        <v>0</v>
      </c>
      <c r="CC17">
        <f t="shared" si="15"/>
        <v>0</v>
      </c>
      <c r="CD17">
        <f t="shared" si="16"/>
        <v>0</v>
      </c>
      <c r="CE17">
        <f t="shared" si="17"/>
        <v>0</v>
      </c>
    </row>
    <row r="18" spans="1:83" x14ac:dyDescent="0.3">
      <c r="A18" s="17"/>
      <c r="W18" s="49"/>
      <c r="AI18" s="60">
        <f>2*MAX(AI4:AI17)+1</f>
        <v>1</v>
      </c>
      <c r="AK18" s="60">
        <f>2*MAX(AK4:AK17)+1</f>
        <v>1</v>
      </c>
      <c r="AM18" s="60">
        <f>2*MAX(AM4:AM17)+1</f>
        <v>1</v>
      </c>
      <c r="AS18" s="46"/>
      <c r="AX18" s="37"/>
      <c r="AY18" s="56"/>
      <c r="AZ18" s="56"/>
      <c r="BA18" s="56"/>
    </row>
    <row r="19" spans="1:83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AX19" s="31" t="s">
        <v>39</v>
      </c>
      <c r="AY19" s="31" t="s">
        <v>0</v>
      </c>
      <c r="AZ19" s="31" t="s">
        <v>1</v>
      </c>
      <c r="BA19" s="31" t="s">
        <v>2</v>
      </c>
      <c r="BC19" s="32" t="s">
        <v>37</v>
      </c>
      <c r="BD19" s="32" t="s">
        <v>38</v>
      </c>
      <c r="BE19" t="s">
        <v>18</v>
      </c>
      <c r="BF19" t="s">
        <v>19</v>
      </c>
      <c r="BG19" t="s">
        <v>20</v>
      </c>
      <c r="BH19" t="s">
        <v>21</v>
      </c>
    </row>
    <row r="20" spans="1:83" x14ac:dyDescent="0.3">
      <c r="B20" s="35" t="s">
        <v>3</v>
      </c>
      <c r="D20" s="118" t="str">
        <f>"Van:" &amp; TEXT(Configuratie!H34,"uu.mm.ss")</f>
        <v>Van:13.00.00</v>
      </c>
      <c r="E20" s="119"/>
      <c r="F20" s="117"/>
      <c r="G20" s="118" t="str">
        <f>"Tot: "&amp; TEXT(Configuratie!I34,"uu.mm.ss")</f>
        <v>Tot: 13.10.00</v>
      </c>
      <c r="H20" s="119"/>
      <c r="I20" s="117"/>
      <c r="J20" s="117"/>
      <c r="BC20" s="38"/>
      <c r="BD20" s="38"/>
      <c r="BE20">
        <v>0</v>
      </c>
      <c r="BF20">
        <v>0</v>
      </c>
      <c r="BG20">
        <f>N18*BF20</f>
        <v>0</v>
      </c>
      <c r="BH20">
        <f>Q18*BE20</f>
        <v>0</v>
      </c>
    </row>
    <row r="21" spans="1:83" x14ac:dyDescent="0.3">
      <c r="B21">
        <v>1</v>
      </c>
      <c r="C21" t="str">
        <f>VLOOKUP(AY21,$B$4:$F$17,2,FALSE)</f>
        <v>A</v>
      </c>
      <c r="D21" s="36" t="s">
        <v>5</v>
      </c>
      <c r="E21" s="86" t="str">
        <f t="shared" ref="E21:E27" si="33">VLOOKUP(AZ21,$B$4:$F$17,2,FALSE)</f>
        <v>O</v>
      </c>
      <c r="F21" s="86"/>
      <c r="G21" s="86"/>
      <c r="H21" s="86"/>
      <c r="J21" s="86" t="str">
        <f>IF(X21="","",VLOOKUP(X21,#REF!,3,FALSE))</f>
        <v/>
      </c>
      <c r="K21" s="86"/>
      <c r="L21" t="s">
        <v>5</v>
      </c>
      <c r="M21" s="86" t="str">
        <f>IF(X21="","",VLOOKUP(X21,#REF!,4,FALSE))</f>
        <v/>
      </c>
      <c r="N21" s="86"/>
      <c r="V21" t="str">
        <f>IF(X21="","",VLOOKUP(X21,#REF!,2,FALSE))</f>
        <v/>
      </c>
      <c r="W21" s="36"/>
      <c r="X21" s="1"/>
      <c r="AX21">
        <v>1</v>
      </c>
      <c r="AY21">
        <v>1</v>
      </c>
      <c r="AZ21">
        <v>14</v>
      </c>
      <c r="BA21" t="str">
        <f>IF(AND(ISNUMBER(J21),ISNUMBER(M21)),IF(J21+M21=1,1,0),"")</f>
        <v/>
      </c>
      <c r="BC21" s="38">
        <f>AY21*100+AZ21</f>
        <v>114</v>
      </c>
      <c r="BD21" s="38">
        <f t="shared" ref="BD21:BD27" si="34">AZ21*100+AY21</f>
        <v>1401</v>
      </c>
      <c r="BE21">
        <v>0</v>
      </c>
      <c r="BF21">
        <v>0</v>
      </c>
      <c r="BG21" t="e">
        <f>#REF!*BF21</f>
        <v>#REF!</v>
      </c>
      <c r="BH21" t="e">
        <f>#REF!*BE21</f>
        <v>#REF!</v>
      </c>
    </row>
    <row r="22" spans="1:83" x14ac:dyDescent="0.3">
      <c r="B22">
        <v>2</v>
      </c>
      <c r="C22" t="str">
        <f t="shared" ref="C22:C27" si="35">VLOOKUP(AY22,$B$4:$F$17,2,FALSE)</f>
        <v>B</v>
      </c>
      <c r="D22" s="36" t="s">
        <v>5</v>
      </c>
      <c r="E22" s="86" t="str">
        <f t="shared" si="33"/>
        <v>N</v>
      </c>
      <c r="F22" s="86"/>
      <c r="G22" s="86"/>
      <c r="H22" s="86"/>
      <c r="J22" s="86" t="str">
        <f>IF(X22="","",VLOOKUP(X22,#REF!,3,FALSE))</f>
        <v/>
      </c>
      <c r="K22" s="86"/>
      <c r="L22" t="s">
        <v>5</v>
      </c>
      <c r="M22" s="86" t="str">
        <f>IF(X22="","",VLOOKUP(X22,#REF!,4,FALSE))</f>
        <v/>
      </c>
      <c r="N22" s="86"/>
      <c r="V22" t="str">
        <f>IF(X22="","",VLOOKUP(X22,#REF!,2,FALSE))</f>
        <v/>
      </c>
      <c r="W22" s="36"/>
      <c r="X22" s="1"/>
      <c r="AX22">
        <v>1</v>
      </c>
      <c r="AY22">
        <v>2</v>
      </c>
      <c r="AZ22">
        <v>13</v>
      </c>
      <c r="BA22" t="str">
        <f t="shared" ref="BA22:BA27" si="36">IF(AND(ISNUMBER(J22),ISNUMBER(M22)),IF(J22+M22=1,1,0),"")</f>
        <v/>
      </c>
      <c r="BC22" s="38">
        <f t="shared" ref="BC22:BC27" si="37">AY22*100+AZ22</f>
        <v>213</v>
      </c>
      <c r="BD22" s="38">
        <f t="shared" si="34"/>
        <v>1302</v>
      </c>
      <c r="BE22">
        <v>0</v>
      </c>
      <c r="BF22">
        <v>0</v>
      </c>
      <c r="BG22">
        <f>N19*BF22</f>
        <v>0</v>
      </c>
      <c r="BH22">
        <f>Q19*BE22</f>
        <v>0</v>
      </c>
    </row>
    <row r="23" spans="1:83" x14ac:dyDescent="0.3">
      <c r="B23">
        <v>3</v>
      </c>
      <c r="C23" t="str">
        <f t="shared" si="35"/>
        <v>C</v>
      </c>
      <c r="D23" s="36" t="s">
        <v>5</v>
      </c>
      <c r="E23" s="86" t="str">
        <f t="shared" si="33"/>
        <v>M</v>
      </c>
      <c r="F23" s="86"/>
      <c r="G23" s="86"/>
      <c r="H23" s="86"/>
      <c r="J23" s="86" t="str">
        <f>IF(X23="","",VLOOKUP(X23,#REF!,3,FALSE))</f>
        <v/>
      </c>
      <c r="K23" s="86"/>
      <c r="L23" t="s">
        <v>5</v>
      </c>
      <c r="M23" s="86" t="str">
        <f>IF(X23="","",VLOOKUP(X23,#REF!,4,FALSE))</f>
        <v/>
      </c>
      <c r="N23" s="86"/>
      <c r="V23" t="str">
        <f>IF(X23="","",VLOOKUP(X23,#REF!,2,FALSE))</f>
        <v/>
      </c>
      <c r="W23" s="36"/>
      <c r="X23" s="1"/>
      <c r="AX23">
        <v>1</v>
      </c>
      <c r="AY23">
        <v>3</v>
      </c>
      <c r="AZ23">
        <v>12</v>
      </c>
      <c r="BA23" t="str">
        <f t="shared" si="36"/>
        <v/>
      </c>
      <c r="BC23" s="38">
        <f t="shared" si="37"/>
        <v>312</v>
      </c>
      <c r="BD23" s="38">
        <f t="shared" si="34"/>
        <v>1203</v>
      </c>
      <c r="BE23">
        <v>0</v>
      </c>
      <c r="BF23">
        <v>0</v>
      </c>
      <c r="BG23">
        <f>N20*BF23</f>
        <v>0</v>
      </c>
      <c r="BH23">
        <f>Q20*BE23</f>
        <v>0</v>
      </c>
    </row>
    <row r="24" spans="1:83" x14ac:dyDescent="0.3">
      <c r="B24">
        <v>4</v>
      </c>
      <c r="C24" t="str">
        <f t="shared" si="35"/>
        <v>D</v>
      </c>
      <c r="D24" s="36" t="s">
        <v>5</v>
      </c>
      <c r="E24" s="86" t="str">
        <f t="shared" si="33"/>
        <v>L</v>
      </c>
      <c r="F24" s="86"/>
      <c r="G24" s="86"/>
      <c r="H24" s="86"/>
      <c r="J24" s="86" t="str">
        <f>IF(X24="","",VLOOKUP(X24,#REF!,3,FALSE))</f>
        <v/>
      </c>
      <c r="K24" s="86"/>
      <c r="L24" t="s">
        <v>5</v>
      </c>
      <c r="M24" s="86" t="str">
        <f>IF(X24="","",VLOOKUP(X24,#REF!,4,FALSE))</f>
        <v/>
      </c>
      <c r="N24" s="86"/>
      <c r="V24" t="str">
        <f>IF(X24="","",VLOOKUP(X24,#REF!,2,FALSE))</f>
        <v/>
      </c>
      <c r="W24" s="36"/>
      <c r="X24" s="1"/>
      <c r="AX24">
        <v>1</v>
      </c>
      <c r="AY24">
        <v>4</v>
      </c>
      <c r="AZ24">
        <v>11</v>
      </c>
      <c r="BA24" t="str">
        <f t="shared" si="36"/>
        <v/>
      </c>
      <c r="BC24" s="38">
        <f t="shared" si="37"/>
        <v>411</v>
      </c>
      <c r="BD24" s="38">
        <f t="shared" si="34"/>
        <v>1104</v>
      </c>
      <c r="BE24">
        <v>0</v>
      </c>
      <c r="BF24">
        <v>0</v>
      </c>
      <c r="BG24">
        <f>N21*BF24</f>
        <v>0</v>
      </c>
      <c r="BH24">
        <f>Q21*BE24</f>
        <v>0</v>
      </c>
    </row>
    <row r="25" spans="1:83" x14ac:dyDescent="0.3">
      <c r="B25">
        <v>5</v>
      </c>
      <c r="C25" t="str">
        <f t="shared" si="35"/>
        <v>E</v>
      </c>
      <c r="D25" s="36" t="s">
        <v>5</v>
      </c>
      <c r="E25" s="86" t="str">
        <f t="shared" si="33"/>
        <v>K</v>
      </c>
      <c r="F25" s="86"/>
      <c r="G25" s="86"/>
      <c r="H25" s="86"/>
      <c r="J25" s="86" t="str">
        <f>IF(X25="","",VLOOKUP(X25,#REF!,3,FALSE))</f>
        <v/>
      </c>
      <c r="K25" s="86"/>
      <c r="L25" t="s">
        <v>5</v>
      </c>
      <c r="M25" s="86" t="str">
        <f>IF(X25="","",VLOOKUP(X25,#REF!,4,FALSE))</f>
        <v/>
      </c>
      <c r="N25" s="86"/>
      <c r="V25" t="str">
        <f>IF(X25="","",VLOOKUP(X25,#REF!,2,FALSE))</f>
        <v/>
      </c>
      <c r="W25" s="36"/>
      <c r="X25" s="1"/>
      <c r="AX25">
        <v>1</v>
      </c>
      <c r="AY25">
        <v>5</v>
      </c>
      <c r="AZ25">
        <v>10</v>
      </c>
      <c r="BA25" t="str">
        <f t="shared" si="36"/>
        <v/>
      </c>
      <c r="BC25" s="38">
        <f t="shared" si="37"/>
        <v>510</v>
      </c>
      <c r="BD25" s="38">
        <f t="shared" si="34"/>
        <v>1005</v>
      </c>
    </row>
    <row r="26" spans="1:83" x14ac:dyDescent="0.3">
      <c r="B26">
        <v>6</v>
      </c>
      <c r="C26" t="str">
        <f t="shared" si="35"/>
        <v>G</v>
      </c>
      <c r="D26" s="36" t="s">
        <v>5</v>
      </c>
      <c r="E26" s="86" t="str">
        <f t="shared" si="33"/>
        <v>J</v>
      </c>
      <c r="F26" s="86"/>
      <c r="G26" s="86"/>
      <c r="H26" s="86"/>
      <c r="J26" s="86" t="str">
        <f>IF(X26="","",VLOOKUP(X26,#REF!,3,FALSE))</f>
        <v/>
      </c>
      <c r="K26" s="86"/>
      <c r="L26" t="s">
        <v>5</v>
      </c>
      <c r="M26" s="86" t="str">
        <f>IF(X26="","",VLOOKUP(X26,#REF!,4,FALSE))</f>
        <v/>
      </c>
      <c r="N26" s="86"/>
      <c r="V26" t="str">
        <f>IF(X26="","",VLOOKUP(X26,#REF!,2,FALSE))</f>
        <v/>
      </c>
      <c r="W26" s="36"/>
      <c r="X26" s="1"/>
      <c r="AX26">
        <v>1</v>
      </c>
      <c r="AY26">
        <v>6</v>
      </c>
      <c r="AZ26">
        <v>9</v>
      </c>
      <c r="BA26" t="str">
        <f t="shared" si="36"/>
        <v/>
      </c>
      <c r="BC26" s="38">
        <f t="shared" si="37"/>
        <v>609</v>
      </c>
      <c r="BD26" s="38">
        <f t="shared" si="34"/>
        <v>906</v>
      </c>
    </row>
    <row r="27" spans="1:83" x14ac:dyDescent="0.3">
      <c r="B27">
        <v>7</v>
      </c>
      <c r="C27" t="str">
        <f t="shared" si="35"/>
        <v>H</v>
      </c>
      <c r="D27" s="36" t="s">
        <v>5</v>
      </c>
      <c r="E27" s="86" t="str">
        <f t="shared" si="33"/>
        <v>I</v>
      </c>
      <c r="F27" s="86"/>
      <c r="G27" s="86"/>
      <c r="H27" s="86"/>
      <c r="J27" s="86" t="str">
        <f>IF(X27="","",VLOOKUP(X27,#REF!,3,FALSE))</f>
        <v/>
      </c>
      <c r="K27" s="86"/>
      <c r="L27" t="s">
        <v>5</v>
      </c>
      <c r="M27" s="86" t="str">
        <f>IF(X27="","",VLOOKUP(X27,#REF!,4,FALSE))</f>
        <v/>
      </c>
      <c r="N27" s="86"/>
      <c r="V27" t="str">
        <f>IF(X27="","",VLOOKUP(X27,#REF!,2,FALSE))</f>
        <v/>
      </c>
      <c r="W27" s="36"/>
      <c r="X27" s="1"/>
      <c r="AX27">
        <v>1</v>
      </c>
      <c r="AY27">
        <v>7</v>
      </c>
      <c r="AZ27">
        <v>8</v>
      </c>
      <c r="BA27" t="str">
        <f t="shared" si="36"/>
        <v/>
      </c>
      <c r="BC27" s="38">
        <f t="shared" si="37"/>
        <v>708</v>
      </c>
      <c r="BD27" s="38">
        <f t="shared" si="34"/>
        <v>807</v>
      </c>
      <c r="BE27" t="e">
        <f t="shared" ref="BE27:BF31" si="38">VLOOKUP(AY30,$BJ$3:$BW$13,$AT24,FALSE)</f>
        <v>#N/A</v>
      </c>
      <c r="BF27" t="e">
        <f t="shared" si="38"/>
        <v>#N/A</v>
      </c>
      <c r="BG27" t="e">
        <f>N24*BF27</f>
        <v>#N/A</v>
      </c>
      <c r="BH27" t="e">
        <f>Q24*BE27</f>
        <v>#N/A</v>
      </c>
    </row>
    <row r="28" spans="1:83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BA28" t="str">
        <f>IF(AND(ISNUMBER(N24),ISNUMBER(Q24)),IF(N24+Q24=1,1,0),"")</f>
        <v/>
      </c>
      <c r="BC28" s="38"/>
      <c r="BD28" s="38"/>
      <c r="BE28" t="e">
        <f t="shared" si="38"/>
        <v>#N/A</v>
      </c>
      <c r="BF28" t="e">
        <f t="shared" si="38"/>
        <v>#N/A</v>
      </c>
      <c r="BG28" t="e">
        <f>N25*BF28</f>
        <v>#N/A</v>
      </c>
      <c r="BH28" t="e">
        <f>Q25*BE28</f>
        <v>#N/A</v>
      </c>
    </row>
    <row r="29" spans="1:83" x14ac:dyDescent="0.3">
      <c r="B29" s="35" t="s">
        <v>9</v>
      </c>
      <c r="D29" s="118" t="str">
        <f>"Van:" &amp; TEXT(Configuratie!J34,"uu.mm.ss")</f>
        <v>Van:13.15.00</v>
      </c>
      <c r="E29" s="119"/>
      <c r="F29" s="117"/>
      <c r="G29" s="118" t="str">
        <f>"Tot: "&amp; TEXT(Configuratie!K34,"uu.mm.ss")</f>
        <v>Tot: 13.25.00</v>
      </c>
      <c r="H29" s="119"/>
      <c r="I29" s="117"/>
      <c r="J29" s="117"/>
      <c r="BA29" t="str">
        <f>IF(AND(ISNUMBER(N25),ISNUMBER(Q25)),IF(N25+Q25=1,1,0),"")</f>
        <v/>
      </c>
      <c r="BC29" s="38"/>
      <c r="BD29" s="38"/>
      <c r="BE29" t="e">
        <f t="shared" si="38"/>
        <v>#N/A</v>
      </c>
      <c r="BF29" t="e">
        <f t="shared" si="38"/>
        <v>#N/A</v>
      </c>
      <c r="BG29" t="e">
        <f>N26*BF29</f>
        <v>#N/A</v>
      </c>
      <c r="BH29" t="e">
        <f>Q26*BE29</f>
        <v>#N/A</v>
      </c>
    </row>
    <row r="30" spans="1:83" x14ac:dyDescent="0.3">
      <c r="B30">
        <v>1</v>
      </c>
      <c r="C30" t="str">
        <f>VLOOKUP(AY30,$B$4:$F$17,2,FALSE)</f>
        <v>N</v>
      </c>
      <c r="D30" s="36" t="s">
        <v>5</v>
      </c>
      <c r="E30" s="86" t="str">
        <f t="shared" ref="E30:E36" si="39">VLOOKUP(AZ30,$B$4:$F$17,2,FALSE)</f>
        <v>A</v>
      </c>
      <c r="F30" s="86"/>
      <c r="G30" s="86"/>
      <c r="H30" s="86"/>
      <c r="J30" s="86" t="str">
        <f>IF(X30="","",VLOOKUP(X30,#REF!,3,FALSE))</f>
        <v/>
      </c>
      <c r="K30" s="86"/>
      <c r="L30" t="s">
        <v>5</v>
      </c>
      <c r="M30" s="86" t="str">
        <f>IF(X30="","",VLOOKUP(X30,#REF!,4,FALSE))</f>
        <v/>
      </c>
      <c r="N30" s="86"/>
      <c r="V30" t="str">
        <f>IF(X30="","",VLOOKUP(X30,#REF!,2,FALSE))</f>
        <v/>
      </c>
      <c r="W30" s="36"/>
      <c r="X30" s="1"/>
      <c r="AX30">
        <v>2</v>
      </c>
      <c r="AY30">
        <v>13</v>
      </c>
      <c r="AZ30">
        <v>1</v>
      </c>
      <c r="BA30" t="str">
        <f>IF(AND(ISNUMBER(J30),ISNUMBER(M30)),IF(J30+M30=1,1,0),"")</f>
        <v/>
      </c>
      <c r="BC30" s="38">
        <f t="shared" ref="BC30:BC36" si="40">AY30*100+AZ30</f>
        <v>1301</v>
      </c>
      <c r="BD30" s="38">
        <f t="shared" ref="BD30:BD36" si="41">AZ30*100+AY30</f>
        <v>113</v>
      </c>
      <c r="BE30" t="e">
        <f t="shared" si="38"/>
        <v>#N/A</v>
      </c>
      <c r="BF30" t="e">
        <f t="shared" si="38"/>
        <v>#N/A</v>
      </c>
      <c r="BG30" t="e">
        <f>N27*BF30</f>
        <v>#N/A</v>
      </c>
      <c r="BH30" t="e">
        <f>Q27*BE30</f>
        <v>#N/A</v>
      </c>
    </row>
    <row r="31" spans="1:83" x14ac:dyDescent="0.3">
      <c r="B31">
        <v>2</v>
      </c>
      <c r="C31" t="str">
        <f t="shared" ref="C31:C36" si="42">VLOOKUP(AY31,$B$4:$F$17,2,FALSE)</f>
        <v>M</v>
      </c>
      <c r="D31" s="36" t="s">
        <v>5</v>
      </c>
      <c r="E31" s="86" t="str">
        <f t="shared" si="39"/>
        <v>B</v>
      </c>
      <c r="F31" s="86"/>
      <c r="G31" s="86"/>
      <c r="H31" s="86"/>
      <c r="J31" s="86" t="str">
        <f>IF(X31="","",VLOOKUP(X31,#REF!,3,FALSE))</f>
        <v/>
      </c>
      <c r="K31" s="86"/>
      <c r="L31" t="s">
        <v>5</v>
      </c>
      <c r="M31" s="86" t="str">
        <f>IF(X31="","",VLOOKUP(X31,#REF!,4,FALSE))</f>
        <v/>
      </c>
      <c r="N31" s="86"/>
      <c r="V31" t="str">
        <f>IF(X31="","",VLOOKUP(X31,#REF!,2,FALSE))</f>
        <v/>
      </c>
      <c r="W31" s="36"/>
      <c r="X31" s="1"/>
      <c r="AX31">
        <v>2</v>
      </c>
      <c r="AY31">
        <v>12</v>
      </c>
      <c r="AZ31">
        <v>2</v>
      </c>
      <c r="BA31" t="str">
        <f t="shared" ref="BA31:BA36" si="43">IF(AND(ISNUMBER(J31),ISNUMBER(M31)),IF(J31+M31=1,1,0),"")</f>
        <v/>
      </c>
      <c r="BC31" s="38">
        <f t="shared" si="40"/>
        <v>1202</v>
      </c>
      <c r="BD31" s="38">
        <f t="shared" si="41"/>
        <v>212</v>
      </c>
      <c r="BE31" t="e">
        <f t="shared" si="38"/>
        <v>#N/A</v>
      </c>
      <c r="BF31" t="e">
        <f t="shared" si="38"/>
        <v>#N/A</v>
      </c>
      <c r="BG31" t="e">
        <f>N28*BF31</f>
        <v>#N/A</v>
      </c>
      <c r="BH31" t="e">
        <f>Q28*BE31</f>
        <v>#N/A</v>
      </c>
    </row>
    <row r="32" spans="1:83" x14ac:dyDescent="0.3">
      <c r="B32">
        <v>3</v>
      </c>
      <c r="C32" t="str">
        <f t="shared" si="42"/>
        <v>L</v>
      </c>
      <c r="D32" s="36" t="s">
        <v>5</v>
      </c>
      <c r="E32" s="86" t="str">
        <f t="shared" si="39"/>
        <v>C</v>
      </c>
      <c r="F32" s="86"/>
      <c r="G32" s="86"/>
      <c r="H32" s="86"/>
      <c r="J32" s="86" t="str">
        <f>IF(X32="","",VLOOKUP(X32,#REF!,3,FALSE))</f>
        <v/>
      </c>
      <c r="K32" s="86"/>
      <c r="L32" t="s">
        <v>5</v>
      </c>
      <c r="M32" s="86" t="str">
        <f>IF(X32="","",VLOOKUP(X32,#REF!,4,FALSE))</f>
        <v/>
      </c>
      <c r="N32" s="86"/>
      <c r="V32" t="str">
        <f>IF(X32="","",VLOOKUP(X32,#REF!,2,FALSE))</f>
        <v/>
      </c>
      <c r="W32" s="36"/>
      <c r="X32" s="1"/>
      <c r="AX32">
        <v>2</v>
      </c>
      <c r="AY32">
        <v>11</v>
      </c>
      <c r="AZ32">
        <v>3</v>
      </c>
      <c r="BA32" t="str">
        <f t="shared" si="43"/>
        <v/>
      </c>
      <c r="BC32" s="38">
        <f t="shared" si="40"/>
        <v>1103</v>
      </c>
      <c r="BD32" s="38">
        <f t="shared" si="41"/>
        <v>311</v>
      </c>
    </row>
    <row r="33" spans="2:60" x14ac:dyDescent="0.3">
      <c r="B33">
        <v>4</v>
      </c>
      <c r="C33" t="str">
        <f t="shared" si="42"/>
        <v>K</v>
      </c>
      <c r="D33" s="36" t="s">
        <v>5</v>
      </c>
      <c r="E33" s="86" t="str">
        <f t="shared" si="39"/>
        <v>D</v>
      </c>
      <c r="F33" s="86"/>
      <c r="G33" s="86"/>
      <c r="H33" s="86"/>
      <c r="J33" s="86" t="str">
        <f>IF(X33="","",VLOOKUP(X33,#REF!,3,FALSE))</f>
        <v/>
      </c>
      <c r="K33" s="86"/>
      <c r="L33" t="s">
        <v>5</v>
      </c>
      <c r="M33" s="86" t="str">
        <f>IF(X33="","",VLOOKUP(X33,#REF!,4,FALSE))</f>
        <v/>
      </c>
      <c r="N33" s="86"/>
      <c r="V33" t="str">
        <f>IF(X33="","",VLOOKUP(X33,#REF!,2,FALSE))</f>
        <v/>
      </c>
      <c r="W33" s="36"/>
      <c r="X33" s="1"/>
      <c r="AX33">
        <v>2</v>
      </c>
      <c r="AY33">
        <v>10</v>
      </c>
      <c r="AZ33">
        <v>4</v>
      </c>
      <c r="BA33" t="str">
        <f t="shared" si="43"/>
        <v/>
      </c>
      <c r="BC33" s="38">
        <f t="shared" si="40"/>
        <v>1004</v>
      </c>
      <c r="BD33" s="38">
        <f t="shared" si="41"/>
        <v>410</v>
      </c>
    </row>
    <row r="34" spans="2:60" x14ac:dyDescent="0.3">
      <c r="B34">
        <v>5</v>
      </c>
      <c r="C34" t="str">
        <f t="shared" si="42"/>
        <v>J</v>
      </c>
      <c r="D34" s="36" t="s">
        <v>5</v>
      </c>
      <c r="E34" s="86" t="str">
        <f t="shared" si="39"/>
        <v>E</v>
      </c>
      <c r="F34" s="86"/>
      <c r="G34" s="86"/>
      <c r="H34" s="86"/>
      <c r="J34" s="86" t="str">
        <f>IF(X34="","",VLOOKUP(X34,#REF!,3,FALSE))</f>
        <v/>
      </c>
      <c r="K34" s="86"/>
      <c r="L34" t="s">
        <v>5</v>
      </c>
      <c r="M34" s="86" t="str">
        <f>IF(X34="","",VLOOKUP(X34,#REF!,4,FALSE))</f>
        <v/>
      </c>
      <c r="N34" s="86"/>
      <c r="V34" t="str">
        <f>IF(X34="","",VLOOKUP(X34,#REF!,2,FALSE))</f>
        <v/>
      </c>
      <c r="W34" s="36"/>
      <c r="X34" s="1"/>
      <c r="AX34">
        <v>2</v>
      </c>
      <c r="AY34">
        <v>9</v>
      </c>
      <c r="AZ34">
        <v>5</v>
      </c>
      <c r="BA34" t="str">
        <f t="shared" si="43"/>
        <v/>
      </c>
      <c r="BC34" s="38">
        <f t="shared" si="40"/>
        <v>905</v>
      </c>
      <c r="BD34" s="38">
        <f t="shared" si="41"/>
        <v>509</v>
      </c>
      <c r="BE34" t="e">
        <f t="shared" ref="BE34:BF38" si="44">VLOOKUP(AY39,$BJ$3:$BW$13,$AT31,FALSE)</f>
        <v>#N/A</v>
      </c>
      <c r="BF34" t="e">
        <f t="shared" si="44"/>
        <v>#N/A</v>
      </c>
      <c r="BG34" t="e">
        <f>N31*BF34</f>
        <v>#N/A</v>
      </c>
      <c r="BH34" t="e">
        <f>Q31*BE34</f>
        <v>#N/A</v>
      </c>
    </row>
    <row r="35" spans="2:60" x14ac:dyDescent="0.3">
      <c r="B35">
        <v>6</v>
      </c>
      <c r="C35" t="str">
        <f t="shared" si="42"/>
        <v>I</v>
      </c>
      <c r="D35" s="36" t="s">
        <v>5</v>
      </c>
      <c r="E35" s="86" t="str">
        <f t="shared" si="39"/>
        <v>G</v>
      </c>
      <c r="F35" s="86"/>
      <c r="G35" s="86"/>
      <c r="H35" s="86"/>
      <c r="J35" s="86" t="str">
        <f>IF(X35="","",VLOOKUP(X35,#REF!,3,FALSE))</f>
        <v/>
      </c>
      <c r="K35" s="86"/>
      <c r="L35" t="s">
        <v>5</v>
      </c>
      <c r="M35" s="86" t="str">
        <f>IF(X35="","",VLOOKUP(X35,#REF!,4,FALSE))</f>
        <v/>
      </c>
      <c r="N35" s="86"/>
      <c r="V35" t="str">
        <f>IF(X35="","",VLOOKUP(X35,#REF!,2,FALSE))</f>
        <v/>
      </c>
      <c r="W35" s="36"/>
      <c r="X35" s="1"/>
      <c r="AX35">
        <v>2</v>
      </c>
      <c r="AY35">
        <v>8</v>
      </c>
      <c r="AZ35">
        <v>6</v>
      </c>
      <c r="BA35" t="str">
        <f t="shared" si="43"/>
        <v/>
      </c>
      <c r="BC35" s="38">
        <f t="shared" si="40"/>
        <v>806</v>
      </c>
      <c r="BD35" s="38">
        <f t="shared" si="41"/>
        <v>608</v>
      </c>
      <c r="BE35" t="e">
        <f t="shared" si="44"/>
        <v>#N/A</v>
      </c>
      <c r="BF35" t="e">
        <f t="shared" si="44"/>
        <v>#N/A</v>
      </c>
      <c r="BG35" t="e">
        <f>N32*BF35</f>
        <v>#N/A</v>
      </c>
      <c r="BH35" t="e">
        <f>Q32*BE35</f>
        <v>#N/A</v>
      </c>
    </row>
    <row r="36" spans="2:60" x14ac:dyDescent="0.3">
      <c r="B36">
        <v>7</v>
      </c>
      <c r="C36" t="str">
        <f t="shared" si="42"/>
        <v>O</v>
      </c>
      <c r="D36" s="36" t="s">
        <v>5</v>
      </c>
      <c r="E36" s="86" t="str">
        <f t="shared" si="39"/>
        <v>H</v>
      </c>
      <c r="F36" s="86"/>
      <c r="G36" s="86"/>
      <c r="H36" s="86"/>
      <c r="J36" s="86" t="str">
        <f>IF(X36="","",VLOOKUP(X36,#REF!,3,FALSE))</f>
        <v/>
      </c>
      <c r="K36" s="86"/>
      <c r="L36" t="s">
        <v>5</v>
      </c>
      <c r="M36" s="86" t="str">
        <f>IF(X36="","",VLOOKUP(X36,#REF!,4,FALSE))</f>
        <v/>
      </c>
      <c r="N36" s="86"/>
      <c r="V36" t="str">
        <f>IF(X36="","",VLOOKUP(X36,#REF!,2,FALSE))</f>
        <v/>
      </c>
      <c r="W36" s="36"/>
      <c r="X36" s="1"/>
      <c r="AX36">
        <v>2</v>
      </c>
      <c r="AY36">
        <v>14</v>
      </c>
      <c r="AZ36">
        <v>7</v>
      </c>
      <c r="BA36" t="str">
        <f t="shared" si="43"/>
        <v/>
      </c>
      <c r="BC36" s="38">
        <f t="shared" si="40"/>
        <v>1407</v>
      </c>
      <c r="BD36" s="38">
        <f t="shared" si="41"/>
        <v>714</v>
      </c>
      <c r="BE36" t="e">
        <f t="shared" si="44"/>
        <v>#N/A</v>
      </c>
      <c r="BF36" t="e">
        <f t="shared" si="44"/>
        <v>#N/A</v>
      </c>
      <c r="BG36" t="e">
        <f>N33*BF36</f>
        <v>#N/A</v>
      </c>
      <c r="BH36" t="e">
        <f>Q33*BE36</f>
        <v>#N/A</v>
      </c>
    </row>
    <row r="37" spans="2:60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BA37" t="str">
        <f>IF(AND(ISNUMBER(N33),ISNUMBER(Q33)),IF(N33+Q33=1,1,0),"")</f>
        <v/>
      </c>
      <c r="BC37" s="38"/>
      <c r="BD37" s="38"/>
      <c r="BE37" t="e">
        <f t="shared" si="44"/>
        <v>#N/A</v>
      </c>
      <c r="BF37" t="e">
        <f t="shared" si="44"/>
        <v>#N/A</v>
      </c>
      <c r="BG37" t="e">
        <f>N34*BF37</f>
        <v>#N/A</v>
      </c>
      <c r="BH37" t="e">
        <f>Q34*BE37</f>
        <v>#N/A</v>
      </c>
    </row>
    <row r="38" spans="2:60" x14ac:dyDescent="0.3">
      <c r="B38" s="35" t="s">
        <v>10</v>
      </c>
      <c r="D38" s="118" t="str">
        <f>"Van:" &amp; TEXT(Configuratie!L34,"uu.mm.ss")</f>
        <v>Van:13.30.00</v>
      </c>
      <c r="E38" s="119"/>
      <c r="F38" s="117"/>
      <c r="G38" s="118" t="str">
        <f>"Tot: "&amp; TEXT(Configuratie!M34,"uu.mm.ss")</f>
        <v>Tot: 13.40.00</v>
      </c>
      <c r="H38" s="119"/>
      <c r="I38" s="117"/>
      <c r="J38" s="117"/>
      <c r="X38" s="57"/>
      <c r="BA38" t="str">
        <f>IF(AND(ISNUMBER(N34),ISNUMBER(Q34)),IF(N34+Q34=1,1,0),"")</f>
        <v/>
      </c>
      <c r="BC38" s="38"/>
      <c r="BD38" s="38"/>
      <c r="BE38" t="e">
        <f t="shared" si="44"/>
        <v>#N/A</v>
      </c>
      <c r="BF38" t="e">
        <f t="shared" si="44"/>
        <v>#N/A</v>
      </c>
      <c r="BG38" t="e">
        <f>N35*BF38</f>
        <v>#N/A</v>
      </c>
      <c r="BH38" t="e">
        <f>Q35*BE38</f>
        <v>#N/A</v>
      </c>
    </row>
    <row r="39" spans="2:60" x14ac:dyDescent="0.3">
      <c r="B39">
        <v>1</v>
      </c>
      <c r="C39" t="str">
        <f>VLOOKUP(AY39,$B$4:$F$17,2,FALSE)</f>
        <v>N</v>
      </c>
      <c r="D39" s="36" t="s">
        <v>5</v>
      </c>
      <c r="E39" s="86" t="str">
        <f t="shared" ref="E39:E45" si="45">VLOOKUP(AZ39,$B$4:$F$17,2,FALSE)</f>
        <v>O</v>
      </c>
      <c r="F39" s="86"/>
      <c r="G39" s="86"/>
      <c r="H39" s="86"/>
      <c r="J39" s="86" t="str">
        <f>IF(X39="","",VLOOKUP(X39,#REF!,3,FALSE))</f>
        <v/>
      </c>
      <c r="K39" s="86"/>
      <c r="L39" t="s">
        <v>5</v>
      </c>
      <c r="M39" s="86" t="str">
        <f>IF(X39="","",VLOOKUP(X39,#REF!,4,FALSE))</f>
        <v/>
      </c>
      <c r="N39" s="86"/>
      <c r="V39" t="str">
        <f>IF(X39="","",VLOOKUP(X39,#REF!,2,FALSE))</f>
        <v/>
      </c>
      <c r="W39" s="36"/>
      <c r="X39" s="1"/>
      <c r="AX39">
        <v>3</v>
      </c>
      <c r="AY39">
        <v>13</v>
      </c>
      <c r="AZ39">
        <v>14</v>
      </c>
      <c r="BA39" t="str">
        <f>IF(AND(ISNUMBER(J39),ISNUMBER(M39)),IF(J39+M39=1,1,0),"")</f>
        <v/>
      </c>
      <c r="BC39" s="38">
        <f t="shared" ref="BC39:BC45" si="46">AY39*100+AZ39</f>
        <v>1314</v>
      </c>
      <c r="BD39" s="38">
        <f t="shared" ref="BD39:BD45" si="47">AZ39*100+AY39</f>
        <v>1413</v>
      </c>
    </row>
    <row r="40" spans="2:60" x14ac:dyDescent="0.3">
      <c r="B40">
        <v>2</v>
      </c>
      <c r="C40" t="str">
        <f t="shared" ref="C40:C45" si="48">VLOOKUP(AY40,$B$4:$F$17,2,FALSE)</f>
        <v>A</v>
      </c>
      <c r="D40" s="36" t="s">
        <v>5</v>
      </c>
      <c r="E40" s="86" t="str">
        <f t="shared" si="45"/>
        <v>M</v>
      </c>
      <c r="F40" s="86"/>
      <c r="G40" s="86"/>
      <c r="H40" s="86"/>
      <c r="J40" s="86" t="str">
        <f>IF(X40="","",VLOOKUP(X40,#REF!,3,FALSE))</f>
        <v/>
      </c>
      <c r="K40" s="86"/>
      <c r="L40" t="s">
        <v>5</v>
      </c>
      <c r="M40" s="86" t="str">
        <f>IF(X40="","",VLOOKUP(X40,#REF!,4,FALSE))</f>
        <v/>
      </c>
      <c r="N40" s="86"/>
      <c r="V40" t="str">
        <f>IF(X40="","",VLOOKUP(X40,#REF!,2,FALSE))</f>
        <v/>
      </c>
      <c r="W40" s="36"/>
      <c r="X40" s="1"/>
      <c r="AX40">
        <v>3</v>
      </c>
      <c r="AY40">
        <v>1</v>
      </c>
      <c r="AZ40">
        <v>12</v>
      </c>
      <c r="BA40" t="str">
        <f t="shared" ref="BA40:BA45" si="49">IF(AND(ISNUMBER(J40),ISNUMBER(M40)),IF(J40+M40=1,1,0),"")</f>
        <v/>
      </c>
      <c r="BC40" s="38">
        <f t="shared" si="46"/>
        <v>112</v>
      </c>
      <c r="BD40" s="38">
        <f t="shared" si="47"/>
        <v>1201</v>
      </c>
    </row>
    <row r="41" spans="2:60" x14ac:dyDescent="0.3">
      <c r="B41">
        <v>3</v>
      </c>
      <c r="C41" t="str">
        <f t="shared" si="48"/>
        <v>B</v>
      </c>
      <c r="D41" s="36" t="s">
        <v>5</v>
      </c>
      <c r="E41" s="86" t="str">
        <f t="shared" si="45"/>
        <v>L</v>
      </c>
      <c r="F41" s="86"/>
      <c r="G41" s="86"/>
      <c r="H41" s="86"/>
      <c r="J41" s="86" t="str">
        <f>IF(X41="","",VLOOKUP(X41,#REF!,3,FALSE))</f>
        <v/>
      </c>
      <c r="K41" s="86"/>
      <c r="L41" t="s">
        <v>5</v>
      </c>
      <c r="M41" s="86" t="str">
        <f>IF(X41="","",VLOOKUP(X41,#REF!,4,FALSE))</f>
        <v/>
      </c>
      <c r="N41" s="86"/>
      <c r="V41" t="str">
        <f>IF(X41="","",VLOOKUP(X41,#REF!,2,FALSE))</f>
        <v/>
      </c>
      <c r="W41" s="36"/>
      <c r="X41" s="1"/>
      <c r="AX41">
        <v>3</v>
      </c>
      <c r="AY41">
        <v>2</v>
      </c>
      <c r="AZ41">
        <v>11</v>
      </c>
      <c r="BA41" t="str">
        <f t="shared" si="49"/>
        <v/>
      </c>
      <c r="BC41" s="38">
        <f t="shared" si="46"/>
        <v>211</v>
      </c>
      <c r="BD41" s="38">
        <f t="shared" si="47"/>
        <v>1102</v>
      </c>
      <c r="BE41" t="e">
        <f t="shared" ref="BE41:BF45" si="50">VLOOKUP(AY48,$BJ$3:$BW$13,$AT38,FALSE)</f>
        <v>#N/A</v>
      </c>
      <c r="BF41" t="e">
        <f t="shared" si="50"/>
        <v>#N/A</v>
      </c>
      <c r="BG41" t="e">
        <f>N38*BF41</f>
        <v>#N/A</v>
      </c>
      <c r="BH41" t="e">
        <f>Q38*BE41</f>
        <v>#N/A</v>
      </c>
    </row>
    <row r="42" spans="2:60" x14ac:dyDescent="0.3">
      <c r="B42">
        <v>4</v>
      </c>
      <c r="C42" t="str">
        <f t="shared" si="48"/>
        <v>C</v>
      </c>
      <c r="D42" s="36" t="s">
        <v>5</v>
      </c>
      <c r="E42" s="86" t="str">
        <f t="shared" si="45"/>
        <v>K</v>
      </c>
      <c r="F42" s="86"/>
      <c r="G42" s="86"/>
      <c r="H42" s="86"/>
      <c r="J42" s="86" t="str">
        <f>IF(X42="","",VLOOKUP(X42,#REF!,3,FALSE))</f>
        <v/>
      </c>
      <c r="K42" s="86"/>
      <c r="L42" t="s">
        <v>5</v>
      </c>
      <c r="M42" s="86" t="str">
        <f>IF(X42="","",VLOOKUP(X42,#REF!,4,FALSE))</f>
        <v/>
      </c>
      <c r="N42" s="86"/>
      <c r="V42" t="str">
        <f>IF(X42="","",VLOOKUP(X42,#REF!,2,FALSE))</f>
        <v/>
      </c>
      <c r="W42" s="36"/>
      <c r="X42" s="1"/>
      <c r="AX42">
        <v>3</v>
      </c>
      <c r="AY42">
        <v>3</v>
      </c>
      <c r="AZ42">
        <v>10</v>
      </c>
      <c r="BA42" t="str">
        <f t="shared" si="49"/>
        <v/>
      </c>
      <c r="BC42" s="38">
        <f t="shared" si="46"/>
        <v>310</v>
      </c>
      <c r="BD42" s="38">
        <f t="shared" si="47"/>
        <v>1003</v>
      </c>
      <c r="BE42" t="e">
        <f t="shared" si="50"/>
        <v>#N/A</v>
      </c>
      <c r="BF42" t="e">
        <f t="shared" si="50"/>
        <v>#N/A</v>
      </c>
      <c r="BG42" t="e">
        <f>N39*BF42</f>
        <v>#N/A</v>
      </c>
      <c r="BH42" t="e">
        <f>Q39*BE42</f>
        <v>#N/A</v>
      </c>
    </row>
    <row r="43" spans="2:60" x14ac:dyDescent="0.3">
      <c r="B43">
        <v>5</v>
      </c>
      <c r="C43" t="str">
        <f t="shared" si="48"/>
        <v>D</v>
      </c>
      <c r="D43" s="36" t="s">
        <v>5</v>
      </c>
      <c r="E43" s="86" t="str">
        <f t="shared" si="45"/>
        <v>J</v>
      </c>
      <c r="F43" s="86"/>
      <c r="G43" s="86"/>
      <c r="H43" s="86"/>
      <c r="J43" s="86" t="str">
        <f>IF(X43="","",VLOOKUP(X43,#REF!,3,FALSE))</f>
        <v/>
      </c>
      <c r="K43" s="86"/>
      <c r="L43" t="s">
        <v>5</v>
      </c>
      <c r="M43" s="86" t="str">
        <f>IF(X43="","",VLOOKUP(X43,#REF!,4,FALSE))</f>
        <v/>
      </c>
      <c r="N43" s="86"/>
      <c r="V43" t="str">
        <f>IF(X43="","",VLOOKUP(X43,#REF!,2,FALSE))</f>
        <v/>
      </c>
      <c r="W43" s="36"/>
      <c r="X43" s="1"/>
      <c r="AX43">
        <v>3</v>
      </c>
      <c r="AY43">
        <v>4</v>
      </c>
      <c r="AZ43">
        <v>9</v>
      </c>
      <c r="BA43" t="str">
        <f t="shared" si="49"/>
        <v/>
      </c>
      <c r="BC43" s="38">
        <f t="shared" si="46"/>
        <v>409</v>
      </c>
      <c r="BD43" s="38">
        <f t="shared" si="47"/>
        <v>904</v>
      </c>
      <c r="BE43" t="e">
        <f t="shared" si="50"/>
        <v>#N/A</v>
      </c>
      <c r="BF43" t="e">
        <f t="shared" si="50"/>
        <v>#N/A</v>
      </c>
      <c r="BG43" t="e">
        <f>N40*BF43</f>
        <v>#N/A</v>
      </c>
      <c r="BH43" t="e">
        <f>Q40*BE43</f>
        <v>#N/A</v>
      </c>
    </row>
    <row r="44" spans="2:60" x14ac:dyDescent="0.3">
      <c r="B44">
        <v>6</v>
      </c>
      <c r="C44" t="str">
        <f t="shared" si="48"/>
        <v>E</v>
      </c>
      <c r="D44" s="36" t="s">
        <v>5</v>
      </c>
      <c r="E44" s="86" t="str">
        <f t="shared" si="45"/>
        <v>I</v>
      </c>
      <c r="F44" s="86"/>
      <c r="G44" s="86"/>
      <c r="H44" s="86"/>
      <c r="J44" s="86" t="str">
        <f>IF(X44="","",VLOOKUP(X44,#REF!,3,FALSE))</f>
        <v/>
      </c>
      <c r="K44" s="86"/>
      <c r="L44" t="s">
        <v>5</v>
      </c>
      <c r="M44" s="86" t="str">
        <f>IF(X44="","",VLOOKUP(X44,#REF!,4,FALSE))</f>
        <v/>
      </c>
      <c r="N44" s="86"/>
      <c r="V44" t="str">
        <f>IF(X44="","",VLOOKUP(X44,#REF!,2,FALSE))</f>
        <v/>
      </c>
      <c r="W44" s="36"/>
      <c r="X44" s="1"/>
      <c r="AX44">
        <v>3</v>
      </c>
      <c r="AY44">
        <v>5</v>
      </c>
      <c r="AZ44">
        <v>8</v>
      </c>
      <c r="BA44" t="str">
        <f t="shared" si="49"/>
        <v/>
      </c>
      <c r="BC44" s="38">
        <f t="shared" si="46"/>
        <v>508</v>
      </c>
      <c r="BD44" s="38">
        <f t="shared" si="47"/>
        <v>805</v>
      </c>
      <c r="BE44" t="e">
        <f t="shared" si="50"/>
        <v>#N/A</v>
      </c>
      <c r="BF44" t="e">
        <f t="shared" si="50"/>
        <v>#N/A</v>
      </c>
      <c r="BG44" t="e">
        <f>N41*BF44</f>
        <v>#N/A</v>
      </c>
      <c r="BH44" t="e">
        <f>Q41*BE44</f>
        <v>#N/A</v>
      </c>
    </row>
    <row r="45" spans="2:60" x14ac:dyDescent="0.3">
      <c r="B45">
        <v>7</v>
      </c>
      <c r="C45" t="str">
        <f t="shared" si="48"/>
        <v>G</v>
      </c>
      <c r="D45" s="36" t="s">
        <v>5</v>
      </c>
      <c r="E45" s="86" t="str">
        <f t="shared" si="45"/>
        <v>H</v>
      </c>
      <c r="F45" s="86"/>
      <c r="G45" s="86"/>
      <c r="H45" s="86"/>
      <c r="J45" s="86" t="str">
        <f>IF(X45="","",VLOOKUP(X45,#REF!,3,FALSE))</f>
        <v/>
      </c>
      <c r="K45" s="86"/>
      <c r="L45" t="s">
        <v>5</v>
      </c>
      <c r="M45" s="86" t="str">
        <f>IF(X45="","",VLOOKUP(X45,#REF!,4,FALSE))</f>
        <v/>
      </c>
      <c r="N45" s="86"/>
      <c r="V45" t="str">
        <f>IF(X45="","",VLOOKUP(X45,#REF!,2,FALSE))</f>
        <v/>
      </c>
      <c r="W45" s="36"/>
      <c r="X45" s="1"/>
      <c r="AX45">
        <v>3</v>
      </c>
      <c r="AY45">
        <v>6</v>
      </c>
      <c r="AZ45">
        <v>7</v>
      </c>
      <c r="BA45" t="str">
        <f t="shared" si="49"/>
        <v/>
      </c>
      <c r="BC45" s="38">
        <f t="shared" si="46"/>
        <v>607</v>
      </c>
      <c r="BD45" s="38">
        <f t="shared" si="47"/>
        <v>706</v>
      </c>
      <c r="BE45" t="e">
        <f t="shared" si="50"/>
        <v>#N/A</v>
      </c>
      <c r="BF45" t="e">
        <f t="shared" si="50"/>
        <v>#N/A</v>
      </c>
      <c r="BG45" t="e">
        <f>N42*BF45</f>
        <v>#N/A</v>
      </c>
      <c r="BH45" t="e">
        <f>Q42*BE45</f>
        <v>#N/A</v>
      </c>
    </row>
    <row r="46" spans="2:60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BA46" t="str">
        <f>IF(AND(ISNUMBER(N42),ISNUMBER(Q42)),IF(N42+Q42=1,1,0),"")</f>
        <v/>
      </c>
      <c r="BC46" s="32"/>
      <c r="BD46" s="32"/>
    </row>
    <row r="47" spans="2:60" x14ac:dyDescent="0.3">
      <c r="B47" s="35" t="s">
        <v>11</v>
      </c>
      <c r="D47" s="118" t="str">
        <f>"Van:" &amp; TEXT(Configuratie!N34,"uu.mm.ss")</f>
        <v>Van:13.45.00</v>
      </c>
      <c r="E47" s="119"/>
      <c r="F47" s="117"/>
      <c r="G47" s="118" t="str">
        <f>"Tot: "&amp; TEXT(Configuratie!O34,"uu.mm.ss")</f>
        <v>Tot: 13.55.00</v>
      </c>
      <c r="H47" s="119"/>
      <c r="I47" s="117"/>
      <c r="J47" s="117"/>
      <c r="X47" s="57"/>
      <c r="BA47" t="str">
        <f>IF(AND(ISNUMBER(N43),ISNUMBER(Q43)),IF(N43+Q43=1,1,0),"")</f>
        <v/>
      </c>
      <c r="BC47" s="32"/>
      <c r="BD47" s="32"/>
    </row>
    <row r="48" spans="2:60" x14ac:dyDescent="0.3">
      <c r="B48">
        <v>1</v>
      </c>
      <c r="C48" t="str">
        <f t="shared" ref="C48:C54" si="51">VLOOKUP(AY48,$B$4:$F$17,2,FALSE)</f>
        <v>M</v>
      </c>
      <c r="D48" s="36" t="s">
        <v>5</v>
      </c>
      <c r="E48" s="86" t="str">
        <f t="shared" ref="E48:E54" si="52">VLOOKUP(AZ48,$B$4:$F$17,2,FALSE)</f>
        <v>N</v>
      </c>
      <c r="F48" s="86"/>
      <c r="G48" s="86"/>
      <c r="H48" s="86"/>
      <c r="J48" s="86" t="str">
        <f>IF(X48="","",VLOOKUP(X48,#REF!,3,FALSE))</f>
        <v/>
      </c>
      <c r="K48" s="86"/>
      <c r="L48" t="s">
        <v>5</v>
      </c>
      <c r="M48" s="86" t="str">
        <f>IF(X48="","",VLOOKUP(X48,#REF!,4,FALSE))</f>
        <v/>
      </c>
      <c r="N48" s="86"/>
      <c r="V48" t="str">
        <f>IF(X48="","",VLOOKUP(X48,#REF!,2,FALSE))</f>
        <v/>
      </c>
      <c r="W48" s="36"/>
      <c r="X48" s="1"/>
      <c r="AX48">
        <v>4</v>
      </c>
      <c r="AY48">
        <v>12</v>
      </c>
      <c r="AZ48">
        <v>13</v>
      </c>
      <c r="BA48" t="str">
        <f>IF(AND(ISNUMBER(J48),ISNUMBER(M48)),IF(J48+M48=1,1,0),"")</f>
        <v/>
      </c>
      <c r="BC48" s="38">
        <f t="shared" ref="BC48:BC54" si="53">AY48*100+AZ48</f>
        <v>1213</v>
      </c>
      <c r="BD48" s="38">
        <f t="shared" ref="BD48:BD54" si="54">AZ48*100+AY48</f>
        <v>1312</v>
      </c>
      <c r="BE48" t="e">
        <f t="shared" ref="BE48:BF52" si="55">VLOOKUP(AY57,$BJ$3:$BW$13,$AT45,FALSE)</f>
        <v>#N/A</v>
      </c>
      <c r="BF48" t="e">
        <f t="shared" si="55"/>
        <v>#N/A</v>
      </c>
      <c r="BG48" t="e">
        <f>N45*BF48</f>
        <v>#N/A</v>
      </c>
      <c r="BH48" t="e">
        <f>Q45*BE48</f>
        <v>#N/A</v>
      </c>
    </row>
    <row r="49" spans="2:60" x14ac:dyDescent="0.3">
      <c r="B49">
        <v>2</v>
      </c>
      <c r="C49" t="str">
        <f t="shared" si="51"/>
        <v>L</v>
      </c>
      <c r="D49" s="36" t="s">
        <v>5</v>
      </c>
      <c r="E49" s="86" t="str">
        <f t="shared" si="52"/>
        <v>A</v>
      </c>
      <c r="F49" s="86"/>
      <c r="G49" s="86"/>
      <c r="H49" s="86"/>
      <c r="J49" s="86" t="str">
        <f>IF(X49="","",VLOOKUP(X49,#REF!,3,FALSE))</f>
        <v/>
      </c>
      <c r="K49" s="86"/>
      <c r="L49" t="s">
        <v>5</v>
      </c>
      <c r="M49" s="86" t="str">
        <f>IF(X49="","",VLOOKUP(X49,#REF!,4,FALSE))</f>
        <v/>
      </c>
      <c r="N49" s="86"/>
      <c r="V49" t="str">
        <f>IF(X49="","",VLOOKUP(X49,#REF!,2,FALSE))</f>
        <v/>
      </c>
      <c r="W49" s="36"/>
      <c r="X49" s="1"/>
      <c r="AX49">
        <v>4</v>
      </c>
      <c r="AY49">
        <v>11</v>
      </c>
      <c r="AZ49">
        <v>1</v>
      </c>
      <c r="BA49" t="str">
        <f t="shared" ref="BA49:BA54" si="56">IF(AND(ISNUMBER(J49),ISNUMBER(M49)),IF(J49+M49=1,1,0),"")</f>
        <v/>
      </c>
      <c r="BC49" s="38">
        <f t="shared" si="53"/>
        <v>1101</v>
      </c>
      <c r="BD49" s="38">
        <f t="shared" si="54"/>
        <v>111</v>
      </c>
      <c r="BE49" t="e">
        <f t="shared" si="55"/>
        <v>#N/A</v>
      </c>
      <c r="BF49" t="e">
        <f t="shared" si="55"/>
        <v>#N/A</v>
      </c>
      <c r="BG49" t="e">
        <f>N46*BF49</f>
        <v>#N/A</v>
      </c>
      <c r="BH49" t="e">
        <f>Q46*BE49</f>
        <v>#N/A</v>
      </c>
    </row>
    <row r="50" spans="2:60" x14ac:dyDescent="0.3">
      <c r="B50">
        <v>3</v>
      </c>
      <c r="C50" t="str">
        <f t="shared" si="51"/>
        <v>K</v>
      </c>
      <c r="D50" s="36" t="s">
        <v>5</v>
      </c>
      <c r="E50" s="86" t="str">
        <f t="shared" si="52"/>
        <v>B</v>
      </c>
      <c r="F50" s="86"/>
      <c r="G50" s="86"/>
      <c r="H50" s="86"/>
      <c r="J50" s="86" t="str">
        <f>IF(X50="","",VLOOKUP(X50,#REF!,3,FALSE))</f>
        <v/>
      </c>
      <c r="K50" s="86"/>
      <c r="L50" t="s">
        <v>5</v>
      </c>
      <c r="M50" s="86" t="str">
        <f>IF(X50="","",VLOOKUP(X50,#REF!,4,FALSE))</f>
        <v/>
      </c>
      <c r="N50" s="86"/>
      <c r="V50" t="str">
        <f>IF(X50="","",VLOOKUP(X50,#REF!,2,FALSE))</f>
        <v/>
      </c>
      <c r="W50" s="36"/>
      <c r="X50" s="1"/>
      <c r="AX50">
        <v>4</v>
      </c>
      <c r="AY50">
        <v>10</v>
      </c>
      <c r="AZ50">
        <v>2</v>
      </c>
      <c r="BA50" t="str">
        <f t="shared" si="56"/>
        <v/>
      </c>
      <c r="BC50" s="38">
        <f t="shared" si="53"/>
        <v>1002</v>
      </c>
      <c r="BD50" s="38">
        <f t="shared" si="54"/>
        <v>210</v>
      </c>
      <c r="BE50" t="e">
        <f t="shared" si="55"/>
        <v>#N/A</v>
      </c>
      <c r="BF50" t="e">
        <f t="shared" si="55"/>
        <v>#N/A</v>
      </c>
      <c r="BG50" t="e">
        <f>N47*BF50</f>
        <v>#N/A</v>
      </c>
      <c r="BH50" t="e">
        <f>Q47*BE50</f>
        <v>#N/A</v>
      </c>
    </row>
    <row r="51" spans="2:60" x14ac:dyDescent="0.3">
      <c r="B51">
        <v>4</v>
      </c>
      <c r="C51" t="str">
        <f t="shared" si="51"/>
        <v>J</v>
      </c>
      <c r="D51" s="36" t="s">
        <v>5</v>
      </c>
      <c r="E51" s="86" t="str">
        <f t="shared" si="52"/>
        <v>C</v>
      </c>
      <c r="F51" s="86"/>
      <c r="G51" s="86"/>
      <c r="H51" s="86"/>
      <c r="J51" s="86" t="str">
        <f>IF(X51="","",VLOOKUP(X51,#REF!,3,FALSE))</f>
        <v/>
      </c>
      <c r="K51" s="86"/>
      <c r="L51" t="s">
        <v>5</v>
      </c>
      <c r="M51" s="86" t="str">
        <f>IF(X51="","",VLOOKUP(X51,#REF!,4,FALSE))</f>
        <v/>
      </c>
      <c r="N51" s="86"/>
      <c r="V51" t="str">
        <f>IF(X51="","",VLOOKUP(X51,#REF!,2,FALSE))</f>
        <v/>
      </c>
      <c r="W51" s="36"/>
      <c r="X51" s="1"/>
      <c r="AX51">
        <v>4</v>
      </c>
      <c r="AY51">
        <v>9</v>
      </c>
      <c r="AZ51">
        <v>3</v>
      </c>
      <c r="BA51" t="str">
        <f t="shared" si="56"/>
        <v/>
      </c>
      <c r="BC51" s="38">
        <f t="shared" si="53"/>
        <v>903</v>
      </c>
      <c r="BD51" s="38">
        <f t="shared" si="54"/>
        <v>309</v>
      </c>
      <c r="BE51" t="e">
        <f t="shared" si="55"/>
        <v>#N/A</v>
      </c>
      <c r="BF51" t="e">
        <f t="shared" si="55"/>
        <v>#N/A</v>
      </c>
      <c r="BG51" t="e">
        <f>N48*BF51</f>
        <v>#N/A</v>
      </c>
      <c r="BH51" t="e">
        <f>Q48*BE51</f>
        <v>#N/A</v>
      </c>
    </row>
    <row r="52" spans="2:60" x14ac:dyDescent="0.3">
      <c r="B52">
        <v>5</v>
      </c>
      <c r="C52" t="str">
        <f t="shared" si="51"/>
        <v>I</v>
      </c>
      <c r="D52" s="36" t="s">
        <v>5</v>
      </c>
      <c r="E52" s="86" t="str">
        <f t="shared" si="52"/>
        <v>D</v>
      </c>
      <c r="F52" s="86"/>
      <c r="G52" s="86"/>
      <c r="H52" s="86"/>
      <c r="J52" s="86" t="str">
        <f>IF(X52="","",VLOOKUP(X52,#REF!,3,FALSE))</f>
        <v/>
      </c>
      <c r="K52" s="86"/>
      <c r="L52" t="s">
        <v>5</v>
      </c>
      <c r="M52" s="86" t="str">
        <f>IF(X52="","",VLOOKUP(X52,#REF!,4,FALSE))</f>
        <v/>
      </c>
      <c r="N52" s="86"/>
      <c r="V52" t="str">
        <f>IF(X52="","",VLOOKUP(X52,#REF!,2,FALSE))</f>
        <v/>
      </c>
      <c r="W52" s="36"/>
      <c r="X52" s="1"/>
      <c r="AX52">
        <v>4</v>
      </c>
      <c r="AY52">
        <v>8</v>
      </c>
      <c r="AZ52">
        <v>4</v>
      </c>
      <c r="BA52" t="str">
        <f t="shared" si="56"/>
        <v/>
      </c>
      <c r="BC52" s="38">
        <f t="shared" si="53"/>
        <v>804</v>
      </c>
      <c r="BD52" s="38">
        <f t="shared" si="54"/>
        <v>408</v>
      </c>
      <c r="BE52" t="e">
        <f t="shared" si="55"/>
        <v>#N/A</v>
      </c>
      <c r="BF52" t="e">
        <f t="shared" si="55"/>
        <v>#N/A</v>
      </c>
      <c r="BG52" t="e">
        <f>N49*BF52</f>
        <v>#N/A</v>
      </c>
      <c r="BH52" t="e">
        <f>Q49*BE52</f>
        <v>#N/A</v>
      </c>
    </row>
    <row r="53" spans="2:60" x14ac:dyDescent="0.3">
      <c r="B53">
        <v>6</v>
      </c>
      <c r="C53" t="str">
        <f t="shared" si="51"/>
        <v>H</v>
      </c>
      <c r="D53" s="36" t="s">
        <v>5</v>
      </c>
      <c r="E53" s="86" t="str">
        <f t="shared" si="52"/>
        <v>E</v>
      </c>
      <c r="F53" s="86"/>
      <c r="G53" s="86"/>
      <c r="H53" s="86"/>
      <c r="J53" s="86" t="str">
        <f>IF(X53="","",VLOOKUP(X53,#REF!,3,FALSE))</f>
        <v/>
      </c>
      <c r="K53" s="86"/>
      <c r="L53" t="s">
        <v>5</v>
      </c>
      <c r="M53" s="86" t="str">
        <f>IF(X53="","",VLOOKUP(X53,#REF!,4,FALSE))</f>
        <v/>
      </c>
      <c r="N53" s="86"/>
      <c r="V53" t="str">
        <f>IF(X53="","",VLOOKUP(X53,#REF!,2,FALSE))</f>
        <v/>
      </c>
      <c r="W53" s="36"/>
      <c r="X53" s="1"/>
      <c r="AX53">
        <v>4</v>
      </c>
      <c r="AY53">
        <v>7</v>
      </c>
      <c r="AZ53">
        <v>5</v>
      </c>
      <c r="BA53" t="str">
        <f t="shared" si="56"/>
        <v/>
      </c>
      <c r="BC53" s="38">
        <f t="shared" si="53"/>
        <v>705</v>
      </c>
      <c r="BD53" s="38">
        <f t="shared" si="54"/>
        <v>507</v>
      </c>
    </row>
    <row r="54" spans="2:60" x14ac:dyDescent="0.3">
      <c r="B54">
        <v>7</v>
      </c>
      <c r="C54" t="str">
        <f t="shared" si="51"/>
        <v>O</v>
      </c>
      <c r="D54" s="36" t="s">
        <v>5</v>
      </c>
      <c r="E54" s="86" t="str">
        <f t="shared" si="52"/>
        <v>G</v>
      </c>
      <c r="F54" s="86"/>
      <c r="G54" s="86"/>
      <c r="H54" s="86"/>
      <c r="J54" s="86" t="str">
        <f>IF(X54="","",VLOOKUP(X54,#REF!,3,FALSE))</f>
        <v/>
      </c>
      <c r="K54" s="86"/>
      <c r="L54" t="s">
        <v>5</v>
      </c>
      <c r="M54" s="86" t="str">
        <f>IF(X54="","",VLOOKUP(X54,#REF!,4,FALSE))</f>
        <v/>
      </c>
      <c r="N54" s="86"/>
      <c r="V54" t="str">
        <f>IF(X54="","",VLOOKUP(X54,#REF!,2,FALSE))</f>
        <v/>
      </c>
      <c r="W54" s="36"/>
      <c r="X54" s="1"/>
      <c r="AX54">
        <v>4</v>
      </c>
      <c r="AY54">
        <v>14</v>
      </c>
      <c r="AZ54">
        <v>6</v>
      </c>
      <c r="BA54" t="str">
        <f t="shared" si="56"/>
        <v/>
      </c>
      <c r="BC54" s="38">
        <f t="shared" si="53"/>
        <v>1406</v>
      </c>
      <c r="BD54" s="38">
        <f t="shared" si="54"/>
        <v>614</v>
      </c>
    </row>
    <row r="55" spans="2:60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BC55" s="38"/>
      <c r="BD55" s="38"/>
      <c r="BE55" t="e">
        <f t="shared" ref="BE55:BF59" si="57">VLOOKUP(AY66,$BJ$3:$BW$13,$AT52,FALSE)</f>
        <v>#N/A</v>
      </c>
      <c r="BF55" t="e">
        <f t="shared" si="57"/>
        <v>#N/A</v>
      </c>
      <c r="BG55" t="e">
        <f>N52*BF55</f>
        <v>#N/A</v>
      </c>
      <c r="BH55" t="e">
        <f>Q52*BE55</f>
        <v>#N/A</v>
      </c>
    </row>
    <row r="56" spans="2:60" x14ac:dyDescent="0.3">
      <c r="B56" s="35" t="s">
        <v>12</v>
      </c>
      <c r="D56" s="118" t="str">
        <f>"Van:" &amp; TEXT(Configuratie!P34,"uu.mm.ss")</f>
        <v>Van:14.00.00</v>
      </c>
      <c r="E56" s="119"/>
      <c r="F56" s="117"/>
      <c r="G56" s="118" t="str">
        <f>"Tot: "&amp; TEXT(Configuratie!Q34,"uu.mm.ss")</f>
        <v>Tot: 14.10.00</v>
      </c>
      <c r="H56" s="119"/>
      <c r="I56" s="117"/>
      <c r="J56" s="117"/>
      <c r="BA56" t="str">
        <f>IF(AND(ISNUMBER(N52),ISNUMBER(Q52)),IF(N52+Q52=1,1,0),"")</f>
        <v/>
      </c>
      <c r="BC56" s="38"/>
      <c r="BD56" s="38"/>
      <c r="BE56" t="e">
        <f t="shared" si="57"/>
        <v>#N/A</v>
      </c>
      <c r="BF56" t="e">
        <f t="shared" si="57"/>
        <v>#N/A</v>
      </c>
      <c r="BG56" t="e">
        <f>N53*BF56</f>
        <v>#N/A</v>
      </c>
      <c r="BH56" t="e">
        <f>Q53*BE56</f>
        <v>#N/A</v>
      </c>
    </row>
    <row r="57" spans="2:60" x14ac:dyDescent="0.3">
      <c r="B57">
        <v>1</v>
      </c>
      <c r="C57" t="str">
        <f>VLOOKUP(AY57,$B$4:$F$17,2,FALSE)</f>
        <v>M</v>
      </c>
      <c r="D57" s="36" t="s">
        <v>5</v>
      </c>
      <c r="E57" s="86" t="str">
        <f t="shared" ref="E57:E63" si="58">VLOOKUP(AZ57,$B$4:$F$17,2,FALSE)</f>
        <v>O</v>
      </c>
      <c r="F57" s="86"/>
      <c r="G57" s="86"/>
      <c r="H57" s="86"/>
      <c r="J57" s="86" t="str">
        <f>IF(X57="","",VLOOKUP(X57,#REF!,3,FALSE))</f>
        <v/>
      </c>
      <c r="K57" s="86"/>
      <c r="L57" t="s">
        <v>5</v>
      </c>
      <c r="M57" s="86" t="str">
        <f>IF(X57="","",VLOOKUP(X57,#REF!,4,FALSE))</f>
        <v/>
      </c>
      <c r="N57" s="86"/>
      <c r="V57" t="str">
        <f>IF(X57="","",VLOOKUP(X57,#REF!,2,FALSE))</f>
        <v/>
      </c>
      <c r="W57" s="36"/>
      <c r="X57" s="1"/>
      <c r="AX57">
        <v>5</v>
      </c>
      <c r="AY57">
        <v>12</v>
      </c>
      <c r="AZ57">
        <v>14</v>
      </c>
      <c r="BA57" t="str">
        <f>IF(AND(ISNUMBER(J57),ISNUMBER(M57)),IF(J57+M57=1,1,0),"")</f>
        <v/>
      </c>
      <c r="BC57" s="38">
        <f t="shared" ref="BC57:BC63" si="59">AY57*100+AZ57</f>
        <v>1214</v>
      </c>
      <c r="BD57" s="38">
        <f t="shared" ref="BD57:BD63" si="60">AZ57*100+AY57</f>
        <v>1412</v>
      </c>
      <c r="BE57" t="e">
        <f t="shared" si="57"/>
        <v>#N/A</v>
      </c>
      <c r="BF57" t="e">
        <f t="shared" si="57"/>
        <v>#N/A</v>
      </c>
      <c r="BG57" t="e">
        <f>N54*BF57</f>
        <v>#N/A</v>
      </c>
      <c r="BH57" t="e">
        <f>Q54*BE57</f>
        <v>#N/A</v>
      </c>
    </row>
    <row r="58" spans="2:60" x14ac:dyDescent="0.3">
      <c r="B58">
        <v>2</v>
      </c>
      <c r="C58" t="str">
        <f t="shared" ref="C58:C63" si="61">VLOOKUP(AY58,$B$4:$F$17,2,FALSE)</f>
        <v>N</v>
      </c>
      <c r="D58" s="36" t="s">
        <v>5</v>
      </c>
      <c r="E58" s="86" t="str">
        <f t="shared" si="58"/>
        <v>L</v>
      </c>
      <c r="F58" s="86"/>
      <c r="G58" s="86"/>
      <c r="H58" s="86"/>
      <c r="J58" s="86" t="str">
        <f>IF(X58="","",VLOOKUP(X58,#REF!,3,FALSE))</f>
        <v/>
      </c>
      <c r="K58" s="86"/>
      <c r="L58" t="s">
        <v>5</v>
      </c>
      <c r="M58" s="86" t="str">
        <f>IF(X58="","",VLOOKUP(X58,#REF!,4,FALSE))</f>
        <v/>
      </c>
      <c r="N58" s="86"/>
      <c r="V58" t="str">
        <f>IF(X58="","",VLOOKUP(X58,#REF!,2,FALSE))</f>
        <v/>
      </c>
      <c r="W58" s="36"/>
      <c r="X58" s="1"/>
      <c r="AX58">
        <v>5</v>
      </c>
      <c r="AY58">
        <v>13</v>
      </c>
      <c r="AZ58">
        <v>11</v>
      </c>
      <c r="BA58" t="str">
        <f t="shared" ref="BA58:BA63" si="62">IF(AND(ISNUMBER(J58),ISNUMBER(M58)),IF(J58+M58=1,1,0),"")</f>
        <v/>
      </c>
      <c r="BC58" s="38">
        <f t="shared" si="59"/>
        <v>1311</v>
      </c>
      <c r="BD58" s="38">
        <f t="shared" si="60"/>
        <v>1113</v>
      </c>
      <c r="BE58" t="e">
        <f t="shared" si="57"/>
        <v>#N/A</v>
      </c>
      <c r="BF58" t="e">
        <f t="shared" si="57"/>
        <v>#N/A</v>
      </c>
      <c r="BG58" t="e">
        <f>N55*BF58</f>
        <v>#N/A</v>
      </c>
      <c r="BH58" t="e">
        <f>Q55*BE58</f>
        <v>#N/A</v>
      </c>
    </row>
    <row r="59" spans="2:60" x14ac:dyDescent="0.3">
      <c r="B59">
        <v>3</v>
      </c>
      <c r="C59" t="str">
        <f t="shared" si="61"/>
        <v>A</v>
      </c>
      <c r="D59" s="36" t="s">
        <v>5</v>
      </c>
      <c r="E59" s="86" t="str">
        <f t="shared" si="58"/>
        <v>K</v>
      </c>
      <c r="F59" s="86"/>
      <c r="G59" s="86"/>
      <c r="H59" s="86"/>
      <c r="J59" s="86" t="str">
        <f>IF(X59="","",VLOOKUP(X59,#REF!,3,FALSE))</f>
        <v/>
      </c>
      <c r="K59" s="86"/>
      <c r="L59" t="s">
        <v>5</v>
      </c>
      <c r="M59" s="86" t="str">
        <f>IF(X59="","",VLOOKUP(X59,#REF!,4,FALSE))</f>
        <v/>
      </c>
      <c r="N59" s="86"/>
      <c r="V59" t="str">
        <f>IF(X59="","",VLOOKUP(X59,#REF!,2,FALSE))</f>
        <v/>
      </c>
      <c r="W59" s="36"/>
      <c r="X59" s="1"/>
      <c r="AX59">
        <v>5</v>
      </c>
      <c r="AY59">
        <v>1</v>
      </c>
      <c r="AZ59">
        <v>10</v>
      </c>
      <c r="BA59" t="str">
        <f t="shared" si="62"/>
        <v/>
      </c>
      <c r="BC59" s="38">
        <f t="shared" si="59"/>
        <v>110</v>
      </c>
      <c r="BD59" s="38">
        <f t="shared" si="60"/>
        <v>1001</v>
      </c>
      <c r="BE59" t="e" vm="1">
        <f t="shared" si="57"/>
        <v>#VALUE!</v>
      </c>
      <c r="BF59" t="e">
        <f t="shared" si="57"/>
        <v>#N/A</v>
      </c>
      <c r="BG59" t="e">
        <f>N56*BF59</f>
        <v>#N/A</v>
      </c>
      <c r="BH59" t="e" vm="2">
        <f>Q56*BE59</f>
        <v>#VALUE!</v>
      </c>
    </row>
    <row r="60" spans="2:60" x14ac:dyDescent="0.3">
      <c r="B60">
        <v>4</v>
      </c>
      <c r="C60" t="str">
        <f t="shared" si="61"/>
        <v>B</v>
      </c>
      <c r="D60" s="36" t="s">
        <v>5</v>
      </c>
      <c r="E60" s="86" t="str">
        <f t="shared" si="58"/>
        <v>J</v>
      </c>
      <c r="F60" s="86"/>
      <c r="G60" s="86"/>
      <c r="H60" s="86"/>
      <c r="J60" s="86" t="str">
        <f>IF(X60="","",VLOOKUP(X60,#REF!,3,FALSE))</f>
        <v/>
      </c>
      <c r="K60" s="86"/>
      <c r="L60" t="s">
        <v>5</v>
      </c>
      <c r="M60" s="86" t="str">
        <f>IF(X60="","",VLOOKUP(X60,#REF!,4,FALSE))</f>
        <v/>
      </c>
      <c r="N60" s="86"/>
      <c r="V60" t="str">
        <f>IF(X60="","",VLOOKUP(X60,#REF!,2,FALSE))</f>
        <v/>
      </c>
      <c r="W60" s="36"/>
      <c r="X60" s="1"/>
      <c r="AX60">
        <v>5</v>
      </c>
      <c r="AY60">
        <v>2</v>
      </c>
      <c r="AZ60">
        <v>9</v>
      </c>
      <c r="BA60" t="str">
        <f t="shared" si="62"/>
        <v/>
      </c>
      <c r="BC60" s="38">
        <f t="shared" si="59"/>
        <v>209</v>
      </c>
      <c r="BD60" s="38">
        <f t="shared" si="60"/>
        <v>902</v>
      </c>
    </row>
    <row r="61" spans="2:60" x14ac:dyDescent="0.3">
      <c r="B61">
        <v>5</v>
      </c>
      <c r="C61" t="str">
        <f t="shared" si="61"/>
        <v>C</v>
      </c>
      <c r="D61" s="36" t="s">
        <v>5</v>
      </c>
      <c r="E61" s="86" t="str">
        <f t="shared" si="58"/>
        <v>I</v>
      </c>
      <c r="F61" s="86"/>
      <c r="G61" s="86"/>
      <c r="H61" s="86"/>
      <c r="J61" s="86" t="str">
        <f>IF(X61="","",VLOOKUP(X61,#REF!,3,FALSE))</f>
        <v/>
      </c>
      <c r="K61" s="86"/>
      <c r="L61" t="s">
        <v>5</v>
      </c>
      <c r="M61" s="86" t="str">
        <f>IF(X61="","",VLOOKUP(X61,#REF!,4,FALSE))</f>
        <v/>
      </c>
      <c r="N61" s="86"/>
      <c r="V61" t="str">
        <f>IF(X61="","",VLOOKUP(X61,#REF!,2,FALSE))</f>
        <v/>
      </c>
      <c r="W61" s="36"/>
      <c r="X61" s="1"/>
      <c r="AX61">
        <v>5</v>
      </c>
      <c r="AY61">
        <v>3</v>
      </c>
      <c r="AZ61">
        <v>8</v>
      </c>
      <c r="BA61" t="str">
        <f t="shared" si="62"/>
        <v/>
      </c>
      <c r="BC61" s="38">
        <f t="shared" si="59"/>
        <v>308</v>
      </c>
      <c r="BD61" s="38">
        <f t="shared" si="60"/>
        <v>803</v>
      </c>
    </row>
    <row r="62" spans="2:60" x14ac:dyDescent="0.3">
      <c r="B62">
        <v>6</v>
      </c>
      <c r="C62" t="str">
        <f t="shared" si="61"/>
        <v>D</v>
      </c>
      <c r="D62" s="36" t="s">
        <v>5</v>
      </c>
      <c r="E62" s="86" t="str">
        <f t="shared" si="58"/>
        <v>H</v>
      </c>
      <c r="F62" s="86"/>
      <c r="G62" s="86"/>
      <c r="H62" s="86"/>
      <c r="J62" s="86" t="str">
        <f>IF(X62="","",VLOOKUP(X62,#REF!,3,FALSE))</f>
        <v/>
      </c>
      <c r="K62" s="86"/>
      <c r="L62" t="s">
        <v>5</v>
      </c>
      <c r="M62" s="86" t="str">
        <f>IF(X62="","",VLOOKUP(X62,#REF!,4,FALSE))</f>
        <v/>
      </c>
      <c r="N62" s="86"/>
      <c r="V62" t="str">
        <f>IF(X62="","",VLOOKUP(X62,#REF!,2,FALSE))</f>
        <v/>
      </c>
      <c r="W62" s="36"/>
      <c r="X62" s="1"/>
      <c r="AX62">
        <v>5</v>
      </c>
      <c r="AY62">
        <v>4</v>
      </c>
      <c r="AZ62">
        <v>7</v>
      </c>
      <c r="BA62" t="str">
        <f t="shared" si="62"/>
        <v/>
      </c>
      <c r="BC62" s="38">
        <f t="shared" si="59"/>
        <v>407</v>
      </c>
      <c r="BD62" s="38">
        <f t="shared" si="60"/>
        <v>704</v>
      </c>
      <c r="BE62" t="e">
        <f t="shared" ref="BE62:BF66" si="63">VLOOKUP(AY75,$BJ$3:$BW$13,$AT59,FALSE)</f>
        <v>#N/A</v>
      </c>
      <c r="BF62" t="e">
        <f t="shared" si="63"/>
        <v>#N/A</v>
      </c>
      <c r="BG62" t="e">
        <f>N59*BF62</f>
        <v>#N/A</v>
      </c>
      <c r="BH62" t="e">
        <f>Q59*BE62</f>
        <v>#N/A</v>
      </c>
    </row>
    <row r="63" spans="2:60" x14ac:dyDescent="0.3">
      <c r="B63">
        <v>7</v>
      </c>
      <c r="C63" t="str">
        <f t="shared" si="61"/>
        <v>E</v>
      </c>
      <c r="D63" s="36" t="s">
        <v>5</v>
      </c>
      <c r="E63" s="86" t="str">
        <f t="shared" si="58"/>
        <v>G</v>
      </c>
      <c r="F63" s="86"/>
      <c r="G63" s="86"/>
      <c r="H63" s="86"/>
      <c r="J63" s="86" t="str">
        <f>IF(X63="","",VLOOKUP(X63,#REF!,3,FALSE))</f>
        <v/>
      </c>
      <c r="K63" s="86"/>
      <c r="L63" t="s">
        <v>5</v>
      </c>
      <c r="M63" s="86" t="str">
        <f>IF(X63="","",VLOOKUP(X63,#REF!,4,FALSE))</f>
        <v/>
      </c>
      <c r="N63" s="86"/>
      <c r="V63" t="str">
        <f>IF(X63="","",VLOOKUP(X63,#REF!,2,FALSE))</f>
        <v/>
      </c>
      <c r="W63" s="36"/>
      <c r="X63" s="1"/>
      <c r="AX63">
        <v>5</v>
      </c>
      <c r="AY63">
        <v>5</v>
      </c>
      <c r="AZ63">
        <v>6</v>
      </c>
      <c r="BA63" t="str">
        <f t="shared" si="62"/>
        <v/>
      </c>
      <c r="BC63" s="38">
        <f t="shared" si="59"/>
        <v>506</v>
      </c>
      <c r="BD63" s="38">
        <f t="shared" si="60"/>
        <v>605</v>
      </c>
      <c r="BE63" t="e">
        <f t="shared" si="63"/>
        <v>#N/A</v>
      </c>
      <c r="BF63" t="e">
        <f t="shared" si="63"/>
        <v>#N/A</v>
      </c>
      <c r="BG63" t="e">
        <f>N60*BF63</f>
        <v>#N/A</v>
      </c>
      <c r="BH63" t="e">
        <f>Q60*BE63</f>
        <v>#N/A</v>
      </c>
    </row>
    <row r="64" spans="2:60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BA64" t="str">
        <f>IF(AND(ISNUMBER(N60),ISNUMBER(Q60)),IF(N60+Q60=1,1,0),"")</f>
        <v/>
      </c>
      <c r="BC64" s="38"/>
      <c r="BD64" s="38"/>
      <c r="BE64" t="e">
        <f t="shared" si="63"/>
        <v>#N/A</v>
      </c>
      <c r="BF64" t="e">
        <f t="shared" si="63"/>
        <v>#N/A</v>
      </c>
      <c r="BG64" t="e">
        <f>N61*BF64</f>
        <v>#N/A</v>
      </c>
      <c r="BH64" t="e">
        <f>Q61*BE64</f>
        <v>#N/A</v>
      </c>
    </row>
    <row r="65" spans="2:60" x14ac:dyDescent="0.3">
      <c r="B65" s="35" t="s">
        <v>13</v>
      </c>
      <c r="D65" s="118" t="str">
        <f>"Van:" &amp; TEXT(Configuratie!R34,"uu.mm.ss")</f>
        <v>Van:14.15.00</v>
      </c>
      <c r="E65" s="119"/>
      <c r="F65" s="117"/>
      <c r="G65" s="118" t="str">
        <f>"Tot: "&amp; TEXT(Configuratie!S34,"uu.mm.ss")</f>
        <v>Tot: 14.25.00</v>
      </c>
      <c r="H65" s="119"/>
      <c r="I65" s="117"/>
      <c r="J65" s="117"/>
      <c r="X65" s="57"/>
      <c r="BA65" t="str">
        <f>IF(AND(ISNUMBER(N61),ISNUMBER(Q61)),IF(N61+Q61=1,1,0),"")</f>
        <v/>
      </c>
      <c r="BC65" s="38"/>
      <c r="BD65" s="38"/>
      <c r="BE65" t="e">
        <f t="shared" si="63"/>
        <v>#N/A</v>
      </c>
      <c r="BF65" t="e">
        <f t="shared" si="63"/>
        <v>#N/A</v>
      </c>
      <c r="BG65" t="e">
        <f>N62*BF65</f>
        <v>#N/A</v>
      </c>
      <c r="BH65" t="e">
        <f>Q62*BE65</f>
        <v>#N/A</v>
      </c>
    </row>
    <row r="66" spans="2:60" x14ac:dyDescent="0.3">
      <c r="B66">
        <v>1</v>
      </c>
      <c r="C66" t="str">
        <f t="shared" ref="C66:C72" si="64">VLOOKUP(AY66,$B$4:$F$17,2,FALSE)</f>
        <v>L</v>
      </c>
      <c r="D66" s="36" t="s">
        <v>5</v>
      </c>
      <c r="E66" s="86" t="str">
        <f t="shared" ref="E66:E72" si="65">VLOOKUP(AZ66,$B$4:$F$17,2,FALSE)</f>
        <v>M</v>
      </c>
      <c r="F66" s="86"/>
      <c r="G66" s="86"/>
      <c r="H66" s="86"/>
      <c r="J66" s="86" t="str">
        <f>IF(X66="","",VLOOKUP(X66,#REF!,3,FALSE))</f>
        <v/>
      </c>
      <c r="K66" s="86"/>
      <c r="L66" t="s">
        <v>5</v>
      </c>
      <c r="M66" s="86" t="str">
        <f>IF(X66="","",VLOOKUP(X66,#REF!,4,FALSE))</f>
        <v/>
      </c>
      <c r="N66" s="86"/>
      <c r="V66" t="str">
        <f>IF(X66="","",VLOOKUP(X66,#REF!,2,FALSE))</f>
        <v/>
      </c>
      <c r="W66" s="36"/>
      <c r="X66" s="1"/>
      <c r="AX66">
        <v>6</v>
      </c>
      <c r="AY66">
        <v>11</v>
      </c>
      <c r="AZ66">
        <v>12</v>
      </c>
      <c r="BA66" t="str">
        <f>IF(AND(ISNUMBER(J66),ISNUMBER(M66)),IF(J66+M66=1,1,0),"")</f>
        <v/>
      </c>
      <c r="BC66" s="38">
        <f t="shared" ref="BC66:BC72" si="66">AY66*100+AZ66</f>
        <v>1112</v>
      </c>
      <c r="BD66" s="38">
        <f t="shared" ref="BD66:BD72" si="67">AZ66*100+AY66</f>
        <v>1211</v>
      </c>
      <c r="BE66" t="e">
        <f t="shared" si="63"/>
        <v>#N/A</v>
      </c>
      <c r="BF66" t="e" vm="1">
        <f t="shared" si="63"/>
        <v>#VALUE!</v>
      </c>
      <c r="BG66" t="e" vm="2">
        <f>N63*BF66</f>
        <v>#VALUE!</v>
      </c>
      <c r="BH66" t="e">
        <f>Q63*BE66</f>
        <v>#N/A</v>
      </c>
    </row>
    <row r="67" spans="2:60" x14ac:dyDescent="0.3">
      <c r="B67">
        <v>2</v>
      </c>
      <c r="C67" t="str">
        <f t="shared" si="64"/>
        <v>K</v>
      </c>
      <c r="D67" s="36" t="s">
        <v>5</v>
      </c>
      <c r="E67" s="86" t="str">
        <f t="shared" si="65"/>
        <v>N</v>
      </c>
      <c r="F67" s="86"/>
      <c r="G67" s="86"/>
      <c r="H67" s="86"/>
      <c r="J67" s="86" t="str">
        <f>IF(X67="","",VLOOKUP(X67,#REF!,3,FALSE))</f>
        <v/>
      </c>
      <c r="K67" s="86"/>
      <c r="L67" t="s">
        <v>5</v>
      </c>
      <c r="M67" s="86" t="str">
        <f>IF(X67="","",VLOOKUP(X67,#REF!,4,FALSE))</f>
        <v/>
      </c>
      <c r="N67" s="86"/>
      <c r="V67" t="str">
        <f>IF(X67="","",VLOOKUP(X67,#REF!,2,FALSE))</f>
        <v/>
      </c>
      <c r="W67" s="36"/>
      <c r="X67" s="1"/>
      <c r="AX67">
        <v>6</v>
      </c>
      <c r="AY67">
        <v>10</v>
      </c>
      <c r="AZ67">
        <v>13</v>
      </c>
      <c r="BA67" t="str">
        <f t="shared" ref="BA67:BA72" si="68">IF(AND(ISNUMBER(J67),ISNUMBER(M67)),IF(J67+M67=1,1,0),"")</f>
        <v/>
      </c>
      <c r="BC67" s="38">
        <f t="shared" si="66"/>
        <v>1013</v>
      </c>
      <c r="BD67" s="38">
        <f t="shared" si="67"/>
        <v>1310</v>
      </c>
    </row>
    <row r="68" spans="2:60" x14ac:dyDescent="0.3">
      <c r="B68">
        <v>3</v>
      </c>
      <c r="C68" t="str">
        <f t="shared" si="64"/>
        <v>J</v>
      </c>
      <c r="D68" s="36" t="s">
        <v>5</v>
      </c>
      <c r="E68" s="86" t="str">
        <f t="shared" si="65"/>
        <v>A</v>
      </c>
      <c r="F68" s="86"/>
      <c r="G68" s="86"/>
      <c r="H68" s="86"/>
      <c r="J68" s="86" t="str">
        <f>IF(X68="","",VLOOKUP(X68,#REF!,3,FALSE))</f>
        <v/>
      </c>
      <c r="K68" s="86"/>
      <c r="L68" t="s">
        <v>5</v>
      </c>
      <c r="M68" s="86" t="str">
        <f>IF(X68="","",VLOOKUP(X68,#REF!,4,FALSE))</f>
        <v/>
      </c>
      <c r="N68" s="86"/>
      <c r="V68" t="str">
        <f>IF(X68="","",VLOOKUP(X68,#REF!,2,FALSE))</f>
        <v/>
      </c>
      <c r="W68" s="36"/>
      <c r="X68" s="1"/>
      <c r="AX68">
        <v>6</v>
      </c>
      <c r="AY68">
        <v>9</v>
      </c>
      <c r="AZ68">
        <v>1</v>
      </c>
      <c r="BA68" t="str">
        <f t="shared" si="68"/>
        <v/>
      </c>
      <c r="BC68" s="38">
        <f t="shared" si="66"/>
        <v>901</v>
      </c>
      <c r="BD68" s="38">
        <f t="shared" si="67"/>
        <v>109</v>
      </c>
    </row>
    <row r="69" spans="2:60" x14ac:dyDescent="0.3">
      <c r="B69">
        <v>4</v>
      </c>
      <c r="C69" t="str">
        <f t="shared" si="64"/>
        <v>I</v>
      </c>
      <c r="D69" s="36" t="s">
        <v>5</v>
      </c>
      <c r="E69" s="86" t="str">
        <f t="shared" si="65"/>
        <v>B</v>
      </c>
      <c r="F69" s="86"/>
      <c r="G69" s="86"/>
      <c r="H69" s="86"/>
      <c r="J69" s="86" t="str">
        <f>IF(X69="","",VLOOKUP(X69,#REF!,3,FALSE))</f>
        <v/>
      </c>
      <c r="K69" s="86"/>
      <c r="L69" t="s">
        <v>5</v>
      </c>
      <c r="M69" s="86" t="str">
        <f>IF(X69="","",VLOOKUP(X69,#REF!,4,FALSE))</f>
        <v/>
      </c>
      <c r="N69" s="86"/>
      <c r="V69" t="str">
        <f>IF(X69="","",VLOOKUP(X69,#REF!,2,FALSE))</f>
        <v/>
      </c>
      <c r="W69" s="36"/>
      <c r="X69" s="1"/>
      <c r="AX69">
        <v>6</v>
      </c>
      <c r="AY69">
        <v>8</v>
      </c>
      <c r="AZ69">
        <v>2</v>
      </c>
      <c r="BA69" t="str">
        <f t="shared" si="68"/>
        <v/>
      </c>
      <c r="BC69" s="38">
        <f t="shared" si="66"/>
        <v>802</v>
      </c>
      <c r="BD69" s="38">
        <f t="shared" si="67"/>
        <v>208</v>
      </c>
      <c r="BE69" t="e">
        <f t="shared" ref="BE69:BF73" si="69">VLOOKUP(AY84,$BJ$3:$BW$13,$AT66,FALSE)</f>
        <v>#N/A</v>
      </c>
      <c r="BF69" t="e">
        <f t="shared" si="69"/>
        <v>#N/A</v>
      </c>
      <c r="BG69" t="e">
        <f>N66*BF69</f>
        <v>#N/A</v>
      </c>
      <c r="BH69" t="e">
        <f>Q66*BE69</f>
        <v>#N/A</v>
      </c>
    </row>
    <row r="70" spans="2:60" x14ac:dyDescent="0.3">
      <c r="B70">
        <v>5</v>
      </c>
      <c r="C70" t="str">
        <f t="shared" si="64"/>
        <v>H</v>
      </c>
      <c r="D70" s="36" t="s">
        <v>5</v>
      </c>
      <c r="E70" s="86" t="str">
        <f t="shared" si="65"/>
        <v>C</v>
      </c>
      <c r="F70" s="86"/>
      <c r="G70" s="86"/>
      <c r="H70" s="86"/>
      <c r="J70" s="86" t="str">
        <f>IF(X70="","",VLOOKUP(X70,#REF!,3,FALSE))</f>
        <v/>
      </c>
      <c r="K70" s="86"/>
      <c r="L70" t="s">
        <v>5</v>
      </c>
      <c r="M70" s="86" t="str">
        <f>IF(X70="","",VLOOKUP(X70,#REF!,4,FALSE))</f>
        <v/>
      </c>
      <c r="N70" s="86"/>
      <c r="V70" t="str">
        <f>IF(X70="","",VLOOKUP(X70,#REF!,2,FALSE))</f>
        <v/>
      </c>
      <c r="W70" s="36"/>
      <c r="X70" s="1"/>
      <c r="AX70">
        <v>6</v>
      </c>
      <c r="AY70">
        <v>7</v>
      </c>
      <c r="AZ70">
        <v>3</v>
      </c>
      <c r="BA70" t="str">
        <f t="shared" si="68"/>
        <v/>
      </c>
      <c r="BC70" s="38">
        <f t="shared" si="66"/>
        <v>703</v>
      </c>
      <c r="BD70" s="38">
        <f t="shared" si="67"/>
        <v>307</v>
      </c>
      <c r="BE70" t="e">
        <f t="shared" si="69"/>
        <v>#N/A</v>
      </c>
      <c r="BF70" t="e">
        <f t="shared" si="69"/>
        <v>#N/A</v>
      </c>
      <c r="BG70" t="e">
        <f>N67*BF70</f>
        <v>#N/A</v>
      </c>
      <c r="BH70" t="e">
        <f>Q67*BE70</f>
        <v>#N/A</v>
      </c>
    </row>
    <row r="71" spans="2:60" x14ac:dyDescent="0.3">
      <c r="B71">
        <v>6</v>
      </c>
      <c r="C71" t="str">
        <f t="shared" si="64"/>
        <v>G</v>
      </c>
      <c r="D71" s="36" t="s">
        <v>5</v>
      </c>
      <c r="E71" s="86" t="str">
        <f t="shared" si="65"/>
        <v>D</v>
      </c>
      <c r="F71" s="86"/>
      <c r="G71" s="86"/>
      <c r="H71" s="86"/>
      <c r="J71" s="86" t="str">
        <f>IF(X71="","",VLOOKUP(X71,#REF!,3,FALSE))</f>
        <v/>
      </c>
      <c r="K71" s="86"/>
      <c r="L71" t="s">
        <v>5</v>
      </c>
      <c r="M71" s="86" t="str">
        <f>IF(X71="","",VLOOKUP(X71,#REF!,4,FALSE))</f>
        <v/>
      </c>
      <c r="N71" s="86"/>
      <c r="V71" t="str">
        <f>IF(X71="","",VLOOKUP(X71,#REF!,2,FALSE))</f>
        <v/>
      </c>
      <c r="W71" s="36"/>
      <c r="X71" s="1"/>
      <c r="AX71">
        <v>6</v>
      </c>
      <c r="AY71">
        <v>6</v>
      </c>
      <c r="AZ71">
        <v>4</v>
      </c>
      <c r="BA71" t="str">
        <f t="shared" si="68"/>
        <v/>
      </c>
      <c r="BC71" s="38">
        <f t="shared" si="66"/>
        <v>604</v>
      </c>
      <c r="BD71" s="38">
        <f t="shared" si="67"/>
        <v>406</v>
      </c>
      <c r="BE71" t="e">
        <f t="shared" si="69"/>
        <v>#N/A</v>
      </c>
      <c r="BF71" t="e">
        <f t="shared" si="69"/>
        <v>#N/A</v>
      </c>
      <c r="BG71" t="e">
        <f>N68*BF71</f>
        <v>#N/A</v>
      </c>
      <c r="BH71" t="e">
        <f>Q68*BE71</f>
        <v>#N/A</v>
      </c>
    </row>
    <row r="72" spans="2:60" x14ac:dyDescent="0.3">
      <c r="B72">
        <v>7</v>
      </c>
      <c r="C72" t="str">
        <f t="shared" si="64"/>
        <v>O</v>
      </c>
      <c r="D72" s="36" t="s">
        <v>5</v>
      </c>
      <c r="E72" s="86" t="str">
        <f t="shared" si="65"/>
        <v>E</v>
      </c>
      <c r="F72" s="86"/>
      <c r="G72" s="86"/>
      <c r="H72" s="86"/>
      <c r="J72" s="86" t="str">
        <f>IF(X72="","",VLOOKUP(X72,#REF!,3,FALSE))</f>
        <v/>
      </c>
      <c r="K72" s="86"/>
      <c r="L72" t="s">
        <v>5</v>
      </c>
      <c r="M72" s="86" t="str">
        <f>IF(X72="","",VLOOKUP(X72,#REF!,4,FALSE))</f>
        <v/>
      </c>
      <c r="N72" s="86"/>
      <c r="V72" t="str">
        <f>IF(X72="","",VLOOKUP(X72,#REF!,2,FALSE))</f>
        <v/>
      </c>
      <c r="W72" s="36"/>
      <c r="X72" s="1"/>
      <c r="AX72">
        <v>6</v>
      </c>
      <c r="AY72">
        <v>14</v>
      </c>
      <c r="AZ72">
        <v>5</v>
      </c>
      <c r="BA72" t="str">
        <f t="shared" si="68"/>
        <v/>
      </c>
      <c r="BC72" s="38">
        <f t="shared" si="66"/>
        <v>1405</v>
      </c>
      <c r="BD72" s="38">
        <f t="shared" si="67"/>
        <v>514</v>
      </c>
      <c r="BE72" t="e" vm="1">
        <f t="shared" si="69"/>
        <v>#VALUE!</v>
      </c>
      <c r="BF72" t="e">
        <f t="shared" si="69"/>
        <v>#N/A</v>
      </c>
      <c r="BG72" t="e">
        <f>N69*BF72</f>
        <v>#N/A</v>
      </c>
      <c r="BH72" t="e" vm="2">
        <f>Q69*BE72</f>
        <v>#VALUE!</v>
      </c>
    </row>
    <row r="73" spans="2:60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BA73" t="str">
        <f>IF(AND(ISNUMBER(N69),ISNUMBER(Q69)),IF(N69+Q69=1,1,0),"")</f>
        <v/>
      </c>
      <c r="BC73" s="38"/>
      <c r="BD73" s="38"/>
      <c r="BE73" t="e">
        <f t="shared" si="69"/>
        <v>#N/A</v>
      </c>
      <c r="BF73" t="e">
        <f t="shared" si="69"/>
        <v>#N/A</v>
      </c>
      <c r="BG73" t="e">
        <f>N70*BF73</f>
        <v>#N/A</v>
      </c>
      <c r="BH73" t="e">
        <f>Q70*BE73</f>
        <v>#N/A</v>
      </c>
    </row>
    <row r="74" spans="2:60" x14ac:dyDescent="0.3">
      <c r="B74" s="35" t="s">
        <v>14</v>
      </c>
      <c r="D74" s="118" t="str">
        <f>"Van:" &amp; TEXT(Configuratie!T34,"uu.mm.ss")</f>
        <v>Van:14.55.00</v>
      </c>
      <c r="E74" s="119"/>
      <c r="F74" s="117"/>
      <c r="G74" s="118" t="str">
        <f>"Tot: "&amp; TEXT(Configuratie!U34,"uu.mm.ss")</f>
        <v>Tot: 15.05.00</v>
      </c>
      <c r="H74" s="119"/>
      <c r="I74" s="117"/>
      <c r="J74" s="117"/>
      <c r="BA74" t="str">
        <f>IF(AND(ISNUMBER(N70),ISNUMBER(Q70)),IF(N70+Q70=1,1,0),"")</f>
        <v/>
      </c>
      <c r="BC74" s="32"/>
      <c r="BD74" s="32"/>
    </row>
    <row r="75" spans="2:60" x14ac:dyDescent="0.3">
      <c r="B75">
        <v>1</v>
      </c>
      <c r="C75" t="str">
        <f t="shared" ref="C75:C81" si="70">VLOOKUP(AY75,$B$4:$F$17,2,FALSE)</f>
        <v>L</v>
      </c>
      <c r="D75" s="36" t="s">
        <v>5</v>
      </c>
      <c r="E75" s="86" t="str">
        <f t="shared" ref="E75:E81" si="71">VLOOKUP(AZ75,$B$4:$F$17,2,FALSE)</f>
        <v>O</v>
      </c>
      <c r="F75" s="86"/>
      <c r="G75" s="86"/>
      <c r="H75" s="86"/>
      <c r="J75" s="86" t="str">
        <f>IF(X75="","",VLOOKUP(X75,#REF!,3,FALSE))</f>
        <v/>
      </c>
      <c r="K75" s="86"/>
      <c r="L75" t="s">
        <v>5</v>
      </c>
      <c r="M75" s="86" t="str">
        <f>IF(X75="","",VLOOKUP(X75,#REF!,4,FALSE))</f>
        <v/>
      </c>
      <c r="N75" s="86"/>
      <c r="V75" t="str">
        <f>IF(X75="","",VLOOKUP(X75,#REF!,2,FALSE))</f>
        <v/>
      </c>
      <c r="W75" s="36"/>
      <c r="X75" s="1"/>
      <c r="AX75">
        <v>7</v>
      </c>
      <c r="AY75">
        <v>11</v>
      </c>
      <c r="AZ75">
        <v>14</v>
      </c>
      <c r="BA75" t="str">
        <f>IF(AND(ISNUMBER(J75),ISNUMBER(M75)),IF(J75+M75=1,1,0),"")</f>
        <v/>
      </c>
      <c r="BC75" s="38">
        <f t="shared" ref="BC75:BC81" si="72">AY75*100+AZ75</f>
        <v>1114</v>
      </c>
      <c r="BD75" s="38">
        <f t="shared" ref="BD75:BD81" si="73">AZ75*100+AY75</f>
        <v>1411</v>
      </c>
    </row>
    <row r="76" spans="2:60" x14ac:dyDescent="0.3">
      <c r="B76">
        <v>2</v>
      </c>
      <c r="C76" t="str">
        <f t="shared" si="70"/>
        <v>M</v>
      </c>
      <c r="D76" s="36" t="s">
        <v>5</v>
      </c>
      <c r="E76" s="86" t="str">
        <f t="shared" si="71"/>
        <v>K</v>
      </c>
      <c r="F76" s="86"/>
      <c r="G76" s="86"/>
      <c r="H76" s="86"/>
      <c r="J76" s="86" t="str">
        <f>IF(X76="","",VLOOKUP(X76,#REF!,3,FALSE))</f>
        <v/>
      </c>
      <c r="K76" s="86"/>
      <c r="L76" t="s">
        <v>5</v>
      </c>
      <c r="M76" s="86" t="str">
        <f>IF(X76="","",VLOOKUP(X76,#REF!,4,FALSE))</f>
        <v/>
      </c>
      <c r="N76" s="86"/>
      <c r="V76" t="str">
        <f>IF(X76="","",VLOOKUP(X76,#REF!,2,FALSE))</f>
        <v/>
      </c>
      <c r="W76" s="36"/>
      <c r="X76" s="1"/>
      <c r="AX76">
        <v>7</v>
      </c>
      <c r="AY76">
        <v>12</v>
      </c>
      <c r="AZ76">
        <v>10</v>
      </c>
      <c r="BA76" t="str">
        <f t="shared" ref="BA76:BA81" si="74">IF(AND(ISNUMBER(J76),ISNUMBER(M76)),IF(J76+M76=1,1,0),"")</f>
        <v/>
      </c>
      <c r="BC76" s="38">
        <f t="shared" si="72"/>
        <v>1210</v>
      </c>
      <c r="BD76" s="38">
        <f t="shared" si="73"/>
        <v>1012</v>
      </c>
      <c r="BE76" t="e">
        <f t="shared" ref="BE76:BF80" si="75">VLOOKUP(AY93,$BJ$3:$BW$13,$AT73,FALSE)</f>
        <v>#N/A</v>
      </c>
      <c r="BF76" t="e">
        <f t="shared" si="75"/>
        <v>#N/A</v>
      </c>
      <c r="BG76" t="e">
        <f>N73*BF76</f>
        <v>#N/A</v>
      </c>
      <c r="BH76" t="e">
        <f>Q73*BE76</f>
        <v>#N/A</v>
      </c>
    </row>
    <row r="77" spans="2:60" x14ac:dyDescent="0.3">
      <c r="B77">
        <v>3</v>
      </c>
      <c r="C77" t="str">
        <f t="shared" si="70"/>
        <v>N</v>
      </c>
      <c r="D77" s="36" t="s">
        <v>5</v>
      </c>
      <c r="E77" s="86" t="str">
        <f t="shared" si="71"/>
        <v>J</v>
      </c>
      <c r="F77" s="86"/>
      <c r="G77" s="86"/>
      <c r="H77" s="86"/>
      <c r="J77" s="86" t="str">
        <f>IF(X77="","",VLOOKUP(X77,#REF!,3,FALSE))</f>
        <v/>
      </c>
      <c r="K77" s="86"/>
      <c r="L77" t="s">
        <v>5</v>
      </c>
      <c r="M77" s="86" t="str">
        <f>IF(X77="","",VLOOKUP(X77,#REF!,4,FALSE))</f>
        <v/>
      </c>
      <c r="N77" s="86"/>
      <c r="V77" t="str">
        <f>IF(X77="","",VLOOKUP(X77,#REF!,2,FALSE))</f>
        <v/>
      </c>
      <c r="W77" s="36"/>
      <c r="X77" s="1"/>
      <c r="AX77">
        <v>7</v>
      </c>
      <c r="AY77">
        <v>13</v>
      </c>
      <c r="AZ77">
        <v>9</v>
      </c>
      <c r="BA77" t="str">
        <f t="shared" si="74"/>
        <v/>
      </c>
      <c r="BC77" s="38">
        <f t="shared" si="72"/>
        <v>1309</v>
      </c>
      <c r="BD77" s="38">
        <f t="shared" si="73"/>
        <v>913</v>
      </c>
      <c r="BE77" t="e">
        <f t="shared" si="75"/>
        <v>#N/A</v>
      </c>
      <c r="BF77" t="e">
        <f t="shared" si="75"/>
        <v>#N/A</v>
      </c>
      <c r="BG77" t="e">
        <f>N74*BF77</f>
        <v>#N/A</v>
      </c>
      <c r="BH77" t="e">
        <f>Q74*BE77</f>
        <v>#N/A</v>
      </c>
    </row>
    <row r="78" spans="2:60" x14ac:dyDescent="0.3">
      <c r="B78">
        <v>4</v>
      </c>
      <c r="C78" t="str">
        <f t="shared" si="70"/>
        <v>A</v>
      </c>
      <c r="D78" s="36" t="s">
        <v>5</v>
      </c>
      <c r="E78" s="86" t="str">
        <f t="shared" si="71"/>
        <v>I</v>
      </c>
      <c r="F78" s="86"/>
      <c r="G78" s="86"/>
      <c r="H78" s="86"/>
      <c r="J78" s="86" t="str">
        <f>IF(X78="","",VLOOKUP(X78,#REF!,3,FALSE))</f>
        <v/>
      </c>
      <c r="K78" s="86"/>
      <c r="L78" t="s">
        <v>5</v>
      </c>
      <c r="M78" s="86" t="str">
        <f>IF(X78="","",VLOOKUP(X78,#REF!,4,FALSE))</f>
        <v/>
      </c>
      <c r="N78" s="86"/>
      <c r="V78" t="str">
        <f>IF(X78="","",VLOOKUP(X78,#REF!,2,FALSE))</f>
        <v/>
      </c>
      <c r="W78" s="36"/>
      <c r="X78" s="1"/>
      <c r="AX78">
        <v>7</v>
      </c>
      <c r="AY78">
        <v>1</v>
      </c>
      <c r="AZ78">
        <v>8</v>
      </c>
      <c r="BA78" t="str">
        <f t="shared" si="74"/>
        <v/>
      </c>
      <c r="BC78" s="38">
        <f t="shared" si="72"/>
        <v>108</v>
      </c>
      <c r="BD78" s="38">
        <f t="shared" si="73"/>
        <v>801</v>
      </c>
      <c r="BE78" t="e">
        <f t="shared" si="75"/>
        <v>#N/A</v>
      </c>
      <c r="BF78" t="e">
        <f t="shared" si="75"/>
        <v>#N/A</v>
      </c>
      <c r="BG78" t="e">
        <f>N75*BF78</f>
        <v>#N/A</v>
      </c>
      <c r="BH78" t="e">
        <f>Q75*BE78</f>
        <v>#N/A</v>
      </c>
    </row>
    <row r="79" spans="2:60" x14ac:dyDescent="0.3">
      <c r="B79">
        <v>5</v>
      </c>
      <c r="C79" t="str">
        <f t="shared" si="70"/>
        <v>B</v>
      </c>
      <c r="D79" s="36" t="s">
        <v>5</v>
      </c>
      <c r="E79" s="86" t="str">
        <f t="shared" si="71"/>
        <v>H</v>
      </c>
      <c r="F79" s="86"/>
      <c r="G79" s="86"/>
      <c r="H79" s="86"/>
      <c r="J79" s="86" t="str">
        <f>IF(X79="","",VLOOKUP(X79,#REF!,3,FALSE))</f>
        <v/>
      </c>
      <c r="K79" s="86"/>
      <c r="L79" t="s">
        <v>5</v>
      </c>
      <c r="M79" s="86" t="str">
        <f>IF(X79="","",VLOOKUP(X79,#REF!,4,FALSE))</f>
        <v/>
      </c>
      <c r="N79" s="86"/>
      <c r="V79" t="str">
        <f>IF(X79="","",VLOOKUP(X79,#REF!,2,FALSE))</f>
        <v/>
      </c>
      <c r="W79" s="36"/>
      <c r="X79" s="1"/>
      <c r="AX79">
        <v>7</v>
      </c>
      <c r="AY79">
        <v>2</v>
      </c>
      <c r="AZ79">
        <v>7</v>
      </c>
      <c r="BA79" t="str">
        <f t="shared" si="74"/>
        <v/>
      </c>
      <c r="BC79" s="38">
        <f t="shared" si="72"/>
        <v>207</v>
      </c>
      <c r="BD79" s="38">
        <f t="shared" si="73"/>
        <v>702</v>
      </c>
      <c r="BE79" t="e">
        <f t="shared" si="75"/>
        <v>#N/A</v>
      </c>
      <c r="BF79" t="e" vm="1">
        <f t="shared" si="75"/>
        <v>#VALUE!</v>
      </c>
      <c r="BG79" t="e" vm="2">
        <f>N76*BF79</f>
        <v>#VALUE!</v>
      </c>
      <c r="BH79" t="e">
        <f>Q76*BE79</f>
        <v>#N/A</v>
      </c>
    </row>
    <row r="80" spans="2:60" x14ac:dyDescent="0.3">
      <c r="B80">
        <v>6</v>
      </c>
      <c r="C80" t="str">
        <f t="shared" si="70"/>
        <v>C</v>
      </c>
      <c r="D80" s="36" t="s">
        <v>5</v>
      </c>
      <c r="E80" s="86" t="str">
        <f t="shared" si="71"/>
        <v>G</v>
      </c>
      <c r="F80" s="86"/>
      <c r="G80" s="86"/>
      <c r="H80" s="86"/>
      <c r="J80" s="86" t="str">
        <f>IF(X80="","",VLOOKUP(X80,#REF!,3,FALSE))</f>
        <v/>
      </c>
      <c r="K80" s="86"/>
      <c r="L80" t="s">
        <v>5</v>
      </c>
      <c r="M80" s="86" t="str">
        <f>IF(X80="","",VLOOKUP(X80,#REF!,4,FALSE))</f>
        <v/>
      </c>
      <c r="N80" s="86"/>
      <c r="V80" t="str">
        <f>IF(X80="","",VLOOKUP(X80,#REF!,2,FALSE))</f>
        <v/>
      </c>
      <c r="W80" s="36"/>
      <c r="X80" s="1"/>
      <c r="AX80">
        <v>7</v>
      </c>
      <c r="AY80">
        <v>3</v>
      </c>
      <c r="AZ80">
        <v>6</v>
      </c>
      <c r="BA80" t="str">
        <f t="shared" si="74"/>
        <v/>
      </c>
      <c r="BC80" s="38">
        <f t="shared" si="72"/>
        <v>306</v>
      </c>
      <c r="BD80" s="38">
        <f t="shared" si="73"/>
        <v>603</v>
      </c>
      <c r="BE80" t="e">
        <f t="shared" si="75"/>
        <v>#N/A</v>
      </c>
      <c r="BF80" t="e">
        <f t="shared" si="75"/>
        <v>#N/A</v>
      </c>
      <c r="BG80" t="e">
        <f>N77*BF80</f>
        <v>#N/A</v>
      </c>
      <c r="BH80" t="e">
        <f>Q77*BE80</f>
        <v>#N/A</v>
      </c>
    </row>
    <row r="81" spans="2:56" x14ac:dyDescent="0.3">
      <c r="B81">
        <v>7</v>
      </c>
      <c r="C81" t="str">
        <f t="shared" si="70"/>
        <v>D</v>
      </c>
      <c r="D81" s="36" t="s">
        <v>5</v>
      </c>
      <c r="E81" s="86" t="str">
        <f t="shared" si="71"/>
        <v>E</v>
      </c>
      <c r="F81" s="86"/>
      <c r="G81" s="86"/>
      <c r="H81" s="86"/>
      <c r="J81" s="86" t="str">
        <f>IF(X81="","",VLOOKUP(X81,#REF!,3,FALSE))</f>
        <v/>
      </c>
      <c r="K81" s="86"/>
      <c r="L81" t="s">
        <v>5</v>
      </c>
      <c r="M81" s="86" t="str">
        <f>IF(X81="","",VLOOKUP(X81,#REF!,4,FALSE))</f>
        <v/>
      </c>
      <c r="N81" s="86"/>
      <c r="V81" t="str">
        <f>IF(X81="","",VLOOKUP(X81,#REF!,2,FALSE))</f>
        <v/>
      </c>
      <c r="W81" s="36"/>
      <c r="X81" s="1"/>
      <c r="AX81">
        <v>7</v>
      </c>
      <c r="AY81">
        <v>4</v>
      </c>
      <c r="AZ81">
        <v>5</v>
      </c>
      <c r="BA81" t="str">
        <f t="shared" si="74"/>
        <v/>
      </c>
      <c r="BC81" s="38">
        <f t="shared" si="72"/>
        <v>405</v>
      </c>
      <c r="BD81" s="38">
        <f t="shared" si="73"/>
        <v>504</v>
      </c>
    </row>
    <row r="82" spans="2:5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BA82" t="str">
        <f>IF(AND(ISNUMBER(N78),ISNUMBER(Q78)),IF(N78+Q78=1,1,0),"")</f>
        <v/>
      </c>
    </row>
    <row r="83" spans="2:56" x14ac:dyDescent="0.3">
      <c r="B83" s="35" t="s">
        <v>15</v>
      </c>
      <c r="D83" s="118" t="str">
        <f>"Van:" &amp; TEXT(Configuratie!V34,"uu.mm.ss")</f>
        <v>Van:15.10.00</v>
      </c>
      <c r="E83" s="119"/>
      <c r="F83" s="117"/>
      <c r="G83" s="118" t="str">
        <f>"Tot: "&amp; TEXT(Configuratie!W34,"uu.mm.ss")</f>
        <v>Tot: 15.20.00</v>
      </c>
      <c r="H83" s="119"/>
      <c r="I83" s="117"/>
      <c r="J83" s="117"/>
    </row>
    <row r="84" spans="2:56" x14ac:dyDescent="0.3">
      <c r="B84">
        <v>1</v>
      </c>
      <c r="C84" t="str">
        <f t="shared" ref="C84:C90" si="76">VLOOKUP(AY84,$B$4:$F$17,2,FALSE)</f>
        <v>K</v>
      </c>
      <c r="D84" s="36" t="s">
        <v>5</v>
      </c>
      <c r="E84" s="86" t="str">
        <f t="shared" ref="E84:E90" si="77">VLOOKUP(AZ84,$B$4:$F$17,2,FALSE)</f>
        <v>L</v>
      </c>
      <c r="F84" s="86"/>
      <c r="G84" s="86"/>
      <c r="H84" s="86"/>
      <c r="J84" s="86" t="str">
        <f>IF(X84="","",VLOOKUP(X84,#REF!,3,FALSE))</f>
        <v/>
      </c>
      <c r="K84" s="86"/>
      <c r="L84" t="s">
        <v>5</v>
      </c>
      <c r="M84" s="86" t="str">
        <f>IF(X84="","",VLOOKUP(X84,#REF!,4,FALSE))</f>
        <v/>
      </c>
      <c r="N84" s="86"/>
      <c r="V84" t="str">
        <f>IF(X84="","",VLOOKUP(X84,#REF!,2,FALSE))</f>
        <v/>
      </c>
      <c r="W84" s="36"/>
      <c r="X84" s="1"/>
      <c r="AX84">
        <v>8</v>
      </c>
      <c r="AY84">
        <v>10</v>
      </c>
      <c r="AZ84">
        <v>11</v>
      </c>
      <c r="BA84" t="str">
        <f>IF(AND(ISNUMBER(J84),ISNUMBER(M84)),IF(J84+M84=1,1,0),"")</f>
        <v/>
      </c>
      <c r="BC84" s="38">
        <f t="shared" ref="BC84:BC90" si="78">AY84*100+AZ84</f>
        <v>1011</v>
      </c>
      <c r="BD84" s="38">
        <f t="shared" ref="BD84:BD90" si="79">AZ84*100+AY84</f>
        <v>1110</v>
      </c>
    </row>
    <row r="85" spans="2:56" x14ac:dyDescent="0.3">
      <c r="B85">
        <v>2</v>
      </c>
      <c r="C85" t="str">
        <f t="shared" si="76"/>
        <v>J</v>
      </c>
      <c r="D85" s="36" t="s">
        <v>5</v>
      </c>
      <c r="E85" s="86" t="str">
        <f t="shared" si="77"/>
        <v>M</v>
      </c>
      <c r="F85" s="86"/>
      <c r="G85" s="86"/>
      <c r="H85" s="86"/>
      <c r="J85" s="86" t="str">
        <f>IF(X85="","",VLOOKUP(X85,#REF!,3,FALSE))</f>
        <v/>
      </c>
      <c r="K85" s="86"/>
      <c r="L85" t="s">
        <v>5</v>
      </c>
      <c r="M85" s="86" t="str">
        <f>IF(X85="","",VLOOKUP(X85,#REF!,4,FALSE))</f>
        <v/>
      </c>
      <c r="N85" s="86"/>
      <c r="V85" t="str">
        <f>IF(X85="","",VLOOKUP(X85,#REF!,2,FALSE))</f>
        <v/>
      </c>
      <c r="W85" s="36"/>
      <c r="X85" s="1"/>
      <c r="AX85">
        <v>8</v>
      </c>
      <c r="AY85">
        <v>9</v>
      </c>
      <c r="AZ85">
        <v>12</v>
      </c>
      <c r="BA85" t="str">
        <f t="shared" ref="BA85:BA90" si="80">IF(AND(ISNUMBER(J85),ISNUMBER(M85)),IF(J85+M85=1,1,0),"")</f>
        <v/>
      </c>
      <c r="BC85" s="38">
        <f t="shared" si="78"/>
        <v>912</v>
      </c>
      <c r="BD85" s="38">
        <f t="shared" si="79"/>
        <v>1209</v>
      </c>
    </row>
    <row r="86" spans="2:56" x14ac:dyDescent="0.3">
      <c r="B86">
        <v>3</v>
      </c>
      <c r="C86" t="str">
        <f t="shared" si="76"/>
        <v>I</v>
      </c>
      <c r="D86" s="36" t="s">
        <v>5</v>
      </c>
      <c r="E86" s="86" t="str">
        <f t="shared" si="77"/>
        <v>N</v>
      </c>
      <c r="F86" s="86"/>
      <c r="G86" s="86"/>
      <c r="H86" s="86"/>
      <c r="J86" s="86" t="str">
        <f>IF(X86="","",VLOOKUP(X86,#REF!,3,FALSE))</f>
        <v/>
      </c>
      <c r="K86" s="86"/>
      <c r="L86" t="s">
        <v>5</v>
      </c>
      <c r="M86" s="86" t="str">
        <f>IF(X86="","",VLOOKUP(X86,#REF!,4,FALSE))</f>
        <v/>
      </c>
      <c r="N86" s="86"/>
      <c r="V86" t="str">
        <f>IF(X86="","",VLOOKUP(X86,#REF!,2,FALSE))</f>
        <v/>
      </c>
      <c r="W86" s="36"/>
      <c r="X86" s="1"/>
      <c r="AX86">
        <v>8</v>
      </c>
      <c r="AY86">
        <v>8</v>
      </c>
      <c r="AZ86">
        <v>13</v>
      </c>
      <c r="BA86" t="str">
        <f t="shared" si="80"/>
        <v/>
      </c>
      <c r="BC86" s="38">
        <f t="shared" si="78"/>
        <v>813</v>
      </c>
      <c r="BD86" s="38">
        <f t="shared" si="79"/>
        <v>1308</v>
      </c>
    </row>
    <row r="87" spans="2:56" x14ac:dyDescent="0.3">
      <c r="B87">
        <v>4</v>
      </c>
      <c r="C87" t="str">
        <f t="shared" si="76"/>
        <v>H</v>
      </c>
      <c r="D87" s="36" t="s">
        <v>5</v>
      </c>
      <c r="E87" s="86" t="str">
        <f t="shared" si="77"/>
        <v>A</v>
      </c>
      <c r="F87" s="86"/>
      <c r="G87" s="86"/>
      <c r="H87" s="86"/>
      <c r="J87" s="86" t="str">
        <f>IF(X87="","",VLOOKUP(X87,#REF!,3,FALSE))</f>
        <v/>
      </c>
      <c r="K87" s="86"/>
      <c r="L87" t="s">
        <v>5</v>
      </c>
      <c r="M87" s="86" t="str">
        <f>IF(X87="","",VLOOKUP(X87,#REF!,4,FALSE))</f>
        <v/>
      </c>
      <c r="N87" s="86"/>
      <c r="V87" t="str">
        <f>IF(X87="","",VLOOKUP(X87,#REF!,2,FALSE))</f>
        <v/>
      </c>
      <c r="W87" s="36"/>
      <c r="X87" s="1"/>
      <c r="AX87">
        <v>8</v>
      </c>
      <c r="AY87">
        <v>7</v>
      </c>
      <c r="AZ87">
        <v>1</v>
      </c>
      <c r="BA87" t="str">
        <f t="shared" si="80"/>
        <v/>
      </c>
      <c r="BC87" s="38">
        <f t="shared" si="78"/>
        <v>701</v>
      </c>
      <c r="BD87" s="38">
        <f t="shared" si="79"/>
        <v>107</v>
      </c>
    </row>
    <row r="88" spans="2:56" x14ac:dyDescent="0.3">
      <c r="B88">
        <v>5</v>
      </c>
      <c r="C88" t="str">
        <f t="shared" si="76"/>
        <v>G</v>
      </c>
      <c r="D88" s="36" t="s">
        <v>5</v>
      </c>
      <c r="E88" s="86" t="str">
        <f t="shared" si="77"/>
        <v>B</v>
      </c>
      <c r="F88" s="86"/>
      <c r="G88" s="86"/>
      <c r="H88" s="86"/>
      <c r="J88" s="86" t="str">
        <f>IF(X88="","",VLOOKUP(X88,#REF!,3,FALSE))</f>
        <v/>
      </c>
      <c r="K88" s="86"/>
      <c r="L88" t="s">
        <v>5</v>
      </c>
      <c r="M88" s="86" t="str">
        <f>IF(X88="","",VLOOKUP(X88,#REF!,4,FALSE))</f>
        <v/>
      </c>
      <c r="N88" s="86"/>
      <c r="V88" t="str">
        <f>IF(X88="","",VLOOKUP(X88,#REF!,2,FALSE))</f>
        <v/>
      </c>
      <c r="W88" s="36"/>
      <c r="X88" s="1"/>
      <c r="AX88">
        <v>8</v>
      </c>
      <c r="AY88">
        <v>6</v>
      </c>
      <c r="AZ88">
        <v>2</v>
      </c>
      <c r="BA88" t="str">
        <f t="shared" si="80"/>
        <v/>
      </c>
      <c r="BC88" s="38">
        <f t="shared" si="78"/>
        <v>602</v>
      </c>
      <c r="BD88" s="38">
        <f t="shared" si="79"/>
        <v>206</v>
      </c>
    </row>
    <row r="89" spans="2:56" x14ac:dyDescent="0.3">
      <c r="B89">
        <v>6</v>
      </c>
      <c r="C89" t="str">
        <f t="shared" si="76"/>
        <v>E</v>
      </c>
      <c r="D89" s="36" t="s">
        <v>5</v>
      </c>
      <c r="E89" s="86" t="str">
        <f t="shared" si="77"/>
        <v>C</v>
      </c>
      <c r="F89" s="86"/>
      <c r="G89" s="86"/>
      <c r="H89" s="86"/>
      <c r="J89" s="86" t="str">
        <f>IF(X89="","",VLOOKUP(X89,#REF!,3,FALSE))</f>
        <v/>
      </c>
      <c r="K89" s="86"/>
      <c r="L89" t="s">
        <v>5</v>
      </c>
      <c r="M89" s="86" t="str">
        <f>IF(X89="","",VLOOKUP(X89,#REF!,4,FALSE))</f>
        <v/>
      </c>
      <c r="N89" s="86"/>
      <c r="V89" t="str">
        <f>IF(X89="","",VLOOKUP(X89,#REF!,2,FALSE))</f>
        <v/>
      </c>
      <c r="W89" s="36"/>
      <c r="X89" s="1"/>
      <c r="AX89">
        <v>8</v>
      </c>
      <c r="AY89">
        <v>5</v>
      </c>
      <c r="AZ89">
        <v>3</v>
      </c>
      <c r="BA89" t="str">
        <f t="shared" si="80"/>
        <v/>
      </c>
      <c r="BC89" s="38">
        <f t="shared" si="78"/>
        <v>503</v>
      </c>
      <c r="BD89" s="38">
        <f t="shared" si="79"/>
        <v>305</v>
      </c>
    </row>
    <row r="90" spans="2:56" x14ac:dyDescent="0.3">
      <c r="B90">
        <v>7</v>
      </c>
      <c r="C90" t="str">
        <f t="shared" si="76"/>
        <v>O</v>
      </c>
      <c r="D90" s="36" t="s">
        <v>5</v>
      </c>
      <c r="E90" s="86" t="str">
        <f t="shared" si="77"/>
        <v>D</v>
      </c>
      <c r="F90" s="86"/>
      <c r="G90" s="86"/>
      <c r="H90" s="86"/>
      <c r="J90" s="86" t="str">
        <f>IF(X90="","",VLOOKUP(X90,#REF!,3,FALSE))</f>
        <v/>
      </c>
      <c r="K90" s="86"/>
      <c r="L90" t="s">
        <v>5</v>
      </c>
      <c r="M90" s="86" t="str">
        <f>IF(X90="","",VLOOKUP(X90,#REF!,4,FALSE))</f>
        <v/>
      </c>
      <c r="N90" s="86"/>
      <c r="V90" t="str">
        <f>IF(X90="","",VLOOKUP(X90,#REF!,2,FALSE))</f>
        <v/>
      </c>
      <c r="W90" s="36"/>
      <c r="X90" s="1"/>
      <c r="AX90">
        <v>8</v>
      </c>
      <c r="AY90">
        <v>14</v>
      </c>
      <c r="AZ90">
        <v>4</v>
      </c>
      <c r="BA90" t="str">
        <f t="shared" si="80"/>
        <v/>
      </c>
      <c r="BC90" s="38">
        <f t="shared" si="78"/>
        <v>1404</v>
      </c>
      <c r="BD90" s="38">
        <f t="shared" si="79"/>
        <v>414</v>
      </c>
    </row>
    <row r="91" spans="2:5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</row>
    <row r="92" spans="2:56" x14ac:dyDescent="0.3">
      <c r="B92" s="35" t="s">
        <v>16</v>
      </c>
      <c r="D92" s="118" t="str">
        <f>"Van:" &amp; TEXT(Configuratie!X34,"uu.mm.ss")</f>
        <v>Van:15.25.00</v>
      </c>
      <c r="E92" s="119"/>
      <c r="F92" s="117"/>
      <c r="G92" s="118" t="str">
        <f>"Tot: "&amp; TEXT(Configuratie!Y34,"uu.mm.ss")</f>
        <v>Tot: 15.35.00</v>
      </c>
      <c r="H92" s="119"/>
      <c r="I92" s="117"/>
      <c r="J92" s="117"/>
    </row>
    <row r="93" spans="2:56" x14ac:dyDescent="0.3">
      <c r="B93">
        <v>1</v>
      </c>
      <c r="C93" t="str">
        <f t="shared" ref="C93:C99" si="81">VLOOKUP(AY93,$B$4:$F$17,2,FALSE)</f>
        <v>K</v>
      </c>
      <c r="D93" s="36" t="s">
        <v>5</v>
      </c>
      <c r="E93" s="86" t="str">
        <f t="shared" ref="E93:E99" si="82">VLOOKUP(AZ93,$B$4:$F$17,2,FALSE)</f>
        <v>O</v>
      </c>
      <c r="F93" s="86"/>
      <c r="G93" s="86"/>
      <c r="H93" s="86"/>
      <c r="J93" s="86" t="str">
        <f>IF(X93="","",VLOOKUP(X93,#REF!,3,FALSE))</f>
        <v/>
      </c>
      <c r="K93" s="86"/>
      <c r="L93" t="s">
        <v>5</v>
      </c>
      <c r="M93" s="86" t="str">
        <f>IF(X93="","",VLOOKUP(X93,#REF!,4,FALSE))</f>
        <v/>
      </c>
      <c r="N93" s="86"/>
      <c r="V93" t="str">
        <f>IF(X93="","",VLOOKUP(X93,#REF!,2,FALSE))</f>
        <v/>
      </c>
      <c r="W93" s="36"/>
      <c r="X93" s="1"/>
      <c r="AX93">
        <v>9</v>
      </c>
      <c r="AY93">
        <v>10</v>
      </c>
      <c r="AZ93">
        <v>14</v>
      </c>
      <c r="BA93" t="str">
        <f>IF(AND(ISNUMBER(J93),ISNUMBER(M93)),IF(J93+M93=1,1,0),"")</f>
        <v/>
      </c>
      <c r="BC93" s="38">
        <f t="shared" ref="BC93:BC99" si="83">AY93*100+AZ93</f>
        <v>1014</v>
      </c>
      <c r="BD93" s="38">
        <f t="shared" ref="BD93:BD99" si="84">AZ93*100+AY93</f>
        <v>1410</v>
      </c>
    </row>
    <row r="94" spans="2:56" x14ac:dyDescent="0.3">
      <c r="B94">
        <v>2</v>
      </c>
      <c r="C94" t="str">
        <f t="shared" si="81"/>
        <v>L</v>
      </c>
      <c r="D94" s="36" t="s">
        <v>5</v>
      </c>
      <c r="E94" s="86" t="str">
        <f t="shared" si="82"/>
        <v>J</v>
      </c>
      <c r="F94" s="86"/>
      <c r="G94" s="86"/>
      <c r="H94" s="86"/>
      <c r="J94" s="86" t="str">
        <f>IF(X94="","",VLOOKUP(X94,#REF!,3,FALSE))</f>
        <v/>
      </c>
      <c r="K94" s="86"/>
      <c r="L94" t="s">
        <v>5</v>
      </c>
      <c r="M94" s="86" t="str">
        <f>IF(X94="","",VLOOKUP(X94,#REF!,4,FALSE))</f>
        <v/>
      </c>
      <c r="N94" s="86"/>
      <c r="V94" t="str">
        <f>IF(X94="","",VLOOKUP(X94,#REF!,2,FALSE))</f>
        <v/>
      </c>
      <c r="W94" s="36"/>
      <c r="X94" s="1"/>
      <c r="AX94">
        <v>9</v>
      </c>
      <c r="AY94">
        <v>11</v>
      </c>
      <c r="AZ94">
        <v>9</v>
      </c>
      <c r="BA94" t="str">
        <f t="shared" ref="BA94:BA99" si="85">IF(AND(ISNUMBER(J94),ISNUMBER(M94)),IF(J94+M94=1,1,0),"")</f>
        <v/>
      </c>
      <c r="BC94" s="38">
        <f t="shared" si="83"/>
        <v>1109</v>
      </c>
      <c r="BD94" s="38">
        <f t="shared" si="84"/>
        <v>911</v>
      </c>
    </row>
    <row r="95" spans="2:56" x14ac:dyDescent="0.3">
      <c r="B95">
        <v>3</v>
      </c>
      <c r="C95" t="str">
        <f t="shared" si="81"/>
        <v>M</v>
      </c>
      <c r="D95" s="36" t="s">
        <v>5</v>
      </c>
      <c r="E95" s="86" t="str">
        <f t="shared" si="82"/>
        <v>I</v>
      </c>
      <c r="F95" s="86"/>
      <c r="G95" s="86"/>
      <c r="H95" s="86"/>
      <c r="J95" s="86" t="str">
        <f>IF(X95="","",VLOOKUP(X95,#REF!,3,FALSE))</f>
        <v/>
      </c>
      <c r="K95" s="86"/>
      <c r="L95" t="s">
        <v>5</v>
      </c>
      <c r="M95" s="86" t="str">
        <f>IF(X95="","",VLOOKUP(X95,#REF!,4,FALSE))</f>
        <v/>
      </c>
      <c r="N95" s="86"/>
      <c r="V95" t="str">
        <f>IF(X95="","",VLOOKUP(X95,#REF!,2,FALSE))</f>
        <v/>
      </c>
      <c r="W95" s="36"/>
      <c r="X95" s="1"/>
      <c r="AX95">
        <v>9</v>
      </c>
      <c r="AY95">
        <v>12</v>
      </c>
      <c r="AZ95">
        <v>8</v>
      </c>
      <c r="BA95" t="str">
        <f t="shared" si="85"/>
        <v/>
      </c>
      <c r="BC95" s="38">
        <f t="shared" si="83"/>
        <v>1208</v>
      </c>
      <c r="BD95" s="38">
        <f t="shared" si="84"/>
        <v>812</v>
      </c>
    </row>
    <row r="96" spans="2:56" x14ac:dyDescent="0.3">
      <c r="B96">
        <v>4</v>
      </c>
      <c r="C96" t="str">
        <f t="shared" si="81"/>
        <v>N</v>
      </c>
      <c r="D96" s="36" t="s">
        <v>5</v>
      </c>
      <c r="E96" s="86" t="str">
        <f t="shared" si="82"/>
        <v>H</v>
      </c>
      <c r="F96" s="86"/>
      <c r="G96" s="86"/>
      <c r="H96" s="86"/>
      <c r="J96" s="86" t="str">
        <f>IF(X96="","",VLOOKUP(X96,#REF!,3,FALSE))</f>
        <v/>
      </c>
      <c r="K96" s="86"/>
      <c r="L96" t="s">
        <v>5</v>
      </c>
      <c r="M96" s="86" t="str">
        <f>IF(X96="","",VLOOKUP(X96,#REF!,4,FALSE))</f>
        <v/>
      </c>
      <c r="N96" s="86"/>
      <c r="V96" t="str">
        <f>IF(X96="","",VLOOKUP(X96,#REF!,2,FALSE))</f>
        <v/>
      </c>
      <c r="W96" s="36"/>
      <c r="X96" s="1"/>
      <c r="AX96">
        <v>9</v>
      </c>
      <c r="AY96">
        <v>13</v>
      </c>
      <c r="AZ96">
        <v>7</v>
      </c>
      <c r="BA96" t="str">
        <f t="shared" si="85"/>
        <v/>
      </c>
      <c r="BC96" s="38">
        <f t="shared" si="83"/>
        <v>1307</v>
      </c>
      <c r="BD96" s="38">
        <f t="shared" si="84"/>
        <v>713</v>
      </c>
    </row>
    <row r="97" spans="2:56" x14ac:dyDescent="0.3">
      <c r="B97">
        <v>5</v>
      </c>
      <c r="C97" t="str">
        <f t="shared" si="81"/>
        <v>A</v>
      </c>
      <c r="D97" s="36" t="s">
        <v>5</v>
      </c>
      <c r="E97" s="86" t="str">
        <f t="shared" si="82"/>
        <v>G</v>
      </c>
      <c r="F97" s="86"/>
      <c r="G97" s="86"/>
      <c r="H97" s="86"/>
      <c r="J97" s="86" t="str">
        <f>IF(X97="","",VLOOKUP(X97,#REF!,3,FALSE))</f>
        <v/>
      </c>
      <c r="K97" s="86"/>
      <c r="L97" t="s">
        <v>5</v>
      </c>
      <c r="M97" s="86" t="str">
        <f>IF(X97="","",VLOOKUP(X97,#REF!,4,FALSE))</f>
        <v/>
      </c>
      <c r="N97" s="86"/>
      <c r="V97" t="str">
        <f>IF(X97="","",VLOOKUP(X97,#REF!,2,FALSE))</f>
        <v/>
      </c>
      <c r="W97" s="36"/>
      <c r="X97" s="1"/>
      <c r="AX97">
        <v>9</v>
      </c>
      <c r="AY97">
        <v>1</v>
      </c>
      <c r="AZ97">
        <v>6</v>
      </c>
      <c r="BA97" t="str">
        <f t="shared" si="85"/>
        <v/>
      </c>
      <c r="BC97" s="38">
        <f t="shared" si="83"/>
        <v>106</v>
      </c>
      <c r="BD97" s="38">
        <f t="shared" si="84"/>
        <v>601</v>
      </c>
    </row>
    <row r="98" spans="2:56" x14ac:dyDescent="0.3">
      <c r="B98">
        <v>6</v>
      </c>
      <c r="C98" t="str">
        <f t="shared" si="81"/>
        <v>B</v>
      </c>
      <c r="D98" s="36" t="s">
        <v>5</v>
      </c>
      <c r="E98" s="86" t="str">
        <f t="shared" si="82"/>
        <v>E</v>
      </c>
      <c r="F98" s="86"/>
      <c r="G98" s="86"/>
      <c r="H98" s="86"/>
      <c r="J98" s="86" t="str">
        <f>IF(X98="","",VLOOKUP(X98,#REF!,3,FALSE))</f>
        <v/>
      </c>
      <c r="K98" s="86"/>
      <c r="L98" t="s">
        <v>5</v>
      </c>
      <c r="M98" s="86" t="str">
        <f>IF(X98="","",VLOOKUP(X98,#REF!,4,FALSE))</f>
        <v/>
      </c>
      <c r="N98" s="86"/>
      <c r="V98" t="str">
        <f>IF(X98="","",VLOOKUP(X98,#REF!,2,FALSE))</f>
        <v/>
      </c>
      <c r="W98" s="36"/>
      <c r="X98" s="1"/>
      <c r="AX98">
        <v>9</v>
      </c>
      <c r="AY98">
        <v>2</v>
      </c>
      <c r="AZ98">
        <v>5</v>
      </c>
      <c r="BA98" t="str">
        <f t="shared" si="85"/>
        <v/>
      </c>
      <c r="BC98" s="38">
        <f t="shared" si="83"/>
        <v>205</v>
      </c>
      <c r="BD98" s="38">
        <f t="shared" si="84"/>
        <v>502</v>
      </c>
    </row>
    <row r="99" spans="2:56" x14ac:dyDescent="0.3">
      <c r="B99">
        <v>7</v>
      </c>
      <c r="C99" t="str">
        <f t="shared" si="81"/>
        <v>C</v>
      </c>
      <c r="D99" s="36" t="s">
        <v>5</v>
      </c>
      <c r="E99" s="86" t="str">
        <f t="shared" si="82"/>
        <v>D</v>
      </c>
      <c r="F99" s="86"/>
      <c r="G99" s="86"/>
      <c r="H99" s="86"/>
      <c r="J99" s="86" t="str">
        <f>IF(X99="","",VLOOKUP(X99,#REF!,3,FALSE))</f>
        <v/>
      </c>
      <c r="K99" s="86"/>
      <c r="L99" t="s">
        <v>5</v>
      </c>
      <c r="M99" s="86" t="str">
        <f>IF(X99="","",VLOOKUP(X99,#REF!,4,FALSE))</f>
        <v/>
      </c>
      <c r="N99" s="86"/>
      <c r="V99" t="str">
        <f>IF(X99="","",VLOOKUP(X99,#REF!,2,FALSE))</f>
        <v/>
      </c>
      <c r="W99" s="36"/>
      <c r="X99" s="1"/>
      <c r="AX99">
        <v>9</v>
      </c>
      <c r="AY99">
        <v>3</v>
      </c>
      <c r="AZ99">
        <v>4</v>
      </c>
      <c r="BA99" t="str">
        <f t="shared" si="85"/>
        <v/>
      </c>
      <c r="BC99" s="38">
        <f t="shared" si="83"/>
        <v>304</v>
      </c>
      <c r="BD99" s="38">
        <f t="shared" si="84"/>
        <v>403</v>
      </c>
    </row>
    <row r="100" spans="2:5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</row>
    <row r="101" spans="2:56" x14ac:dyDescent="0.3">
      <c r="B101" s="35" t="s">
        <v>80</v>
      </c>
      <c r="D101" s="118" t="str">
        <f>"Van:" &amp; TEXT(Configuratie!Z34,"uu.mm.ss")</f>
        <v>Van:15.40.00</v>
      </c>
      <c r="E101" s="119"/>
      <c r="F101" s="117"/>
      <c r="G101" s="118" t="str">
        <f>"Tot: "&amp; TEXT(Configuratie!AA34,"uu.mm.ss")</f>
        <v>Tot: 15.50.00</v>
      </c>
      <c r="H101" s="119"/>
      <c r="I101" s="117"/>
      <c r="J101" s="117"/>
    </row>
    <row r="102" spans="2:56" x14ac:dyDescent="0.3">
      <c r="B102">
        <v>1</v>
      </c>
      <c r="C102" t="str">
        <f>VLOOKUP(AY102,$B$4:$F$17,2,FALSE)</f>
        <v>J</v>
      </c>
      <c r="D102" s="36" t="s">
        <v>5</v>
      </c>
      <c r="E102" s="86" t="str">
        <f t="shared" ref="E102:E108" si="86">VLOOKUP(AZ102,$B$4:$F$17,2,FALSE)</f>
        <v>K</v>
      </c>
      <c r="F102" s="86"/>
      <c r="G102" s="86"/>
      <c r="H102" s="86"/>
      <c r="J102" s="86" t="str">
        <f>IF(X102="","",VLOOKUP(X102,#REF!,3,FALSE))</f>
        <v/>
      </c>
      <c r="K102" s="86"/>
      <c r="L102" t="s">
        <v>5</v>
      </c>
      <c r="M102" s="86" t="str">
        <f>IF(X102="","",VLOOKUP(X102,#REF!,4,FALSE))</f>
        <v/>
      </c>
      <c r="N102" s="86"/>
      <c r="V102" t="str">
        <f>IF(X102="","",VLOOKUP(X102,#REF!,2,FALSE))</f>
        <v/>
      </c>
      <c r="W102" s="36"/>
      <c r="X102" s="1"/>
      <c r="AX102">
        <v>10</v>
      </c>
      <c r="AY102">
        <v>9</v>
      </c>
      <c r="AZ102">
        <v>10</v>
      </c>
      <c r="BA102" t="str">
        <f>IF(AND(ISNUMBER(J102),ISNUMBER(M102)),IF(J102+M102=1,1,0),"")</f>
        <v/>
      </c>
      <c r="BC102" s="38">
        <f t="shared" ref="BC102:BC108" si="87">AY102*100+AZ102</f>
        <v>910</v>
      </c>
      <c r="BD102" s="38">
        <f t="shared" ref="BD102:BD108" si="88">AZ102*100+AY102</f>
        <v>1009</v>
      </c>
    </row>
    <row r="103" spans="2:56" x14ac:dyDescent="0.3">
      <c r="B103">
        <v>2</v>
      </c>
      <c r="C103" t="str">
        <f t="shared" ref="C103:C108" si="89">VLOOKUP(AY103,$B$4:$F$17,2,FALSE)</f>
        <v>I</v>
      </c>
      <c r="D103" s="36" t="s">
        <v>5</v>
      </c>
      <c r="E103" s="86" t="str">
        <f t="shared" si="86"/>
        <v>L</v>
      </c>
      <c r="F103" s="86"/>
      <c r="G103" s="86"/>
      <c r="H103" s="86"/>
      <c r="J103" s="86" t="str">
        <f>IF(X103="","",VLOOKUP(X103,#REF!,3,FALSE))</f>
        <v/>
      </c>
      <c r="K103" s="86"/>
      <c r="L103" t="s">
        <v>5</v>
      </c>
      <c r="M103" s="86" t="str">
        <f>IF(X103="","",VLOOKUP(X103,#REF!,4,FALSE))</f>
        <v/>
      </c>
      <c r="N103" s="86"/>
      <c r="V103" t="str">
        <f>IF(X103="","",VLOOKUP(X103,#REF!,2,FALSE))</f>
        <v/>
      </c>
      <c r="W103" s="36"/>
      <c r="X103" s="1"/>
      <c r="AX103">
        <v>10</v>
      </c>
      <c r="AY103">
        <v>8</v>
      </c>
      <c r="AZ103">
        <v>11</v>
      </c>
      <c r="BA103" t="str">
        <f t="shared" ref="BA103:BA108" si="90">IF(AND(ISNUMBER(J103),ISNUMBER(M103)),IF(J103+M103=1,1,0),"")</f>
        <v/>
      </c>
      <c r="BC103" s="38">
        <f t="shared" si="87"/>
        <v>811</v>
      </c>
      <c r="BD103" s="38">
        <f t="shared" si="88"/>
        <v>1108</v>
      </c>
    </row>
    <row r="104" spans="2:56" x14ac:dyDescent="0.3">
      <c r="B104">
        <v>3</v>
      </c>
      <c r="C104" t="str">
        <f t="shared" si="89"/>
        <v>H</v>
      </c>
      <c r="D104" s="36" t="s">
        <v>5</v>
      </c>
      <c r="E104" s="86" t="str">
        <f t="shared" si="86"/>
        <v>M</v>
      </c>
      <c r="F104" s="86"/>
      <c r="G104" s="86"/>
      <c r="H104" s="86"/>
      <c r="J104" s="86" t="str">
        <f>IF(X104="","",VLOOKUP(X104,#REF!,3,FALSE))</f>
        <v/>
      </c>
      <c r="K104" s="86"/>
      <c r="L104" t="s">
        <v>5</v>
      </c>
      <c r="M104" s="86" t="str">
        <f>IF(X104="","",VLOOKUP(X104,#REF!,4,FALSE))</f>
        <v/>
      </c>
      <c r="N104" s="86"/>
      <c r="V104" t="str">
        <f>IF(X104="","",VLOOKUP(X104,#REF!,2,FALSE))</f>
        <v/>
      </c>
      <c r="W104" s="36"/>
      <c r="X104" s="1"/>
      <c r="AX104">
        <v>10</v>
      </c>
      <c r="AY104">
        <v>7</v>
      </c>
      <c r="AZ104">
        <v>12</v>
      </c>
      <c r="BA104" t="str">
        <f t="shared" si="90"/>
        <v/>
      </c>
      <c r="BC104" s="38">
        <f t="shared" si="87"/>
        <v>712</v>
      </c>
      <c r="BD104" s="38">
        <f t="shared" si="88"/>
        <v>1207</v>
      </c>
    </row>
    <row r="105" spans="2:56" x14ac:dyDescent="0.3">
      <c r="B105">
        <v>4</v>
      </c>
      <c r="C105" t="str">
        <f t="shared" si="89"/>
        <v>G</v>
      </c>
      <c r="D105" s="36" t="s">
        <v>5</v>
      </c>
      <c r="E105" s="86" t="str">
        <f t="shared" si="86"/>
        <v>N</v>
      </c>
      <c r="F105" s="86"/>
      <c r="G105" s="86"/>
      <c r="H105" s="86"/>
      <c r="J105" s="86" t="str">
        <f>IF(X105="","",VLOOKUP(X105,#REF!,3,FALSE))</f>
        <v/>
      </c>
      <c r="K105" s="86"/>
      <c r="L105" t="s">
        <v>5</v>
      </c>
      <c r="M105" s="86" t="str">
        <f>IF(X105="","",VLOOKUP(X105,#REF!,4,FALSE))</f>
        <v/>
      </c>
      <c r="N105" s="86"/>
      <c r="V105" t="str">
        <f>IF(X105="","",VLOOKUP(X105,#REF!,2,FALSE))</f>
        <v/>
      </c>
      <c r="W105" s="36"/>
      <c r="X105" s="1"/>
      <c r="AX105">
        <v>10</v>
      </c>
      <c r="AY105">
        <v>6</v>
      </c>
      <c r="AZ105">
        <v>13</v>
      </c>
      <c r="BA105" t="str">
        <f t="shared" si="90"/>
        <v/>
      </c>
      <c r="BC105" s="38">
        <f t="shared" si="87"/>
        <v>613</v>
      </c>
      <c r="BD105" s="38">
        <f t="shared" si="88"/>
        <v>1306</v>
      </c>
    </row>
    <row r="106" spans="2:56" x14ac:dyDescent="0.3">
      <c r="B106">
        <v>5</v>
      </c>
      <c r="C106" t="str">
        <f t="shared" si="89"/>
        <v>E</v>
      </c>
      <c r="D106" s="36" t="s">
        <v>5</v>
      </c>
      <c r="E106" s="86" t="str">
        <f t="shared" si="86"/>
        <v>A</v>
      </c>
      <c r="F106" s="86"/>
      <c r="G106" s="86"/>
      <c r="H106" s="86"/>
      <c r="J106" s="86" t="str">
        <f>IF(X106="","",VLOOKUP(X106,#REF!,3,FALSE))</f>
        <v/>
      </c>
      <c r="K106" s="86"/>
      <c r="L106" t="s">
        <v>5</v>
      </c>
      <c r="M106" s="86" t="str">
        <f>IF(X106="","",VLOOKUP(X106,#REF!,4,FALSE))</f>
        <v/>
      </c>
      <c r="N106" s="86"/>
      <c r="V106" t="str">
        <f>IF(X106="","",VLOOKUP(X106,#REF!,2,FALSE))</f>
        <v/>
      </c>
      <c r="W106" s="36"/>
      <c r="X106" s="1"/>
      <c r="AX106">
        <v>10</v>
      </c>
      <c r="AY106">
        <v>5</v>
      </c>
      <c r="AZ106">
        <v>1</v>
      </c>
      <c r="BA106" t="str">
        <f t="shared" si="90"/>
        <v/>
      </c>
      <c r="BC106" s="38">
        <f t="shared" si="87"/>
        <v>501</v>
      </c>
      <c r="BD106" s="38">
        <f t="shared" si="88"/>
        <v>105</v>
      </c>
    </row>
    <row r="107" spans="2:56" x14ac:dyDescent="0.3">
      <c r="B107">
        <v>6</v>
      </c>
      <c r="C107" t="str">
        <f t="shared" si="89"/>
        <v>D</v>
      </c>
      <c r="D107" s="36" t="s">
        <v>5</v>
      </c>
      <c r="E107" s="86" t="str">
        <f t="shared" si="86"/>
        <v>B</v>
      </c>
      <c r="F107" s="86"/>
      <c r="G107" s="86"/>
      <c r="H107" s="86"/>
      <c r="J107" s="86" t="str">
        <f>IF(X107="","",VLOOKUP(X107,#REF!,3,FALSE))</f>
        <v/>
      </c>
      <c r="K107" s="86"/>
      <c r="L107" t="s">
        <v>5</v>
      </c>
      <c r="M107" s="86" t="str">
        <f>IF(X107="","",VLOOKUP(X107,#REF!,4,FALSE))</f>
        <v/>
      </c>
      <c r="N107" s="86"/>
      <c r="V107" t="str">
        <f>IF(X107="","",VLOOKUP(X107,#REF!,2,FALSE))</f>
        <v/>
      </c>
      <c r="W107" s="36"/>
      <c r="X107" s="1"/>
      <c r="AX107">
        <v>10</v>
      </c>
      <c r="AY107">
        <v>4</v>
      </c>
      <c r="AZ107">
        <v>2</v>
      </c>
      <c r="BA107" t="str">
        <f t="shared" si="90"/>
        <v/>
      </c>
      <c r="BC107" s="38">
        <f t="shared" si="87"/>
        <v>402</v>
      </c>
      <c r="BD107" s="38">
        <f t="shared" si="88"/>
        <v>204</v>
      </c>
    </row>
    <row r="108" spans="2:56" x14ac:dyDescent="0.3">
      <c r="B108">
        <v>7</v>
      </c>
      <c r="C108" t="str">
        <f t="shared" si="89"/>
        <v>O</v>
      </c>
      <c r="D108" s="36" t="s">
        <v>5</v>
      </c>
      <c r="E108" s="86" t="str">
        <f t="shared" si="86"/>
        <v>C</v>
      </c>
      <c r="F108" s="86"/>
      <c r="G108" s="86"/>
      <c r="H108" s="86"/>
      <c r="J108" s="86" t="str">
        <f>IF(X108="","",VLOOKUP(X108,#REF!,3,FALSE))</f>
        <v/>
      </c>
      <c r="K108" s="86"/>
      <c r="L108" t="s">
        <v>5</v>
      </c>
      <c r="M108" s="86" t="str">
        <f>IF(X108="","",VLOOKUP(X108,#REF!,4,FALSE))</f>
        <v/>
      </c>
      <c r="N108" s="86"/>
      <c r="V108" t="str">
        <f>IF(X108="","",VLOOKUP(X108,#REF!,2,FALSE))</f>
        <v/>
      </c>
      <c r="W108" s="36"/>
      <c r="X108" s="1"/>
      <c r="AX108">
        <v>10</v>
      </c>
      <c r="AY108">
        <v>14</v>
      </c>
      <c r="AZ108">
        <v>3</v>
      </c>
      <c r="BA108" t="str">
        <f t="shared" si="90"/>
        <v/>
      </c>
      <c r="BC108" s="38">
        <f t="shared" si="87"/>
        <v>1403</v>
      </c>
      <c r="BD108" s="38">
        <f t="shared" si="88"/>
        <v>314</v>
      </c>
    </row>
    <row r="109" spans="2:5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</row>
    <row r="110" spans="2:56" x14ac:dyDescent="0.3">
      <c r="B110" s="35" t="s">
        <v>81</v>
      </c>
      <c r="D110" s="118" t="str">
        <f>"Van:" &amp; TEXT(Configuratie!AB34,"uu.mm.ss")</f>
        <v>Van:15.55.00</v>
      </c>
      <c r="E110" s="119"/>
      <c r="F110" s="117"/>
      <c r="G110" s="118" t="str">
        <f>"Tot: "&amp; TEXT(Configuratie!AC34,"uu.mm.ss")</f>
        <v>Tot: 16.05.00</v>
      </c>
      <c r="H110" s="119"/>
      <c r="I110" s="117"/>
      <c r="J110" s="117"/>
    </row>
    <row r="111" spans="2:56" x14ac:dyDescent="0.3">
      <c r="B111">
        <v>1</v>
      </c>
      <c r="C111" t="str">
        <f t="shared" ref="C111:C117" si="91">VLOOKUP(AY111,$B$4:$F$17,2,FALSE)</f>
        <v>J</v>
      </c>
      <c r="D111" s="36" t="s">
        <v>5</v>
      </c>
      <c r="E111" s="86" t="str">
        <f t="shared" ref="E111:E117" si="92">VLOOKUP(AZ111,$B$4:$F$17,2,FALSE)</f>
        <v>O</v>
      </c>
      <c r="F111" s="86"/>
      <c r="G111" s="86"/>
      <c r="H111" s="86"/>
      <c r="J111" s="86" t="str">
        <f>IF(X111="","",VLOOKUP(X111,#REF!,3,FALSE))</f>
        <v/>
      </c>
      <c r="K111" s="86"/>
      <c r="L111" t="s">
        <v>5</v>
      </c>
      <c r="M111" s="86" t="str">
        <f>IF(X111="","",VLOOKUP(X111,#REF!,4,FALSE))</f>
        <v/>
      </c>
      <c r="N111" s="86"/>
      <c r="V111" t="str">
        <f>IF(X111="","",VLOOKUP(X111,#REF!,2,FALSE))</f>
        <v/>
      </c>
      <c r="W111" s="36"/>
      <c r="X111" s="1"/>
      <c r="AX111">
        <v>11</v>
      </c>
      <c r="AY111">
        <v>9</v>
      </c>
      <c r="AZ111">
        <v>14</v>
      </c>
      <c r="BA111" t="str">
        <f>IF(AND(ISNUMBER(J111),ISNUMBER(M111)),IF(J111+M111=1,1,0),"")</f>
        <v/>
      </c>
      <c r="BC111" s="38">
        <f t="shared" ref="BC111:BC117" si="93">AY111*100+AZ111</f>
        <v>914</v>
      </c>
      <c r="BD111" s="38">
        <f t="shared" ref="BD111:BD117" si="94">AZ111*100+AY111</f>
        <v>1409</v>
      </c>
    </row>
    <row r="112" spans="2:56" x14ac:dyDescent="0.3">
      <c r="B112">
        <v>2</v>
      </c>
      <c r="C112" t="str">
        <f t="shared" si="91"/>
        <v>K</v>
      </c>
      <c r="D112" s="36" t="s">
        <v>5</v>
      </c>
      <c r="E112" s="86" t="str">
        <f t="shared" si="92"/>
        <v>I</v>
      </c>
      <c r="F112" s="86"/>
      <c r="G112" s="86"/>
      <c r="H112" s="86"/>
      <c r="J112" s="86" t="str">
        <f>IF(X112="","",VLOOKUP(X112,#REF!,3,FALSE))</f>
        <v/>
      </c>
      <c r="K112" s="86"/>
      <c r="L112" t="s">
        <v>5</v>
      </c>
      <c r="M112" s="86" t="str">
        <f>IF(X112="","",VLOOKUP(X112,#REF!,4,FALSE))</f>
        <v/>
      </c>
      <c r="N112" s="86"/>
      <c r="V112" t="str">
        <f>IF(X112="","",VLOOKUP(X112,#REF!,2,FALSE))</f>
        <v/>
      </c>
      <c r="W112" s="36"/>
      <c r="X112" s="1"/>
      <c r="AX112">
        <v>11</v>
      </c>
      <c r="AY112">
        <v>10</v>
      </c>
      <c r="AZ112">
        <v>8</v>
      </c>
      <c r="BA112" t="str">
        <f t="shared" ref="BA112:BA117" si="95">IF(AND(ISNUMBER(J112),ISNUMBER(M112)),IF(J112+M112=1,1,0),"")</f>
        <v/>
      </c>
      <c r="BC112" s="38">
        <f t="shared" si="93"/>
        <v>1008</v>
      </c>
      <c r="BD112" s="38">
        <f t="shared" si="94"/>
        <v>810</v>
      </c>
    </row>
    <row r="113" spans="2:56" x14ac:dyDescent="0.3">
      <c r="B113">
        <v>3</v>
      </c>
      <c r="C113" t="str">
        <f t="shared" si="91"/>
        <v>L</v>
      </c>
      <c r="D113" s="36" t="s">
        <v>5</v>
      </c>
      <c r="E113" s="86" t="str">
        <f t="shared" si="92"/>
        <v>H</v>
      </c>
      <c r="F113" s="86"/>
      <c r="G113" s="86"/>
      <c r="H113" s="86"/>
      <c r="J113" s="86" t="str">
        <f>IF(X113="","",VLOOKUP(X113,#REF!,3,FALSE))</f>
        <v/>
      </c>
      <c r="K113" s="86"/>
      <c r="L113" t="s">
        <v>5</v>
      </c>
      <c r="M113" s="86" t="str">
        <f>IF(X113="","",VLOOKUP(X113,#REF!,4,FALSE))</f>
        <v/>
      </c>
      <c r="N113" s="86"/>
      <c r="V113" t="str">
        <f>IF(X113="","",VLOOKUP(X113,#REF!,2,FALSE))</f>
        <v/>
      </c>
      <c r="W113" s="36"/>
      <c r="X113" s="1"/>
      <c r="AX113">
        <v>11</v>
      </c>
      <c r="AY113">
        <v>11</v>
      </c>
      <c r="AZ113">
        <v>7</v>
      </c>
      <c r="BA113" t="str">
        <f t="shared" si="95"/>
        <v/>
      </c>
      <c r="BC113" s="38">
        <f t="shared" si="93"/>
        <v>1107</v>
      </c>
      <c r="BD113" s="38">
        <f t="shared" si="94"/>
        <v>711</v>
      </c>
    </row>
    <row r="114" spans="2:56" x14ac:dyDescent="0.3">
      <c r="B114">
        <v>4</v>
      </c>
      <c r="C114" t="str">
        <f t="shared" si="91"/>
        <v>M</v>
      </c>
      <c r="D114" s="36" t="s">
        <v>5</v>
      </c>
      <c r="E114" s="86" t="str">
        <f t="shared" si="92"/>
        <v>G</v>
      </c>
      <c r="F114" s="86"/>
      <c r="G114" s="86"/>
      <c r="H114" s="86"/>
      <c r="J114" s="86" t="str">
        <f>IF(X114="","",VLOOKUP(X114,#REF!,3,FALSE))</f>
        <v/>
      </c>
      <c r="K114" s="86"/>
      <c r="L114" t="s">
        <v>5</v>
      </c>
      <c r="M114" s="86" t="str">
        <f>IF(X114="","",VLOOKUP(X114,#REF!,4,FALSE))</f>
        <v/>
      </c>
      <c r="N114" s="86"/>
      <c r="V114" t="str">
        <f>IF(X114="","",VLOOKUP(X114,#REF!,2,FALSE))</f>
        <v/>
      </c>
      <c r="W114" s="36"/>
      <c r="X114" s="1"/>
      <c r="AX114">
        <v>11</v>
      </c>
      <c r="AY114">
        <v>12</v>
      </c>
      <c r="AZ114">
        <v>6</v>
      </c>
      <c r="BA114" t="str">
        <f t="shared" si="95"/>
        <v/>
      </c>
      <c r="BC114" s="38">
        <f t="shared" si="93"/>
        <v>1206</v>
      </c>
      <c r="BD114" s="38">
        <f t="shared" si="94"/>
        <v>612</v>
      </c>
    </row>
    <row r="115" spans="2:56" x14ac:dyDescent="0.3">
      <c r="B115">
        <v>5</v>
      </c>
      <c r="C115" t="str">
        <f t="shared" si="91"/>
        <v>N</v>
      </c>
      <c r="D115" s="36" t="s">
        <v>5</v>
      </c>
      <c r="E115" s="86" t="str">
        <f t="shared" si="92"/>
        <v>E</v>
      </c>
      <c r="F115" s="86"/>
      <c r="G115" s="86"/>
      <c r="H115" s="86"/>
      <c r="J115" s="86" t="str">
        <f>IF(X115="","",VLOOKUP(X115,#REF!,3,FALSE))</f>
        <v/>
      </c>
      <c r="K115" s="86"/>
      <c r="L115" t="s">
        <v>5</v>
      </c>
      <c r="M115" s="86" t="str">
        <f>IF(X115="","",VLOOKUP(X115,#REF!,4,FALSE))</f>
        <v/>
      </c>
      <c r="N115" s="86"/>
      <c r="V115" t="str">
        <f>IF(X115="","",VLOOKUP(X115,#REF!,2,FALSE))</f>
        <v/>
      </c>
      <c r="W115" s="36"/>
      <c r="X115" s="1"/>
      <c r="AX115">
        <v>11</v>
      </c>
      <c r="AY115">
        <v>13</v>
      </c>
      <c r="AZ115">
        <v>5</v>
      </c>
      <c r="BA115" t="str">
        <f t="shared" si="95"/>
        <v/>
      </c>
      <c r="BC115" s="38">
        <f t="shared" si="93"/>
        <v>1305</v>
      </c>
      <c r="BD115" s="38">
        <f t="shared" si="94"/>
        <v>513</v>
      </c>
    </row>
    <row r="116" spans="2:56" x14ac:dyDescent="0.3">
      <c r="B116">
        <v>6</v>
      </c>
      <c r="C116" t="str">
        <f t="shared" si="91"/>
        <v>A</v>
      </c>
      <c r="D116" s="36" t="s">
        <v>5</v>
      </c>
      <c r="E116" s="86" t="str">
        <f t="shared" si="92"/>
        <v>D</v>
      </c>
      <c r="F116" s="86"/>
      <c r="G116" s="86"/>
      <c r="H116" s="86"/>
      <c r="J116" s="86" t="str">
        <f>IF(X116="","",VLOOKUP(X116,#REF!,3,FALSE))</f>
        <v/>
      </c>
      <c r="K116" s="86"/>
      <c r="L116" t="s">
        <v>5</v>
      </c>
      <c r="M116" s="86" t="str">
        <f>IF(X116="","",VLOOKUP(X116,#REF!,4,FALSE))</f>
        <v/>
      </c>
      <c r="N116" s="86"/>
      <c r="V116" t="str">
        <f>IF(X116="","",VLOOKUP(X116,#REF!,2,FALSE))</f>
        <v/>
      </c>
      <c r="W116" s="36"/>
      <c r="X116" s="1"/>
      <c r="AX116">
        <v>11</v>
      </c>
      <c r="AY116">
        <v>1</v>
      </c>
      <c r="AZ116">
        <v>4</v>
      </c>
      <c r="BA116" t="str">
        <f t="shared" si="95"/>
        <v/>
      </c>
      <c r="BC116" s="38">
        <f t="shared" si="93"/>
        <v>104</v>
      </c>
      <c r="BD116" s="38">
        <f t="shared" si="94"/>
        <v>401</v>
      </c>
    </row>
    <row r="117" spans="2:56" x14ac:dyDescent="0.3">
      <c r="B117">
        <v>7</v>
      </c>
      <c r="C117" t="str">
        <f t="shared" si="91"/>
        <v>B</v>
      </c>
      <c r="D117" s="36" t="s">
        <v>5</v>
      </c>
      <c r="E117" s="86" t="str">
        <f t="shared" si="92"/>
        <v>C</v>
      </c>
      <c r="F117" s="86"/>
      <c r="G117" s="86"/>
      <c r="H117" s="86"/>
      <c r="J117" s="86" t="str">
        <f>IF(X117="","",VLOOKUP(X117,#REF!,3,FALSE))</f>
        <v/>
      </c>
      <c r="K117" s="86"/>
      <c r="L117" t="s">
        <v>5</v>
      </c>
      <c r="M117" s="86" t="str">
        <f>IF(X117="","",VLOOKUP(X117,#REF!,4,FALSE))</f>
        <v/>
      </c>
      <c r="N117" s="86"/>
      <c r="V117" t="str">
        <f>IF(X117="","",VLOOKUP(X117,#REF!,2,FALSE))</f>
        <v/>
      </c>
      <c r="W117" s="36"/>
      <c r="X117" s="1"/>
      <c r="AX117">
        <v>11</v>
      </c>
      <c r="AY117">
        <v>2</v>
      </c>
      <c r="AZ117">
        <v>3</v>
      </c>
      <c r="BA117" t="str">
        <f t="shared" si="95"/>
        <v/>
      </c>
      <c r="BC117" s="38">
        <f t="shared" si="93"/>
        <v>203</v>
      </c>
      <c r="BD117" s="38">
        <f t="shared" si="94"/>
        <v>302</v>
      </c>
    </row>
    <row r="118" spans="2:5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2:56" x14ac:dyDescent="0.3">
      <c r="B119" s="35" t="s">
        <v>82</v>
      </c>
      <c r="D119" s="118" t="str">
        <f>"Van:" &amp; TEXT(Configuratie!AD34,"uu.mm.ss")</f>
        <v>Van:16.10.00</v>
      </c>
      <c r="E119" s="119"/>
      <c r="F119" s="117"/>
      <c r="G119" s="118" t="str">
        <f>"Tot: "&amp; TEXT(Configuratie!AE34,"uu.mm.ss")</f>
        <v>Tot: 16.20.00</v>
      </c>
      <c r="H119" s="119"/>
      <c r="I119" s="117"/>
      <c r="J119" s="117"/>
    </row>
    <row r="120" spans="2:56" x14ac:dyDescent="0.3">
      <c r="B120">
        <v>1</v>
      </c>
      <c r="C120" t="str">
        <f t="shared" ref="C120:C126" si="96">VLOOKUP(AY120,$B$4:$F$17,2,FALSE)</f>
        <v>I</v>
      </c>
      <c r="D120" s="36" t="s">
        <v>5</v>
      </c>
      <c r="E120" s="86" t="str">
        <f t="shared" ref="E120:E126" si="97">VLOOKUP(AZ120,$B$4:$F$17,2,FALSE)</f>
        <v>J</v>
      </c>
      <c r="F120" s="86"/>
      <c r="G120" s="86"/>
      <c r="H120" s="86"/>
      <c r="J120" s="86" t="str">
        <f>IF(X120="","",VLOOKUP(X120,#REF!,3,FALSE))</f>
        <v/>
      </c>
      <c r="K120" s="86"/>
      <c r="L120" t="s">
        <v>5</v>
      </c>
      <c r="M120" s="86" t="str">
        <f>IF(X120="","",VLOOKUP(X120,#REF!,4,FALSE))</f>
        <v/>
      </c>
      <c r="N120" s="86"/>
      <c r="V120" t="str">
        <f>IF(X120="","",VLOOKUP(X120,#REF!,2,FALSE))</f>
        <v/>
      </c>
      <c r="W120" s="36"/>
      <c r="X120" s="1"/>
      <c r="AX120">
        <v>12</v>
      </c>
      <c r="AY120">
        <v>8</v>
      </c>
      <c r="AZ120">
        <v>9</v>
      </c>
      <c r="BA120" t="str">
        <f>IF(AND(ISNUMBER(J120),ISNUMBER(M120)),IF(J120+M120=1,1,0),"")</f>
        <v/>
      </c>
      <c r="BC120" s="38">
        <f t="shared" ref="BC120:BC126" si="98">AY120*100+AZ120</f>
        <v>809</v>
      </c>
      <c r="BD120" s="38">
        <f t="shared" ref="BD120:BD126" si="99">AZ120*100+AY120</f>
        <v>908</v>
      </c>
    </row>
    <row r="121" spans="2:56" x14ac:dyDescent="0.3">
      <c r="B121">
        <v>2</v>
      </c>
      <c r="C121" t="str">
        <f t="shared" si="96"/>
        <v>H</v>
      </c>
      <c r="D121" s="36" t="s">
        <v>5</v>
      </c>
      <c r="E121" s="86" t="str">
        <f t="shared" si="97"/>
        <v>K</v>
      </c>
      <c r="F121" s="86"/>
      <c r="G121" s="86"/>
      <c r="H121" s="86"/>
      <c r="J121" s="86" t="str">
        <f>IF(X121="","",VLOOKUP(X121,#REF!,3,FALSE))</f>
        <v/>
      </c>
      <c r="K121" s="86"/>
      <c r="L121" t="s">
        <v>5</v>
      </c>
      <c r="M121" s="86" t="str">
        <f>IF(X121="","",VLOOKUP(X121,#REF!,4,FALSE))</f>
        <v/>
      </c>
      <c r="N121" s="86"/>
      <c r="V121" t="str">
        <f>IF(X121="","",VLOOKUP(X121,#REF!,2,FALSE))</f>
        <v/>
      </c>
      <c r="W121" s="36"/>
      <c r="X121" s="1"/>
      <c r="AX121">
        <v>12</v>
      </c>
      <c r="AY121">
        <v>7</v>
      </c>
      <c r="AZ121">
        <v>10</v>
      </c>
      <c r="BA121" t="str">
        <f t="shared" ref="BA121:BA126" si="100">IF(AND(ISNUMBER(J121),ISNUMBER(M121)),IF(J121+M121=1,1,0),"")</f>
        <v/>
      </c>
      <c r="BC121" s="38">
        <f t="shared" si="98"/>
        <v>710</v>
      </c>
      <c r="BD121" s="38">
        <f t="shared" si="99"/>
        <v>1007</v>
      </c>
    </row>
    <row r="122" spans="2:56" x14ac:dyDescent="0.3">
      <c r="B122">
        <v>3</v>
      </c>
      <c r="C122" t="str">
        <f t="shared" si="96"/>
        <v>G</v>
      </c>
      <c r="D122" s="36" t="s">
        <v>5</v>
      </c>
      <c r="E122" s="86" t="str">
        <f t="shared" si="97"/>
        <v>L</v>
      </c>
      <c r="F122" s="86"/>
      <c r="G122" s="86"/>
      <c r="H122" s="86"/>
      <c r="J122" s="86" t="str">
        <f>IF(X122="","",VLOOKUP(X122,#REF!,3,FALSE))</f>
        <v/>
      </c>
      <c r="K122" s="86"/>
      <c r="L122" t="s">
        <v>5</v>
      </c>
      <c r="M122" s="86" t="str">
        <f>IF(X122="","",VLOOKUP(X122,#REF!,4,FALSE))</f>
        <v/>
      </c>
      <c r="N122" s="86"/>
      <c r="V122" t="str">
        <f>IF(X122="","",VLOOKUP(X122,#REF!,2,FALSE))</f>
        <v/>
      </c>
      <c r="W122" s="36"/>
      <c r="X122" s="1"/>
      <c r="AX122">
        <v>12</v>
      </c>
      <c r="AY122">
        <v>6</v>
      </c>
      <c r="AZ122">
        <v>11</v>
      </c>
      <c r="BA122" t="str">
        <f t="shared" si="100"/>
        <v/>
      </c>
      <c r="BC122" s="38">
        <f t="shared" si="98"/>
        <v>611</v>
      </c>
      <c r="BD122" s="38">
        <f t="shared" si="99"/>
        <v>1106</v>
      </c>
    </row>
    <row r="123" spans="2:56" x14ac:dyDescent="0.3">
      <c r="B123">
        <v>4</v>
      </c>
      <c r="C123" t="str">
        <f t="shared" si="96"/>
        <v>E</v>
      </c>
      <c r="D123" s="36" t="s">
        <v>5</v>
      </c>
      <c r="E123" s="86" t="str">
        <f t="shared" si="97"/>
        <v>M</v>
      </c>
      <c r="F123" s="86"/>
      <c r="G123" s="86"/>
      <c r="H123" s="86"/>
      <c r="J123" s="86" t="str">
        <f>IF(X123="","",VLOOKUP(X123,#REF!,3,FALSE))</f>
        <v/>
      </c>
      <c r="K123" s="86"/>
      <c r="L123" t="s">
        <v>5</v>
      </c>
      <c r="M123" s="86" t="str">
        <f>IF(X123="","",VLOOKUP(X123,#REF!,4,FALSE))</f>
        <v/>
      </c>
      <c r="N123" s="86"/>
      <c r="V123" t="str">
        <f>IF(X123="","",VLOOKUP(X123,#REF!,2,FALSE))</f>
        <v/>
      </c>
      <c r="W123" s="36"/>
      <c r="X123" s="1"/>
      <c r="AX123">
        <v>12</v>
      </c>
      <c r="AY123">
        <v>5</v>
      </c>
      <c r="AZ123">
        <v>12</v>
      </c>
      <c r="BA123" t="str">
        <f t="shared" si="100"/>
        <v/>
      </c>
      <c r="BC123" s="38">
        <f t="shared" si="98"/>
        <v>512</v>
      </c>
      <c r="BD123" s="38">
        <f t="shared" si="99"/>
        <v>1205</v>
      </c>
    </row>
    <row r="124" spans="2:56" x14ac:dyDescent="0.3">
      <c r="B124">
        <v>5</v>
      </c>
      <c r="C124" t="str">
        <f t="shared" si="96"/>
        <v>D</v>
      </c>
      <c r="D124" s="36" t="s">
        <v>5</v>
      </c>
      <c r="E124" s="86" t="str">
        <f t="shared" si="97"/>
        <v>N</v>
      </c>
      <c r="F124" s="86"/>
      <c r="G124" s="86"/>
      <c r="H124" s="86"/>
      <c r="J124" s="86" t="str">
        <f>IF(X124="","",VLOOKUP(X124,#REF!,3,FALSE))</f>
        <v/>
      </c>
      <c r="K124" s="86"/>
      <c r="L124" t="s">
        <v>5</v>
      </c>
      <c r="M124" s="86" t="str">
        <f>IF(X124="","",VLOOKUP(X124,#REF!,4,FALSE))</f>
        <v/>
      </c>
      <c r="N124" s="86"/>
      <c r="V124" t="str">
        <f>IF(X124="","",VLOOKUP(X124,#REF!,2,FALSE))</f>
        <v/>
      </c>
      <c r="W124" s="36"/>
      <c r="X124" s="1"/>
      <c r="AX124">
        <v>12</v>
      </c>
      <c r="AY124">
        <v>4</v>
      </c>
      <c r="AZ124">
        <v>13</v>
      </c>
      <c r="BA124" t="str">
        <f t="shared" si="100"/>
        <v/>
      </c>
      <c r="BC124" s="38">
        <f t="shared" si="98"/>
        <v>413</v>
      </c>
      <c r="BD124" s="38">
        <f t="shared" si="99"/>
        <v>1304</v>
      </c>
    </row>
    <row r="125" spans="2:56" x14ac:dyDescent="0.3">
      <c r="B125">
        <v>6</v>
      </c>
      <c r="C125" t="str">
        <f t="shared" si="96"/>
        <v>C</v>
      </c>
      <c r="D125" s="36" t="s">
        <v>5</v>
      </c>
      <c r="E125" s="86" t="str">
        <f t="shared" si="97"/>
        <v>A</v>
      </c>
      <c r="F125" s="86"/>
      <c r="G125" s="86"/>
      <c r="H125" s="86"/>
      <c r="J125" s="86" t="str">
        <f>IF(X125="","",VLOOKUP(X125,#REF!,3,FALSE))</f>
        <v/>
      </c>
      <c r="K125" s="86"/>
      <c r="L125" t="s">
        <v>5</v>
      </c>
      <c r="M125" s="86" t="str">
        <f>IF(X125="","",VLOOKUP(X125,#REF!,4,FALSE))</f>
        <v/>
      </c>
      <c r="N125" s="86"/>
      <c r="V125" t="str">
        <f>IF(X125="","",VLOOKUP(X125,#REF!,2,FALSE))</f>
        <v/>
      </c>
      <c r="W125" s="36"/>
      <c r="X125" s="1"/>
      <c r="AX125">
        <v>12</v>
      </c>
      <c r="AY125">
        <v>3</v>
      </c>
      <c r="AZ125">
        <v>1</v>
      </c>
      <c r="BA125" t="str">
        <f t="shared" si="100"/>
        <v/>
      </c>
      <c r="BC125" s="38">
        <f t="shared" si="98"/>
        <v>301</v>
      </c>
      <c r="BD125" s="38">
        <f t="shared" si="99"/>
        <v>103</v>
      </c>
    </row>
    <row r="126" spans="2:56" x14ac:dyDescent="0.3">
      <c r="B126">
        <v>7</v>
      </c>
      <c r="C126" t="str">
        <f t="shared" si="96"/>
        <v>B</v>
      </c>
      <c r="D126" s="36" t="s">
        <v>5</v>
      </c>
      <c r="E126" s="86" t="str">
        <f t="shared" si="97"/>
        <v>O</v>
      </c>
      <c r="F126" s="86"/>
      <c r="G126" s="86"/>
      <c r="H126" s="86"/>
      <c r="J126" s="86" t="str">
        <f>IF(X126="","",VLOOKUP(X126,#REF!,3,FALSE))</f>
        <v/>
      </c>
      <c r="K126" s="86"/>
      <c r="L126" t="s">
        <v>5</v>
      </c>
      <c r="M126" s="86" t="str">
        <f>IF(X126="","",VLOOKUP(X126,#REF!,4,FALSE))</f>
        <v/>
      </c>
      <c r="N126" s="86"/>
      <c r="V126" t="str">
        <f>IF(X126="","",VLOOKUP(X126,#REF!,2,FALSE))</f>
        <v/>
      </c>
      <c r="W126" s="36"/>
      <c r="X126" s="1"/>
      <c r="AX126">
        <v>12</v>
      </c>
      <c r="AY126">
        <v>2</v>
      </c>
      <c r="AZ126">
        <v>14</v>
      </c>
      <c r="BA126" t="str">
        <f t="shared" si="100"/>
        <v/>
      </c>
      <c r="BC126" s="38">
        <f t="shared" si="98"/>
        <v>214</v>
      </c>
      <c r="BD126" s="38">
        <f t="shared" si="99"/>
        <v>1402</v>
      </c>
    </row>
    <row r="127" spans="2:5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</row>
    <row r="128" spans="2:56" x14ac:dyDescent="0.3">
      <c r="B128" s="35" t="s">
        <v>83</v>
      </c>
      <c r="D128" s="118" t="str">
        <f>"Van:" &amp; TEXT(Configuratie!AF34,"uu.mm.ss")</f>
        <v>Van:16.25.00</v>
      </c>
      <c r="E128" s="119"/>
      <c r="F128" s="117"/>
      <c r="G128" s="118" t="str">
        <f>"Tot: "&amp; TEXT(Configuratie!AG34,"uu.mm.ss")</f>
        <v>Tot: 16.35.00</v>
      </c>
      <c r="H128" s="119"/>
      <c r="I128" s="117"/>
      <c r="J128" s="117"/>
    </row>
    <row r="129" spans="2:56" x14ac:dyDescent="0.3">
      <c r="B129">
        <v>1</v>
      </c>
      <c r="C129" t="str">
        <f t="shared" ref="C129:C135" si="101">VLOOKUP(AY129,$B$4:$F$17,2,FALSE)</f>
        <v>O</v>
      </c>
      <c r="D129" s="36" t="s">
        <v>5</v>
      </c>
      <c r="E129" s="86" t="str">
        <f t="shared" ref="E129:E135" si="102">VLOOKUP(AZ129,$B$4:$F$17,2,FALSE)</f>
        <v>I</v>
      </c>
      <c r="F129" s="86"/>
      <c r="G129" s="86"/>
      <c r="H129" s="86"/>
      <c r="J129" s="86" t="str">
        <f>IF(X129="","",VLOOKUP(X129,#REF!,3,FALSE))</f>
        <v/>
      </c>
      <c r="K129" s="86"/>
      <c r="L129" t="s">
        <v>5</v>
      </c>
      <c r="M129" s="86" t="str">
        <f>IF(X129="","",VLOOKUP(X129,#REF!,4,FALSE))</f>
        <v/>
      </c>
      <c r="N129" s="86"/>
      <c r="V129" t="str">
        <f>IF(X129="","",VLOOKUP(X129,#REF!,2,FALSE))</f>
        <v/>
      </c>
      <c r="W129" s="36"/>
      <c r="X129" s="1"/>
      <c r="AX129">
        <v>13</v>
      </c>
      <c r="AY129">
        <v>14</v>
      </c>
      <c r="AZ129">
        <v>8</v>
      </c>
      <c r="BA129" t="str">
        <f>IF(AND(ISNUMBER(J129),ISNUMBER(M129)),IF(J129+M129=1,1,0),"")</f>
        <v/>
      </c>
      <c r="BC129" s="38">
        <f t="shared" ref="BC129:BC135" si="103">AY129*100+AZ129</f>
        <v>1408</v>
      </c>
      <c r="BD129" s="38">
        <f t="shared" ref="BD129:BD135" si="104">AZ129*100+AY129</f>
        <v>814</v>
      </c>
    </row>
    <row r="130" spans="2:56" x14ac:dyDescent="0.3">
      <c r="B130">
        <v>2</v>
      </c>
      <c r="C130" t="str">
        <f t="shared" si="101"/>
        <v>J</v>
      </c>
      <c r="D130" s="36" t="s">
        <v>5</v>
      </c>
      <c r="E130" s="86" t="str">
        <f t="shared" si="102"/>
        <v>H</v>
      </c>
      <c r="F130" s="86"/>
      <c r="G130" s="86"/>
      <c r="H130" s="86"/>
      <c r="J130" s="86" t="str">
        <f>IF(X130="","",VLOOKUP(X130,#REF!,3,FALSE))</f>
        <v/>
      </c>
      <c r="K130" s="86"/>
      <c r="L130" t="s">
        <v>5</v>
      </c>
      <c r="M130" s="86" t="str">
        <f>IF(X130="","",VLOOKUP(X130,#REF!,4,FALSE))</f>
        <v/>
      </c>
      <c r="N130" s="86"/>
      <c r="V130" t="str">
        <f>IF(X130="","",VLOOKUP(X130,#REF!,2,FALSE))</f>
        <v/>
      </c>
      <c r="W130" s="36"/>
      <c r="X130" s="1"/>
      <c r="AX130">
        <v>13</v>
      </c>
      <c r="AY130">
        <v>9</v>
      </c>
      <c r="AZ130">
        <v>7</v>
      </c>
      <c r="BA130" t="str">
        <f t="shared" ref="BA130:BA135" si="105">IF(AND(ISNUMBER(J130),ISNUMBER(M130)),IF(J130+M130=1,1,0),"")</f>
        <v/>
      </c>
      <c r="BC130" s="38">
        <f t="shared" si="103"/>
        <v>907</v>
      </c>
      <c r="BD130" s="38">
        <f t="shared" si="104"/>
        <v>709</v>
      </c>
    </row>
    <row r="131" spans="2:56" x14ac:dyDescent="0.3">
      <c r="B131">
        <v>3</v>
      </c>
      <c r="C131" t="str">
        <f t="shared" si="101"/>
        <v>K</v>
      </c>
      <c r="D131" s="36" t="s">
        <v>5</v>
      </c>
      <c r="E131" s="86" t="str">
        <f t="shared" si="102"/>
        <v>G</v>
      </c>
      <c r="F131" s="86"/>
      <c r="G131" s="86"/>
      <c r="H131" s="86"/>
      <c r="J131" s="86" t="str">
        <f>IF(X131="","",VLOOKUP(X131,#REF!,3,FALSE))</f>
        <v/>
      </c>
      <c r="K131" s="86"/>
      <c r="L131" t="s">
        <v>5</v>
      </c>
      <c r="M131" s="86" t="str">
        <f>IF(X131="","",VLOOKUP(X131,#REF!,4,FALSE))</f>
        <v/>
      </c>
      <c r="N131" s="86"/>
      <c r="V131" t="str">
        <f>IF(X131="","",VLOOKUP(X131,#REF!,2,FALSE))</f>
        <v/>
      </c>
      <c r="W131" s="36"/>
      <c r="X131" s="1"/>
      <c r="AX131">
        <v>13</v>
      </c>
      <c r="AY131">
        <v>10</v>
      </c>
      <c r="AZ131">
        <v>6</v>
      </c>
      <c r="BA131" t="str">
        <f t="shared" si="105"/>
        <v/>
      </c>
      <c r="BC131" s="38">
        <f t="shared" si="103"/>
        <v>1006</v>
      </c>
      <c r="BD131" s="38">
        <f t="shared" si="104"/>
        <v>610</v>
      </c>
    </row>
    <row r="132" spans="2:56" x14ac:dyDescent="0.3">
      <c r="B132">
        <v>4</v>
      </c>
      <c r="C132" t="str">
        <f t="shared" si="101"/>
        <v>L</v>
      </c>
      <c r="D132" s="36" t="s">
        <v>5</v>
      </c>
      <c r="E132" s="86" t="str">
        <f t="shared" si="102"/>
        <v>E</v>
      </c>
      <c r="F132" s="86"/>
      <c r="G132" s="86"/>
      <c r="H132" s="86"/>
      <c r="J132" s="86" t="str">
        <f>IF(X132="","",VLOOKUP(X132,#REF!,3,FALSE))</f>
        <v/>
      </c>
      <c r="K132" s="86"/>
      <c r="L132" t="s">
        <v>5</v>
      </c>
      <c r="M132" s="86" t="str">
        <f>IF(X132="","",VLOOKUP(X132,#REF!,4,FALSE))</f>
        <v/>
      </c>
      <c r="N132" s="86"/>
      <c r="V132" t="str">
        <f>IF(X132="","",VLOOKUP(X132,#REF!,2,FALSE))</f>
        <v/>
      </c>
      <c r="W132" s="36"/>
      <c r="X132" s="1"/>
      <c r="AX132">
        <v>13</v>
      </c>
      <c r="AY132">
        <v>11</v>
      </c>
      <c r="AZ132">
        <v>5</v>
      </c>
      <c r="BA132" t="str">
        <f t="shared" si="105"/>
        <v/>
      </c>
      <c r="BC132" s="38">
        <f t="shared" si="103"/>
        <v>1105</v>
      </c>
      <c r="BD132" s="38">
        <f t="shared" si="104"/>
        <v>511</v>
      </c>
    </row>
    <row r="133" spans="2:56" x14ac:dyDescent="0.3">
      <c r="B133">
        <v>5</v>
      </c>
      <c r="C133" t="str">
        <f t="shared" si="101"/>
        <v>M</v>
      </c>
      <c r="D133" s="36" t="s">
        <v>5</v>
      </c>
      <c r="E133" s="86" t="str">
        <f t="shared" si="102"/>
        <v>D</v>
      </c>
      <c r="F133" s="86"/>
      <c r="G133" s="86"/>
      <c r="H133" s="86"/>
      <c r="J133" s="86" t="str">
        <f>IF(X133="","",VLOOKUP(X133,#REF!,3,FALSE))</f>
        <v/>
      </c>
      <c r="K133" s="86"/>
      <c r="L133" t="s">
        <v>5</v>
      </c>
      <c r="M133" s="86" t="str">
        <f>IF(X133="","",VLOOKUP(X133,#REF!,4,FALSE))</f>
        <v/>
      </c>
      <c r="N133" s="86"/>
      <c r="V133" t="str">
        <f>IF(X133="","",VLOOKUP(X133,#REF!,2,FALSE))</f>
        <v/>
      </c>
      <c r="W133" s="36"/>
      <c r="X133" s="1"/>
      <c r="AX133">
        <v>13</v>
      </c>
      <c r="AY133">
        <v>12</v>
      </c>
      <c r="AZ133">
        <v>4</v>
      </c>
      <c r="BA133" t="str">
        <f t="shared" si="105"/>
        <v/>
      </c>
      <c r="BC133" s="38">
        <f t="shared" si="103"/>
        <v>1204</v>
      </c>
      <c r="BD133" s="38">
        <f t="shared" si="104"/>
        <v>412</v>
      </c>
    </row>
    <row r="134" spans="2:56" x14ac:dyDescent="0.3">
      <c r="B134">
        <v>6</v>
      </c>
      <c r="C134" t="str">
        <f t="shared" si="101"/>
        <v>N</v>
      </c>
      <c r="D134" s="36" t="s">
        <v>5</v>
      </c>
      <c r="E134" s="86" t="str">
        <f t="shared" si="102"/>
        <v>C</v>
      </c>
      <c r="F134" s="86"/>
      <c r="G134" s="86"/>
      <c r="H134" s="86"/>
      <c r="J134" s="86" t="str">
        <f>IF(X134="","",VLOOKUP(X134,#REF!,3,FALSE))</f>
        <v/>
      </c>
      <c r="K134" s="86"/>
      <c r="L134" t="s">
        <v>5</v>
      </c>
      <c r="M134" s="86" t="str">
        <f>IF(X134="","",VLOOKUP(X134,#REF!,4,FALSE))</f>
        <v/>
      </c>
      <c r="N134" s="86"/>
      <c r="V134" t="str">
        <f>IF(X134="","",VLOOKUP(X134,#REF!,2,FALSE))</f>
        <v/>
      </c>
      <c r="W134" s="36"/>
      <c r="X134" s="1"/>
      <c r="AX134">
        <v>13</v>
      </c>
      <c r="AY134">
        <v>13</v>
      </c>
      <c r="AZ134">
        <v>3</v>
      </c>
      <c r="BA134" t="str">
        <f t="shared" si="105"/>
        <v/>
      </c>
      <c r="BC134" s="38">
        <f t="shared" si="103"/>
        <v>1303</v>
      </c>
      <c r="BD134" s="38">
        <f t="shared" si="104"/>
        <v>313</v>
      </c>
    </row>
    <row r="135" spans="2:56" x14ac:dyDescent="0.3">
      <c r="B135">
        <v>7</v>
      </c>
      <c r="C135" t="str">
        <f t="shared" si="101"/>
        <v>A</v>
      </c>
      <c r="D135" s="36" t="s">
        <v>5</v>
      </c>
      <c r="E135" s="86" t="str">
        <f t="shared" si="102"/>
        <v>B</v>
      </c>
      <c r="F135" s="86"/>
      <c r="G135" s="86"/>
      <c r="H135" s="86"/>
      <c r="J135" s="86" t="str">
        <f>IF(X135="","",VLOOKUP(X135,#REF!,3,FALSE))</f>
        <v/>
      </c>
      <c r="K135" s="86"/>
      <c r="L135" t="s">
        <v>5</v>
      </c>
      <c r="M135" s="86" t="str">
        <f>IF(X135="","",VLOOKUP(X135,#REF!,4,FALSE))</f>
        <v/>
      </c>
      <c r="N135" s="86"/>
      <c r="V135" t="str">
        <f>IF(X135="","",VLOOKUP(X135,#REF!,2,FALSE))</f>
        <v/>
      </c>
      <c r="W135" s="36"/>
      <c r="X135" s="1"/>
      <c r="AX135">
        <v>13</v>
      </c>
      <c r="AY135">
        <v>1</v>
      </c>
      <c r="AZ135">
        <v>2</v>
      </c>
      <c r="BA135" t="str">
        <f t="shared" si="105"/>
        <v/>
      </c>
      <c r="BC135" s="38">
        <f t="shared" si="103"/>
        <v>102</v>
      </c>
      <c r="BD135" s="38">
        <f t="shared" si="104"/>
        <v>201</v>
      </c>
    </row>
    <row r="137" spans="2:56" ht="25.8" x14ac:dyDescent="0.5">
      <c r="D137" s="89" t="str">
        <f>"UITSLAG " &amp; G1</f>
        <v>UITSLAG GROEP A</v>
      </c>
      <c r="E137" s="90"/>
      <c r="F137" s="90"/>
      <c r="G137" s="90"/>
      <c r="H137" s="90"/>
      <c r="I137" s="90"/>
    </row>
    <row r="139" spans="2:56" x14ac:dyDescent="0.3">
      <c r="B139" s="2" t="s">
        <v>33</v>
      </c>
      <c r="C139" s="15" t="s">
        <v>30</v>
      </c>
      <c r="D139" s="2" t="s">
        <v>6</v>
      </c>
      <c r="E139" s="2" t="s">
        <v>29</v>
      </c>
      <c r="F139" s="2" t="s">
        <v>24</v>
      </c>
      <c r="G139" s="2" t="s">
        <v>26</v>
      </c>
      <c r="H139" s="2" t="s">
        <v>34</v>
      </c>
      <c r="I139" s="2" t="s">
        <v>35</v>
      </c>
    </row>
    <row r="140" spans="2:56" x14ac:dyDescent="0.3">
      <c r="B140" s="24">
        <v>1</v>
      </c>
      <c r="C140" s="25">
        <v>14</v>
      </c>
      <c r="D140" s="26" t="str">
        <f t="shared" ref="D140:D153" si="106">IF(ISNA(VLOOKUP(B140,$A$4:$W$17,3,FALSE)),C4,VLOOKUP(B140,$A$4:$W$17,3,FALSE))</f>
        <v>A</v>
      </c>
      <c r="E140" s="27">
        <f t="shared" ref="E140:E153" si="107">IF(ISNA(VLOOKUP(B4,$A$4:$W$17,22,FALSE)),0,VLOOKUP(B4,$A$4:$W$17,22,FALSE))</f>
        <v>0</v>
      </c>
      <c r="F140" s="27" t="e">
        <f t="shared" ref="F140:F152" si="108">VLOOKUP($W4,$AT$4:$AW$13,2,FALSE)</f>
        <v>#N/A</v>
      </c>
      <c r="G140" s="45">
        <f t="shared" ref="G140:G153" si="109">IF(ISNA(VLOOKUP(B4,$A$4:$WS$17,23,FALSE)),0,VLOOKUP(B4,$A$4:$WS$17,23,FALSE))</f>
        <v>0</v>
      </c>
      <c r="H140" s="27" t="e">
        <f t="shared" ref="H140:H152" si="110">VLOOKUP($W4,$AT$4:$AW$13,4,FALSE)</f>
        <v>#N/A</v>
      </c>
      <c r="I140" s="28" t="e">
        <f t="shared" ref="I140:I152" si="111">VLOOKUP($W4,$B$4:$R$13,5,FALSE)</f>
        <v>#N/A</v>
      </c>
    </row>
    <row r="141" spans="2:56" x14ac:dyDescent="0.3">
      <c r="B141" s="24">
        <v>2</v>
      </c>
      <c r="C141" s="25">
        <v>13</v>
      </c>
      <c r="D141" s="26" t="str">
        <f t="shared" si="106"/>
        <v>B</v>
      </c>
      <c r="E141" s="27">
        <f t="shared" si="107"/>
        <v>0</v>
      </c>
      <c r="F141" s="27" t="e">
        <f t="shared" si="108"/>
        <v>#N/A</v>
      </c>
      <c r="G141" s="45">
        <f t="shared" si="109"/>
        <v>0</v>
      </c>
      <c r="H141" s="27" t="e">
        <f t="shared" si="110"/>
        <v>#N/A</v>
      </c>
      <c r="I141" s="28" t="e">
        <f t="shared" si="111"/>
        <v>#N/A</v>
      </c>
    </row>
    <row r="142" spans="2:56" x14ac:dyDescent="0.3">
      <c r="B142" s="24">
        <v>3</v>
      </c>
      <c r="C142" s="25">
        <v>12</v>
      </c>
      <c r="D142" s="26" t="str">
        <f t="shared" si="106"/>
        <v>C</v>
      </c>
      <c r="E142" s="27">
        <f t="shared" si="107"/>
        <v>0</v>
      </c>
      <c r="F142" s="27" t="e">
        <f t="shared" si="108"/>
        <v>#N/A</v>
      </c>
      <c r="G142" s="45">
        <f t="shared" si="109"/>
        <v>0</v>
      </c>
      <c r="H142" s="27" t="e">
        <f t="shared" si="110"/>
        <v>#N/A</v>
      </c>
      <c r="I142" s="28" t="e">
        <f t="shared" si="111"/>
        <v>#N/A</v>
      </c>
    </row>
    <row r="143" spans="2:56" x14ac:dyDescent="0.3">
      <c r="B143" s="24">
        <v>4</v>
      </c>
      <c r="C143" s="25">
        <v>11</v>
      </c>
      <c r="D143" s="26" t="str">
        <f t="shared" si="106"/>
        <v>D</v>
      </c>
      <c r="E143" s="27">
        <f t="shared" si="107"/>
        <v>0</v>
      </c>
      <c r="F143" s="27" t="e">
        <f t="shared" si="108"/>
        <v>#N/A</v>
      </c>
      <c r="G143" s="45">
        <f t="shared" si="109"/>
        <v>0</v>
      </c>
      <c r="H143" s="27" t="e">
        <f t="shared" si="110"/>
        <v>#N/A</v>
      </c>
      <c r="I143" s="28" t="e">
        <f t="shared" si="111"/>
        <v>#N/A</v>
      </c>
    </row>
    <row r="144" spans="2:56" x14ac:dyDescent="0.3">
      <c r="B144" s="24">
        <v>5</v>
      </c>
      <c r="C144" s="25">
        <v>10</v>
      </c>
      <c r="D144" s="26" t="str">
        <f t="shared" si="106"/>
        <v>E</v>
      </c>
      <c r="E144" s="27">
        <f t="shared" si="107"/>
        <v>0</v>
      </c>
      <c r="F144" s="27" t="e">
        <f t="shared" si="108"/>
        <v>#N/A</v>
      </c>
      <c r="G144" s="45">
        <f t="shared" si="109"/>
        <v>0</v>
      </c>
      <c r="H144" s="27" t="e">
        <f t="shared" si="110"/>
        <v>#N/A</v>
      </c>
      <c r="I144" s="28" t="e">
        <f t="shared" si="111"/>
        <v>#N/A</v>
      </c>
    </row>
    <row r="145" spans="2:9" x14ac:dyDescent="0.3">
      <c r="B145" s="24">
        <v>6</v>
      </c>
      <c r="C145" s="25">
        <v>9</v>
      </c>
      <c r="D145" s="26" t="str">
        <f t="shared" si="106"/>
        <v>G</v>
      </c>
      <c r="E145" s="27">
        <f t="shared" si="107"/>
        <v>0</v>
      </c>
      <c r="F145" s="27" t="e">
        <f t="shared" si="108"/>
        <v>#N/A</v>
      </c>
      <c r="G145" s="45">
        <f t="shared" si="109"/>
        <v>0</v>
      </c>
      <c r="H145" s="27" t="e">
        <f t="shared" si="110"/>
        <v>#N/A</v>
      </c>
      <c r="I145" s="28" t="e">
        <f t="shared" si="111"/>
        <v>#N/A</v>
      </c>
    </row>
    <row r="146" spans="2:9" x14ac:dyDescent="0.3">
      <c r="B146" s="24">
        <v>7</v>
      </c>
      <c r="C146" s="25">
        <v>8</v>
      </c>
      <c r="D146" s="26" t="str">
        <f t="shared" si="106"/>
        <v>H</v>
      </c>
      <c r="E146" s="27">
        <f t="shared" si="107"/>
        <v>0</v>
      </c>
      <c r="F146" s="27" t="e">
        <f t="shared" si="108"/>
        <v>#N/A</v>
      </c>
      <c r="G146" s="45">
        <f t="shared" si="109"/>
        <v>0</v>
      </c>
      <c r="H146" s="27" t="e">
        <f t="shared" si="110"/>
        <v>#N/A</v>
      </c>
      <c r="I146" s="28" t="e">
        <f t="shared" si="111"/>
        <v>#N/A</v>
      </c>
    </row>
    <row r="147" spans="2:9" x14ac:dyDescent="0.3">
      <c r="B147" s="24">
        <v>8</v>
      </c>
      <c r="C147" s="25">
        <v>7</v>
      </c>
      <c r="D147" s="26" t="str">
        <f t="shared" si="106"/>
        <v>I</v>
      </c>
      <c r="E147" s="27">
        <f t="shared" si="107"/>
        <v>0</v>
      </c>
      <c r="F147" s="27" t="e">
        <f t="shared" si="108"/>
        <v>#N/A</v>
      </c>
      <c r="G147" s="45">
        <f t="shared" si="109"/>
        <v>0</v>
      </c>
      <c r="H147" s="27" t="e">
        <f t="shared" si="110"/>
        <v>#N/A</v>
      </c>
      <c r="I147" s="28" t="e">
        <f t="shared" si="111"/>
        <v>#N/A</v>
      </c>
    </row>
    <row r="148" spans="2:9" x14ac:dyDescent="0.3">
      <c r="B148" s="24">
        <v>9</v>
      </c>
      <c r="C148" s="25">
        <v>6</v>
      </c>
      <c r="D148" s="26" t="str">
        <f t="shared" si="106"/>
        <v>J</v>
      </c>
      <c r="E148" s="27">
        <f t="shared" si="107"/>
        <v>0</v>
      </c>
      <c r="F148" s="27" t="e">
        <f t="shared" si="108"/>
        <v>#N/A</v>
      </c>
      <c r="G148" s="45">
        <f t="shared" si="109"/>
        <v>0</v>
      </c>
      <c r="H148" s="27" t="e">
        <f t="shared" si="110"/>
        <v>#N/A</v>
      </c>
      <c r="I148" s="28" t="e">
        <f t="shared" si="111"/>
        <v>#N/A</v>
      </c>
    </row>
    <row r="149" spans="2:9" x14ac:dyDescent="0.3">
      <c r="B149" s="24">
        <v>10</v>
      </c>
      <c r="C149" s="25">
        <v>6</v>
      </c>
      <c r="D149" s="26" t="str">
        <f t="shared" si="106"/>
        <v>K</v>
      </c>
      <c r="E149" s="27">
        <f t="shared" si="107"/>
        <v>0</v>
      </c>
      <c r="F149" s="27" t="e">
        <f t="shared" si="108"/>
        <v>#N/A</v>
      </c>
      <c r="G149" s="45">
        <f t="shared" si="109"/>
        <v>0</v>
      </c>
      <c r="H149" s="27" t="e">
        <f t="shared" si="110"/>
        <v>#N/A</v>
      </c>
      <c r="I149" s="28" t="e">
        <f t="shared" si="111"/>
        <v>#N/A</v>
      </c>
    </row>
    <row r="150" spans="2:9" x14ac:dyDescent="0.3">
      <c r="B150" s="24">
        <v>11</v>
      </c>
      <c r="C150" s="25">
        <v>5</v>
      </c>
      <c r="D150" s="26" t="str">
        <f t="shared" si="106"/>
        <v>L</v>
      </c>
      <c r="E150" s="27">
        <f t="shared" si="107"/>
        <v>0</v>
      </c>
      <c r="F150" s="27" t="e">
        <f t="shared" si="108"/>
        <v>#N/A</v>
      </c>
      <c r="G150" s="45">
        <f t="shared" si="109"/>
        <v>0</v>
      </c>
      <c r="H150" s="27" t="e">
        <f t="shared" si="110"/>
        <v>#N/A</v>
      </c>
      <c r="I150" s="28" t="e">
        <f t="shared" si="111"/>
        <v>#N/A</v>
      </c>
    </row>
    <row r="151" spans="2:9" x14ac:dyDescent="0.3">
      <c r="B151" s="24">
        <v>12</v>
      </c>
      <c r="C151" s="25">
        <v>3</v>
      </c>
      <c r="D151" s="26" t="str">
        <f t="shared" si="106"/>
        <v>M</v>
      </c>
      <c r="E151" s="27">
        <f t="shared" si="107"/>
        <v>0</v>
      </c>
      <c r="F151" s="27" t="e">
        <f t="shared" si="108"/>
        <v>#N/A</v>
      </c>
      <c r="G151" s="45">
        <f t="shared" si="109"/>
        <v>0</v>
      </c>
      <c r="H151" s="27" t="e">
        <f t="shared" si="110"/>
        <v>#N/A</v>
      </c>
      <c r="I151" s="28" t="e">
        <f t="shared" si="111"/>
        <v>#N/A</v>
      </c>
    </row>
    <row r="152" spans="2:9" x14ac:dyDescent="0.3">
      <c r="B152" s="24">
        <v>13</v>
      </c>
      <c r="C152" s="25">
        <v>2</v>
      </c>
      <c r="D152" s="26" t="str">
        <f t="shared" si="106"/>
        <v>N</v>
      </c>
      <c r="E152" s="27">
        <f t="shared" si="107"/>
        <v>0</v>
      </c>
      <c r="F152" s="27" t="e">
        <f t="shared" si="108"/>
        <v>#N/A</v>
      </c>
      <c r="G152" s="45">
        <f t="shared" si="109"/>
        <v>0</v>
      </c>
      <c r="H152" s="27" t="e">
        <f t="shared" si="110"/>
        <v>#N/A</v>
      </c>
      <c r="I152" s="28" t="e">
        <f t="shared" si="111"/>
        <v>#N/A</v>
      </c>
    </row>
    <row r="153" spans="2:9" x14ac:dyDescent="0.3">
      <c r="B153" s="24">
        <v>14</v>
      </c>
      <c r="C153" s="25">
        <v>1</v>
      </c>
      <c r="D153" s="26" t="str">
        <f t="shared" si="106"/>
        <v>O</v>
      </c>
      <c r="E153" s="27">
        <f t="shared" si="107"/>
        <v>0</v>
      </c>
      <c r="F153" s="27" t="e">
        <f>VLOOKUP($W13,$AT$4:$AW$13,2,FALSE)</f>
        <v>#N/A</v>
      </c>
      <c r="G153" s="45">
        <f t="shared" si="109"/>
        <v>0</v>
      </c>
      <c r="H153" s="27" t="e">
        <f>VLOOKUP($W13,$AT$4:$AW$13,4,FALSE)</f>
        <v>#N/A</v>
      </c>
      <c r="I153" s="28" t="e">
        <f>VLOOKUP($W13,$B$4:$R$13,5,FALSE)</f>
        <v>#N/A</v>
      </c>
    </row>
  </sheetData>
  <sheetProtection algorithmName="SHA-512" hashValue="CipZuqTN9ilVOegwmmmNHhe+fIoRP0MSHqV156L+5iVsaAuedSKSut6PQSLbmTgmyDrlZppxqHdyKGNwPNSQSw==" saltValue="kJfTmxoNORf90l9BJeBtrQ==" spinCount="100000" sheet="1" selectLockedCells="1"/>
  <mergeCells count="318">
    <mergeCell ref="D128:F128"/>
    <mergeCell ref="G128:J128"/>
    <mergeCell ref="D65:F65"/>
    <mergeCell ref="G65:J65"/>
    <mergeCell ref="D74:F74"/>
    <mergeCell ref="G74:J74"/>
    <mergeCell ref="D83:F83"/>
    <mergeCell ref="G83:J83"/>
    <mergeCell ref="D92:F92"/>
    <mergeCell ref="G92:J92"/>
    <mergeCell ref="D101:F101"/>
    <mergeCell ref="G101:J101"/>
    <mergeCell ref="D20:F20"/>
    <mergeCell ref="G20:J20"/>
    <mergeCell ref="D29:F29"/>
    <mergeCell ref="G29:J29"/>
    <mergeCell ref="D38:F38"/>
    <mergeCell ref="G38:J38"/>
    <mergeCell ref="D47:F47"/>
    <mergeCell ref="G47:J47"/>
    <mergeCell ref="D56:F56"/>
    <mergeCell ref="G56:J56"/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D110:F110"/>
    <mergeCell ref="G110:J110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D119:F119"/>
    <mergeCell ref="G119:J119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50" priority="18" stopIfTrue="1" operator="between">
      <formula>0</formula>
      <formula>1</formula>
    </cfRule>
  </conditionalFormatting>
  <conditionalFormatting sqref="I4:U4">
    <cfRule type="cellIs" dxfId="49" priority="17" stopIfTrue="1" operator="between">
      <formula>0</formula>
      <formula>1</formula>
    </cfRule>
  </conditionalFormatting>
  <conditionalFormatting sqref="H5:H17">
    <cfRule type="cellIs" dxfId="48" priority="16" stopIfTrue="1" operator="between">
      <formula>0</formula>
      <formula>1</formula>
    </cfRule>
  </conditionalFormatting>
  <conditionalFormatting sqref="I6:I17">
    <cfRule type="cellIs" dxfId="47" priority="15" stopIfTrue="1" operator="between">
      <formula>0</formula>
      <formula>1</formula>
    </cfRule>
  </conditionalFormatting>
  <conditionalFormatting sqref="J7:J17">
    <cfRule type="cellIs" dxfId="46" priority="14" stopIfTrue="1" operator="between">
      <formula>0</formula>
      <formula>1</formula>
    </cfRule>
  </conditionalFormatting>
  <conditionalFormatting sqref="K8:K17">
    <cfRule type="cellIs" dxfId="45" priority="13" stopIfTrue="1" operator="between">
      <formula>0</formula>
      <formula>1</formula>
    </cfRule>
  </conditionalFormatting>
  <conditionalFormatting sqref="L9:L17">
    <cfRule type="cellIs" dxfId="44" priority="12" stopIfTrue="1" operator="between">
      <formula>0</formula>
      <formula>1</formula>
    </cfRule>
  </conditionalFormatting>
  <conditionalFormatting sqref="M10:M17">
    <cfRule type="cellIs" dxfId="43" priority="11" stopIfTrue="1" operator="between">
      <formula>0</formula>
      <formula>1</formula>
    </cfRule>
  </conditionalFormatting>
  <conditionalFormatting sqref="N11:N17">
    <cfRule type="cellIs" dxfId="42" priority="10" stopIfTrue="1" operator="between">
      <formula>0</formula>
      <formula>1</formula>
    </cfRule>
  </conditionalFormatting>
  <conditionalFormatting sqref="O12:O17">
    <cfRule type="cellIs" dxfId="41" priority="9" stopIfTrue="1" operator="between">
      <formula>0</formula>
      <formula>1</formula>
    </cfRule>
  </conditionalFormatting>
  <conditionalFormatting sqref="P13:P17">
    <cfRule type="cellIs" dxfId="40" priority="8" stopIfTrue="1" operator="between">
      <formula>0</formula>
      <formula>1</formula>
    </cfRule>
  </conditionalFormatting>
  <conditionalFormatting sqref="Q14:Q17">
    <cfRule type="cellIs" dxfId="39" priority="7" stopIfTrue="1" operator="between">
      <formula>0</formula>
      <formula>1</formula>
    </cfRule>
  </conditionalFormatting>
  <conditionalFormatting sqref="R15:R17">
    <cfRule type="cellIs" dxfId="38" priority="6" stopIfTrue="1" operator="between">
      <formula>0</formula>
      <formula>1</formula>
    </cfRule>
  </conditionalFormatting>
  <conditionalFormatting sqref="S16:S17">
    <cfRule type="cellIs" dxfId="37" priority="5" stopIfTrue="1" operator="between">
      <formula>0</formula>
      <formula>1</formula>
    </cfRule>
  </conditionalFormatting>
  <conditionalFormatting sqref="T17">
    <cfRule type="cellIs" dxfId="36" priority="4" stopIfTrue="1" operator="between">
      <formula>0</formula>
      <formula>1</formula>
    </cfRule>
  </conditionalFormatting>
  <conditionalFormatting sqref="X4:X17">
    <cfRule type="cellIs" dxfId="35" priority="1" operator="equal">
      <formula>3</formula>
    </cfRule>
    <cfRule type="cellIs" dxfId="34" priority="2" operator="equal">
      <formula>2</formula>
    </cfRule>
    <cfRule type="cellIs" dxfId="33" priority="3" operator="equal">
      <formula>1</formula>
    </cfRule>
  </conditionalFormatting>
  <pageMargins left="0.7" right="0.7" top="0.75" bottom="0.75" header="0.3" footer="0.3"/>
  <pageSetup paperSize="9" scale="8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120"/>
  <sheetViews>
    <sheetView topLeftCell="A7" zoomScale="82" zoomScaleNormal="82" workbookViewId="0">
      <selection activeCell="V19" sqref="V19"/>
    </sheetView>
  </sheetViews>
  <sheetFormatPr defaultColWidth="9.109375" defaultRowHeight="14.4" x14ac:dyDescent="0.3"/>
  <cols>
    <col min="8" max="19" width="4.6640625" customWidth="1"/>
    <col min="24" max="57" width="0" hidden="1" customWidth="1"/>
  </cols>
  <sheetData>
    <row r="1" spans="1:52" ht="25.8" x14ac:dyDescent="0.5">
      <c r="A1" s="65">
        <v>12</v>
      </c>
      <c r="B1" s="85" t="s">
        <v>31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1" t="s">
        <v>32</v>
      </c>
      <c r="N1" s="86"/>
      <c r="O1" s="86"/>
      <c r="P1" s="86"/>
      <c r="Q1" s="86"/>
      <c r="R1" s="86"/>
      <c r="S1" s="86"/>
      <c r="T1" s="86"/>
      <c r="V1" s="63" t="e">
        <f>"versie " &amp;#REF!</f>
        <v>#REF!</v>
      </c>
      <c r="W1" s="12"/>
      <c r="X1" s="12"/>
      <c r="Y1" s="12"/>
      <c r="Z1" s="12"/>
    </row>
    <row r="3" spans="1:52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>
        <v>11</v>
      </c>
      <c r="S3" s="2">
        <v>12</v>
      </c>
      <c r="T3" s="2" t="s">
        <v>17</v>
      </c>
      <c r="U3" s="2" t="s">
        <v>26</v>
      </c>
      <c r="V3" s="2" t="s">
        <v>69</v>
      </c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</row>
    <row r="4" spans="1:52" x14ac:dyDescent="0.3">
      <c r="A4" s="64">
        <f>V4</f>
        <v>1</v>
      </c>
      <c r="B4" s="18">
        <v>1</v>
      </c>
      <c r="C4" s="18" t="s">
        <v>40</v>
      </c>
      <c r="D4" s="92"/>
      <c r="E4" s="93"/>
      <c r="F4" s="18">
        <v>1000</v>
      </c>
      <c r="H4" s="59" t="str">
        <f>IF((SUMIF($AY$18:$AY$104,$B4*100+H$3,$AW$18:$AW$104)+SUMIF($AZ$18:$AZ$104,$B4*100+H$3,$AW$18:$AW$104))=1,(SUMIF($AY$18:$AY$104,$B4*100+H$3,$J$18:$J$104)+SUMIF($AZ$18:$AZ$104,$B4*100+H$3,$M$18:$M$104)),"")</f>
        <v/>
      </c>
      <c r="I4" s="20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20" t="str">
        <f t="shared" si="0"/>
        <v/>
      </c>
      <c r="S4" s="20" t="str">
        <f t="shared" si="0"/>
        <v/>
      </c>
      <c r="T4" s="3">
        <f>SUM(H4:S4)</f>
        <v>0</v>
      </c>
      <c r="U4" s="3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4">
        <f>AJ4</f>
        <v>1</v>
      </c>
      <c r="Z4" s="52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53">
        <f>$Z$16*T4+Z4</f>
        <v>0</v>
      </c>
      <c r="AB4" s="52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53">
        <f>$AB$16*AA4+AB4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46">
        <f>$AD$16*AC4+AD4</f>
        <v>0</v>
      </c>
      <c r="AF4" s="46"/>
      <c r="AG4" s="46">
        <f>RANK(AE4,$AE$4:$AE$15,1)-1</f>
        <v>0</v>
      </c>
      <c r="AH4" s="46">
        <f>RANK(U4,$U$4:$U$15,1)-1</f>
        <v>0</v>
      </c>
      <c r="AI4" s="46">
        <f>12*AG4+AH4</f>
        <v>0</v>
      </c>
      <c r="AJ4" s="46">
        <f>RANK(AI4,$AI$4:$AI$15)</f>
        <v>1</v>
      </c>
      <c r="AK4" s="46"/>
      <c r="AL4" s="46"/>
      <c r="AM4" s="46"/>
    </row>
    <row r="5" spans="1:52" x14ac:dyDescent="0.3">
      <c r="A5" s="64">
        <f t="shared" ref="A5:A15" si="1">V5</f>
        <v>1</v>
      </c>
      <c r="B5" s="18">
        <v>2</v>
      </c>
      <c r="C5" s="18" t="s">
        <v>41</v>
      </c>
      <c r="D5" s="92"/>
      <c r="E5" s="93"/>
      <c r="F5" s="18">
        <v>1000</v>
      </c>
      <c r="H5" s="20" t="str">
        <f t="shared" si="0"/>
        <v/>
      </c>
      <c r="I5" s="5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20" t="str">
        <f t="shared" si="0"/>
        <v/>
      </c>
      <c r="S5" s="20" t="str">
        <f t="shared" si="0"/>
        <v/>
      </c>
      <c r="T5" s="3">
        <f t="shared" ref="T5:T15" si="2">SUM(H5:S5)</f>
        <v>0</v>
      </c>
      <c r="U5" s="3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4">
        <f t="shared" ref="V5:V15" si="4">AJ5</f>
        <v>1</v>
      </c>
      <c r="Z5" s="52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53">
        <f t="shared" ref="AA5:AA15" si="6">$Z$16*T5+Z5</f>
        <v>0</v>
      </c>
      <c r="AB5" s="52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53">
        <f t="shared" ref="AC5:AC15" si="8">$AB$16*AA5+AB5</f>
        <v>0</v>
      </c>
      <c r="AD5" s="52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46">
        <f t="shared" ref="AE5:AE15" si="10">$AD$16*AC5+AD5</f>
        <v>0</v>
      </c>
      <c r="AF5" s="46"/>
      <c r="AG5" s="46">
        <f t="shared" ref="AG5:AG15" si="11">RANK(AE5,$AE$4:$AE$15,1)-1</f>
        <v>0</v>
      </c>
      <c r="AH5" s="46">
        <f t="shared" ref="AH5:AH15" si="12">RANK(U5,$U$4:$U$15,1)-1</f>
        <v>0</v>
      </c>
      <c r="AI5" s="46">
        <f t="shared" ref="AI5:AI15" si="13">12*AG5+AH5</f>
        <v>0</v>
      </c>
      <c r="AJ5" s="46">
        <f t="shared" ref="AJ5:AJ15" si="14">RANK(AI5,$AI$4:$AI$15)</f>
        <v>1</v>
      </c>
      <c r="AK5" s="46"/>
      <c r="AL5" s="46"/>
      <c r="AM5" s="46"/>
    </row>
    <row r="6" spans="1:52" x14ac:dyDescent="0.3">
      <c r="A6" s="64">
        <f t="shared" si="1"/>
        <v>1</v>
      </c>
      <c r="B6" s="18">
        <v>3</v>
      </c>
      <c r="C6" s="18" t="s">
        <v>42</v>
      </c>
      <c r="D6" s="92"/>
      <c r="E6" s="93"/>
      <c r="F6" s="18">
        <v>1000</v>
      </c>
      <c r="H6" s="20" t="str">
        <f t="shared" si="0"/>
        <v/>
      </c>
      <c r="I6" s="20" t="str">
        <f t="shared" si="0"/>
        <v/>
      </c>
      <c r="J6" s="5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20" t="str">
        <f t="shared" si="0"/>
        <v/>
      </c>
      <c r="S6" s="20" t="str">
        <f t="shared" si="0"/>
        <v/>
      </c>
      <c r="T6" s="3">
        <f t="shared" si="2"/>
        <v>0</v>
      </c>
      <c r="U6" s="3">
        <f t="shared" si="3"/>
        <v>0</v>
      </c>
      <c r="V6" s="4">
        <f t="shared" si="4"/>
        <v>1</v>
      </c>
      <c r="Z6" s="52">
        <f t="shared" si="5"/>
        <v>0</v>
      </c>
      <c r="AA6" s="53">
        <f t="shared" si="6"/>
        <v>0</v>
      </c>
      <c r="AB6" s="52">
        <f t="shared" si="7"/>
        <v>0</v>
      </c>
      <c r="AC6" s="53">
        <f t="shared" si="8"/>
        <v>0</v>
      </c>
      <c r="AD6" s="52">
        <f t="shared" si="9"/>
        <v>0</v>
      </c>
      <c r="AE6" s="46">
        <f t="shared" si="10"/>
        <v>0</v>
      </c>
      <c r="AF6" s="46"/>
      <c r="AG6" s="46">
        <f t="shared" si="11"/>
        <v>0</v>
      </c>
      <c r="AH6" s="46">
        <f t="shared" si="12"/>
        <v>0</v>
      </c>
      <c r="AI6" s="46">
        <f t="shared" si="13"/>
        <v>0</v>
      </c>
      <c r="AJ6" s="46">
        <f t="shared" si="14"/>
        <v>1</v>
      </c>
      <c r="AK6" s="46"/>
      <c r="AL6" s="46"/>
      <c r="AM6" s="46"/>
    </row>
    <row r="7" spans="1:52" x14ac:dyDescent="0.3">
      <c r="A7" s="64">
        <f t="shared" si="1"/>
        <v>1</v>
      </c>
      <c r="B7" s="18">
        <v>4</v>
      </c>
      <c r="C7" s="18" t="s">
        <v>43</v>
      </c>
      <c r="D7" s="92"/>
      <c r="E7" s="93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5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  <c r="T7" s="3">
        <f t="shared" si="2"/>
        <v>0</v>
      </c>
      <c r="U7" s="3">
        <f t="shared" si="3"/>
        <v>0</v>
      </c>
      <c r="V7" s="4">
        <f t="shared" si="4"/>
        <v>1</v>
      </c>
      <c r="Z7" s="52">
        <f t="shared" si="5"/>
        <v>0</v>
      </c>
      <c r="AA7" s="53">
        <f t="shared" si="6"/>
        <v>0</v>
      </c>
      <c r="AB7" s="52">
        <f t="shared" si="7"/>
        <v>0</v>
      </c>
      <c r="AC7" s="53">
        <f t="shared" si="8"/>
        <v>0</v>
      </c>
      <c r="AD7" s="52">
        <f t="shared" si="9"/>
        <v>0</v>
      </c>
      <c r="AE7" s="46">
        <f t="shared" si="10"/>
        <v>0</v>
      </c>
      <c r="AF7" s="46"/>
      <c r="AG7" s="46">
        <f t="shared" si="11"/>
        <v>0</v>
      </c>
      <c r="AH7" s="46">
        <f t="shared" si="12"/>
        <v>0</v>
      </c>
      <c r="AI7" s="46">
        <f t="shared" si="13"/>
        <v>0</v>
      </c>
      <c r="AJ7" s="46">
        <f t="shared" si="14"/>
        <v>1</v>
      </c>
      <c r="AK7" s="46"/>
      <c r="AL7" s="46"/>
      <c r="AM7" s="46"/>
    </row>
    <row r="8" spans="1:52" x14ac:dyDescent="0.3">
      <c r="A8" s="64">
        <f t="shared" si="1"/>
        <v>1</v>
      </c>
      <c r="B8" s="18">
        <v>5</v>
      </c>
      <c r="C8" s="18" t="s">
        <v>47</v>
      </c>
      <c r="D8" s="92"/>
      <c r="E8" s="93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5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  <c r="T8" s="3">
        <f t="shared" si="2"/>
        <v>0</v>
      </c>
      <c r="U8" s="3">
        <f t="shared" si="3"/>
        <v>0</v>
      </c>
      <c r="V8" s="4">
        <f t="shared" si="4"/>
        <v>1</v>
      </c>
      <c r="Z8" s="52">
        <f t="shared" si="5"/>
        <v>0</v>
      </c>
      <c r="AA8" s="53">
        <f t="shared" si="6"/>
        <v>0</v>
      </c>
      <c r="AB8" s="52">
        <f t="shared" si="7"/>
        <v>0</v>
      </c>
      <c r="AC8" s="53">
        <f t="shared" si="8"/>
        <v>0</v>
      </c>
      <c r="AD8" s="52">
        <f t="shared" si="9"/>
        <v>0</v>
      </c>
      <c r="AE8" s="46">
        <f t="shared" si="10"/>
        <v>0</v>
      </c>
      <c r="AF8" s="46"/>
      <c r="AG8" s="46">
        <f t="shared" si="11"/>
        <v>0</v>
      </c>
      <c r="AH8" s="46">
        <f t="shared" si="12"/>
        <v>0</v>
      </c>
      <c r="AI8" s="46">
        <f t="shared" si="13"/>
        <v>0</v>
      </c>
      <c r="AJ8" s="46">
        <f t="shared" si="14"/>
        <v>1</v>
      </c>
      <c r="AK8" s="46"/>
      <c r="AL8" s="2"/>
      <c r="AM8" s="46"/>
    </row>
    <row r="9" spans="1:52" x14ac:dyDescent="0.3">
      <c r="A9" s="64">
        <f t="shared" si="1"/>
        <v>1</v>
      </c>
      <c r="B9" s="18">
        <v>6</v>
      </c>
      <c r="C9" s="18" t="s">
        <v>45</v>
      </c>
      <c r="D9" s="92"/>
      <c r="E9" s="93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5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  <c r="T9" s="3">
        <f t="shared" si="2"/>
        <v>0</v>
      </c>
      <c r="U9" s="3">
        <f t="shared" si="3"/>
        <v>0</v>
      </c>
      <c r="V9" s="4">
        <f t="shared" si="4"/>
        <v>1</v>
      </c>
      <c r="Z9" s="52">
        <f t="shared" si="5"/>
        <v>0</v>
      </c>
      <c r="AA9" s="53">
        <f t="shared" si="6"/>
        <v>0</v>
      </c>
      <c r="AB9" s="52">
        <f t="shared" si="7"/>
        <v>0</v>
      </c>
      <c r="AC9" s="53">
        <f t="shared" si="8"/>
        <v>0</v>
      </c>
      <c r="AD9" s="52">
        <f t="shared" si="9"/>
        <v>0</v>
      </c>
      <c r="AE9" s="46">
        <f t="shared" si="10"/>
        <v>0</v>
      </c>
      <c r="AF9" s="46"/>
      <c r="AG9" s="46">
        <f t="shared" si="11"/>
        <v>0</v>
      </c>
      <c r="AH9" s="46">
        <f t="shared" si="12"/>
        <v>0</v>
      </c>
      <c r="AI9" s="46">
        <f t="shared" si="13"/>
        <v>0</v>
      </c>
      <c r="AJ9" s="46">
        <f t="shared" si="14"/>
        <v>1</v>
      </c>
      <c r="AK9" s="46"/>
      <c r="AL9" s="46"/>
      <c r="AM9" s="46"/>
    </row>
    <row r="10" spans="1:52" x14ac:dyDescent="0.3">
      <c r="A10" s="64">
        <f t="shared" si="1"/>
        <v>1</v>
      </c>
      <c r="B10" s="18">
        <v>7</v>
      </c>
      <c r="C10" s="18" t="s">
        <v>46</v>
      </c>
      <c r="D10" s="92"/>
      <c r="E10" s="93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5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  <c r="T10" s="3">
        <f t="shared" si="2"/>
        <v>0</v>
      </c>
      <c r="U10" s="3">
        <f t="shared" si="3"/>
        <v>0</v>
      </c>
      <c r="V10" s="4">
        <f t="shared" si="4"/>
        <v>1</v>
      </c>
      <c r="Z10" s="52">
        <f t="shared" si="5"/>
        <v>0</v>
      </c>
      <c r="AA10" s="53">
        <f t="shared" si="6"/>
        <v>0</v>
      </c>
      <c r="AB10" s="52">
        <f t="shared" si="7"/>
        <v>0</v>
      </c>
      <c r="AC10" s="53">
        <f t="shared" si="8"/>
        <v>0</v>
      </c>
      <c r="AD10" s="52">
        <f t="shared" si="9"/>
        <v>0</v>
      </c>
      <c r="AE10" s="46">
        <f t="shared" si="10"/>
        <v>0</v>
      </c>
      <c r="AF10" s="46"/>
      <c r="AG10" s="46">
        <f t="shared" si="11"/>
        <v>0</v>
      </c>
      <c r="AH10" s="46">
        <f t="shared" si="12"/>
        <v>0</v>
      </c>
      <c r="AI10" s="46">
        <f t="shared" si="13"/>
        <v>0</v>
      </c>
      <c r="AJ10" s="46">
        <f t="shared" si="14"/>
        <v>1</v>
      </c>
      <c r="AK10" s="46"/>
      <c r="AL10" s="46"/>
      <c r="AM10" s="46"/>
    </row>
    <row r="11" spans="1:52" x14ac:dyDescent="0.3">
      <c r="A11" s="64">
        <f t="shared" si="1"/>
        <v>1</v>
      </c>
      <c r="B11" s="18">
        <v>8</v>
      </c>
      <c r="C11" s="18" t="s">
        <v>48</v>
      </c>
      <c r="D11" s="92"/>
      <c r="E11" s="93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59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  <c r="T11" s="3">
        <f t="shared" si="2"/>
        <v>0</v>
      </c>
      <c r="U11" s="3">
        <f t="shared" si="3"/>
        <v>0</v>
      </c>
      <c r="V11" s="4">
        <f t="shared" si="4"/>
        <v>1</v>
      </c>
      <c r="Z11" s="52">
        <f t="shared" si="5"/>
        <v>0</v>
      </c>
      <c r="AA11" s="53">
        <f t="shared" si="6"/>
        <v>0</v>
      </c>
      <c r="AB11" s="52">
        <f t="shared" si="7"/>
        <v>0</v>
      </c>
      <c r="AC11" s="53">
        <f t="shared" si="8"/>
        <v>0</v>
      </c>
      <c r="AD11" s="52">
        <f t="shared" si="9"/>
        <v>0</v>
      </c>
      <c r="AE11" s="46">
        <f t="shared" si="10"/>
        <v>0</v>
      </c>
      <c r="AF11" s="46"/>
      <c r="AG11" s="46">
        <f t="shared" si="11"/>
        <v>0</v>
      </c>
      <c r="AH11" s="46">
        <f t="shared" si="12"/>
        <v>0</v>
      </c>
      <c r="AI11" s="46">
        <f t="shared" si="13"/>
        <v>0</v>
      </c>
      <c r="AJ11" s="46">
        <f t="shared" si="14"/>
        <v>1</v>
      </c>
      <c r="AK11" s="46"/>
      <c r="AL11" s="46"/>
      <c r="AM11" s="46"/>
    </row>
    <row r="12" spans="1:52" x14ac:dyDescent="0.3">
      <c r="A12" s="64">
        <f t="shared" si="1"/>
        <v>1</v>
      </c>
      <c r="B12" s="18">
        <v>9</v>
      </c>
      <c r="C12" s="18" t="s">
        <v>49</v>
      </c>
      <c r="D12" s="92"/>
      <c r="E12" s="93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59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  <c r="T12" s="3">
        <f t="shared" si="2"/>
        <v>0</v>
      </c>
      <c r="U12" s="3">
        <f t="shared" si="3"/>
        <v>0</v>
      </c>
      <c r="V12" s="4">
        <f t="shared" si="4"/>
        <v>1</v>
      </c>
      <c r="Z12" s="52">
        <f t="shared" si="5"/>
        <v>0</v>
      </c>
      <c r="AA12" s="53">
        <f t="shared" si="6"/>
        <v>0</v>
      </c>
      <c r="AB12" s="52">
        <f t="shared" si="7"/>
        <v>0</v>
      </c>
      <c r="AC12" s="53">
        <f t="shared" si="8"/>
        <v>0</v>
      </c>
      <c r="AD12" s="52">
        <f t="shared" si="9"/>
        <v>0</v>
      </c>
      <c r="AE12" s="46">
        <f t="shared" si="10"/>
        <v>0</v>
      </c>
      <c r="AG12" s="46">
        <f t="shared" si="11"/>
        <v>0</v>
      </c>
      <c r="AH12" s="46">
        <f t="shared" si="12"/>
        <v>0</v>
      </c>
      <c r="AI12" s="46">
        <f t="shared" si="13"/>
        <v>0</v>
      </c>
      <c r="AJ12" s="46">
        <f t="shared" si="14"/>
        <v>1</v>
      </c>
    </row>
    <row r="13" spans="1:52" x14ac:dyDescent="0.3">
      <c r="A13" s="64">
        <f t="shared" si="1"/>
        <v>1</v>
      </c>
      <c r="B13" s="18">
        <v>10</v>
      </c>
      <c r="C13" s="18" t="s">
        <v>75</v>
      </c>
      <c r="D13" s="87"/>
      <c r="E13" s="88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59" t="str">
        <f t="shared" si="0"/>
        <v/>
      </c>
      <c r="R13" s="20" t="str">
        <f t="shared" si="0"/>
        <v/>
      </c>
      <c r="S13" s="20" t="str">
        <f t="shared" si="0"/>
        <v/>
      </c>
      <c r="T13" s="3">
        <f t="shared" si="2"/>
        <v>0</v>
      </c>
      <c r="U13" s="3">
        <f t="shared" si="3"/>
        <v>0</v>
      </c>
      <c r="V13" s="4">
        <f t="shared" si="4"/>
        <v>1</v>
      </c>
      <c r="Z13" s="52">
        <f t="shared" si="5"/>
        <v>0</v>
      </c>
      <c r="AA13" s="53">
        <f t="shared" si="6"/>
        <v>0</v>
      </c>
      <c r="AB13" s="52">
        <f t="shared" si="7"/>
        <v>0</v>
      </c>
      <c r="AC13" s="53">
        <f t="shared" si="8"/>
        <v>0</v>
      </c>
      <c r="AD13" s="52">
        <f t="shared" si="9"/>
        <v>0</v>
      </c>
      <c r="AE13" s="46">
        <f t="shared" si="10"/>
        <v>0</v>
      </c>
      <c r="AG13" s="46">
        <f t="shared" si="11"/>
        <v>0</v>
      </c>
      <c r="AH13" s="46">
        <f t="shared" si="12"/>
        <v>0</v>
      </c>
      <c r="AI13" s="46">
        <f t="shared" si="13"/>
        <v>0</v>
      </c>
      <c r="AJ13" s="46">
        <f t="shared" si="14"/>
        <v>1</v>
      </c>
    </row>
    <row r="14" spans="1:52" x14ac:dyDescent="0.3">
      <c r="A14" s="64">
        <f t="shared" si="1"/>
        <v>1</v>
      </c>
      <c r="B14" s="18">
        <v>11</v>
      </c>
      <c r="C14" s="55" t="s">
        <v>76</v>
      </c>
      <c r="D14" s="87"/>
      <c r="E14" s="88"/>
      <c r="F14" s="18">
        <v>1000</v>
      </c>
      <c r="H14" s="20" t="str">
        <f t="shared" si="0"/>
        <v/>
      </c>
      <c r="I14" s="20" t="str">
        <f t="shared" si="0"/>
        <v/>
      </c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59" t="str">
        <f t="shared" si="0"/>
        <v/>
      </c>
      <c r="S14" s="20" t="str">
        <f t="shared" si="0"/>
        <v/>
      </c>
      <c r="T14" s="3">
        <f t="shared" si="2"/>
        <v>0</v>
      </c>
      <c r="U14" s="3">
        <f t="shared" si="3"/>
        <v>0</v>
      </c>
      <c r="V14" s="4">
        <f t="shared" si="4"/>
        <v>1</v>
      </c>
      <c r="Z14" s="52">
        <f t="shared" si="5"/>
        <v>0</v>
      </c>
      <c r="AA14" s="53">
        <f t="shared" si="6"/>
        <v>0</v>
      </c>
      <c r="AB14" s="52">
        <f t="shared" si="7"/>
        <v>0</v>
      </c>
      <c r="AC14" s="53">
        <f t="shared" si="8"/>
        <v>0</v>
      </c>
      <c r="AD14" s="52">
        <f t="shared" si="9"/>
        <v>0</v>
      </c>
      <c r="AE14" s="46">
        <f t="shared" si="10"/>
        <v>0</v>
      </c>
      <c r="AG14" s="46">
        <f t="shared" si="11"/>
        <v>0</v>
      </c>
      <c r="AH14" s="46">
        <f t="shared" si="12"/>
        <v>0</v>
      </c>
      <c r="AI14" s="46">
        <f t="shared" si="13"/>
        <v>0</v>
      </c>
      <c r="AJ14" s="46">
        <f t="shared" si="14"/>
        <v>1</v>
      </c>
    </row>
    <row r="15" spans="1:52" x14ac:dyDescent="0.3">
      <c r="A15" s="64">
        <f t="shared" si="1"/>
        <v>1</v>
      </c>
      <c r="B15" s="18">
        <v>12</v>
      </c>
      <c r="C15" s="18" t="s">
        <v>77</v>
      </c>
      <c r="D15" s="92"/>
      <c r="E15" s="93"/>
      <c r="F15" s="18">
        <v>1000</v>
      </c>
      <c r="H15" s="20" t="str">
        <f t="shared" si="0"/>
        <v/>
      </c>
      <c r="I15" s="20" t="str">
        <f t="shared" si="0"/>
        <v/>
      </c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59" t="str">
        <f t="shared" si="0"/>
        <v/>
      </c>
      <c r="T15" s="3">
        <f t="shared" si="2"/>
        <v>0</v>
      </c>
      <c r="U15" s="3">
        <f t="shared" si="3"/>
        <v>0</v>
      </c>
      <c r="V15" s="4">
        <f t="shared" si="4"/>
        <v>1</v>
      </c>
      <c r="Z15" s="52">
        <f t="shared" si="5"/>
        <v>0</v>
      </c>
      <c r="AA15" s="53">
        <f t="shared" si="6"/>
        <v>0</v>
      </c>
      <c r="AB15" s="52">
        <f t="shared" si="7"/>
        <v>0</v>
      </c>
      <c r="AC15" s="53">
        <f t="shared" si="8"/>
        <v>0</v>
      </c>
      <c r="AD15" s="52">
        <f t="shared" si="9"/>
        <v>0</v>
      </c>
      <c r="AE15" s="46">
        <f t="shared" si="10"/>
        <v>0</v>
      </c>
      <c r="AG15" s="46">
        <f t="shared" si="11"/>
        <v>0</v>
      </c>
      <c r="AH15" s="46">
        <f t="shared" si="12"/>
        <v>0</v>
      </c>
      <c r="AI15" s="46">
        <f t="shared" si="13"/>
        <v>0</v>
      </c>
      <c r="AJ15" s="46">
        <f t="shared" si="14"/>
        <v>1</v>
      </c>
    </row>
    <row r="16" spans="1:52" x14ac:dyDescent="0.3">
      <c r="Z16" s="46">
        <f>2*MAX(Z4:Z15)+1</f>
        <v>1</v>
      </c>
      <c r="AB16" s="46">
        <f>2*MAX(AB4:AB15)+1</f>
        <v>1</v>
      </c>
      <c r="AD16" s="46">
        <f>2*MAX(AD4:AD15)+1</f>
        <v>1</v>
      </c>
      <c r="AE16" s="46"/>
      <c r="AG16" s="47"/>
      <c r="AI16" s="47"/>
      <c r="AT16" s="31" t="s">
        <v>39</v>
      </c>
      <c r="AU16" s="31" t="s">
        <v>0</v>
      </c>
      <c r="AV16" s="31" t="s">
        <v>1</v>
      </c>
      <c r="AW16" s="31" t="s">
        <v>2</v>
      </c>
      <c r="AY16" s="32" t="s">
        <v>37</v>
      </c>
      <c r="AZ16" s="32" t="s">
        <v>38</v>
      </c>
    </row>
    <row r="17" spans="2:56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AY17" s="33"/>
      <c r="AZ17" s="33"/>
      <c r="BA17" s="34"/>
      <c r="BB17" s="34"/>
      <c r="BC17" s="34"/>
      <c r="BD17" s="34"/>
    </row>
    <row r="18" spans="2:56" x14ac:dyDescent="0.3">
      <c r="B18" s="35" t="s">
        <v>3</v>
      </c>
      <c r="D18" s="118" t="str">
        <f>"Van:" &amp; TEXT(Configuratie!H31,"uu.mm.ss")</f>
        <v>Van:13.00.00</v>
      </c>
      <c r="E18" s="119"/>
      <c r="F18" s="117"/>
      <c r="G18" s="118" t="str">
        <f>"Tot: "&amp; TEXT(Configuratie!I31,"uu.mm.ss")</f>
        <v>Tot: 13.12.30</v>
      </c>
      <c r="H18" s="119"/>
      <c r="I18" s="117"/>
      <c r="J18" s="117"/>
      <c r="AY18" s="32"/>
      <c r="AZ18" s="32"/>
    </row>
    <row r="19" spans="2:56" x14ac:dyDescent="0.3">
      <c r="B19">
        <v>1</v>
      </c>
      <c r="C19" t="str">
        <f t="shared" ref="C19:C24" si="15">VLOOKUP(AU19,$B$4:$F$15,2,FALSE)</f>
        <v>A</v>
      </c>
      <c r="D19" s="36" t="s">
        <v>5</v>
      </c>
      <c r="E19" s="86" t="str">
        <f t="shared" ref="E19:E24" si="16">VLOOKUP(AV19,$B$4:$F$15,2,FALSE)</f>
        <v>M</v>
      </c>
      <c r="F19" s="86"/>
      <c r="G19" s="86"/>
      <c r="H19" s="86"/>
      <c r="J19" s="86" t="str">
        <f>IF(V19="","",VLOOKUP(V19,#REF!,3,FALSE))</f>
        <v/>
      </c>
      <c r="K19" s="86"/>
      <c r="L19" t="s">
        <v>5</v>
      </c>
      <c r="M19" s="86" t="str">
        <f>IF(V19="","",VLOOKUP(V19,#REF!,4,FALSE))</f>
        <v/>
      </c>
      <c r="N19" s="86"/>
      <c r="R19" t="str">
        <f>IF(T19="","",VLOOKUP(T19,#REF!,2,FALSE))</f>
        <v/>
      </c>
      <c r="S19" s="36"/>
      <c r="T19" s="36"/>
      <c r="V19" s="1"/>
      <c r="AT19">
        <v>1</v>
      </c>
      <c r="AU19">
        <v>1</v>
      </c>
      <c r="AV19">
        <v>12</v>
      </c>
      <c r="AW19" t="str">
        <f t="shared" ref="AW19:AW24" si="17">IF(AND(ISNUMBER(J19),ISNUMBER(M19)),IF(J19+M19=1,1,0),"")</f>
        <v/>
      </c>
      <c r="AY19" s="38">
        <f t="shared" ref="AY19:AY24" si="18">AU19*100+AV19</f>
        <v>112</v>
      </c>
      <c r="AZ19" s="38">
        <f t="shared" ref="AZ19:AZ24" si="19">AV19*100+AU19</f>
        <v>1201</v>
      </c>
      <c r="BA19" s="38"/>
    </row>
    <row r="20" spans="2:56" x14ac:dyDescent="0.3">
      <c r="B20">
        <v>2</v>
      </c>
      <c r="C20" t="str">
        <f t="shared" si="15"/>
        <v>B</v>
      </c>
      <c r="D20" s="36" t="s">
        <v>5</v>
      </c>
      <c r="E20" s="86" t="str">
        <f t="shared" si="16"/>
        <v>L</v>
      </c>
      <c r="F20" s="86"/>
      <c r="G20" s="86"/>
      <c r="H20" s="86"/>
      <c r="J20" s="86" t="str">
        <f>IF(V20="","",VLOOKUP(V20,#REF!,3,FALSE))</f>
        <v/>
      </c>
      <c r="K20" s="86"/>
      <c r="L20" t="s">
        <v>5</v>
      </c>
      <c r="M20" s="86" t="str">
        <f>IF(V20="","",VLOOKUP(V20,#REF!,4,FALSE))</f>
        <v/>
      </c>
      <c r="N20" s="86"/>
      <c r="R20" t="str">
        <f>IF(T20="","",VLOOKUP(T20,#REF!,2,FALSE))</f>
        <v/>
      </c>
      <c r="S20" s="36"/>
      <c r="T20" s="36"/>
      <c r="V20" s="1"/>
      <c r="AT20">
        <v>1</v>
      </c>
      <c r="AU20">
        <v>2</v>
      </c>
      <c r="AV20">
        <v>11</v>
      </c>
      <c r="AW20" t="str">
        <f t="shared" si="17"/>
        <v/>
      </c>
      <c r="AY20" s="38">
        <f t="shared" si="18"/>
        <v>211</v>
      </c>
      <c r="AZ20" s="38">
        <f t="shared" si="19"/>
        <v>1102</v>
      </c>
    </row>
    <row r="21" spans="2:56" x14ac:dyDescent="0.3">
      <c r="B21">
        <v>3</v>
      </c>
      <c r="C21" t="str">
        <f t="shared" si="15"/>
        <v>C</v>
      </c>
      <c r="D21" s="36" t="s">
        <v>5</v>
      </c>
      <c r="E21" s="86" t="str">
        <f t="shared" si="16"/>
        <v>K</v>
      </c>
      <c r="F21" s="86"/>
      <c r="G21" s="86"/>
      <c r="H21" s="86"/>
      <c r="J21" s="86" t="str">
        <f>IF(V21="","",VLOOKUP(V21,#REF!,3,FALSE))</f>
        <v/>
      </c>
      <c r="K21" s="86"/>
      <c r="L21" t="s">
        <v>5</v>
      </c>
      <c r="M21" s="86" t="str">
        <f>IF(V21="","",VLOOKUP(V21,#REF!,4,FALSE))</f>
        <v/>
      </c>
      <c r="N21" s="86"/>
      <c r="R21" t="str">
        <f>IF(T21="","",VLOOKUP(T21,#REF!,2,FALSE))</f>
        <v/>
      </c>
      <c r="S21" s="36"/>
      <c r="T21" s="36"/>
      <c r="V21" s="1"/>
      <c r="AT21">
        <v>1</v>
      </c>
      <c r="AU21">
        <v>3</v>
      </c>
      <c r="AV21">
        <v>10</v>
      </c>
      <c r="AW21" t="str">
        <f t="shared" si="17"/>
        <v/>
      </c>
      <c r="AY21" s="38">
        <f t="shared" si="18"/>
        <v>310</v>
      </c>
      <c r="AZ21" s="38">
        <f t="shared" si="19"/>
        <v>1003</v>
      </c>
    </row>
    <row r="22" spans="2:56" x14ac:dyDescent="0.3">
      <c r="B22">
        <v>4</v>
      </c>
      <c r="C22" t="str">
        <f t="shared" si="15"/>
        <v>D</v>
      </c>
      <c r="D22" s="36" t="s">
        <v>5</v>
      </c>
      <c r="E22" s="86" t="str">
        <f t="shared" si="16"/>
        <v>J</v>
      </c>
      <c r="F22" s="86"/>
      <c r="G22" s="86"/>
      <c r="H22" s="86"/>
      <c r="J22" s="86" t="str">
        <f>IF(V22="","",VLOOKUP(V22,#REF!,3,FALSE))</f>
        <v/>
      </c>
      <c r="K22" s="86"/>
      <c r="L22" t="s">
        <v>5</v>
      </c>
      <c r="M22" s="86" t="str">
        <f>IF(V22="","",VLOOKUP(V22,#REF!,4,FALSE))</f>
        <v/>
      </c>
      <c r="N22" s="86"/>
      <c r="R22" t="str">
        <f>IF(T22="","",VLOOKUP(T22,#REF!,2,FALSE))</f>
        <v/>
      </c>
      <c r="S22" s="36"/>
      <c r="T22" s="36"/>
      <c r="V22" s="1"/>
      <c r="AT22">
        <v>1</v>
      </c>
      <c r="AU22">
        <v>4</v>
      </c>
      <c r="AV22">
        <v>9</v>
      </c>
      <c r="AW22" t="str">
        <f t="shared" si="17"/>
        <v/>
      </c>
      <c r="AY22" s="38">
        <f t="shared" si="18"/>
        <v>409</v>
      </c>
      <c r="AZ22" s="38">
        <f t="shared" si="19"/>
        <v>904</v>
      </c>
    </row>
    <row r="23" spans="2:56" x14ac:dyDescent="0.3">
      <c r="B23">
        <v>5</v>
      </c>
      <c r="C23" t="str">
        <f t="shared" si="15"/>
        <v>E</v>
      </c>
      <c r="D23" s="36" t="s">
        <v>5</v>
      </c>
      <c r="E23" s="86" t="str">
        <f t="shared" si="16"/>
        <v>I</v>
      </c>
      <c r="F23" s="86"/>
      <c r="G23" s="86"/>
      <c r="H23" s="86"/>
      <c r="J23" s="86" t="str">
        <f>IF(V23="","",VLOOKUP(V23,#REF!,3,FALSE))</f>
        <v/>
      </c>
      <c r="K23" s="86"/>
      <c r="L23" t="s">
        <v>5</v>
      </c>
      <c r="M23" s="86" t="str">
        <f>IF(V23="","",VLOOKUP(V23,#REF!,4,FALSE))</f>
        <v/>
      </c>
      <c r="N23" s="86"/>
      <c r="R23" t="str">
        <f>IF(T23="","",VLOOKUP(T23,#REF!,2,FALSE))</f>
        <v/>
      </c>
      <c r="S23" s="36"/>
      <c r="T23" s="36"/>
      <c r="V23" s="1"/>
      <c r="AT23">
        <v>1</v>
      </c>
      <c r="AU23">
        <v>5</v>
      </c>
      <c r="AV23">
        <v>8</v>
      </c>
      <c r="AW23" t="str">
        <f t="shared" si="17"/>
        <v/>
      </c>
      <c r="AY23" s="38">
        <f t="shared" si="18"/>
        <v>508</v>
      </c>
      <c r="AZ23" s="38">
        <f t="shared" si="19"/>
        <v>805</v>
      </c>
    </row>
    <row r="24" spans="2:56" x14ac:dyDescent="0.3">
      <c r="B24">
        <v>6</v>
      </c>
      <c r="C24" t="str">
        <f t="shared" si="15"/>
        <v>G</v>
      </c>
      <c r="D24" s="36" t="s">
        <v>5</v>
      </c>
      <c r="E24" s="86" t="str">
        <f t="shared" si="16"/>
        <v>H</v>
      </c>
      <c r="F24" s="86"/>
      <c r="G24" s="86"/>
      <c r="H24" s="86"/>
      <c r="J24" s="86" t="str">
        <f>IF(V24="","",VLOOKUP(V24,#REF!,3,FALSE))</f>
        <v/>
      </c>
      <c r="K24" s="86"/>
      <c r="L24" t="s">
        <v>5</v>
      </c>
      <c r="M24" s="86" t="str">
        <f>IF(V24="","",VLOOKUP(V24,#REF!,4,FALSE))</f>
        <v/>
      </c>
      <c r="N24" s="86"/>
      <c r="T24" s="36"/>
      <c r="V24" s="1"/>
      <c r="AT24">
        <v>1</v>
      </c>
      <c r="AU24">
        <v>6</v>
      </c>
      <c r="AV24">
        <v>7</v>
      </c>
      <c r="AW24" t="str">
        <f t="shared" si="17"/>
        <v/>
      </c>
      <c r="AY24" s="38">
        <f t="shared" si="18"/>
        <v>607</v>
      </c>
      <c r="AZ24" s="38">
        <f t="shared" si="19"/>
        <v>706</v>
      </c>
    </row>
    <row r="25" spans="2:56" ht="3" customHeight="1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2:56" x14ac:dyDescent="0.3">
      <c r="B26" s="35" t="s">
        <v>9</v>
      </c>
      <c r="D26" s="118" t="str">
        <f>"Van:" &amp; TEXT(Configuratie!J31,"uu.mm.ss")</f>
        <v>Van:13.17.30</v>
      </c>
      <c r="E26" s="119"/>
      <c r="F26" s="117"/>
      <c r="G26" s="118" t="str">
        <f>"Tot: "&amp; TEXT(Configuratie!K31,"uu.mm.ss")</f>
        <v>Tot: 13.30.00</v>
      </c>
      <c r="H26" s="119"/>
      <c r="I26" s="117"/>
      <c r="J26" s="117"/>
    </row>
    <row r="27" spans="2:56" x14ac:dyDescent="0.3">
      <c r="B27">
        <v>1</v>
      </c>
      <c r="C27" t="str">
        <f t="shared" ref="C27:C32" si="20">VLOOKUP(AU27,$B$4:$F$15,2,FALSE)</f>
        <v>M</v>
      </c>
      <c r="D27" s="36" t="s">
        <v>5</v>
      </c>
      <c r="E27" s="86" t="str">
        <f t="shared" ref="E27:E32" si="21">VLOOKUP(AV27,$B$4:$F$15,2,FALSE)</f>
        <v>H</v>
      </c>
      <c r="F27" s="86"/>
      <c r="G27" s="86"/>
      <c r="H27" s="86"/>
      <c r="J27" s="86" t="str">
        <f>IF(V27="","",VLOOKUP(V27,#REF!,3,FALSE))</f>
        <v/>
      </c>
      <c r="K27" s="86"/>
      <c r="L27" t="s">
        <v>5</v>
      </c>
      <c r="M27" s="86" t="str">
        <f>IF(V27="","",VLOOKUP(V27,#REF!,4,FALSE))</f>
        <v/>
      </c>
      <c r="N27" s="86"/>
      <c r="R27" t="str">
        <f>IF(T27="","",VLOOKUP(T27,#REF!,2,FALSE))</f>
        <v/>
      </c>
      <c r="S27" s="36"/>
      <c r="T27" s="36"/>
      <c r="V27" s="1"/>
      <c r="AT27">
        <v>2</v>
      </c>
      <c r="AU27">
        <v>12</v>
      </c>
      <c r="AV27">
        <v>7</v>
      </c>
      <c r="AW27" t="str">
        <f t="shared" ref="AW27:AW32" si="22">IF(AND(ISNUMBER(J27),ISNUMBER(M27)),IF(J27+M27=1,1,0),"")</f>
        <v/>
      </c>
      <c r="AY27" s="38">
        <f t="shared" ref="AY27:AY32" si="23">AU27*100+AV27</f>
        <v>1207</v>
      </c>
      <c r="AZ27" s="38">
        <f t="shared" ref="AZ27:AZ32" si="24">AV27*100+AU27</f>
        <v>712</v>
      </c>
      <c r="BA27" s="38"/>
    </row>
    <row r="28" spans="2:56" x14ac:dyDescent="0.3">
      <c r="B28">
        <v>2</v>
      </c>
      <c r="C28" t="str">
        <f t="shared" si="20"/>
        <v>I</v>
      </c>
      <c r="D28" s="36" t="s">
        <v>5</v>
      </c>
      <c r="E28" s="86" t="str">
        <f t="shared" si="21"/>
        <v>G</v>
      </c>
      <c r="F28" s="86"/>
      <c r="G28" s="86"/>
      <c r="H28" s="86"/>
      <c r="J28" s="86" t="str">
        <f>IF(V28="","",VLOOKUP(V28,#REF!,3,FALSE))</f>
        <v/>
      </c>
      <c r="K28" s="86"/>
      <c r="L28" t="s">
        <v>5</v>
      </c>
      <c r="M28" s="86" t="str">
        <f>IF(V28="","",VLOOKUP(V28,#REF!,4,FALSE))</f>
        <v/>
      </c>
      <c r="N28" s="86"/>
      <c r="R28" t="str">
        <f>IF(T28="","",VLOOKUP(T28,#REF!,2,FALSE))</f>
        <v/>
      </c>
      <c r="S28" s="36"/>
      <c r="T28" s="36"/>
      <c r="V28" s="1"/>
      <c r="AT28">
        <v>2</v>
      </c>
      <c r="AU28">
        <v>8</v>
      </c>
      <c r="AV28">
        <v>6</v>
      </c>
      <c r="AW28" t="str">
        <f t="shared" si="22"/>
        <v/>
      </c>
      <c r="AY28" s="38">
        <f t="shared" si="23"/>
        <v>806</v>
      </c>
      <c r="AZ28" s="38">
        <f t="shared" si="24"/>
        <v>608</v>
      </c>
    </row>
    <row r="29" spans="2:56" x14ac:dyDescent="0.3">
      <c r="B29">
        <v>3</v>
      </c>
      <c r="C29" t="str">
        <f t="shared" si="20"/>
        <v>J</v>
      </c>
      <c r="D29" s="36" t="s">
        <v>5</v>
      </c>
      <c r="E29" s="86" t="str">
        <f t="shared" si="21"/>
        <v>E</v>
      </c>
      <c r="F29" s="86"/>
      <c r="G29" s="86"/>
      <c r="H29" s="86"/>
      <c r="J29" s="86" t="str">
        <f>IF(V29="","",VLOOKUP(V29,#REF!,3,FALSE))</f>
        <v/>
      </c>
      <c r="K29" s="86"/>
      <c r="L29" t="s">
        <v>5</v>
      </c>
      <c r="M29" s="86" t="str">
        <f>IF(V29="","",VLOOKUP(V29,#REF!,4,FALSE))</f>
        <v/>
      </c>
      <c r="N29" s="86"/>
      <c r="R29" t="str">
        <f>IF(T29="","",VLOOKUP(T29,#REF!,2,FALSE))</f>
        <v/>
      </c>
      <c r="S29" s="36"/>
      <c r="T29" s="36"/>
      <c r="V29" s="1"/>
      <c r="AT29">
        <v>2</v>
      </c>
      <c r="AU29">
        <v>9</v>
      </c>
      <c r="AV29">
        <v>5</v>
      </c>
      <c r="AW29" t="str">
        <f t="shared" si="22"/>
        <v/>
      </c>
      <c r="AY29" s="38">
        <f t="shared" si="23"/>
        <v>905</v>
      </c>
      <c r="AZ29" s="38">
        <f t="shared" si="24"/>
        <v>509</v>
      </c>
    </row>
    <row r="30" spans="2:56" x14ac:dyDescent="0.3">
      <c r="B30">
        <v>4</v>
      </c>
      <c r="C30" t="str">
        <f t="shared" si="20"/>
        <v>K</v>
      </c>
      <c r="D30" s="36" t="s">
        <v>5</v>
      </c>
      <c r="E30" s="86" t="str">
        <f t="shared" si="21"/>
        <v>D</v>
      </c>
      <c r="F30" s="86"/>
      <c r="G30" s="86"/>
      <c r="H30" s="86"/>
      <c r="J30" s="86" t="str">
        <f>IF(V30="","",VLOOKUP(V30,#REF!,3,FALSE))</f>
        <v/>
      </c>
      <c r="K30" s="86"/>
      <c r="L30" t="s">
        <v>5</v>
      </c>
      <c r="M30" s="86" t="str">
        <f>IF(V30="","",VLOOKUP(V30,#REF!,4,FALSE))</f>
        <v/>
      </c>
      <c r="N30" s="86"/>
      <c r="R30" t="str">
        <f>IF(T30="","",VLOOKUP(T30,#REF!,2,FALSE))</f>
        <v/>
      </c>
      <c r="S30" s="36"/>
      <c r="T30" s="36"/>
      <c r="V30" s="1"/>
      <c r="AT30">
        <v>2</v>
      </c>
      <c r="AU30">
        <v>10</v>
      </c>
      <c r="AV30">
        <v>4</v>
      </c>
      <c r="AW30" t="str">
        <f t="shared" si="22"/>
        <v/>
      </c>
      <c r="AY30" s="38">
        <f t="shared" si="23"/>
        <v>1004</v>
      </c>
      <c r="AZ30" s="38">
        <f t="shared" si="24"/>
        <v>410</v>
      </c>
    </row>
    <row r="31" spans="2:56" x14ac:dyDescent="0.3">
      <c r="B31">
        <v>5</v>
      </c>
      <c r="C31" t="str">
        <f t="shared" si="20"/>
        <v>L</v>
      </c>
      <c r="D31" s="36" t="s">
        <v>5</v>
      </c>
      <c r="E31" s="86" t="str">
        <f t="shared" si="21"/>
        <v>C</v>
      </c>
      <c r="F31" s="86"/>
      <c r="G31" s="86"/>
      <c r="H31" s="86"/>
      <c r="J31" s="86" t="str">
        <f>IF(V31="","",VLOOKUP(V31,#REF!,3,FALSE))</f>
        <v/>
      </c>
      <c r="K31" s="86"/>
      <c r="L31" t="s">
        <v>5</v>
      </c>
      <c r="M31" s="86" t="str">
        <f>IF(V31="","",VLOOKUP(V31,#REF!,4,FALSE))</f>
        <v/>
      </c>
      <c r="N31" s="86"/>
      <c r="R31" t="str">
        <f>IF(T31="","",VLOOKUP(T31,#REF!,2,FALSE))</f>
        <v/>
      </c>
      <c r="S31" s="36"/>
      <c r="T31" s="36"/>
      <c r="V31" s="1"/>
      <c r="AT31">
        <v>2</v>
      </c>
      <c r="AU31">
        <v>11</v>
      </c>
      <c r="AV31">
        <v>3</v>
      </c>
      <c r="AW31" t="str">
        <f t="shared" si="22"/>
        <v/>
      </c>
      <c r="AY31" s="38">
        <f t="shared" si="23"/>
        <v>1103</v>
      </c>
      <c r="AZ31" s="38">
        <f t="shared" si="24"/>
        <v>311</v>
      </c>
    </row>
    <row r="32" spans="2:56" x14ac:dyDescent="0.3">
      <c r="B32">
        <v>6</v>
      </c>
      <c r="C32" t="str">
        <f t="shared" si="20"/>
        <v>A</v>
      </c>
      <c r="D32" s="36" t="s">
        <v>5</v>
      </c>
      <c r="E32" s="86" t="str">
        <f t="shared" si="21"/>
        <v>B</v>
      </c>
      <c r="F32" s="86"/>
      <c r="G32" s="86"/>
      <c r="H32" s="86"/>
      <c r="J32" s="86" t="str">
        <f>IF(V32="","",VLOOKUP(V32,#REF!,3,FALSE))</f>
        <v/>
      </c>
      <c r="K32" s="86"/>
      <c r="L32" t="s">
        <v>5</v>
      </c>
      <c r="M32" s="86" t="str">
        <f>IF(V32="","",VLOOKUP(V32,#REF!,4,FALSE))</f>
        <v/>
      </c>
      <c r="N32" s="86"/>
      <c r="T32" s="36"/>
      <c r="V32" s="1"/>
      <c r="AT32">
        <v>2</v>
      </c>
      <c r="AU32">
        <v>1</v>
      </c>
      <c r="AV32">
        <v>2</v>
      </c>
      <c r="AW32" t="str">
        <f t="shared" si="22"/>
        <v/>
      </c>
      <c r="AY32" s="38">
        <f t="shared" si="23"/>
        <v>102</v>
      </c>
      <c r="AZ32" s="38">
        <f t="shared" si="24"/>
        <v>201</v>
      </c>
    </row>
    <row r="33" spans="2:52" ht="3" customHeight="1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2:52" x14ac:dyDescent="0.3">
      <c r="B34" s="35" t="s">
        <v>10</v>
      </c>
      <c r="D34" s="118" t="str">
        <f>"Van:" &amp; TEXT(Configuratie!L31,"uu.mm.ss")</f>
        <v>Van:13.35.00</v>
      </c>
      <c r="E34" s="119"/>
      <c r="F34" s="117"/>
      <c r="G34" s="118" t="str">
        <f>"Tot: "&amp; TEXT(Configuratie!M31,"uu.mm.ss")</f>
        <v>Tot: 13.47.30</v>
      </c>
      <c r="H34" s="119"/>
      <c r="I34" s="117"/>
      <c r="J34" s="117"/>
    </row>
    <row r="35" spans="2:52" x14ac:dyDescent="0.3">
      <c r="B35">
        <v>1</v>
      </c>
      <c r="C35" t="str">
        <f t="shared" ref="C35:C40" si="25">VLOOKUP(AU35,$B$4:$F$15,2,FALSE)</f>
        <v>B</v>
      </c>
      <c r="D35" s="36" t="s">
        <v>5</v>
      </c>
      <c r="E35" s="86" t="str">
        <f t="shared" ref="E35:E40" si="26">VLOOKUP(AV35,$B$4:$F$15,2,FALSE)</f>
        <v>M</v>
      </c>
      <c r="F35" s="86"/>
      <c r="G35" s="86"/>
      <c r="H35" s="86"/>
      <c r="J35" s="86" t="str">
        <f>IF(V35="","",VLOOKUP(V35,#REF!,3,FALSE))</f>
        <v/>
      </c>
      <c r="K35" s="86"/>
      <c r="L35" t="s">
        <v>5</v>
      </c>
      <c r="M35" s="86" t="str">
        <f>IF(V35="","",VLOOKUP(V35,#REF!,4,FALSE))</f>
        <v/>
      </c>
      <c r="N35" s="86"/>
      <c r="R35" t="str">
        <f>IF(T35="","",VLOOKUP(T35,#REF!,2,FALSE))</f>
        <v/>
      </c>
      <c r="S35" s="36"/>
      <c r="T35" s="36"/>
      <c r="V35" s="1"/>
      <c r="AT35">
        <v>3</v>
      </c>
      <c r="AU35">
        <v>2</v>
      </c>
      <c r="AV35">
        <v>12</v>
      </c>
      <c r="AW35" t="str">
        <f t="shared" ref="AW35:AW40" si="27">IF(AND(ISNUMBER(J35),ISNUMBER(M35)),IF(J35+M35=1,1,0),"")</f>
        <v/>
      </c>
      <c r="AY35" s="38">
        <f t="shared" ref="AY35:AY40" si="28">AU35*100+AV35</f>
        <v>212</v>
      </c>
      <c r="AZ35" s="38">
        <f t="shared" ref="AZ35:AZ40" si="29">AV35*100+AU35</f>
        <v>1202</v>
      </c>
    </row>
    <row r="36" spans="2:52" x14ac:dyDescent="0.3">
      <c r="B36">
        <v>2</v>
      </c>
      <c r="C36" t="str">
        <f t="shared" si="25"/>
        <v>C</v>
      </c>
      <c r="D36" s="36" t="s">
        <v>5</v>
      </c>
      <c r="E36" s="86" t="str">
        <f t="shared" si="26"/>
        <v>A</v>
      </c>
      <c r="F36" s="86"/>
      <c r="G36" s="86"/>
      <c r="H36" s="86"/>
      <c r="J36" s="86" t="str">
        <f>IF(V36="","",VLOOKUP(V36,#REF!,3,FALSE))</f>
        <v/>
      </c>
      <c r="K36" s="86"/>
      <c r="L36" t="s">
        <v>5</v>
      </c>
      <c r="M36" s="86" t="str">
        <f>IF(V36="","",VLOOKUP(V36,#REF!,4,FALSE))</f>
        <v/>
      </c>
      <c r="N36" s="86"/>
      <c r="R36" t="str">
        <f>IF(T36="","",VLOOKUP(T36,#REF!,2,FALSE))</f>
        <v/>
      </c>
      <c r="S36" s="36"/>
      <c r="T36" s="36"/>
      <c r="V36" s="1"/>
      <c r="AT36">
        <v>3</v>
      </c>
      <c r="AU36">
        <v>3</v>
      </c>
      <c r="AV36">
        <v>1</v>
      </c>
      <c r="AW36" t="str">
        <f t="shared" si="27"/>
        <v/>
      </c>
      <c r="AY36" s="38">
        <f t="shared" si="28"/>
        <v>301</v>
      </c>
      <c r="AZ36" s="38">
        <f t="shared" si="29"/>
        <v>103</v>
      </c>
    </row>
    <row r="37" spans="2:52" x14ac:dyDescent="0.3">
      <c r="B37">
        <v>3</v>
      </c>
      <c r="C37" t="str">
        <f t="shared" si="25"/>
        <v>D</v>
      </c>
      <c r="D37" s="36" t="s">
        <v>5</v>
      </c>
      <c r="E37" s="86" t="str">
        <f t="shared" si="26"/>
        <v>L</v>
      </c>
      <c r="F37" s="86"/>
      <c r="G37" s="86"/>
      <c r="H37" s="86"/>
      <c r="J37" s="86" t="str">
        <f>IF(V37="","",VLOOKUP(V37,#REF!,3,FALSE))</f>
        <v/>
      </c>
      <c r="K37" s="86"/>
      <c r="L37" t="s">
        <v>5</v>
      </c>
      <c r="M37" s="86" t="str">
        <f>IF(V37="","",VLOOKUP(V37,#REF!,4,FALSE))</f>
        <v/>
      </c>
      <c r="N37" s="86"/>
      <c r="R37" t="str">
        <f>IF(T37="","",VLOOKUP(T37,#REF!,2,FALSE))</f>
        <v/>
      </c>
      <c r="S37" s="36"/>
      <c r="T37" s="36"/>
      <c r="V37" s="1"/>
      <c r="AT37">
        <v>3</v>
      </c>
      <c r="AU37">
        <v>4</v>
      </c>
      <c r="AV37">
        <v>11</v>
      </c>
      <c r="AW37" t="str">
        <f t="shared" si="27"/>
        <v/>
      </c>
      <c r="AY37" s="38">
        <f t="shared" si="28"/>
        <v>411</v>
      </c>
      <c r="AZ37" s="38">
        <f t="shared" si="29"/>
        <v>1104</v>
      </c>
    </row>
    <row r="38" spans="2:52" x14ac:dyDescent="0.3">
      <c r="B38">
        <v>4</v>
      </c>
      <c r="C38" t="str">
        <f t="shared" si="25"/>
        <v>E</v>
      </c>
      <c r="D38" s="36" t="s">
        <v>5</v>
      </c>
      <c r="E38" s="86" t="str">
        <f t="shared" si="26"/>
        <v>K</v>
      </c>
      <c r="F38" s="86"/>
      <c r="G38" s="86"/>
      <c r="H38" s="86"/>
      <c r="J38" s="86" t="str">
        <f>IF(V38="","",VLOOKUP(V38,#REF!,3,FALSE))</f>
        <v/>
      </c>
      <c r="K38" s="86"/>
      <c r="L38" t="s">
        <v>5</v>
      </c>
      <c r="M38" s="86" t="str">
        <f>IF(V38="","",VLOOKUP(V38,#REF!,4,FALSE))</f>
        <v/>
      </c>
      <c r="N38" s="86"/>
      <c r="R38" t="str">
        <f>IF(T38="","",VLOOKUP(T38,#REF!,2,FALSE))</f>
        <v/>
      </c>
      <c r="S38" s="36"/>
      <c r="T38" s="36"/>
      <c r="V38" s="1"/>
      <c r="AT38">
        <v>3</v>
      </c>
      <c r="AU38">
        <v>5</v>
      </c>
      <c r="AV38">
        <v>10</v>
      </c>
      <c r="AW38" t="str">
        <f t="shared" si="27"/>
        <v/>
      </c>
      <c r="AY38" s="38">
        <f t="shared" si="28"/>
        <v>510</v>
      </c>
      <c r="AZ38" s="38">
        <f t="shared" si="29"/>
        <v>1005</v>
      </c>
    </row>
    <row r="39" spans="2:52" x14ac:dyDescent="0.3">
      <c r="B39">
        <v>5</v>
      </c>
      <c r="C39" t="str">
        <f t="shared" si="25"/>
        <v>G</v>
      </c>
      <c r="D39" s="36" t="s">
        <v>5</v>
      </c>
      <c r="E39" s="86" t="str">
        <f t="shared" si="26"/>
        <v>J</v>
      </c>
      <c r="F39" s="86"/>
      <c r="G39" s="86"/>
      <c r="H39" s="86"/>
      <c r="J39" s="86" t="str">
        <f>IF(V39="","",VLOOKUP(V39,#REF!,3,FALSE))</f>
        <v/>
      </c>
      <c r="K39" s="86"/>
      <c r="L39" t="s">
        <v>5</v>
      </c>
      <c r="M39" s="86" t="str">
        <f>IF(V39="","",VLOOKUP(V39,#REF!,4,FALSE))</f>
        <v/>
      </c>
      <c r="N39" s="86"/>
      <c r="R39" t="str">
        <f>IF(T39="","",VLOOKUP(T39,#REF!,2,FALSE))</f>
        <v/>
      </c>
      <c r="S39" s="36"/>
      <c r="T39" s="36"/>
      <c r="V39" s="1"/>
      <c r="AT39">
        <v>3</v>
      </c>
      <c r="AU39">
        <v>6</v>
      </c>
      <c r="AV39">
        <v>9</v>
      </c>
      <c r="AW39" t="str">
        <f t="shared" si="27"/>
        <v/>
      </c>
      <c r="AY39" s="38">
        <f t="shared" si="28"/>
        <v>609</v>
      </c>
      <c r="AZ39" s="38">
        <f t="shared" si="29"/>
        <v>906</v>
      </c>
    </row>
    <row r="40" spans="2:52" x14ac:dyDescent="0.3">
      <c r="B40">
        <v>6</v>
      </c>
      <c r="C40" t="str">
        <f t="shared" si="25"/>
        <v>H</v>
      </c>
      <c r="D40" s="36" t="s">
        <v>5</v>
      </c>
      <c r="E40" s="86" t="str">
        <f t="shared" si="26"/>
        <v>I</v>
      </c>
      <c r="F40" s="86"/>
      <c r="G40" s="86"/>
      <c r="H40" s="86"/>
      <c r="J40" s="86" t="str">
        <f>IF(V40="","",VLOOKUP(V40,#REF!,3,FALSE))</f>
        <v/>
      </c>
      <c r="K40" s="86"/>
      <c r="L40" t="s">
        <v>5</v>
      </c>
      <c r="M40" s="86" t="str">
        <f>IF(V40="","",VLOOKUP(V40,#REF!,4,FALSE))</f>
        <v/>
      </c>
      <c r="N40" s="86"/>
      <c r="T40" s="36"/>
      <c r="V40" s="1"/>
      <c r="AT40">
        <v>3</v>
      </c>
      <c r="AU40">
        <v>7</v>
      </c>
      <c r="AV40">
        <v>8</v>
      </c>
      <c r="AW40" t="str">
        <f t="shared" si="27"/>
        <v/>
      </c>
      <c r="AY40" s="38">
        <f t="shared" si="28"/>
        <v>708</v>
      </c>
      <c r="AZ40" s="38">
        <f t="shared" si="29"/>
        <v>807</v>
      </c>
    </row>
    <row r="41" spans="2:52" ht="3" customHeight="1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2:52" x14ac:dyDescent="0.3">
      <c r="B42" s="35" t="s">
        <v>11</v>
      </c>
      <c r="D42" s="118" t="str">
        <f>"Van:" &amp; TEXT(Configuratie!N31,"uu.mm.ss")</f>
        <v>Van:13.52.30</v>
      </c>
      <c r="E42" s="119"/>
      <c r="F42" s="117"/>
      <c r="G42" s="118" t="str">
        <f>"Tot: "&amp; TEXT(Configuratie!O31,"uu.mm.ss")</f>
        <v>Tot: 14.05.00</v>
      </c>
      <c r="H42" s="119"/>
      <c r="I42" s="117"/>
      <c r="J42" s="117"/>
    </row>
    <row r="43" spans="2:52" x14ac:dyDescent="0.3">
      <c r="B43">
        <v>1</v>
      </c>
      <c r="C43" t="str">
        <f t="shared" ref="C43:C48" si="30">VLOOKUP(AU43,$B$4:$F$15,2,FALSE)</f>
        <v>M</v>
      </c>
      <c r="D43" s="36" t="s">
        <v>5</v>
      </c>
      <c r="E43" s="86" t="str">
        <f t="shared" ref="E43:E48" si="31">VLOOKUP(AV43,$B$4:$F$15,2,FALSE)</f>
        <v>I</v>
      </c>
      <c r="F43" s="86"/>
      <c r="G43" s="86"/>
      <c r="H43" s="86"/>
      <c r="J43" s="86" t="str">
        <f>IF(V43="","",VLOOKUP(V43,#REF!,3,FALSE))</f>
        <v/>
      </c>
      <c r="K43" s="86"/>
      <c r="L43" t="s">
        <v>5</v>
      </c>
      <c r="M43" s="86" t="str">
        <f>IF(V43="","",VLOOKUP(V43,#REF!,4,FALSE))</f>
        <v/>
      </c>
      <c r="N43" s="86"/>
      <c r="R43" t="str">
        <f>IF(T43="","",VLOOKUP(T43,#REF!,2,FALSE))</f>
        <v/>
      </c>
      <c r="S43" s="36"/>
      <c r="T43" s="36"/>
      <c r="V43" s="1"/>
      <c r="AT43">
        <v>4</v>
      </c>
      <c r="AU43">
        <v>12</v>
      </c>
      <c r="AV43">
        <v>8</v>
      </c>
      <c r="AW43" t="str">
        <f t="shared" ref="AW43:AW48" si="32">IF(AND(ISNUMBER(J43),ISNUMBER(M43)),IF(J43+M43=1,1,0),"")</f>
        <v/>
      </c>
      <c r="AY43" s="38">
        <f t="shared" ref="AY43:AY48" si="33">AU43*100+AV43</f>
        <v>1208</v>
      </c>
      <c r="AZ43" s="38">
        <f t="shared" ref="AZ43:AZ48" si="34">AV43*100+AU43</f>
        <v>812</v>
      </c>
    </row>
    <row r="44" spans="2:52" x14ac:dyDescent="0.3">
      <c r="B44">
        <v>2</v>
      </c>
      <c r="C44" t="str">
        <f t="shared" si="30"/>
        <v>J</v>
      </c>
      <c r="D44" s="36" t="s">
        <v>5</v>
      </c>
      <c r="E44" s="86" t="str">
        <f t="shared" si="31"/>
        <v>H</v>
      </c>
      <c r="F44" s="86"/>
      <c r="G44" s="86"/>
      <c r="H44" s="86"/>
      <c r="J44" s="86" t="str">
        <f>IF(V44="","",VLOOKUP(V44,#REF!,3,FALSE))</f>
        <v/>
      </c>
      <c r="K44" s="86"/>
      <c r="L44" t="s">
        <v>5</v>
      </c>
      <c r="M44" s="86" t="str">
        <f>IF(V44="","",VLOOKUP(V44,#REF!,4,FALSE))</f>
        <v/>
      </c>
      <c r="N44" s="86"/>
      <c r="R44" t="str">
        <f>IF(T44="","",VLOOKUP(T44,#REF!,2,FALSE))</f>
        <v/>
      </c>
      <c r="S44" s="36"/>
      <c r="T44" s="36"/>
      <c r="V44" s="1"/>
      <c r="AT44">
        <v>4</v>
      </c>
      <c r="AU44">
        <v>9</v>
      </c>
      <c r="AV44">
        <v>7</v>
      </c>
      <c r="AW44" t="str">
        <f t="shared" si="32"/>
        <v/>
      </c>
      <c r="AY44" s="38">
        <f t="shared" si="33"/>
        <v>907</v>
      </c>
      <c r="AZ44" s="38">
        <f t="shared" si="34"/>
        <v>709</v>
      </c>
    </row>
    <row r="45" spans="2:52" x14ac:dyDescent="0.3">
      <c r="B45">
        <v>3</v>
      </c>
      <c r="C45" t="str">
        <f t="shared" si="30"/>
        <v>K</v>
      </c>
      <c r="D45" s="36" t="s">
        <v>5</v>
      </c>
      <c r="E45" s="86" t="str">
        <f t="shared" si="31"/>
        <v>G</v>
      </c>
      <c r="F45" s="86"/>
      <c r="G45" s="86"/>
      <c r="H45" s="86"/>
      <c r="J45" s="86" t="str">
        <f>IF(V45="","",VLOOKUP(V45,#REF!,3,FALSE))</f>
        <v/>
      </c>
      <c r="K45" s="86"/>
      <c r="L45" t="s">
        <v>5</v>
      </c>
      <c r="M45" s="86" t="str">
        <f>IF(V45="","",VLOOKUP(V45,#REF!,4,FALSE))</f>
        <v/>
      </c>
      <c r="N45" s="86"/>
      <c r="R45" t="str">
        <f>IF(T45="","",VLOOKUP(T45,#REF!,2,FALSE))</f>
        <v/>
      </c>
      <c r="S45" s="36"/>
      <c r="T45" s="36"/>
      <c r="V45" s="1"/>
      <c r="AT45">
        <v>4</v>
      </c>
      <c r="AU45">
        <v>10</v>
      </c>
      <c r="AV45">
        <v>6</v>
      </c>
      <c r="AW45" t="str">
        <f t="shared" si="32"/>
        <v/>
      </c>
      <c r="AY45" s="38">
        <f t="shared" si="33"/>
        <v>1006</v>
      </c>
      <c r="AZ45" s="38">
        <f t="shared" si="34"/>
        <v>610</v>
      </c>
    </row>
    <row r="46" spans="2:52" x14ac:dyDescent="0.3">
      <c r="B46">
        <v>4</v>
      </c>
      <c r="C46" t="str">
        <f t="shared" si="30"/>
        <v>L</v>
      </c>
      <c r="D46" s="36" t="s">
        <v>5</v>
      </c>
      <c r="E46" s="86" t="str">
        <f t="shared" si="31"/>
        <v>E</v>
      </c>
      <c r="F46" s="86"/>
      <c r="G46" s="86"/>
      <c r="H46" s="86"/>
      <c r="J46" s="86" t="str">
        <f>IF(V46="","",VLOOKUP(V46,#REF!,3,FALSE))</f>
        <v/>
      </c>
      <c r="K46" s="86"/>
      <c r="L46" t="s">
        <v>5</v>
      </c>
      <c r="M46" s="86" t="str">
        <f>IF(V46="","",VLOOKUP(V46,#REF!,4,FALSE))</f>
        <v/>
      </c>
      <c r="N46" s="86"/>
      <c r="R46" t="str">
        <f>IF(T46="","",VLOOKUP(T46,#REF!,2,FALSE))</f>
        <v/>
      </c>
      <c r="S46" s="36"/>
      <c r="T46" s="36"/>
      <c r="V46" s="1"/>
      <c r="AT46">
        <v>4</v>
      </c>
      <c r="AU46">
        <v>11</v>
      </c>
      <c r="AV46">
        <v>5</v>
      </c>
      <c r="AW46" t="str">
        <f t="shared" si="32"/>
        <v/>
      </c>
      <c r="AY46" s="38">
        <f t="shared" si="33"/>
        <v>1105</v>
      </c>
      <c r="AZ46" s="38">
        <f t="shared" si="34"/>
        <v>511</v>
      </c>
    </row>
    <row r="47" spans="2:52" x14ac:dyDescent="0.3">
      <c r="B47">
        <v>5</v>
      </c>
      <c r="C47" t="str">
        <f t="shared" si="30"/>
        <v>A</v>
      </c>
      <c r="D47" s="36" t="s">
        <v>5</v>
      </c>
      <c r="E47" s="86" t="str">
        <f t="shared" si="31"/>
        <v>D</v>
      </c>
      <c r="F47" s="86"/>
      <c r="G47" s="86"/>
      <c r="H47" s="86"/>
      <c r="J47" s="86" t="str">
        <f>IF(V47="","",VLOOKUP(V47,#REF!,3,FALSE))</f>
        <v/>
      </c>
      <c r="K47" s="86"/>
      <c r="L47" t="s">
        <v>5</v>
      </c>
      <c r="M47" s="86" t="str">
        <f>IF(V47="","",VLOOKUP(V47,#REF!,4,FALSE))</f>
        <v/>
      </c>
      <c r="N47" s="86"/>
      <c r="R47" t="str">
        <f>IF(T47="","",VLOOKUP(T47,#REF!,2,FALSE))</f>
        <v/>
      </c>
      <c r="S47" s="36"/>
      <c r="T47" s="36"/>
      <c r="V47" s="1"/>
      <c r="AT47">
        <v>4</v>
      </c>
      <c r="AU47">
        <v>1</v>
      </c>
      <c r="AV47">
        <v>4</v>
      </c>
      <c r="AW47" t="str">
        <f t="shared" si="32"/>
        <v/>
      </c>
      <c r="AY47" s="38">
        <f t="shared" si="33"/>
        <v>104</v>
      </c>
      <c r="AZ47" s="38">
        <f t="shared" si="34"/>
        <v>401</v>
      </c>
    </row>
    <row r="48" spans="2:52" x14ac:dyDescent="0.3">
      <c r="B48">
        <v>6</v>
      </c>
      <c r="C48" t="str">
        <f t="shared" si="30"/>
        <v>B</v>
      </c>
      <c r="D48" s="36" t="s">
        <v>5</v>
      </c>
      <c r="E48" s="86" t="str">
        <f t="shared" si="31"/>
        <v>C</v>
      </c>
      <c r="F48" s="86"/>
      <c r="G48" s="86"/>
      <c r="H48" s="86"/>
      <c r="J48" s="86" t="str">
        <f>IF(V48="","",VLOOKUP(V48,#REF!,3,FALSE))</f>
        <v/>
      </c>
      <c r="K48" s="86"/>
      <c r="L48" t="s">
        <v>5</v>
      </c>
      <c r="M48" s="86" t="str">
        <f>IF(V48="","",VLOOKUP(V48,#REF!,4,FALSE))</f>
        <v/>
      </c>
      <c r="N48" s="86"/>
      <c r="T48" s="36"/>
      <c r="V48" s="1"/>
      <c r="AT48">
        <v>4</v>
      </c>
      <c r="AU48">
        <v>2</v>
      </c>
      <c r="AV48">
        <v>3</v>
      </c>
      <c r="AW48" t="str">
        <f t="shared" si="32"/>
        <v/>
      </c>
      <c r="AY48" s="38">
        <f t="shared" si="33"/>
        <v>203</v>
      </c>
      <c r="AZ48" s="38">
        <f t="shared" si="34"/>
        <v>302</v>
      </c>
    </row>
    <row r="49" spans="2:52" ht="3" customHeight="1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>
        <v>1</v>
      </c>
    </row>
    <row r="50" spans="2:52" x14ac:dyDescent="0.3">
      <c r="B50" s="35" t="s">
        <v>12</v>
      </c>
      <c r="D50" s="118" t="str">
        <f>"Van:" &amp; TEXT(Configuratie!P31,"uu.mm.ss")</f>
        <v>Van:14.10.00</v>
      </c>
      <c r="E50" s="119"/>
      <c r="F50" s="117"/>
      <c r="G50" s="118" t="str">
        <f>"Tot: "&amp; TEXT(Configuratie!Q31,"uu.mm.ss")</f>
        <v>Tot: 14.22.30</v>
      </c>
      <c r="H50" s="119"/>
      <c r="I50" s="117"/>
      <c r="J50" s="117"/>
    </row>
    <row r="51" spans="2:52" x14ac:dyDescent="0.3">
      <c r="B51">
        <v>1</v>
      </c>
      <c r="C51" t="str">
        <f t="shared" ref="C51:C56" si="35">VLOOKUP(AU51,$B$4:$F$15,2,FALSE)</f>
        <v>C</v>
      </c>
      <c r="D51" s="36" t="s">
        <v>5</v>
      </c>
      <c r="E51" s="86" t="str">
        <f t="shared" ref="E51:E56" si="36">VLOOKUP(AV51,$B$4:$F$15,2,FALSE)</f>
        <v>M</v>
      </c>
      <c r="F51" s="86"/>
      <c r="G51" s="86"/>
      <c r="H51" s="86"/>
      <c r="J51" s="86" t="str">
        <f>IF(V51="","",VLOOKUP(V51,#REF!,3,FALSE))</f>
        <v/>
      </c>
      <c r="K51" s="86"/>
      <c r="L51" t="s">
        <v>5</v>
      </c>
      <c r="M51" s="86" t="str">
        <f>IF(V51="","",VLOOKUP(V51,#REF!,4,FALSE))</f>
        <v/>
      </c>
      <c r="N51" s="86"/>
      <c r="R51" t="str">
        <f>IF(T51="","",VLOOKUP(T51,#REF!,2,FALSE))</f>
        <v/>
      </c>
      <c r="S51" s="36"/>
      <c r="T51" s="36"/>
      <c r="V51" s="1"/>
      <c r="AT51">
        <v>5</v>
      </c>
      <c r="AU51">
        <v>3</v>
      </c>
      <c r="AV51">
        <v>12</v>
      </c>
      <c r="AW51" t="str">
        <f t="shared" ref="AW51:AW56" si="37">IF(AND(ISNUMBER(J51),ISNUMBER(M51)),IF(J51+M51=1,1,0),"")</f>
        <v/>
      </c>
      <c r="AY51" s="38">
        <f t="shared" ref="AY51:AY56" si="38">AU51*100+AV51</f>
        <v>312</v>
      </c>
      <c r="AZ51" s="38">
        <f t="shared" ref="AZ51:AZ56" si="39">AV51*100+AU51</f>
        <v>1203</v>
      </c>
    </row>
    <row r="52" spans="2:52" x14ac:dyDescent="0.3">
      <c r="B52">
        <v>2</v>
      </c>
      <c r="C52" t="str">
        <f t="shared" si="35"/>
        <v>D</v>
      </c>
      <c r="D52" s="36" t="s">
        <v>5</v>
      </c>
      <c r="E52" s="86" t="str">
        <f t="shared" si="36"/>
        <v>B</v>
      </c>
      <c r="F52" s="86"/>
      <c r="G52" s="86"/>
      <c r="H52" s="86"/>
      <c r="J52" s="86" t="str">
        <f>IF(V52="","",VLOOKUP(V52,#REF!,3,FALSE))</f>
        <v/>
      </c>
      <c r="K52" s="86"/>
      <c r="L52" t="s">
        <v>5</v>
      </c>
      <c r="M52" s="86" t="str">
        <f>IF(V52="","",VLOOKUP(V52,#REF!,4,FALSE))</f>
        <v/>
      </c>
      <c r="N52" s="86"/>
      <c r="R52" t="str">
        <f>IF(T52="","",VLOOKUP(T52,#REF!,2,FALSE))</f>
        <v/>
      </c>
      <c r="S52" s="36"/>
      <c r="T52" s="36"/>
      <c r="V52" s="1"/>
      <c r="AT52">
        <v>5</v>
      </c>
      <c r="AU52">
        <v>4</v>
      </c>
      <c r="AV52">
        <v>2</v>
      </c>
      <c r="AW52" t="str">
        <f t="shared" si="37"/>
        <v/>
      </c>
      <c r="AY52" s="38">
        <f t="shared" si="38"/>
        <v>402</v>
      </c>
      <c r="AZ52" s="38">
        <f t="shared" si="39"/>
        <v>204</v>
      </c>
    </row>
    <row r="53" spans="2:52" x14ac:dyDescent="0.3">
      <c r="B53">
        <v>3</v>
      </c>
      <c r="C53" t="str">
        <f t="shared" si="35"/>
        <v>E</v>
      </c>
      <c r="D53" s="36" t="s">
        <v>5</v>
      </c>
      <c r="E53" s="86" t="str">
        <f t="shared" si="36"/>
        <v>A</v>
      </c>
      <c r="F53" s="86"/>
      <c r="G53" s="86"/>
      <c r="H53" s="86"/>
      <c r="J53" s="86" t="str">
        <f>IF(V53="","",VLOOKUP(V53,#REF!,3,FALSE))</f>
        <v/>
      </c>
      <c r="K53" s="86"/>
      <c r="L53" t="s">
        <v>5</v>
      </c>
      <c r="M53" s="86" t="str">
        <f>IF(V53="","",VLOOKUP(V53,#REF!,4,FALSE))</f>
        <v/>
      </c>
      <c r="N53" s="86"/>
      <c r="R53" t="str">
        <f>IF(T53="","",VLOOKUP(T53,#REF!,2,FALSE))</f>
        <v/>
      </c>
      <c r="S53" s="36"/>
      <c r="T53" s="36"/>
      <c r="V53" s="1"/>
      <c r="AT53">
        <v>5</v>
      </c>
      <c r="AU53">
        <v>5</v>
      </c>
      <c r="AV53">
        <v>1</v>
      </c>
      <c r="AW53" t="str">
        <f t="shared" si="37"/>
        <v/>
      </c>
      <c r="AY53" s="38">
        <f t="shared" si="38"/>
        <v>501</v>
      </c>
      <c r="AZ53" s="38">
        <f t="shared" si="39"/>
        <v>105</v>
      </c>
    </row>
    <row r="54" spans="2:52" x14ac:dyDescent="0.3">
      <c r="B54">
        <v>4</v>
      </c>
      <c r="C54" t="str">
        <f t="shared" si="35"/>
        <v>G</v>
      </c>
      <c r="D54" s="36" t="s">
        <v>5</v>
      </c>
      <c r="E54" s="86" t="str">
        <f t="shared" si="36"/>
        <v>L</v>
      </c>
      <c r="F54" s="86"/>
      <c r="G54" s="86"/>
      <c r="H54" s="86"/>
      <c r="J54" s="86" t="str">
        <f>IF(V54="","",VLOOKUP(V54,#REF!,3,FALSE))</f>
        <v/>
      </c>
      <c r="K54" s="86"/>
      <c r="L54" t="s">
        <v>5</v>
      </c>
      <c r="M54" s="86" t="str">
        <f>IF(V54="","",VLOOKUP(V54,#REF!,4,FALSE))</f>
        <v/>
      </c>
      <c r="N54" s="86"/>
      <c r="R54" t="str">
        <f>IF(T54="","",VLOOKUP(T54,#REF!,2,FALSE))</f>
        <v/>
      </c>
      <c r="S54" s="36"/>
      <c r="T54" s="36"/>
      <c r="V54" s="1"/>
      <c r="AT54">
        <v>5</v>
      </c>
      <c r="AU54">
        <v>6</v>
      </c>
      <c r="AV54">
        <v>11</v>
      </c>
      <c r="AW54" t="str">
        <f t="shared" si="37"/>
        <v/>
      </c>
      <c r="AY54" s="38">
        <f t="shared" si="38"/>
        <v>611</v>
      </c>
      <c r="AZ54" s="38">
        <f t="shared" si="39"/>
        <v>1106</v>
      </c>
    </row>
    <row r="55" spans="2:52" x14ac:dyDescent="0.3">
      <c r="B55">
        <v>5</v>
      </c>
      <c r="C55" t="str">
        <f t="shared" si="35"/>
        <v>H</v>
      </c>
      <c r="D55" s="36" t="s">
        <v>5</v>
      </c>
      <c r="E55" s="86" t="str">
        <f t="shared" si="36"/>
        <v>K</v>
      </c>
      <c r="F55" s="86"/>
      <c r="G55" s="86"/>
      <c r="H55" s="86"/>
      <c r="J55" s="86" t="str">
        <f>IF(V55="","",VLOOKUP(V55,#REF!,3,FALSE))</f>
        <v/>
      </c>
      <c r="K55" s="86"/>
      <c r="L55" t="s">
        <v>5</v>
      </c>
      <c r="M55" s="86" t="str">
        <f>IF(V55="","",VLOOKUP(V55,#REF!,4,FALSE))</f>
        <v/>
      </c>
      <c r="N55" s="86"/>
      <c r="R55" t="str">
        <f>IF(T55="","",VLOOKUP(T55,#REF!,2,FALSE))</f>
        <v/>
      </c>
      <c r="S55" s="36"/>
      <c r="T55" s="36"/>
      <c r="V55" s="1"/>
      <c r="AT55">
        <v>5</v>
      </c>
      <c r="AU55">
        <v>7</v>
      </c>
      <c r="AV55">
        <v>10</v>
      </c>
      <c r="AW55" t="str">
        <f t="shared" si="37"/>
        <v/>
      </c>
      <c r="AY55" s="38">
        <f t="shared" si="38"/>
        <v>710</v>
      </c>
      <c r="AZ55" s="38">
        <f t="shared" si="39"/>
        <v>1007</v>
      </c>
    </row>
    <row r="56" spans="2:52" x14ac:dyDescent="0.3">
      <c r="B56">
        <v>6</v>
      </c>
      <c r="C56" t="str">
        <f t="shared" si="35"/>
        <v>I</v>
      </c>
      <c r="D56" s="36" t="s">
        <v>5</v>
      </c>
      <c r="E56" s="86" t="str">
        <f t="shared" si="36"/>
        <v>J</v>
      </c>
      <c r="F56" s="86"/>
      <c r="G56" s="86"/>
      <c r="H56" s="86"/>
      <c r="J56" s="86" t="str">
        <f>IF(V56="","",VLOOKUP(V56,#REF!,3,FALSE))</f>
        <v/>
      </c>
      <c r="K56" s="86"/>
      <c r="L56" t="s">
        <v>5</v>
      </c>
      <c r="M56" s="86" t="str">
        <f>IF(V56="","",VLOOKUP(V56,#REF!,4,FALSE))</f>
        <v/>
      </c>
      <c r="N56" s="86"/>
      <c r="T56" s="36"/>
      <c r="V56" s="1"/>
      <c r="AT56">
        <v>5</v>
      </c>
      <c r="AU56">
        <v>8</v>
      </c>
      <c r="AV56">
        <v>9</v>
      </c>
      <c r="AW56" t="str">
        <f t="shared" si="37"/>
        <v/>
      </c>
      <c r="AY56" s="38">
        <f t="shared" si="38"/>
        <v>809</v>
      </c>
      <c r="AZ56" s="38">
        <f t="shared" si="39"/>
        <v>908</v>
      </c>
    </row>
    <row r="57" spans="2:52" ht="3" customHeight="1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spans="2:52" x14ac:dyDescent="0.3">
      <c r="B58" s="35" t="s">
        <v>13</v>
      </c>
      <c r="D58" s="118" t="str">
        <f>"Van:" &amp; TEXT(Configuratie!R31,"uu.mm.ss")</f>
        <v>Van:14.27.30</v>
      </c>
      <c r="E58" s="119"/>
      <c r="F58" s="117"/>
      <c r="G58" s="118" t="str">
        <f>"Tot: "&amp; TEXT(Configuratie!S31,"uu.mm.ss")</f>
        <v>Tot: 14.40.00</v>
      </c>
      <c r="H58" s="119"/>
      <c r="I58" s="117"/>
      <c r="J58" s="117"/>
    </row>
    <row r="59" spans="2:52" x14ac:dyDescent="0.3">
      <c r="B59">
        <v>1</v>
      </c>
      <c r="C59" t="str">
        <f t="shared" ref="C59:C64" si="40">VLOOKUP(AU59,$B$4:$F$15,2,FALSE)</f>
        <v>M</v>
      </c>
      <c r="D59" s="36" t="s">
        <v>5</v>
      </c>
      <c r="E59" s="86" t="str">
        <f t="shared" ref="E59:E64" si="41">VLOOKUP(AV59,$B$4:$F$15,2,FALSE)</f>
        <v>J</v>
      </c>
      <c r="F59" s="86"/>
      <c r="G59" s="86"/>
      <c r="H59" s="86"/>
      <c r="J59" s="86" t="str">
        <f>IF(V59="","",VLOOKUP(V59,#REF!,3,FALSE))</f>
        <v/>
      </c>
      <c r="K59" s="86"/>
      <c r="L59" t="s">
        <v>5</v>
      </c>
      <c r="M59" s="86" t="str">
        <f>IF(V59="","",VLOOKUP(V59,#REF!,4,FALSE))</f>
        <v/>
      </c>
      <c r="N59" s="86"/>
      <c r="R59" t="str">
        <f>IF(T59="","",VLOOKUP(T59,#REF!,2,FALSE))</f>
        <v/>
      </c>
      <c r="S59" s="36"/>
      <c r="T59" s="36"/>
      <c r="V59" s="1"/>
      <c r="AT59">
        <v>6</v>
      </c>
      <c r="AU59">
        <v>12</v>
      </c>
      <c r="AV59">
        <v>9</v>
      </c>
      <c r="AW59" t="str">
        <f t="shared" ref="AW59:AW64" si="42">IF(AND(ISNUMBER(J59),ISNUMBER(M59)),IF(J59+M59=1,1,0),"")</f>
        <v/>
      </c>
      <c r="AY59" s="38">
        <f t="shared" ref="AY59:AY64" si="43">AU59*100+AV59</f>
        <v>1209</v>
      </c>
      <c r="AZ59" s="38">
        <f t="shared" ref="AZ59:AZ64" si="44">AV59*100+AU59</f>
        <v>912</v>
      </c>
    </row>
    <row r="60" spans="2:52" x14ac:dyDescent="0.3">
      <c r="B60">
        <v>2</v>
      </c>
      <c r="C60" t="str">
        <f t="shared" si="40"/>
        <v>K</v>
      </c>
      <c r="D60" s="36" t="s">
        <v>5</v>
      </c>
      <c r="E60" s="86" t="str">
        <f t="shared" si="41"/>
        <v>I</v>
      </c>
      <c r="F60" s="86"/>
      <c r="G60" s="86"/>
      <c r="H60" s="86"/>
      <c r="J60" s="86" t="str">
        <f>IF(V60="","",VLOOKUP(V60,#REF!,3,FALSE))</f>
        <v/>
      </c>
      <c r="K60" s="86"/>
      <c r="L60" t="s">
        <v>5</v>
      </c>
      <c r="M60" s="86" t="str">
        <f>IF(V60="","",VLOOKUP(V60,#REF!,4,FALSE))</f>
        <v/>
      </c>
      <c r="N60" s="86"/>
      <c r="R60" t="str">
        <f>IF(T60="","",VLOOKUP(T60,#REF!,2,FALSE))</f>
        <v/>
      </c>
      <c r="S60" s="36"/>
      <c r="T60" s="36"/>
      <c r="V60" s="1"/>
      <c r="AT60">
        <v>6</v>
      </c>
      <c r="AU60">
        <v>10</v>
      </c>
      <c r="AV60">
        <v>8</v>
      </c>
      <c r="AW60" t="str">
        <f t="shared" si="42"/>
        <v/>
      </c>
      <c r="AY60" s="38">
        <f t="shared" si="43"/>
        <v>1008</v>
      </c>
      <c r="AZ60" s="38">
        <f t="shared" si="44"/>
        <v>810</v>
      </c>
    </row>
    <row r="61" spans="2:52" x14ac:dyDescent="0.3">
      <c r="B61">
        <v>3</v>
      </c>
      <c r="C61" t="str">
        <f t="shared" si="40"/>
        <v>L</v>
      </c>
      <c r="D61" s="36" t="s">
        <v>5</v>
      </c>
      <c r="E61" s="86" t="str">
        <f t="shared" si="41"/>
        <v>H</v>
      </c>
      <c r="F61" s="86"/>
      <c r="G61" s="86"/>
      <c r="H61" s="86"/>
      <c r="J61" s="86" t="str">
        <f>IF(V61="","",VLOOKUP(V61,#REF!,3,FALSE))</f>
        <v/>
      </c>
      <c r="K61" s="86"/>
      <c r="L61" t="s">
        <v>5</v>
      </c>
      <c r="M61" s="86" t="str">
        <f>IF(V61="","",VLOOKUP(V61,#REF!,4,FALSE))</f>
        <v/>
      </c>
      <c r="N61" s="86"/>
      <c r="R61" t="str">
        <f>IF(T61="","",VLOOKUP(T61,#REF!,2,FALSE))</f>
        <v/>
      </c>
      <c r="S61" s="36"/>
      <c r="T61" s="36"/>
      <c r="V61" s="1"/>
      <c r="AT61">
        <v>6</v>
      </c>
      <c r="AU61">
        <v>11</v>
      </c>
      <c r="AV61">
        <v>7</v>
      </c>
      <c r="AW61" t="str">
        <f t="shared" si="42"/>
        <v/>
      </c>
      <c r="AY61" s="38">
        <f t="shared" si="43"/>
        <v>1107</v>
      </c>
      <c r="AZ61" s="38">
        <f t="shared" si="44"/>
        <v>711</v>
      </c>
    </row>
    <row r="62" spans="2:52" x14ac:dyDescent="0.3">
      <c r="B62">
        <v>4</v>
      </c>
      <c r="C62" t="str">
        <f t="shared" si="40"/>
        <v>A</v>
      </c>
      <c r="D62" s="36" t="s">
        <v>5</v>
      </c>
      <c r="E62" s="86" t="str">
        <f t="shared" si="41"/>
        <v>G</v>
      </c>
      <c r="F62" s="86"/>
      <c r="G62" s="86"/>
      <c r="H62" s="86"/>
      <c r="J62" s="86" t="str">
        <f>IF(V62="","",VLOOKUP(V62,#REF!,3,FALSE))</f>
        <v/>
      </c>
      <c r="K62" s="86"/>
      <c r="L62" t="s">
        <v>5</v>
      </c>
      <c r="M62" s="86" t="str">
        <f>IF(V62="","",VLOOKUP(V62,#REF!,4,FALSE))</f>
        <v/>
      </c>
      <c r="N62" s="86"/>
      <c r="R62" t="str">
        <f>IF(T62="","",VLOOKUP(T62,#REF!,2,FALSE))</f>
        <v/>
      </c>
      <c r="S62" s="36"/>
      <c r="T62" s="36"/>
      <c r="V62" s="1"/>
      <c r="AT62">
        <v>6</v>
      </c>
      <c r="AU62">
        <v>1</v>
      </c>
      <c r="AV62">
        <v>6</v>
      </c>
      <c r="AW62" t="str">
        <f t="shared" si="42"/>
        <v/>
      </c>
      <c r="AY62" s="38">
        <f t="shared" si="43"/>
        <v>106</v>
      </c>
      <c r="AZ62" s="38">
        <f t="shared" si="44"/>
        <v>601</v>
      </c>
    </row>
    <row r="63" spans="2:52" x14ac:dyDescent="0.3">
      <c r="B63">
        <v>5</v>
      </c>
      <c r="C63" t="str">
        <f t="shared" si="40"/>
        <v>B</v>
      </c>
      <c r="D63" s="36" t="s">
        <v>5</v>
      </c>
      <c r="E63" s="86" t="str">
        <f t="shared" si="41"/>
        <v>E</v>
      </c>
      <c r="F63" s="86"/>
      <c r="G63" s="86"/>
      <c r="H63" s="86"/>
      <c r="J63" s="86" t="str">
        <f>IF(V63="","",VLOOKUP(V63,#REF!,3,FALSE))</f>
        <v/>
      </c>
      <c r="K63" s="86"/>
      <c r="L63" t="s">
        <v>5</v>
      </c>
      <c r="M63" s="86" t="str">
        <f>IF(V63="","",VLOOKUP(V63,#REF!,4,FALSE))</f>
        <v/>
      </c>
      <c r="N63" s="86"/>
      <c r="R63" t="str">
        <f>IF(T63="","",VLOOKUP(T63,#REF!,2,FALSE))</f>
        <v/>
      </c>
      <c r="S63" s="36"/>
      <c r="T63" s="36"/>
      <c r="V63" s="1"/>
      <c r="AT63">
        <v>6</v>
      </c>
      <c r="AU63">
        <v>2</v>
      </c>
      <c r="AV63">
        <v>5</v>
      </c>
      <c r="AW63" t="str">
        <f t="shared" si="42"/>
        <v/>
      </c>
      <c r="AY63" s="38">
        <f t="shared" si="43"/>
        <v>205</v>
      </c>
      <c r="AZ63" s="38">
        <f t="shared" si="44"/>
        <v>502</v>
      </c>
    </row>
    <row r="64" spans="2:52" x14ac:dyDescent="0.3">
      <c r="B64">
        <v>6</v>
      </c>
      <c r="C64" t="str">
        <f t="shared" si="40"/>
        <v>C</v>
      </c>
      <c r="D64" s="36" t="s">
        <v>5</v>
      </c>
      <c r="E64" s="86" t="str">
        <f t="shared" si="41"/>
        <v>D</v>
      </c>
      <c r="F64" s="86"/>
      <c r="G64" s="86"/>
      <c r="H64" s="86"/>
      <c r="J64" s="86" t="str">
        <f>IF(V64="","",VLOOKUP(V64,#REF!,3,FALSE))</f>
        <v/>
      </c>
      <c r="K64" s="86"/>
      <c r="L64" t="s">
        <v>5</v>
      </c>
      <c r="M64" s="86" t="str">
        <f>IF(V64="","",VLOOKUP(V64,#REF!,4,FALSE))</f>
        <v/>
      </c>
      <c r="N64" s="86"/>
      <c r="T64" s="36"/>
      <c r="V64" s="1"/>
      <c r="AT64">
        <v>6</v>
      </c>
      <c r="AU64">
        <v>3</v>
      </c>
      <c r="AV64">
        <v>4</v>
      </c>
      <c r="AW64" t="str">
        <f t="shared" si="42"/>
        <v/>
      </c>
      <c r="AY64" s="38">
        <f t="shared" si="43"/>
        <v>304</v>
      </c>
      <c r="AZ64" s="38">
        <f t="shared" si="44"/>
        <v>403</v>
      </c>
    </row>
    <row r="65" spans="2:52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spans="2:52" x14ac:dyDescent="0.3">
      <c r="B66" s="35" t="s">
        <v>14</v>
      </c>
      <c r="D66" s="118" t="str">
        <f>"Van:" &amp; TEXT(Configuratie!T31,"uu.mm.ss")</f>
        <v>Van:15.10.00</v>
      </c>
      <c r="E66" s="119"/>
      <c r="F66" s="117"/>
      <c r="G66" s="118" t="str">
        <f>"Tot: "&amp; TEXT(Configuratie!U31,"uu.mm.ss")</f>
        <v>Tot: 15.22.30</v>
      </c>
      <c r="H66" s="119"/>
      <c r="I66" s="117"/>
      <c r="J66" s="117"/>
    </row>
    <row r="67" spans="2:52" x14ac:dyDescent="0.3">
      <c r="B67">
        <v>1</v>
      </c>
      <c r="C67" t="str">
        <f t="shared" ref="C67:C72" si="45">VLOOKUP(AU67,$B$4:$F$15,2,FALSE)</f>
        <v>D</v>
      </c>
      <c r="D67" s="36" t="s">
        <v>5</v>
      </c>
      <c r="E67" s="86" t="str">
        <f t="shared" ref="E67:E72" si="46">VLOOKUP(AV67,$B$4:$F$15,2,FALSE)</f>
        <v>M</v>
      </c>
      <c r="F67" s="86"/>
      <c r="G67" s="86"/>
      <c r="H67" s="86"/>
      <c r="J67" s="86" t="str">
        <f>IF(V67="","",VLOOKUP(V67,#REF!,3,FALSE))</f>
        <v/>
      </c>
      <c r="K67" s="86"/>
      <c r="L67" t="s">
        <v>5</v>
      </c>
      <c r="M67" s="86" t="str">
        <f>IF(V67="","",VLOOKUP(V67,#REF!,4,FALSE))</f>
        <v/>
      </c>
      <c r="N67" s="86"/>
      <c r="R67" t="str">
        <f>IF(T67="","",VLOOKUP(T67,#REF!,2,FALSE))</f>
        <v/>
      </c>
      <c r="S67" s="36"/>
      <c r="T67" s="36"/>
      <c r="V67" s="1"/>
      <c r="AT67">
        <v>7</v>
      </c>
      <c r="AU67">
        <v>4</v>
      </c>
      <c r="AV67">
        <v>12</v>
      </c>
      <c r="AW67" t="str">
        <f t="shared" ref="AW67:AW72" si="47">IF(AND(ISNUMBER(J67),ISNUMBER(M67)),IF(J67+M67=1,1,0),"")</f>
        <v/>
      </c>
      <c r="AY67" s="38">
        <f t="shared" ref="AY67:AY72" si="48">AU67*100+AV67</f>
        <v>412</v>
      </c>
      <c r="AZ67" s="38">
        <f t="shared" ref="AZ67:AZ72" si="49">AV67*100+AU67</f>
        <v>1204</v>
      </c>
    </row>
    <row r="68" spans="2:52" x14ac:dyDescent="0.3">
      <c r="B68">
        <v>2</v>
      </c>
      <c r="C68" t="str">
        <f t="shared" si="45"/>
        <v>E</v>
      </c>
      <c r="D68" s="36" t="s">
        <v>5</v>
      </c>
      <c r="E68" s="86" t="str">
        <f t="shared" si="46"/>
        <v>C</v>
      </c>
      <c r="F68" s="86"/>
      <c r="G68" s="86"/>
      <c r="H68" s="86"/>
      <c r="J68" s="86" t="str">
        <f>IF(V68="","",VLOOKUP(V68,#REF!,3,FALSE))</f>
        <v/>
      </c>
      <c r="K68" s="86"/>
      <c r="L68" t="s">
        <v>5</v>
      </c>
      <c r="M68" s="86" t="str">
        <f>IF(V68="","",VLOOKUP(V68,#REF!,4,FALSE))</f>
        <v/>
      </c>
      <c r="N68" s="86"/>
      <c r="R68" t="str">
        <f>IF(T68="","",VLOOKUP(T68,#REF!,2,FALSE))</f>
        <v/>
      </c>
      <c r="S68" s="36"/>
      <c r="T68" s="36"/>
      <c r="V68" s="1"/>
      <c r="AT68">
        <v>7</v>
      </c>
      <c r="AU68">
        <v>5</v>
      </c>
      <c r="AV68">
        <v>3</v>
      </c>
      <c r="AW68" t="str">
        <f t="shared" si="47"/>
        <v/>
      </c>
      <c r="AY68" s="38">
        <f t="shared" si="48"/>
        <v>503</v>
      </c>
      <c r="AZ68" s="38">
        <f t="shared" si="49"/>
        <v>305</v>
      </c>
    </row>
    <row r="69" spans="2:52" x14ac:dyDescent="0.3">
      <c r="B69">
        <v>3</v>
      </c>
      <c r="C69" t="str">
        <f t="shared" si="45"/>
        <v>G</v>
      </c>
      <c r="D69" s="36" t="s">
        <v>5</v>
      </c>
      <c r="E69" s="86" t="str">
        <f t="shared" si="46"/>
        <v>B</v>
      </c>
      <c r="F69" s="86"/>
      <c r="G69" s="86"/>
      <c r="H69" s="86"/>
      <c r="J69" s="86" t="str">
        <f>IF(V69="","",VLOOKUP(V69,#REF!,3,FALSE))</f>
        <v/>
      </c>
      <c r="K69" s="86"/>
      <c r="L69" t="s">
        <v>5</v>
      </c>
      <c r="M69" s="86" t="str">
        <f>IF(V69="","",VLOOKUP(V69,#REF!,4,FALSE))</f>
        <v/>
      </c>
      <c r="N69" s="86"/>
      <c r="R69" t="str">
        <f>IF(T69="","",VLOOKUP(T69,#REF!,2,FALSE))</f>
        <v/>
      </c>
      <c r="S69" s="36"/>
      <c r="T69" s="36"/>
      <c r="V69" s="1"/>
      <c r="AT69">
        <v>7</v>
      </c>
      <c r="AU69">
        <v>6</v>
      </c>
      <c r="AV69">
        <v>2</v>
      </c>
      <c r="AW69" t="str">
        <f t="shared" si="47"/>
        <v/>
      </c>
      <c r="AY69" s="38">
        <f t="shared" si="48"/>
        <v>602</v>
      </c>
      <c r="AZ69" s="38">
        <f t="shared" si="49"/>
        <v>206</v>
      </c>
    </row>
    <row r="70" spans="2:52" x14ac:dyDescent="0.3">
      <c r="B70">
        <v>4</v>
      </c>
      <c r="C70" t="str">
        <f t="shared" si="45"/>
        <v>H</v>
      </c>
      <c r="D70" s="36" t="s">
        <v>5</v>
      </c>
      <c r="E70" s="86" t="str">
        <f t="shared" si="46"/>
        <v>A</v>
      </c>
      <c r="F70" s="86"/>
      <c r="G70" s="86"/>
      <c r="H70" s="86"/>
      <c r="J70" s="86" t="str">
        <f>IF(V70="","",VLOOKUP(V70,#REF!,3,FALSE))</f>
        <v/>
      </c>
      <c r="K70" s="86"/>
      <c r="L70" t="s">
        <v>5</v>
      </c>
      <c r="M70" s="86" t="str">
        <f>IF(V70="","",VLOOKUP(V70,#REF!,4,FALSE))</f>
        <v/>
      </c>
      <c r="N70" s="86"/>
      <c r="R70" t="str">
        <f>IF(T70="","",VLOOKUP(T70,#REF!,2,FALSE))</f>
        <v/>
      </c>
      <c r="S70" s="36"/>
      <c r="T70" s="36"/>
      <c r="V70" s="1"/>
      <c r="AT70">
        <v>7</v>
      </c>
      <c r="AU70">
        <v>7</v>
      </c>
      <c r="AV70">
        <v>1</v>
      </c>
      <c r="AW70" t="str">
        <f t="shared" si="47"/>
        <v/>
      </c>
      <c r="AY70" s="38">
        <f t="shared" si="48"/>
        <v>701</v>
      </c>
      <c r="AZ70" s="38">
        <f t="shared" si="49"/>
        <v>107</v>
      </c>
    </row>
    <row r="71" spans="2:52" x14ac:dyDescent="0.3">
      <c r="B71">
        <v>5</v>
      </c>
      <c r="C71" t="str">
        <f t="shared" si="45"/>
        <v>I</v>
      </c>
      <c r="D71" s="36" t="s">
        <v>5</v>
      </c>
      <c r="E71" s="86" t="str">
        <f t="shared" si="46"/>
        <v>L</v>
      </c>
      <c r="F71" s="86"/>
      <c r="G71" s="86"/>
      <c r="H71" s="86"/>
      <c r="J71" s="86" t="str">
        <f>IF(V71="","",VLOOKUP(V71,#REF!,3,FALSE))</f>
        <v/>
      </c>
      <c r="K71" s="86"/>
      <c r="L71" t="s">
        <v>5</v>
      </c>
      <c r="M71" s="86" t="str">
        <f>IF(V71="","",VLOOKUP(V71,#REF!,4,FALSE))</f>
        <v/>
      </c>
      <c r="N71" s="86"/>
      <c r="R71" t="str">
        <f>IF(T71="","",VLOOKUP(T71,#REF!,2,FALSE))</f>
        <v/>
      </c>
      <c r="S71" s="36"/>
      <c r="T71" s="36"/>
      <c r="V71" s="1"/>
      <c r="AT71">
        <v>7</v>
      </c>
      <c r="AU71">
        <v>8</v>
      </c>
      <c r="AV71">
        <v>11</v>
      </c>
      <c r="AW71" t="str">
        <f t="shared" si="47"/>
        <v/>
      </c>
      <c r="AY71" s="38">
        <f t="shared" si="48"/>
        <v>811</v>
      </c>
      <c r="AZ71" s="38">
        <f t="shared" si="49"/>
        <v>1108</v>
      </c>
    </row>
    <row r="72" spans="2:52" x14ac:dyDescent="0.3">
      <c r="B72">
        <v>6</v>
      </c>
      <c r="C72" t="str">
        <f t="shared" si="45"/>
        <v>J</v>
      </c>
      <c r="D72" s="36" t="s">
        <v>5</v>
      </c>
      <c r="E72" s="86" t="str">
        <f t="shared" si="46"/>
        <v>K</v>
      </c>
      <c r="F72" s="86"/>
      <c r="G72" s="86"/>
      <c r="H72" s="86"/>
      <c r="J72" s="86" t="str">
        <f>IF(V72="","",VLOOKUP(V72,#REF!,3,FALSE))</f>
        <v/>
      </c>
      <c r="K72" s="86"/>
      <c r="L72" t="s">
        <v>5</v>
      </c>
      <c r="M72" s="86" t="str">
        <f>IF(V72="","",VLOOKUP(V72,#REF!,4,FALSE))</f>
        <v/>
      </c>
      <c r="N72" s="86"/>
      <c r="T72" s="36"/>
      <c r="V72" s="1"/>
      <c r="AT72">
        <v>7</v>
      </c>
      <c r="AU72">
        <v>9</v>
      </c>
      <c r="AV72">
        <v>10</v>
      </c>
      <c r="AW72" t="str">
        <f t="shared" si="47"/>
        <v/>
      </c>
      <c r="AY72" s="38">
        <f t="shared" si="48"/>
        <v>910</v>
      </c>
      <c r="AZ72" s="38">
        <f t="shared" si="49"/>
        <v>1009</v>
      </c>
    </row>
    <row r="73" spans="2:52" ht="3" customHeight="1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spans="2:52" x14ac:dyDescent="0.3">
      <c r="B74" s="35" t="s">
        <v>15</v>
      </c>
      <c r="D74" s="118" t="str">
        <f>"Van:" &amp; TEXT(Configuratie!V31,"uu.mm.ss")</f>
        <v>Van:15.27.30</v>
      </c>
      <c r="E74" s="119"/>
      <c r="F74" s="117"/>
      <c r="G74" s="118" t="str">
        <f>"Tot: "&amp; TEXT(Configuratie!W31,"uu.mm.ss")</f>
        <v>Tot: 15.40.00</v>
      </c>
      <c r="H74" s="119"/>
      <c r="I74" s="117"/>
      <c r="J74" s="117"/>
    </row>
    <row r="75" spans="2:52" x14ac:dyDescent="0.3">
      <c r="B75">
        <v>1</v>
      </c>
      <c r="C75" t="str">
        <f t="shared" ref="C75:C80" si="50">VLOOKUP(AU75,$B$4:$F$15,2,FALSE)</f>
        <v>M</v>
      </c>
      <c r="D75" s="36" t="s">
        <v>5</v>
      </c>
      <c r="E75" s="86" t="str">
        <f t="shared" ref="E75:E80" si="51">VLOOKUP(AV75,$B$4:$F$15,2,FALSE)</f>
        <v>K</v>
      </c>
      <c r="F75" s="86"/>
      <c r="G75" s="86"/>
      <c r="H75" s="86"/>
      <c r="J75" s="86" t="str">
        <f>IF(V75="","",VLOOKUP(V75,#REF!,3,FALSE))</f>
        <v/>
      </c>
      <c r="K75" s="86"/>
      <c r="L75" t="s">
        <v>5</v>
      </c>
      <c r="M75" s="86" t="str">
        <f>IF(V75="","",VLOOKUP(V75,#REF!,4,FALSE))</f>
        <v/>
      </c>
      <c r="N75" s="86"/>
      <c r="R75" t="str">
        <f>IF(T75="","",VLOOKUP(T75,#REF!,2,FALSE))</f>
        <v/>
      </c>
      <c r="S75" s="36"/>
      <c r="T75" s="36"/>
      <c r="V75" s="1"/>
      <c r="AT75">
        <v>8</v>
      </c>
      <c r="AU75">
        <v>12</v>
      </c>
      <c r="AV75">
        <v>10</v>
      </c>
      <c r="AW75" t="str">
        <f t="shared" ref="AW75:AW80" si="52">IF(AND(ISNUMBER(J75),ISNUMBER(M75)),IF(J75+M75=1,1,0),"")</f>
        <v/>
      </c>
      <c r="AY75" s="38">
        <f t="shared" ref="AY75:AY80" si="53">AU75*100+AV75</f>
        <v>1210</v>
      </c>
      <c r="AZ75" s="38">
        <f t="shared" ref="AZ75:AZ80" si="54">AV75*100+AU75</f>
        <v>1012</v>
      </c>
    </row>
    <row r="76" spans="2:52" x14ac:dyDescent="0.3">
      <c r="B76">
        <v>2</v>
      </c>
      <c r="C76" t="str">
        <f t="shared" si="50"/>
        <v>L</v>
      </c>
      <c r="D76" s="36" t="s">
        <v>5</v>
      </c>
      <c r="E76" s="86" t="str">
        <f t="shared" si="51"/>
        <v>J</v>
      </c>
      <c r="F76" s="86"/>
      <c r="G76" s="86"/>
      <c r="H76" s="86"/>
      <c r="J76" s="86" t="str">
        <f>IF(V76="","",VLOOKUP(V76,#REF!,3,FALSE))</f>
        <v/>
      </c>
      <c r="K76" s="86"/>
      <c r="L76" t="s">
        <v>5</v>
      </c>
      <c r="M76" s="86" t="str">
        <f>IF(V76="","",VLOOKUP(V76,#REF!,4,FALSE))</f>
        <v/>
      </c>
      <c r="N76" s="86"/>
      <c r="R76" t="str">
        <f>IF(T76="","",VLOOKUP(T76,#REF!,2,FALSE))</f>
        <v/>
      </c>
      <c r="S76" s="36"/>
      <c r="T76" s="36"/>
      <c r="V76" s="1"/>
      <c r="AT76">
        <v>8</v>
      </c>
      <c r="AU76">
        <v>11</v>
      </c>
      <c r="AV76">
        <v>9</v>
      </c>
      <c r="AW76" t="str">
        <f t="shared" si="52"/>
        <v/>
      </c>
      <c r="AY76" s="38">
        <f t="shared" si="53"/>
        <v>1109</v>
      </c>
      <c r="AZ76" s="38">
        <f t="shared" si="54"/>
        <v>911</v>
      </c>
    </row>
    <row r="77" spans="2:52" x14ac:dyDescent="0.3">
      <c r="B77">
        <v>3</v>
      </c>
      <c r="C77" t="str">
        <f t="shared" si="50"/>
        <v>A</v>
      </c>
      <c r="D77" s="36" t="s">
        <v>5</v>
      </c>
      <c r="E77" s="86" t="str">
        <f t="shared" si="51"/>
        <v>I</v>
      </c>
      <c r="F77" s="86"/>
      <c r="G77" s="86"/>
      <c r="H77" s="86"/>
      <c r="J77" s="86" t="str">
        <f>IF(V77="","",VLOOKUP(V77,#REF!,3,FALSE))</f>
        <v/>
      </c>
      <c r="K77" s="86"/>
      <c r="L77" t="s">
        <v>5</v>
      </c>
      <c r="M77" s="86" t="str">
        <f>IF(V77="","",VLOOKUP(V77,#REF!,4,FALSE))</f>
        <v/>
      </c>
      <c r="N77" s="86"/>
      <c r="R77" t="str">
        <f>IF(T77="","",VLOOKUP(T77,#REF!,2,FALSE))</f>
        <v/>
      </c>
      <c r="S77" s="36"/>
      <c r="T77" s="36"/>
      <c r="V77" s="1"/>
      <c r="AT77">
        <v>8</v>
      </c>
      <c r="AU77">
        <v>1</v>
      </c>
      <c r="AV77">
        <v>8</v>
      </c>
      <c r="AW77" t="str">
        <f t="shared" si="52"/>
        <v/>
      </c>
      <c r="AY77" s="38">
        <f t="shared" si="53"/>
        <v>108</v>
      </c>
      <c r="AZ77" s="38">
        <f t="shared" si="54"/>
        <v>801</v>
      </c>
    </row>
    <row r="78" spans="2:52" x14ac:dyDescent="0.3">
      <c r="B78">
        <v>4</v>
      </c>
      <c r="C78" t="str">
        <f t="shared" si="50"/>
        <v>B</v>
      </c>
      <c r="D78" s="36" t="s">
        <v>5</v>
      </c>
      <c r="E78" s="86" t="str">
        <f t="shared" si="51"/>
        <v>H</v>
      </c>
      <c r="F78" s="86"/>
      <c r="G78" s="86"/>
      <c r="H78" s="86"/>
      <c r="J78" s="86" t="str">
        <f>IF(V78="","",VLOOKUP(V78,#REF!,3,FALSE))</f>
        <v/>
      </c>
      <c r="K78" s="86"/>
      <c r="L78" t="s">
        <v>5</v>
      </c>
      <c r="M78" s="86" t="str">
        <f>IF(V78="","",VLOOKUP(V78,#REF!,4,FALSE))</f>
        <v/>
      </c>
      <c r="N78" s="86"/>
      <c r="R78" t="str">
        <f>IF(T78="","",VLOOKUP(T78,#REF!,2,FALSE))</f>
        <v/>
      </c>
      <c r="S78" s="36"/>
      <c r="T78" s="36"/>
      <c r="V78" s="1"/>
      <c r="AT78">
        <v>8</v>
      </c>
      <c r="AU78">
        <v>2</v>
      </c>
      <c r="AV78">
        <v>7</v>
      </c>
      <c r="AW78" t="str">
        <f t="shared" si="52"/>
        <v/>
      </c>
      <c r="AY78" s="38">
        <f t="shared" si="53"/>
        <v>207</v>
      </c>
      <c r="AZ78" s="38">
        <f t="shared" si="54"/>
        <v>702</v>
      </c>
    </row>
    <row r="79" spans="2:52" x14ac:dyDescent="0.3">
      <c r="B79">
        <v>5</v>
      </c>
      <c r="C79" t="str">
        <f t="shared" si="50"/>
        <v>C</v>
      </c>
      <c r="D79" s="36" t="s">
        <v>5</v>
      </c>
      <c r="E79" s="86" t="str">
        <f t="shared" si="51"/>
        <v>G</v>
      </c>
      <c r="F79" s="86"/>
      <c r="G79" s="86"/>
      <c r="H79" s="86"/>
      <c r="J79" s="86" t="str">
        <f>IF(V79="","",VLOOKUP(V79,#REF!,3,FALSE))</f>
        <v/>
      </c>
      <c r="K79" s="86"/>
      <c r="L79" t="s">
        <v>5</v>
      </c>
      <c r="M79" s="86" t="str">
        <f>IF(V79="","",VLOOKUP(V79,#REF!,4,FALSE))</f>
        <v/>
      </c>
      <c r="N79" s="86"/>
      <c r="R79" t="str">
        <f>IF(T79="","",VLOOKUP(T79,#REF!,2,FALSE))</f>
        <v/>
      </c>
      <c r="S79" s="36"/>
      <c r="T79" s="36"/>
      <c r="V79" s="1"/>
      <c r="AT79">
        <v>8</v>
      </c>
      <c r="AU79">
        <v>3</v>
      </c>
      <c r="AV79">
        <v>6</v>
      </c>
      <c r="AW79" t="str">
        <f t="shared" si="52"/>
        <v/>
      </c>
      <c r="AY79" s="38">
        <f t="shared" si="53"/>
        <v>306</v>
      </c>
      <c r="AZ79" s="38">
        <f t="shared" si="54"/>
        <v>603</v>
      </c>
    </row>
    <row r="80" spans="2:52" x14ac:dyDescent="0.3">
      <c r="B80">
        <v>6</v>
      </c>
      <c r="C80" t="str">
        <f t="shared" si="50"/>
        <v>D</v>
      </c>
      <c r="D80" s="36" t="s">
        <v>5</v>
      </c>
      <c r="E80" s="86" t="str">
        <f t="shared" si="51"/>
        <v>E</v>
      </c>
      <c r="F80" s="86"/>
      <c r="G80" s="86"/>
      <c r="H80" s="86"/>
      <c r="J80" s="86" t="str">
        <f>IF(V80="","",VLOOKUP(V80,#REF!,3,FALSE))</f>
        <v/>
      </c>
      <c r="K80" s="86"/>
      <c r="L80" t="s">
        <v>5</v>
      </c>
      <c r="M80" s="86" t="str">
        <f>IF(V80="","",VLOOKUP(V80,#REF!,4,FALSE))</f>
        <v/>
      </c>
      <c r="N80" s="86"/>
      <c r="T80" s="36"/>
      <c r="V80" s="1"/>
      <c r="AT80">
        <v>8</v>
      </c>
      <c r="AU80">
        <v>4</v>
      </c>
      <c r="AV80">
        <v>5</v>
      </c>
      <c r="AW80" t="str">
        <f t="shared" si="52"/>
        <v/>
      </c>
      <c r="AY80" s="38">
        <f t="shared" si="53"/>
        <v>405</v>
      </c>
      <c r="AZ80" s="38">
        <f t="shared" si="54"/>
        <v>504</v>
      </c>
    </row>
    <row r="81" spans="2:52" ht="3" customHeight="1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spans="2:52" x14ac:dyDescent="0.3">
      <c r="B82" s="35" t="s">
        <v>16</v>
      </c>
      <c r="D82" s="118" t="str">
        <f>"Van:" &amp; TEXT(Configuratie!X31,"uu.mm.ss")</f>
        <v>Van:15.45.00</v>
      </c>
      <c r="E82" s="119"/>
      <c r="F82" s="117"/>
      <c r="G82" s="118" t="str">
        <f>"Tot: "&amp; TEXT(Configuratie!Y31,"uu.mm.ss")</f>
        <v>Tot: 15.57.30</v>
      </c>
      <c r="H82" s="119"/>
      <c r="I82" s="117"/>
      <c r="J82" s="117"/>
    </row>
    <row r="83" spans="2:52" x14ac:dyDescent="0.3">
      <c r="B83">
        <v>1</v>
      </c>
      <c r="C83" t="str">
        <f t="shared" ref="C83:C88" si="55">VLOOKUP(AU83,$B$4:$F$15,2,FALSE)</f>
        <v>E</v>
      </c>
      <c r="D83" s="36" t="s">
        <v>5</v>
      </c>
      <c r="E83" s="86" t="str">
        <f t="shared" ref="E83:E88" si="56">VLOOKUP(AV83,$B$4:$F$15,2,FALSE)</f>
        <v>M</v>
      </c>
      <c r="F83" s="86"/>
      <c r="G83" s="86"/>
      <c r="H83" s="86"/>
      <c r="J83" s="86" t="str">
        <f>IF(V83="","",VLOOKUP(V83,#REF!,3,FALSE))</f>
        <v/>
      </c>
      <c r="K83" s="86"/>
      <c r="L83" t="s">
        <v>5</v>
      </c>
      <c r="M83" s="86" t="str">
        <f>IF(V83="","",VLOOKUP(V83,#REF!,4,FALSE))</f>
        <v/>
      </c>
      <c r="N83" s="86"/>
      <c r="R83" t="str">
        <f>IF(T83="","",VLOOKUP(T83,#REF!,2,FALSE))</f>
        <v/>
      </c>
      <c r="S83" s="36"/>
      <c r="T83" s="36"/>
      <c r="V83" s="1"/>
      <c r="AT83">
        <v>9</v>
      </c>
      <c r="AU83">
        <v>5</v>
      </c>
      <c r="AV83">
        <v>12</v>
      </c>
      <c r="AW83" t="str">
        <f t="shared" ref="AW83:AW88" si="57">IF(AND(ISNUMBER(J83),ISNUMBER(M83)),IF(J83+M83=1,1,0),"")</f>
        <v/>
      </c>
      <c r="AY83" s="38">
        <f t="shared" ref="AY83:AY88" si="58">AU83*100+AV83</f>
        <v>512</v>
      </c>
      <c r="AZ83" s="38">
        <f t="shared" ref="AZ83:AZ88" si="59">AV83*100+AU83</f>
        <v>1205</v>
      </c>
    </row>
    <row r="84" spans="2:52" x14ac:dyDescent="0.3">
      <c r="B84">
        <v>2</v>
      </c>
      <c r="C84" t="str">
        <f t="shared" si="55"/>
        <v>G</v>
      </c>
      <c r="D84" s="36" t="s">
        <v>5</v>
      </c>
      <c r="E84" s="86" t="str">
        <f t="shared" si="56"/>
        <v>D</v>
      </c>
      <c r="F84" s="86"/>
      <c r="G84" s="86"/>
      <c r="H84" s="86"/>
      <c r="J84" s="86" t="str">
        <f>IF(V84="","",VLOOKUP(V84,#REF!,3,FALSE))</f>
        <v/>
      </c>
      <c r="K84" s="86"/>
      <c r="L84" t="s">
        <v>5</v>
      </c>
      <c r="M84" s="86" t="str">
        <f>IF(V84="","",VLOOKUP(V84,#REF!,4,FALSE))</f>
        <v/>
      </c>
      <c r="N84" s="86"/>
      <c r="R84" t="str">
        <f>IF(T84="","",VLOOKUP(T84,#REF!,2,FALSE))</f>
        <v/>
      </c>
      <c r="S84" s="36"/>
      <c r="T84" s="36"/>
      <c r="V84" s="1"/>
      <c r="AT84">
        <v>9</v>
      </c>
      <c r="AU84">
        <v>6</v>
      </c>
      <c r="AV84">
        <v>4</v>
      </c>
      <c r="AW84" t="str">
        <f t="shared" si="57"/>
        <v/>
      </c>
      <c r="AY84" s="38">
        <f t="shared" si="58"/>
        <v>604</v>
      </c>
      <c r="AZ84" s="38">
        <f t="shared" si="59"/>
        <v>406</v>
      </c>
    </row>
    <row r="85" spans="2:52" x14ac:dyDescent="0.3">
      <c r="B85">
        <v>3</v>
      </c>
      <c r="C85" t="str">
        <f t="shared" si="55"/>
        <v>H</v>
      </c>
      <c r="D85" s="36" t="s">
        <v>5</v>
      </c>
      <c r="E85" s="86" t="str">
        <f t="shared" si="56"/>
        <v>C</v>
      </c>
      <c r="F85" s="86"/>
      <c r="G85" s="86"/>
      <c r="H85" s="86"/>
      <c r="J85" s="86" t="str">
        <f>IF(V85="","",VLOOKUP(V85,#REF!,3,FALSE))</f>
        <v/>
      </c>
      <c r="K85" s="86"/>
      <c r="L85" t="s">
        <v>5</v>
      </c>
      <c r="M85" s="86" t="str">
        <f>IF(V85="","",VLOOKUP(V85,#REF!,4,FALSE))</f>
        <v/>
      </c>
      <c r="N85" s="86"/>
      <c r="R85" t="str">
        <f>IF(T85="","",VLOOKUP(T85,#REF!,2,FALSE))</f>
        <v/>
      </c>
      <c r="S85" s="36"/>
      <c r="T85" s="36"/>
      <c r="V85" s="1"/>
      <c r="AT85">
        <v>9</v>
      </c>
      <c r="AU85">
        <v>7</v>
      </c>
      <c r="AV85">
        <v>3</v>
      </c>
      <c r="AW85" t="str">
        <f t="shared" si="57"/>
        <v/>
      </c>
      <c r="AY85" s="38">
        <f t="shared" si="58"/>
        <v>703</v>
      </c>
      <c r="AZ85" s="38">
        <f t="shared" si="59"/>
        <v>307</v>
      </c>
    </row>
    <row r="86" spans="2:52" x14ac:dyDescent="0.3">
      <c r="B86">
        <v>4</v>
      </c>
      <c r="C86" t="str">
        <f t="shared" si="55"/>
        <v>I</v>
      </c>
      <c r="D86" s="36" t="s">
        <v>5</v>
      </c>
      <c r="E86" s="86" t="str">
        <f t="shared" si="56"/>
        <v>B</v>
      </c>
      <c r="F86" s="86"/>
      <c r="G86" s="86"/>
      <c r="H86" s="86"/>
      <c r="J86" s="86" t="str">
        <f>IF(V86="","",VLOOKUP(V86,#REF!,3,FALSE))</f>
        <v/>
      </c>
      <c r="K86" s="86"/>
      <c r="L86" t="s">
        <v>5</v>
      </c>
      <c r="M86" s="86" t="str">
        <f>IF(V86="","",VLOOKUP(V86,#REF!,4,FALSE))</f>
        <v/>
      </c>
      <c r="N86" s="86"/>
      <c r="R86" t="str">
        <f>IF(T86="","",VLOOKUP(T86,#REF!,2,FALSE))</f>
        <v/>
      </c>
      <c r="S86" s="36"/>
      <c r="T86" s="36"/>
      <c r="V86" s="1"/>
      <c r="AT86">
        <v>9</v>
      </c>
      <c r="AU86">
        <v>8</v>
      </c>
      <c r="AV86">
        <v>2</v>
      </c>
      <c r="AW86" t="str">
        <f t="shared" si="57"/>
        <v/>
      </c>
      <c r="AY86" s="38">
        <f t="shared" si="58"/>
        <v>802</v>
      </c>
      <c r="AZ86" s="38">
        <f t="shared" si="59"/>
        <v>208</v>
      </c>
    </row>
    <row r="87" spans="2:52" x14ac:dyDescent="0.3">
      <c r="B87">
        <v>5</v>
      </c>
      <c r="C87" t="str">
        <f t="shared" si="55"/>
        <v>J</v>
      </c>
      <c r="D87" s="36" t="s">
        <v>5</v>
      </c>
      <c r="E87" s="86" t="str">
        <f t="shared" si="56"/>
        <v>A</v>
      </c>
      <c r="F87" s="86"/>
      <c r="G87" s="86"/>
      <c r="H87" s="86"/>
      <c r="J87" s="86" t="str">
        <f>IF(V87="","",VLOOKUP(V87,#REF!,3,FALSE))</f>
        <v/>
      </c>
      <c r="K87" s="86"/>
      <c r="L87" t="s">
        <v>5</v>
      </c>
      <c r="M87" s="86" t="str">
        <f>IF(V87="","",VLOOKUP(V87,#REF!,4,FALSE))</f>
        <v/>
      </c>
      <c r="N87" s="86"/>
      <c r="R87" t="str">
        <f>IF(T87="","",VLOOKUP(T87,#REF!,2,FALSE))</f>
        <v/>
      </c>
      <c r="S87" s="36"/>
      <c r="T87" s="36"/>
      <c r="V87" s="1"/>
      <c r="AT87">
        <v>9</v>
      </c>
      <c r="AU87">
        <v>9</v>
      </c>
      <c r="AV87">
        <v>1</v>
      </c>
      <c r="AW87" t="str">
        <f t="shared" si="57"/>
        <v/>
      </c>
      <c r="AY87" s="38">
        <f t="shared" si="58"/>
        <v>901</v>
      </c>
      <c r="AZ87" s="38">
        <f t="shared" si="59"/>
        <v>109</v>
      </c>
    </row>
    <row r="88" spans="2:52" x14ac:dyDescent="0.3">
      <c r="B88">
        <v>6</v>
      </c>
      <c r="C88" t="str">
        <f t="shared" si="55"/>
        <v>K</v>
      </c>
      <c r="D88" s="36" t="s">
        <v>5</v>
      </c>
      <c r="E88" s="86" t="str">
        <f t="shared" si="56"/>
        <v>L</v>
      </c>
      <c r="F88" s="86"/>
      <c r="G88" s="86"/>
      <c r="H88" s="86"/>
      <c r="J88" s="86" t="str">
        <f>IF(V88="","",VLOOKUP(V88,#REF!,3,FALSE))</f>
        <v/>
      </c>
      <c r="K88" s="86"/>
      <c r="L88" t="s">
        <v>5</v>
      </c>
      <c r="M88" s="86" t="str">
        <f>IF(V88="","",VLOOKUP(V88,#REF!,4,FALSE))</f>
        <v/>
      </c>
      <c r="N88" s="86"/>
      <c r="T88" s="36"/>
      <c r="V88" s="1"/>
      <c r="AT88">
        <v>9</v>
      </c>
      <c r="AU88">
        <v>10</v>
      </c>
      <c r="AV88">
        <v>11</v>
      </c>
      <c r="AW88" t="str">
        <f t="shared" si="57"/>
        <v/>
      </c>
      <c r="AY88" s="38">
        <f t="shared" si="58"/>
        <v>1011</v>
      </c>
      <c r="AZ88" s="38">
        <f t="shared" si="59"/>
        <v>1110</v>
      </c>
    </row>
    <row r="89" spans="2:52" ht="3" customHeight="1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spans="2:52" x14ac:dyDescent="0.3">
      <c r="B90" s="35" t="s">
        <v>80</v>
      </c>
      <c r="D90" s="118" t="str">
        <f>"Van:" &amp; TEXT(Configuratie!Z31,"uu.mm.ss")</f>
        <v>Van:16.02.30</v>
      </c>
      <c r="E90" s="119"/>
      <c r="F90" s="117"/>
      <c r="G90" s="118" t="str">
        <f>"Tot: "&amp; TEXT(Configuratie!AA31,"uu.mm.ss")</f>
        <v>Tot: 16.15.00</v>
      </c>
      <c r="H90" s="119"/>
      <c r="I90" s="117"/>
      <c r="J90" s="117"/>
    </row>
    <row r="91" spans="2:52" x14ac:dyDescent="0.3">
      <c r="B91">
        <v>1</v>
      </c>
      <c r="C91" t="str">
        <f t="shared" ref="C91:C96" si="60">VLOOKUP(AU91,$B$4:$F$15,2,FALSE)</f>
        <v>M</v>
      </c>
      <c r="D91" s="36" t="s">
        <v>5</v>
      </c>
      <c r="E91" s="86" t="str">
        <f t="shared" ref="E91:E96" si="61">VLOOKUP(AV91,$B$4:$F$15,2,FALSE)</f>
        <v>L</v>
      </c>
      <c r="F91" s="86"/>
      <c r="G91" s="86"/>
      <c r="H91" s="86"/>
      <c r="J91" s="86" t="str">
        <f>IF(V91="","",VLOOKUP(V91,#REF!,3,FALSE))</f>
        <v/>
      </c>
      <c r="K91" s="86"/>
      <c r="L91" t="s">
        <v>5</v>
      </c>
      <c r="M91" s="86" t="str">
        <f>IF(V91="","",VLOOKUP(V91,#REF!,4,FALSE))</f>
        <v/>
      </c>
      <c r="N91" s="86"/>
      <c r="R91" t="str">
        <f>IF(T91="","",VLOOKUP(T91,#REF!,2,FALSE))</f>
        <v/>
      </c>
      <c r="S91" s="36"/>
      <c r="T91" s="36"/>
      <c r="V91" s="1"/>
      <c r="AT91">
        <v>10</v>
      </c>
      <c r="AU91">
        <v>12</v>
      </c>
      <c r="AV91">
        <v>11</v>
      </c>
      <c r="AW91" t="str">
        <f t="shared" ref="AW91:AW96" si="62">IF(AND(ISNUMBER(J91),ISNUMBER(M91)),IF(J91+M91=1,1,0),"")</f>
        <v/>
      </c>
      <c r="AY91" s="38">
        <f t="shared" ref="AY91:AY96" si="63">AU91*100+AV91</f>
        <v>1211</v>
      </c>
      <c r="AZ91" s="38">
        <f t="shared" ref="AZ91:AZ96" si="64">AV91*100+AU91</f>
        <v>1112</v>
      </c>
    </row>
    <row r="92" spans="2:52" x14ac:dyDescent="0.3">
      <c r="B92">
        <v>2</v>
      </c>
      <c r="C92" t="str">
        <f t="shared" si="60"/>
        <v>A</v>
      </c>
      <c r="D92" s="36" t="s">
        <v>5</v>
      </c>
      <c r="E92" s="86" t="str">
        <f t="shared" si="61"/>
        <v>K</v>
      </c>
      <c r="F92" s="86"/>
      <c r="G92" s="86"/>
      <c r="H92" s="86"/>
      <c r="J92" s="86" t="str">
        <f>IF(V92="","",VLOOKUP(V92,#REF!,3,FALSE))</f>
        <v/>
      </c>
      <c r="K92" s="86"/>
      <c r="L92" t="s">
        <v>5</v>
      </c>
      <c r="M92" s="86" t="str">
        <f>IF(V92="","",VLOOKUP(V92,#REF!,4,FALSE))</f>
        <v/>
      </c>
      <c r="N92" s="86"/>
      <c r="R92" t="str">
        <f>IF(T92="","",VLOOKUP(T92,#REF!,2,FALSE))</f>
        <v/>
      </c>
      <c r="S92" s="36"/>
      <c r="T92" s="36"/>
      <c r="V92" s="1"/>
      <c r="AT92">
        <v>10</v>
      </c>
      <c r="AU92">
        <v>1</v>
      </c>
      <c r="AV92">
        <v>10</v>
      </c>
      <c r="AW92" t="str">
        <f t="shared" si="62"/>
        <v/>
      </c>
      <c r="AY92" s="38">
        <f t="shared" si="63"/>
        <v>110</v>
      </c>
      <c r="AZ92" s="38">
        <f t="shared" si="64"/>
        <v>1001</v>
      </c>
    </row>
    <row r="93" spans="2:52" x14ac:dyDescent="0.3">
      <c r="B93">
        <v>3</v>
      </c>
      <c r="C93" t="str">
        <f t="shared" si="60"/>
        <v>B</v>
      </c>
      <c r="D93" s="36" t="s">
        <v>5</v>
      </c>
      <c r="E93" s="86" t="str">
        <f t="shared" si="61"/>
        <v>J</v>
      </c>
      <c r="F93" s="86"/>
      <c r="G93" s="86"/>
      <c r="H93" s="86"/>
      <c r="J93" s="86" t="str">
        <f>IF(V93="","",VLOOKUP(V93,#REF!,3,FALSE))</f>
        <v/>
      </c>
      <c r="K93" s="86"/>
      <c r="L93" t="s">
        <v>5</v>
      </c>
      <c r="M93" s="86" t="str">
        <f>IF(V93="","",VLOOKUP(V93,#REF!,4,FALSE))</f>
        <v/>
      </c>
      <c r="N93" s="86"/>
      <c r="R93" t="str">
        <f>IF(T93="","",VLOOKUP(T93,#REF!,2,FALSE))</f>
        <v/>
      </c>
      <c r="S93" s="36"/>
      <c r="T93" s="36"/>
      <c r="V93" s="1"/>
      <c r="AT93">
        <v>10</v>
      </c>
      <c r="AU93">
        <v>2</v>
      </c>
      <c r="AV93">
        <v>9</v>
      </c>
      <c r="AW93" t="str">
        <f t="shared" si="62"/>
        <v/>
      </c>
      <c r="AY93" s="38">
        <f t="shared" si="63"/>
        <v>209</v>
      </c>
      <c r="AZ93" s="38">
        <f t="shared" si="64"/>
        <v>902</v>
      </c>
    </row>
    <row r="94" spans="2:52" x14ac:dyDescent="0.3">
      <c r="B94">
        <v>4</v>
      </c>
      <c r="C94" t="str">
        <f t="shared" si="60"/>
        <v>C</v>
      </c>
      <c r="D94" s="36" t="s">
        <v>5</v>
      </c>
      <c r="E94" s="86" t="str">
        <f t="shared" si="61"/>
        <v>I</v>
      </c>
      <c r="F94" s="86"/>
      <c r="G94" s="86"/>
      <c r="H94" s="86"/>
      <c r="J94" s="86" t="str">
        <f>IF(V94="","",VLOOKUP(V94,#REF!,3,FALSE))</f>
        <v/>
      </c>
      <c r="K94" s="86"/>
      <c r="L94" t="s">
        <v>5</v>
      </c>
      <c r="M94" s="86" t="str">
        <f>IF(V94="","",VLOOKUP(V94,#REF!,4,FALSE))</f>
        <v/>
      </c>
      <c r="N94" s="86"/>
      <c r="R94" t="str">
        <f>IF(T94="","",VLOOKUP(T94,#REF!,2,FALSE))</f>
        <v/>
      </c>
      <c r="S94" s="36"/>
      <c r="T94" s="36"/>
      <c r="V94" s="1"/>
      <c r="AT94">
        <v>10</v>
      </c>
      <c r="AU94">
        <v>3</v>
      </c>
      <c r="AV94">
        <v>8</v>
      </c>
      <c r="AW94" t="str">
        <f t="shared" si="62"/>
        <v/>
      </c>
      <c r="AY94" s="38">
        <f t="shared" si="63"/>
        <v>308</v>
      </c>
      <c r="AZ94" s="38">
        <f t="shared" si="64"/>
        <v>803</v>
      </c>
    </row>
    <row r="95" spans="2:52" x14ac:dyDescent="0.3">
      <c r="B95">
        <v>5</v>
      </c>
      <c r="C95" t="str">
        <f t="shared" si="60"/>
        <v>D</v>
      </c>
      <c r="D95" s="36" t="s">
        <v>5</v>
      </c>
      <c r="E95" s="86" t="str">
        <f t="shared" si="61"/>
        <v>H</v>
      </c>
      <c r="F95" s="86"/>
      <c r="G95" s="86"/>
      <c r="H95" s="86"/>
      <c r="J95" s="86" t="str">
        <f>IF(V95="","",VLOOKUP(V95,#REF!,3,FALSE))</f>
        <v/>
      </c>
      <c r="K95" s="86"/>
      <c r="L95" t="s">
        <v>5</v>
      </c>
      <c r="M95" s="86" t="str">
        <f>IF(V95="","",VLOOKUP(V95,#REF!,4,FALSE))</f>
        <v/>
      </c>
      <c r="N95" s="86"/>
      <c r="R95" t="str">
        <f>IF(T95="","",VLOOKUP(T95,#REF!,2,FALSE))</f>
        <v/>
      </c>
      <c r="S95" s="36"/>
      <c r="T95" s="36"/>
      <c r="V95" s="1"/>
      <c r="AT95">
        <v>10</v>
      </c>
      <c r="AU95">
        <v>4</v>
      </c>
      <c r="AV95">
        <v>7</v>
      </c>
      <c r="AW95" t="str">
        <f t="shared" si="62"/>
        <v/>
      </c>
      <c r="AY95" s="38">
        <f t="shared" si="63"/>
        <v>407</v>
      </c>
      <c r="AZ95" s="38">
        <f t="shared" si="64"/>
        <v>704</v>
      </c>
    </row>
    <row r="96" spans="2:52" x14ac:dyDescent="0.3">
      <c r="B96">
        <v>6</v>
      </c>
      <c r="C96" t="str">
        <f t="shared" si="60"/>
        <v>E</v>
      </c>
      <c r="D96" s="36" t="s">
        <v>5</v>
      </c>
      <c r="E96" s="86" t="str">
        <f t="shared" si="61"/>
        <v>G</v>
      </c>
      <c r="F96" s="86"/>
      <c r="G96" s="86"/>
      <c r="H96" s="86"/>
      <c r="J96" s="86" t="str">
        <f>IF(V96="","",VLOOKUP(V96,#REF!,3,FALSE))</f>
        <v/>
      </c>
      <c r="K96" s="86"/>
      <c r="L96" t="s">
        <v>5</v>
      </c>
      <c r="M96" s="86" t="str">
        <f>IF(V96="","",VLOOKUP(V96,#REF!,4,FALSE))</f>
        <v/>
      </c>
      <c r="N96" s="86"/>
      <c r="T96" s="36"/>
      <c r="V96" s="1"/>
      <c r="AT96">
        <v>10</v>
      </c>
      <c r="AU96">
        <v>5</v>
      </c>
      <c r="AV96">
        <v>6</v>
      </c>
      <c r="AW96" t="str">
        <f t="shared" si="62"/>
        <v/>
      </c>
      <c r="AY96" s="38">
        <f t="shared" si="63"/>
        <v>506</v>
      </c>
      <c r="AZ96" s="38">
        <f t="shared" si="64"/>
        <v>605</v>
      </c>
    </row>
    <row r="97" spans="2:52" ht="3" customHeigh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>
        <v>2</v>
      </c>
    </row>
    <row r="98" spans="2:52" x14ac:dyDescent="0.3">
      <c r="B98" s="35" t="s">
        <v>81</v>
      </c>
      <c r="D98" s="118" t="str">
        <f>"Van:" &amp; TEXT(Configuratie!AB31,"uu.mm.ss")</f>
        <v>Van:16.20.00</v>
      </c>
      <c r="E98" s="119"/>
      <c r="F98" s="117"/>
      <c r="G98" s="118" t="str">
        <f>"Tot: "&amp; TEXT(Configuratie!AC31,"uu.mm.ss")</f>
        <v>Tot: 16.32.30</v>
      </c>
      <c r="H98" s="119"/>
      <c r="I98" s="117"/>
      <c r="J98" s="117"/>
    </row>
    <row r="99" spans="2:52" x14ac:dyDescent="0.3">
      <c r="B99">
        <v>1</v>
      </c>
      <c r="C99" t="str">
        <f t="shared" ref="C99:C104" si="65">VLOOKUP(AU99,$B$4:$F$15,2,FALSE)</f>
        <v>G</v>
      </c>
      <c r="D99" s="36" t="s">
        <v>5</v>
      </c>
      <c r="E99" s="86" t="str">
        <f t="shared" ref="E99:E104" si="66">VLOOKUP(AV99,$B$4:$F$15,2,FALSE)</f>
        <v>M</v>
      </c>
      <c r="F99" s="86"/>
      <c r="G99" s="86"/>
      <c r="H99" s="86"/>
      <c r="J99" s="86" t="str">
        <f>IF(V99="","",VLOOKUP(V99,#REF!,3,FALSE))</f>
        <v/>
      </c>
      <c r="K99" s="86"/>
      <c r="L99" t="s">
        <v>5</v>
      </c>
      <c r="M99" s="86" t="str">
        <f>IF(V99="","",VLOOKUP(V99,#REF!,4,FALSE))</f>
        <v/>
      </c>
      <c r="N99" s="86"/>
      <c r="R99" t="str">
        <f>IF(T99="","",VLOOKUP(T99,#REF!,2,FALSE))</f>
        <v/>
      </c>
      <c r="S99" s="36"/>
      <c r="T99" s="36"/>
      <c r="V99" s="1"/>
      <c r="AT99">
        <v>11</v>
      </c>
      <c r="AU99">
        <v>6</v>
      </c>
      <c r="AV99">
        <v>12</v>
      </c>
      <c r="AW99" t="str">
        <f t="shared" ref="AW99:AW104" si="67">IF(AND(ISNUMBER(J99),ISNUMBER(M99)),IF(J99+M99=1,1,0),"")</f>
        <v/>
      </c>
      <c r="AY99" s="38">
        <f t="shared" ref="AY99:AY104" si="68">AU99*100+AV99</f>
        <v>612</v>
      </c>
      <c r="AZ99" s="38">
        <f t="shared" ref="AZ99:AZ104" si="69">AV99*100+AU99</f>
        <v>1206</v>
      </c>
    </row>
    <row r="100" spans="2:52" x14ac:dyDescent="0.3">
      <c r="B100">
        <v>2</v>
      </c>
      <c r="C100" t="str">
        <f t="shared" si="65"/>
        <v>H</v>
      </c>
      <c r="D100" s="36" t="s">
        <v>5</v>
      </c>
      <c r="E100" s="86" t="str">
        <f t="shared" si="66"/>
        <v>E</v>
      </c>
      <c r="F100" s="86"/>
      <c r="G100" s="86"/>
      <c r="H100" s="86"/>
      <c r="J100" s="86" t="str">
        <f>IF(V100="","",VLOOKUP(V100,#REF!,3,FALSE))</f>
        <v/>
      </c>
      <c r="K100" s="86"/>
      <c r="L100" t="s">
        <v>5</v>
      </c>
      <c r="M100" s="86" t="str">
        <f>IF(V100="","",VLOOKUP(V100,#REF!,4,FALSE))</f>
        <v/>
      </c>
      <c r="N100" s="86"/>
      <c r="R100" t="str">
        <f>IF(T100="","",VLOOKUP(T100,#REF!,2,FALSE))</f>
        <v/>
      </c>
      <c r="S100" s="36"/>
      <c r="T100" s="36"/>
      <c r="V100" s="1"/>
      <c r="AT100">
        <v>11</v>
      </c>
      <c r="AU100">
        <v>7</v>
      </c>
      <c r="AV100">
        <v>5</v>
      </c>
      <c r="AW100" t="str">
        <f t="shared" si="67"/>
        <v/>
      </c>
      <c r="AY100" s="38">
        <f t="shared" si="68"/>
        <v>705</v>
      </c>
      <c r="AZ100" s="38">
        <f t="shared" si="69"/>
        <v>507</v>
      </c>
    </row>
    <row r="101" spans="2:52" x14ac:dyDescent="0.3">
      <c r="B101">
        <v>3</v>
      </c>
      <c r="C101" t="str">
        <f t="shared" si="65"/>
        <v>I</v>
      </c>
      <c r="D101" s="36" t="s">
        <v>5</v>
      </c>
      <c r="E101" s="86" t="str">
        <f t="shared" si="66"/>
        <v>D</v>
      </c>
      <c r="F101" s="86"/>
      <c r="G101" s="86"/>
      <c r="H101" s="86"/>
      <c r="J101" s="86" t="str">
        <f>IF(V101="","",VLOOKUP(V101,#REF!,3,FALSE))</f>
        <v/>
      </c>
      <c r="K101" s="86"/>
      <c r="L101" t="s">
        <v>5</v>
      </c>
      <c r="M101" s="86" t="str">
        <f>IF(V101="","",VLOOKUP(V101,#REF!,4,FALSE))</f>
        <v/>
      </c>
      <c r="N101" s="86"/>
      <c r="R101" t="str">
        <f>IF(T101="","",VLOOKUP(T101,#REF!,2,FALSE))</f>
        <v/>
      </c>
      <c r="S101" s="36"/>
      <c r="T101" s="36"/>
      <c r="V101" s="1"/>
      <c r="AT101">
        <v>11</v>
      </c>
      <c r="AU101">
        <v>8</v>
      </c>
      <c r="AV101">
        <v>4</v>
      </c>
      <c r="AW101" t="str">
        <f t="shared" si="67"/>
        <v/>
      </c>
      <c r="AY101" s="38">
        <f t="shared" si="68"/>
        <v>804</v>
      </c>
      <c r="AZ101" s="38">
        <f t="shared" si="69"/>
        <v>408</v>
      </c>
    </row>
    <row r="102" spans="2:52" x14ac:dyDescent="0.3">
      <c r="B102">
        <v>4</v>
      </c>
      <c r="C102" t="str">
        <f t="shared" si="65"/>
        <v>J</v>
      </c>
      <c r="D102" s="36" t="s">
        <v>5</v>
      </c>
      <c r="E102" s="86" t="str">
        <f t="shared" si="66"/>
        <v>C</v>
      </c>
      <c r="F102" s="86"/>
      <c r="G102" s="86"/>
      <c r="H102" s="86"/>
      <c r="J102" s="86" t="str">
        <f>IF(V102="","",VLOOKUP(V102,#REF!,3,FALSE))</f>
        <v/>
      </c>
      <c r="K102" s="86"/>
      <c r="L102" t="s">
        <v>5</v>
      </c>
      <c r="M102" s="86" t="str">
        <f>IF(V102="","",VLOOKUP(V102,#REF!,4,FALSE))</f>
        <v/>
      </c>
      <c r="N102" s="86"/>
      <c r="R102" t="str">
        <f>IF(T102="","",VLOOKUP(T102,#REF!,2,FALSE))</f>
        <v/>
      </c>
      <c r="S102" s="36"/>
      <c r="T102" s="36"/>
      <c r="V102" s="1"/>
      <c r="AT102">
        <v>11</v>
      </c>
      <c r="AU102">
        <v>9</v>
      </c>
      <c r="AV102">
        <v>3</v>
      </c>
      <c r="AW102" t="str">
        <f t="shared" si="67"/>
        <v/>
      </c>
      <c r="AY102" s="38">
        <f t="shared" si="68"/>
        <v>903</v>
      </c>
      <c r="AZ102" s="38">
        <f t="shared" si="69"/>
        <v>309</v>
      </c>
    </row>
    <row r="103" spans="2:52" x14ac:dyDescent="0.3">
      <c r="B103">
        <v>5</v>
      </c>
      <c r="C103" t="str">
        <f t="shared" si="65"/>
        <v>K</v>
      </c>
      <c r="D103" s="36" t="s">
        <v>5</v>
      </c>
      <c r="E103" s="86" t="str">
        <f t="shared" si="66"/>
        <v>B</v>
      </c>
      <c r="F103" s="86"/>
      <c r="G103" s="86"/>
      <c r="H103" s="86"/>
      <c r="J103" s="86" t="str">
        <f>IF(V103="","",VLOOKUP(V103,#REF!,3,FALSE))</f>
        <v/>
      </c>
      <c r="K103" s="86"/>
      <c r="L103" t="s">
        <v>5</v>
      </c>
      <c r="M103" s="86" t="str">
        <f>IF(V103="","",VLOOKUP(V103,#REF!,4,FALSE))</f>
        <v/>
      </c>
      <c r="N103" s="86"/>
      <c r="R103" t="str">
        <f>IF(T103="","",VLOOKUP(T103,#REF!,2,FALSE))</f>
        <v/>
      </c>
      <c r="S103" s="36"/>
      <c r="T103" s="36"/>
      <c r="V103" s="1"/>
      <c r="AT103">
        <v>11</v>
      </c>
      <c r="AU103">
        <v>10</v>
      </c>
      <c r="AV103">
        <v>2</v>
      </c>
      <c r="AW103" t="str">
        <f t="shared" si="67"/>
        <v/>
      </c>
      <c r="AY103" s="38">
        <f t="shared" si="68"/>
        <v>1002</v>
      </c>
      <c r="AZ103" s="38">
        <f t="shared" si="69"/>
        <v>210</v>
      </c>
    </row>
    <row r="104" spans="2:52" x14ac:dyDescent="0.3">
      <c r="B104">
        <v>6</v>
      </c>
      <c r="C104" t="str">
        <f t="shared" si="65"/>
        <v>L</v>
      </c>
      <c r="D104" s="36" t="s">
        <v>5</v>
      </c>
      <c r="E104" s="86" t="str">
        <f t="shared" si="66"/>
        <v>A</v>
      </c>
      <c r="F104" s="86"/>
      <c r="G104" s="86"/>
      <c r="H104" s="86"/>
      <c r="J104" s="86" t="str">
        <f>IF(V104="","",VLOOKUP(V104,#REF!,3,FALSE))</f>
        <v/>
      </c>
      <c r="K104" s="86"/>
      <c r="L104" t="s">
        <v>5</v>
      </c>
      <c r="M104" s="86" t="str">
        <f>IF(V104="","",VLOOKUP(V104,#REF!,4,FALSE))</f>
        <v/>
      </c>
      <c r="N104" s="86"/>
      <c r="T104" s="36"/>
      <c r="V104" s="1"/>
      <c r="AT104">
        <v>11</v>
      </c>
      <c r="AU104">
        <v>11</v>
      </c>
      <c r="AV104">
        <v>1</v>
      </c>
      <c r="AW104" t="str">
        <f t="shared" si="67"/>
        <v/>
      </c>
      <c r="AY104" s="38">
        <f t="shared" si="68"/>
        <v>1101</v>
      </c>
      <c r="AZ104" s="38">
        <f t="shared" si="69"/>
        <v>111</v>
      </c>
    </row>
    <row r="106" spans="2:52" ht="25.8" x14ac:dyDescent="0.5">
      <c r="B106" s="89" t="str">
        <f>"UITSLAG "&amp; G68</f>
        <v xml:space="preserve">UITSLAG </v>
      </c>
      <c r="C106" s="90"/>
      <c r="D106" s="90"/>
      <c r="E106" s="90"/>
      <c r="F106" s="90"/>
      <c r="G106" s="90"/>
    </row>
    <row r="108" spans="2:52" x14ac:dyDescent="0.3">
      <c r="B108" s="2" t="s">
        <v>33</v>
      </c>
      <c r="C108" s="98" t="s">
        <v>6</v>
      </c>
      <c r="D108" s="99"/>
      <c r="E108" s="99"/>
      <c r="F108" s="100"/>
      <c r="G108" s="2" t="s">
        <v>29</v>
      </c>
      <c r="H108" s="2" t="s">
        <v>26</v>
      </c>
    </row>
    <row r="109" spans="2:52" x14ac:dyDescent="0.3">
      <c r="B109" s="24">
        <v>1</v>
      </c>
      <c r="C109" s="87" t="str">
        <f t="shared" ref="C109:C120" si="70">IF(ISNA(VLOOKUP(B109,$A$4:$V$15,3,FALSE)),"",VLOOKUP(B109,$A$4:$V$15,3,FALSE))</f>
        <v>A</v>
      </c>
      <c r="D109" s="94"/>
      <c r="E109" s="94"/>
      <c r="F109" s="95"/>
      <c r="G109" s="27">
        <f t="shared" ref="G109:G120" si="71">IF(ISNA(VLOOKUP(B109,$A$4:$V$15,20,FALSE)),"",VLOOKUP(B109,$A$4:$V$15,20,FALSE))</f>
        <v>0</v>
      </c>
      <c r="H109" s="27">
        <f t="shared" ref="H109:H120" si="72">IF(ISNA(VLOOKUP(B109,$A$4:$V$15,21,FALSE)),"",VLOOKUP(B109,$A$4:$V$15,21,FALSE))</f>
        <v>0</v>
      </c>
    </row>
    <row r="110" spans="2:52" x14ac:dyDescent="0.3">
      <c r="B110" s="24">
        <v>2</v>
      </c>
      <c r="C110" s="87" t="str">
        <f t="shared" si="70"/>
        <v/>
      </c>
      <c r="D110" s="94"/>
      <c r="E110" s="94"/>
      <c r="F110" s="95"/>
      <c r="G110" s="27" t="str">
        <f t="shared" si="71"/>
        <v/>
      </c>
      <c r="H110" s="27" t="str">
        <f t="shared" si="72"/>
        <v/>
      </c>
    </row>
    <row r="111" spans="2:52" x14ac:dyDescent="0.3">
      <c r="B111" s="24">
        <v>3</v>
      </c>
      <c r="C111" s="87" t="str">
        <f t="shared" si="70"/>
        <v/>
      </c>
      <c r="D111" s="94"/>
      <c r="E111" s="94"/>
      <c r="F111" s="95"/>
      <c r="G111" s="27" t="str">
        <f t="shared" si="71"/>
        <v/>
      </c>
      <c r="H111" s="27" t="str">
        <f t="shared" si="72"/>
        <v/>
      </c>
    </row>
    <row r="112" spans="2:52" x14ac:dyDescent="0.3">
      <c r="B112" s="24">
        <v>4</v>
      </c>
      <c r="C112" s="87" t="str">
        <f t="shared" si="70"/>
        <v/>
      </c>
      <c r="D112" s="94"/>
      <c r="E112" s="94"/>
      <c r="F112" s="95"/>
      <c r="G112" s="27" t="str">
        <f t="shared" si="71"/>
        <v/>
      </c>
      <c r="H112" s="27" t="str">
        <f t="shared" si="72"/>
        <v/>
      </c>
    </row>
    <row r="113" spans="2:8" x14ac:dyDescent="0.3">
      <c r="B113" s="24">
        <v>5</v>
      </c>
      <c r="C113" s="87" t="str">
        <f t="shared" si="70"/>
        <v/>
      </c>
      <c r="D113" s="94"/>
      <c r="E113" s="94"/>
      <c r="F113" s="95"/>
      <c r="G113" s="27" t="str">
        <f t="shared" si="71"/>
        <v/>
      </c>
      <c r="H113" s="27" t="str">
        <f t="shared" si="72"/>
        <v/>
      </c>
    </row>
    <row r="114" spans="2:8" x14ac:dyDescent="0.3">
      <c r="B114" s="24">
        <v>6</v>
      </c>
      <c r="C114" s="87" t="str">
        <f t="shared" si="70"/>
        <v/>
      </c>
      <c r="D114" s="94"/>
      <c r="E114" s="94"/>
      <c r="F114" s="95"/>
      <c r="G114" s="27" t="str">
        <f t="shared" si="71"/>
        <v/>
      </c>
      <c r="H114" s="27" t="str">
        <f t="shared" si="72"/>
        <v/>
      </c>
    </row>
    <row r="115" spans="2:8" x14ac:dyDescent="0.3">
      <c r="B115" s="24">
        <v>7</v>
      </c>
      <c r="C115" s="87" t="str">
        <f t="shared" si="70"/>
        <v/>
      </c>
      <c r="D115" s="94"/>
      <c r="E115" s="94"/>
      <c r="F115" s="95"/>
      <c r="G115" s="27" t="str">
        <f t="shared" si="71"/>
        <v/>
      </c>
      <c r="H115" s="27" t="str">
        <f t="shared" si="72"/>
        <v/>
      </c>
    </row>
    <row r="116" spans="2:8" x14ac:dyDescent="0.3">
      <c r="B116" s="24">
        <v>8</v>
      </c>
      <c r="C116" s="87" t="str">
        <f t="shared" si="70"/>
        <v/>
      </c>
      <c r="D116" s="94"/>
      <c r="E116" s="94"/>
      <c r="F116" s="95"/>
      <c r="G116" s="27" t="str">
        <f t="shared" si="71"/>
        <v/>
      </c>
      <c r="H116" s="27" t="str">
        <f t="shared" si="72"/>
        <v/>
      </c>
    </row>
    <row r="117" spans="2:8" x14ac:dyDescent="0.3">
      <c r="B117" s="24">
        <v>9</v>
      </c>
      <c r="C117" s="87" t="str">
        <f t="shared" si="70"/>
        <v/>
      </c>
      <c r="D117" s="94"/>
      <c r="E117" s="94"/>
      <c r="F117" s="95"/>
      <c r="G117" s="27" t="str">
        <f t="shared" si="71"/>
        <v/>
      </c>
      <c r="H117" s="27" t="str">
        <f t="shared" si="72"/>
        <v/>
      </c>
    </row>
    <row r="118" spans="2:8" x14ac:dyDescent="0.3">
      <c r="B118" s="24">
        <v>10</v>
      </c>
      <c r="C118" s="87" t="str">
        <f t="shared" si="70"/>
        <v/>
      </c>
      <c r="D118" s="94"/>
      <c r="E118" s="94"/>
      <c r="F118" s="95"/>
      <c r="G118" s="27" t="str">
        <f t="shared" si="71"/>
        <v/>
      </c>
      <c r="H118" s="27" t="str">
        <f t="shared" si="72"/>
        <v/>
      </c>
    </row>
    <row r="119" spans="2:8" x14ac:dyDescent="0.3">
      <c r="B119" s="24">
        <v>11</v>
      </c>
      <c r="C119" s="87" t="str">
        <f t="shared" si="70"/>
        <v/>
      </c>
      <c r="D119" s="94"/>
      <c r="E119" s="94"/>
      <c r="F119" s="95"/>
      <c r="G119" s="27" t="str">
        <f t="shared" si="71"/>
        <v/>
      </c>
      <c r="H119" s="27" t="str">
        <f t="shared" si="72"/>
        <v/>
      </c>
    </row>
    <row r="120" spans="2:8" x14ac:dyDescent="0.3">
      <c r="B120" s="24">
        <v>12</v>
      </c>
      <c r="C120" s="92" t="str">
        <f t="shared" si="70"/>
        <v/>
      </c>
      <c r="D120" s="96"/>
      <c r="E120" s="96"/>
      <c r="F120" s="97"/>
      <c r="G120" s="27" t="str">
        <f t="shared" si="71"/>
        <v/>
      </c>
      <c r="H120" s="27" t="str">
        <f t="shared" si="72"/>
        <v/>
      </c>
    </row>
  </sheetData>
  <sheetProtection algorithmName="SHA-512" hashValue="qRygcIbZ4UTx5L1CrUDz3vlf8v0pbvp2lLyBHISn7v50zSGqROsQ1vef1KHhxLr/UZ8kRVq7WosuEjbjyibqKA==" saltValue="vG34t1Ax6GQXWNHNswT7oQ==" spinCount="100000" sheet="1" selectLockedCells="1"/>
  <mergeCells count="249">
    <mergeCell ref="D5:E5"/>
    <mergeCell ref="D6:E6"/>
    <mergeCell ref="D7:E7"/>
    <mergeCell ref="D8:E8"/>
    <mergeCell ref="D9:E9"/>
    <mergeCell ref="D3:E3"/>
    <mergeCell ref="D4:E4"/>
    <mergeCell ref="M1:T1"/>
    <mergeCell ref="B1:L1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D18:F18"/>
    <mergeCell ref="G18:J18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D26:F26"/>
    <mergeCell ref="G26:J26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D34:F34"/>
    <mergeCell ref="G34:J34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D42:F42"/>
    <mergeCell ref="G42:J42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D50:F50"/>
    <mergeCell ref="G50:J50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D58:F58"/>
    <mergeCell ref="G58:J58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D66:F66"/>
    <mergeCell ref="G66:J66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D74:F74"/>
    <mergeCell ref="G74:J74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D82:F82"/>
    <mergeCell ref="G82:J82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D90:F90"/>
    <mergeCell ref="G90:J90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D98:F98"/>
    <mergeCell ref="G98:J98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</mergeCells>
  <conditionalFormatting sqref="H4">
    <cfRule type="cellIs" dxfId="32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1" priority="13" stopIfTrue="1" operator="between">
      <formula>0</formula>
      <formula>1</formula>
    </cfRule>
  </conditionalFormatting>
  <conditionalFormatting sqref="I5">
    <cfRule type="cellIs" dxfId="30" priority="12" stopIfTrue="1" operator="between">
      <formula>0</formula>
      <formula>1</formula>
    </cfRule>
  </conditionalFormatting>
  <conditionalFormatting sqref="J6">
    <cfRule type="cellIs" dxfId="29" priority="11" stopIfTrue="1" operator="between">
      <formula>0</formula>
      <formula>1</formula>
    </cfRule>
  </conditionalFormatting>
  <conditionalFormatting sqref="K7">
    <cfRule type="cellIs" dxfId="28" priority="10" stopIfTrue="1" operator="between">
      <formula>0</formula>
      <formula>1</formula>
    </cfRule>
  </conditionalFormatting>
  <conditionalFormatting sqref="L8">
    <cfRule type="cellIs" dxfId="27" priority="9" stopIfTrue="1" operator="between">
      <formula>0</formula>
      <formula>1</formula>
    </cfRule>
  </conditionalFormatting>
  <conditionalFormatting sqref="M9">
    <cfRule type="cellIs" dxfId="26" priority="8" stopIfTrue="1" operator="between">
      <formula>0</formula>
      <formula>1</formula>
    </cfRule>
  </conditionalFormatting>
  <conditionalFormatting sqref="N10">
    <cfRule type="cellIs" dxfId="25" priority="7" stopIfTrue="1" operator="between">
      <formula>0</formula>
      <formula>1</formula>
    </cfRule>
  </conditionalFormatting>
  <conditionalFormatting sqref="O11">
    <cfRule type="cellIs" dxfId="24" priority="6" stopIfTrue="1" operator="between">
      <formula>0</formula>
      <formula>1</formula>
    </cfRule>
  </conditionalFormatting>
  <conditionalFormatting sqref="P12">
    <cfRule type="cellIs" dxfId="23" priority="5" stopIfTrue="1" operator="between">
      <formula>0</formula>
      <formula>1</formula>
    </cfRule>
  </conditionalFormatting>
  <conditionalFormatting sqref="V4:V15">
    <cfRule type="cellIs" dxfId="22" priority="14" operator="equal">
      <formula>3</formula>
    </cfRule>
    <cfRule type="cellIs" dxfId="21" priority="15" operator="equal">
      <formula>2</formula>
    </cfRule>
    <cfRule type="cellIs" dxfId="20" priority="16" operator="equal">
      <formula>1</formula>
    </cfRule>
  </conditionalFormatting>
  <conditionalFormatting sqref="Q13">
    <cfRule type="cellIs" dxfId="19" priority="4" stopIfTrue="1" operator="between">
      <formula>0</formula>
      <formula>1</formula>
    </cfRule>
  </conditionalFormatting>
  <conditionalFormatting sqref="R14">
    <cfRule type="cellIs" dxfId="18" priority="3" stopIfTrue="1" operator="between">
      <formula>0</formula>
      <formula>1</formula>
    </cfRule>
  </conditionalFormatting>
  <conditionalFormatting sqref="S15">
    <cfRule type="cellIs" dxfId="17" priority="2" stopIfTrue="1" operator="between">
      <formula>0</formula>
      <formula>1</formula>
    </cfRule>
  </conditionalFormatting>
  <conditionalFormatting sqref="H5:H15">
    <cfRule type="cellIs" dxfId="16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view="pageBreakPreview" zoomScale="96" zoomScaleNormal="100" zoomScaleSheetLayoutView="96" workbookViewId="0">
      <selection activeCell="T18" sqref="T18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7" width="4.6640625" customWidth="1"/>
    <col min="18" max="18" width="10.5546875" customWidth="1"/>
    <col min="19" max="19" width="7.5546875" customWidth="1"/>
    <col min="20" max="20" width="7.44140625" customWidth="1"/>
    <col min="21" max="21" width="3.6640625" customWidth="1"/>
    <col min="22" max="22" width="6.6640625" hidden="1" customWidth="1"/>
    <col min="23" max="23" width="3" hidden="1" customWidth="1"/>
    <col min="24" max="24" width="27.6640625" hidden="1" customWidth="1"/>
    <col min="25" max="30" width="6.6640625" hidden="1" customWidth="1"/>
    <col min="31" max="31" width="8.5546875" hidden="1" customWidth="1"/>
    <col min="32" max="32" width="6.6640625" hidden="1" customWidth="1"/>
    <col min="33" max="33" width="8.5546875" hidden="1" customWidth="1"/>
    <col min="34" max="34" width="6.6640625" hidden="1" customWidth="1"/>
    <col min="35" max="35" width="8.5546875" hidden="1" customWidth="1"/>
    <col min="36" max="36" width="6.6640625" hidden="1" customWidth="1"/>
    <col min="37" max="37" width="3.33203125" hidden="1" customWidth="1"/>
    <col min="38" max="38" width="8.5546875" hidden="1" customWidth="1"/>
    <col min="39" max="46" width="6.6640625" hidden="1" customWidth="1"/>
    <col min="47" max="50" width="9.109375" hidden="1" customWidth="1"/>
    <col min="51" max="52" width="4.44140625" hidden="1" customWidth="1"/>
    <col min="53" max="54" width="3.6640625" hidden="1" customWidth="1"/>
    <col min="55" max="56" width="10.5546875" hidden="1" customWidth="1"/>
    <col min="57" max="71" width="3.6640625" hidden="1" customWidth="1"/>
    <col min="72" max="74" width="9.109375" hidden="1" customWidth="1"/>
  </cols>
  <sheetData>
    <row r="1" spans="1:71" ht="25.8" x14ac:dyDescent="0.5">
      <c r="A1" s="17">
        <v>10</v>
      </c>
      <c r="B1" s="85" t="s">
        <v>31</v>
      </c>
      <c r="C1" s="85"/>
      <c r="D1" s="85"/>
      <c r="E1" s="85"/>
      <c r="F1" s="85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e">
        <f>"versie " &amp;#REF!</f>
        <v>#REF!</v>
      </c>
      <c r="U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1" x14ac:dyDescent="0.3">
      <c r="AU2" s="11" t="s">
        <v>27</v>
      </c>
      <c r="AV2" s="11" t="s">
        <v>26</v>
      </c>
      <c r="AW2" s="11" t="s">
        <v>28</v>
      </c>
      <c r="AZ2" s="90" t="s">
        <v>22</v>
      </c>
      <c r="BA2" s="90"/>
      <c r="BB2" s="90"/>
      <c r="BC2" s="90"/>
      <c r="BD2" s="90"/>
      <c r="BE2" s="90"/>
      <c r="BF2" s="90"/>
      <c r="BG2" s="90"/>
      <c r="BH2" s="90"/>
      <c r="BI2" s="12"/>
      <c r="BK2" s="90" t="s">
        <v>23</v>
      </c>
      <c r="BL2" s="90"/>
      <c r="BM2" s="90"/>
      <c r="BN2" s="90"/>
      <c r="BO2" s="90"/>
      <c r="BP2" s="90"/>
      <c r="BQ2" s="90"/>
      <c r="BR2" s="90"/>
      <c r="BS2" s="90"/>
    </row>
    <row r="3" spans="1:71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2">
        <v>9</v>
      </c>
      <c r="Q3" s="2">
        <v>10</v>
      </c>
      <c r="R3" s="2" t="s">
        <v>17</v>
      </c>
      <c r="S3" s="2" t="s">
        <v>26</v>
      </c>
      <c r="T3" s="2" t="s">
        <v>69</v>
      </c>
      <c r="U3" s="12"/>
      <c r="AB3" s="2" t="s">
        <v>34</v>
      </c>
      <c r="AC3" s="2" t="s">
        <v>35</v>
      </c>
      <c r="AD3" s="8"/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/>
      <c r="AL3" s="2" t="s">
        <v>66</v>
      </c>
      <c r="AM3" s="2" t="s">
        <v>67</v>
      </c>
      <c r="AN3" s="2" t="s">
        <v>68</v>
      </c>
      <c r="AO3" s="2" t="s">
        <v>69</v>
      </c>
      <c r="AP3" s="8"/>
      <c r="AQ3" s="8"/>
      <c r="AR3" s="8"/>
      <c r="AS3" s="12"/>
      <c r="AT3" s="2" t="s">
        <v>36</v>
      </c>
      <c r="AU3" s="16" t="s">
        <v>25</v>
      </c>
      <c r="AV3" s="11" t="s">
        <v>25</v>
      </c>
      <c r="AW3" s="11" t="s">
        <v>25</v>
      </c>
      <c r="AY3" t="s">
        <v>30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7</v>
      </c>
      <c r="BG3">
        <v>8</v>
      </c>
      <c r="BH3">
        <v>9</v>
      </c>
      <c r="BJ3" t="s">
        <v>30</v>
      </c>
      <c r="BK3">
        <v>1</v>
      </c>
      <c r="BL3">
        <v>2</v>
      </c>
      <c r="BM3">
        <v>3</v>
      </c>
      <c r="BN3">
        <v>4</v>
      </c>
      <c r="BO3">
        <v>5</v>
      </c>
      <c r="BP3">
        <v>6</v>
      </c>
      <c r="BQ3">
        <v>7</v>
      </c>
      <c r="BR3">
        <v>8</v>
      </c>
      <c r="BS3">
        <v>9</v>
      </c>
    </row>
    <row r="4" spans="1:71" x14ac:dyDescent="0.3">
      <c r="A4" s="41">
        <f>T4</f>
        <v>1</v>
      </c>
      <c r="B4" s="18">
        <v>1</v>
      </c>
      <c r="C4" s="18" t="s">
        <v>40</v>
      </c>
      <c r="D4" s="92"/>
      <c r="E4" s="93"/>
      <c r="F4" s="18">
        <v>1000</v>
      </c>
      <c r="H4" s="19" t="str">
        <f>IF((SUMIF($AY$15:$AY$78,$B4*100+H$3,$AW$15:$AW$78)+SUMIF($AY$15:$AY$78,$B4+H$3*100,$AW$15:$AW$78))=1,(SUMIF($AY$15:$AY$78,$B4*100+H$3,$J$15:$J$78)+SUMIF($AZ$15:$AZ$78,$B4*100+H$3,$M$15:$M$78)),"")</f>
        <v/>
      </c>
      <c r="I4" s="20" t="str">
        <f>IF((SUMIF($AY$15:$AY$78,$B4*100+I$3,$AW$15:$AW$78)+SUMIF($AY$15:$AY$78,$B4+I$3*100,$AW$15:$AW$78))=1,(SUMIF($AY$15:$AY$78,$B4*100+I$3,$J$15:$J$78)+SUMIF($AZ$15:$AZ$78,$B4*100+I$3,$M$15:$M$78)),"")</f>
        <v/>
      </c>
      <c r="J4" s="20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0" t="str">
        <f t="shared" si="0"/>
        <v/>
      </c>
      <c r="R4" s="3">
        <f>SUM(H4:Q4)</f>
        <v>0</v>
      </c>
      <c r="S4" s="3">
        <f>IF(H4="",0,H4)*$R$4+IF(I4="",0,I4)*$R$5+IF(J4="",0,J4)*$R$6+IF(K4="",0,K4)*$R$7+IF(L4="",0,L4)*$R$8+IF(M4="",0,M4)*$R$9+IF(N4="",0,N4)*$R$10+IF(O4="",0,O4)*$R$11+IF(P4="",0,P4)*R12+IF(Q4="",0,Q4)*R13</f>
        <v>0</v>
      </c>
      <c r="T4" s="48">
        <f>AO4</f>
        <v>1</v>
      </c>
      <c r="U4" s="23"/>
      <c r="AB4" s="27">
        <f t="shared" ref="AB4:AB13" si="1">VLOOKUP($E83,$AT$4:$AW$13,4,FALSE)</f>
        <v>0</v>
      </c>
      <c r="AC4" s="28">
        <f t="shared" ref="AC4:AC13" si="2">VLOOKUP($E83,$B$4:$R$13,5,FALSE)</f>
        <v>1000</v>
      </c>
      <c r="AD4" s="46"/>
      <c r="AE4" s="7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7">
        <f>$AE$15*R4+AE4</f>
        <v>0</v>
      </c>
      <c r="AG4" s="7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7">
        <f>$AG$15*AF4+AG4</f>
        <v>0</v>
      </c>
      <c r="AI4" s="7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7">
        <f>$AG$15*AH4+AI4</f>
        <v>0</v>
      </c>
      <c r="AK4" s="7"/>
      <c r="AL4" s="7">
        <f>RANK(AJ4,$AJ$4:$AJ$13,1)-1</f>
        <v>0</v>
      </c>
      <c r="AM4" s="7">
        <f>RANK(S4,$S$4:$S$13,1)-1</f>
        <v>0</v>
      </c>
      <c r="AN4" s="7">
        <f>10*AL4+AM4</f>
        <v>0</v>
      </c>
      <c r="AO4" s="7">
        <f>RANK(AN4,$AN$4:$AN$13)</f>
        <v>1</v>
      </c>
      <c r="AP4" s="46"/>
      <c r="AQ4" s="46"/>
      <c r="AR4" s="46"/>
      <c r="AS4" s="23"/>
      <c r="AT4" s="26">
        <v>1</v>
      </c>
      <c r="AU4" s="29">
        <f t="shared" ref="AU4:AU13" si="3">SUMIF($AU$15:$AU$78,B4,$BA$15:$BA$78)+SUMIF($AV$15:$AV$78,B4,$BB$15:$BB$78)</f>
        <v>0</v>
      </c>
      <c r="AV4" s="30" t="e">
        <f t="shared" ref="AV4:AV13" si="4">SUMIF($AU$15:$AU$78,B4,$BC$15:$BC$78)+SUMIF($AV$15:$AV$78,B4,$BD$15:$BD$78)</f>
        <v>#VALUE!</v>
      </c>
      <c r="AW4" s="30">
        <f>SUM(BK4:BS4)</f>
        <v>0</v>
      </c>
      <c r="AY4">
        <v>1</v>
      </c>
      <c r="AZ4">
        <f t="shared" ref="AZ4:BH13" si="5" xml:space="preserve"> SUMIFS( $J$18:$J$78, $AU$18:$AU$78,$AY4, $AT$18:$AT$78,AZ$3) + SUMIFS( $M$18:$M$78, $AV$18:$AV$78,$AY4, $AT$18:$AT$78,AZ$3)</f>
        <v>0</v>
      </c>
      <c r="BA4">
        <f t="shared" si="5"/>
        <v>0</v>
      </c>
      <c r="BB4">
        <f t="shared" si="5"/>
        <v>0</v>
      </c>
      <c r="BC4">
        <f t="shared" si="5"/>
        <v>0</v>
      </c>
      <c r="BD4">
        <f t="shared" si="5"/>
        <v>0</v>
      </c>
      <c r="BE4">
        <f t="shared" si="5"/>
        <v>0</v>
      </c>
      <c r="BF4">
        <f t="shared" si="5"/>
        <v>0</v>
      </c>
      <c r="BG4">
        <f t="shared" si="5"/>
        <v>0</v>
      </c>
      <c r="BH4">
        <f t="shared" si="5"/>
        <v>0</v>
      </c>
      <c r="BJ4">
        <v>1</v>
      </c>
      <c r="BK4">
        <f>AZ4</f>
        <v>0</v>
      </c>
      <c r="BL4">
        <f t="shared" ref="BL4:BL13" si="6">BK4+BA4</f>
        <v>0</v>
      </c>
      <c r="BM4">
        <f t="shared" ref="BM4:BM13" si="7">BL4+BB4</f>
        <v>0</v>
      </c>
      <c r="BN4">
        <f t="shared" ref="BN4:BN13" si="8">BM4+BC4</f>
        <v>0</v>
      </c>
      <c r="BO4">
        <f t="shared" ref="BO4:BO13" si="9">BN4+BD4</f>
        <v>0</v>
      </c>
      <c r="BP4">
        <f t="shared" ref="BP4:BP13" si="10">BO4+BE4</f>
        <v>0</v>
      </c>
      <c r="BQ4">
        <f t="shared" ref="BQ4:BQ13" si="11">BP4+BF4</f>
        <v>0</v>
      </c>
      <c r="BR4">
        <f t="shared" ref="BR4:BR13" si="12">BQ4+BG4</f>
        <v>0</v>
      </c>
      <c r="BS4">
        <f t="shared" ref="BS4:BS13" si="13">BR4+BH4</f>
        <v>0</v>
      </c>
    </row>
    <row r="5" spans="1:71" x14ac:dyDescent="0.3">
      <c r="A5" s="41">
        <f t="shared" ref="A5:A13" si="14">T5</f>
        <v>1</v>
      </c>
      <c r="B5" s="18">
        <v>2</v>
      </c>
      <c r="C5" s="18" t="s">
        <v>41</v>
      </c>
      <c r="D5" s="92"/>
      <c r="E5" s="93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3">
        <f t="shared" ref="R5:R13" si="15">SUM(H5:Q5)</f>
        <v>0</v>
      </c>
      <c r="S5" s="3">
        <f>IF(H5="",0,H5)*$R$4+IF(I5="",0,I5)*$R$5+IF(J5="",0,J5)*$R$6+IF(K5="",0,K5)*$R$7+IF(L5="",0,L5)*$R$8+IF(M5="",0,M5)*$R$9+IF(N5="",0,N5)*$R$10+IF(O5="",0,O5)*$R$11+IF(P5="",0,P5)*R13+IF(Q5="",0,Q5)*R14</f>
        <v>0</v>
      </c>
      <c r="T5" s="48">
        <f t="shared" ref="T5:T13" si="16">AO5</f>
        <v>1</v>
      </c>
      <c r="U5" s="23"/>
      <c r="AB5" s="27">
        <f t="shared" si="1"/>
        <v>0</v>
      </c>
      <c r="AC5" s="28">
        <f t="shared" si="2"/>
        <v>1000</v>
      </c>
      <c r="AD5" s="46"/>
      <c r="AE5" s="7">
        <f t="shared" ref="AE5:AE13" si="17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7">
        <f t="shared" ref="AF5:AF13" si="18">$AE$15*R5+AE5</f>
        <v>0</v>
      </c>
      <c r="AG5" s="7">
        <f t="shared" ref="AG5:AG13" si="19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7">
        <f t="shared" ref="AH5:AH13" si="20">$AG$15*AF5+AG5</f>
        <v>0</v>
      </c>
      <c r="AI5" s="7">
        <f t="shared" ref="AI5:AI13" si="21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7">
        <f t="shared" ref="AJ5:AJ13" si="22">$AG$15*AH5+AI5</f>
        <v>0</v>
      </c>
      <c r="AK5" s="7"/>
      <c r="AL5" s="7">
        <f t="shared" ref="AL5:AL13" si="23">RANK(AJ5,$AJ$4:$AJ$13,1)-1</f>
        <v>0</v>
      </c>
      <c r="AM5" s="7">
        <f t="shared" ref="AM5:AM13" si="24">RANK(S5,$S$4:$S$13,1)-1</f>
        <v>0</v>
      </c>
      <c r="AN5" s="7">
        <f t="shared" ref="AN5:AN13" si="25">10*AL5+AM5</f>
        <v>0</v>
      </c>
      <c r="AO5" s="7">
        <f t="shared" ref="AO5:AO14" si="26">RANK(AN5,$AN$4:$AN$13)</f>
        <v>1</v>
      </c>
      <c r="AP5" s="46"/>
      <c r="AQ5" s="46"/>
      <c r="AR5" s="46"/>
      <c r="AS5" s="23"/>
      <c r="AT5" s="26">
        <v>2</v>
      </c>
      <c r="AU5" s="29">
        <f t="shared" si="3"/>
        <v>0</v>
      </c>
      <c r="AV5" s="30" t="e">
        <f t="shared" si="4"/>
        <v>#VALUE!</v>
      </c>
      <c r="AW5" s="30">
        <f t="shared" ref="AW5:AW13" si="27">SUM(BK5:BS5)</f>
        <v>0</v>
      </c>
      <c r="AY5">
        <v>2</v>
      </c>
      <c r="AZ5">
        <f t="shared" si="5"/>
        <v>0</v>
      </c>
      <c r="BA5">
        <f t="shared" si="5"/>
        <v>0</v>
      </c>
      <c r="BB5">
        <f t="shared" si="5"/>
        <v>0</v>
      </c>
      <c r="BC5">
        <f t="shared" si="5"/>
        <v>0</v>
      </c>
      <c r="BD5">
        <f t="shared" si="5"/>
        <v>0</v>
      </c>
      <c r="BE5">
        <f t="shared" si="5"/>
        <v>0</v>
      </c>
      <c r="BF5">
        <f t="shared" si="5"/>
        <v>0</v>
      </c>
      <c r="BG5">
        <f t="shared" si="5"/>
        <v>0</v>
      </c>
      <c r="BH5">
        <f t="shared" si="5"/>
        <v>0</v>
      </c>
      <c r="BJ5">
        <v>2</v>
      </c>
      <c r="BK5">
        <f t="shared" ref="BK5:BK13" si="28">AZ5</f>
        <v>0</v>
      </c>
      <c r="BL5">
        <f t="shared" si="6"/>
        <v>0</v>
      </c>
      <c r="BM5">
        <f t="shared" si="7"/>
        <v>0</v>
      </c>
      <c r="BN5">
        <f t="shared" si="8"/>
        <v>0</v>
      </c>
      <c r="BO5">
        <f t="shared" si="9"/>
        <v>0</v>
      </c>
      <c r="BP5">
        <f t="shared" si="10"/>
        <v>0</v>
      </c>
      <c r="BQ5">
        <f t="shared" si="11"/>
        <v>0</v>
      </c>
      <c r="BR5">
        <f t="shared" si="12"/>
        <v>0</v>
      </c>
      <c r="BS5">
        <f t="shared" si="13"/>
        <v>0</v>
      </c>
    </row>
    <row r="6" spans="1:71" x14ac:dyDescent="0.3">
      <c r="A6" s="41">
        <f t="shared" si="14"/>
        <v>1</v>
      </c>
      <c r="B6" s="18">
        <v>3</v>
      </c>
      <c r="C6" s="18" t="s">
        <v>42</v>
      </c>
      <c r="D6" s="92"/>
      <c r="E6" s="93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3">
        <f t="shared" si="15"/>
        <v>0</v>
      </c>
      <c r="S6" s="3">
        <f>IF(H6="",0,H6)*$R$4+IF(I6="",0,I6)*$R$5+IF(J6="",0,J6)*$R$6+IF(K6="",0,K6)*$R$7+IF(L6="",0,L6)*$R$8+IF(M6="",0,M6)*$R$9+IF(N6="",0,N6)*$R$10+IF(O6="",0,O6)*$R$11+IF(P6="",0,P6)*R14+IF(Q6="",0,Q6)*R15</f>
        <v>0</v>
      </c>
      <c r="T6" s="48">
        <f t="shared" si="16"/>
        <v>1</v>
      </c>
      <c r="U6" s="23"/>
      <c r="AB6" s="27">
        <f t="shared" si="1"/>
        <v>0</v>
      </c>
      <c r="AC6" s="28">
        <f t="shared" si="2"/>
        <v>1000</v>
      </c>
      <c r="AD6" s="46"/>
      <c r="AE6" s="7">
        <f t="shared" si="17"/>
        <v>0</v>
      </c>
      <c r="AF6" s="7">
        <f t="shared" si="18"/>
        <v>0</v>
      </c>
      <c r="AG6" s="7">
        <f t="shared" si="19"/>
        <v>0</v>
      </c>
      <c r="AH6" s="7">
        <f t="shared" si="20"/>
        <v>0</v>
      </c>
      <c r="AI6" s="7">
        <f t="shared" si="21"/>
        <v>0</v>
      </c>
      <c r="AJ6" s="7">
        <f t="shared" si="22"/>
        <v>0</v>
      </c>
      <c r="AK6" s="7"/>
      <c r="AL6" s="7">
        <f t="shared" si="23"/>
        <v>0</v>
      </c>
      <c r="AM6" s="7">
        <f t="shared" si="24"/>
        <v>0</v>
      </c>
      <c r="AN6" s="7">
        <f t="shared" si="25"/>
        <v>0</v>
      </c>
      <c r="AO6" s="7">
        <f t="shared" si="26"/>
        <v>1</v>
      </c>
      <c r="AP6" s="46"/>
      <c r="AQ6" s="46"/>
      <c r="AR6" s="46"/>
      <c r="AS6" s="23"/>
      <c r="AT6" s="26">
        <v>3</v>
      </c>
      <c r="AU6" s="29">
        <f t="shared" si="3"/>
        <v>0</v>
      </c>
      <c r="AV6" s="30" t="e">
        <f t="shared" si="4"/>
        <v>#VALUE!</v>
      </c>
      <c r="AW6" s="30">
        <f t="shared" si="27"/>
        <v>0</v>
      </c>
      <c r="AY6">
        <v>3</v>
      </c>
      <c r="AZ6">
        <f t="shared" si="5"/>
        <v>0</v>
      </c>
      <c r="BA6">
        <f t="shared" si="5"/>
        <v>0</v>
      </c>
      <c r="BB6">
        <f t="shared" si="5"/>
        <v>0</v>
      </c>
      <c r="BC6">
        <f t="shared" si="5"/>
        <v>0</v>
      </c>
      <c r="BD6">
        <f t="shared" si="5"/>
        <v>0</v>
      </c>
      <c r="BE6">
        <f t="shared" si="5"/>
        <v>0</v>
      </c>
      <c r="BF6">
        <f t="shared" si="5"/>
        <v>0</v>
      </c>
      <c r="BG6">
        <f t="shared" si="5"/>
        <v>0</v>
      </c>
      <c r="BH6">
        <f t="shared" si="5"/>
        <v>0</v>
      </c>
      <c r="BJ6">
        <v>3</v>
      </c>
      <c r="BK6">
        <f t="shared" si="28"/>
        <v>0</v>
      </c>
      <c r="BL6">
        <f t="shared" si="6"/>
        <v>0</v>
      </c>
      <c r="BM6">
        <f t="shared" si="7"/>
        <v>0</v>
      </c>
      <c r="BN6">
        <f t="shared" si="8"/>
        <v>0</v>
      </c>
      <c r="BO6">
        <f t="shared" si="9"/>
        <v>0</v>
      </c>
      <c r="BP6">
        <f t="shared" si="10"/>
        <v>0</v>
      </c>
      <c r="BQ6">
        <f t="shared" si="11"/>
        <v>0</v>
      </c>
      <c r="BR6">
        <f t="shared" si="12"/>
        <v>0</v>
      </c>
      <c r="BS6">
        <f t="shared" si="13"/>
        <v>0</v>
      </c>
    </row>
    <row r="7" spans="1:71" x14ac:dyDescent="0.3">
      <c r="A7" s="41">
        <f t="shared" si="14"/>
        <v>1</v>
      </c>
      <c r="B7" s="18">
        <v>4</v>
      </c>
      <c r="C7" s="18" t="s">
        <v>43</v>
      </c>
      <c r="D7" s="92"/>
      <c r="E7" s="93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3">
        <f t="shared" si="15"/>
        <v>0</v>
      </c>
      <c r="S7" s="3">
        <f>IF(H7="",0,H7)*$R$4+IF(I7="",0,I7)*$R$5+IF(J7="",0,J7)*$R$6+IF(K7="",0,K7)*$R$7+IF(L7="",0,L7)*$R$8+IF(M7="",0,M7)*$R$9+IF(N7="",0,N7)*$R$10+IF(O7="",0,O7)*$R$11+IF(P7="",0,P7)*R15+IF(Q7="",0,Q7)*R16</f>
        <v>0</v>
      </c>
      <c r="T7" s="48">
        <f t="shared" si="16"/>
        <v>1</v>
      </c>
      <c r="U7" s="23"/>
      <c r="AB7" s="27">
        <f t="shared" si="1"/>
        <v>0</v>
      </c>
      <c r="AC7" s="28">
        <f t="shared" si="2"/>
        <v>1000</v>
      </c>
      <c r="AD7" s="46"/>
      <c r="AE7" s="7">
        <f t="shared" si="17"/>
        <v>0</v>
      </c>
      <c r="AF7" s="7">
        <f t="shared" si="18"/>
        <v>0</v>
      </c>
      <c r="AG7" s="7">
        <f t="shared" si="19"/>
        <v>0</v>
      </c>
      <c r="AH7" s="7">
        <f t="shared" si="20"/>
        <v>0</v>
      </c>
      <c r="AI7" s="7">
        <f t="shared" si="21"/>
        <v>0</v>
      </c>
      <c r="AJ7" s="7">
        <f t="shared" si="22"/>
        <v>0</v>
      </c>
      <c r="AK7" s="7"/>
      <c r="AL7" s="7">
        <f t="shared" si="23"/>
        <v>0</v>
      </c>
      <c r="AM7" s="7">
        <f t="shared" si="24"/>
        <v>0</v>
      </c>
      <c r="AN7" s="7">
        <f t="shared" si="25"/>
        <v>0</v>
      </c>
      <c r="AO7" s="7">
        <f t="shared" si="26"/>
        <v>1</v>
      </c>
      <c r="AP7" s="46"/>
      <c r="AQ7" s="46"/>
      <c r="AR7" s="46"/>
      <c r="AS7" s="23"/>
      <c r="AT7" s="26">
        <v>4</v>
      </c>
      <c r="AU7" s="29">
        <f t="shared" si="3"/>
        <v>0</v>
      </c>
      <c r="AV7" s="30" t="e">
        <f t="shared" si="4"/>
        <v>#VALUE!</v>
      </c>
      <c r="AW7" s="30">
        <f t="shared" si="27"/>
        <v>0</v>
      </c>
      <c r="AY7">
        <v>4</v>
      </c>
      <c r="AZ7">
        <f t="shared" si="5"/>
        <v>0</v>
      </c>
      <c r="BA7">
        <f t="shared" si="5"/>
        <v>0</v>
      </c>
      <c r="BB7">
        <f t="shared" si="5"/>
        <v>0</v>
      </c>
      <c r="BC7">
        <f t="shared" si="5"/>
        <v>0</v>
      </c>
      <c r="BD7">
        <f t="shared" si="5"/>
        <v>0</v>
      </c>
      <c r="BE7">
        <f t="shared" si="5"/>
        <v>0</v>
      </c>
      <c r="BF7">
        <f t="shared" si="5"/>
        <v>0</v>
      </c>
      <c r="BG7">
        <f t="shared" si="5"/>
        <v>0</v>
      </c>
      <c r="BH7">
        <f t="shared" si="5"/>
        <v>0</v>
      </c>
      <c r="BJ7">
        <v>4</v>
      </c>
      <c r="BK7">
        <f t="shared" si="28"/>
        <v>0</v>
      </c>
      <c r="BL7">
        <f t="shared" si="6"/>
        <v>0</v>
      </c>
      <c r="BM7">
        <f t="shared" si="7"/>
        <v>0</v>
      </c>
      <c r="BN7">
        <f t="shared" si="8"/>
        <v>0</v>
      </c>
      <c r="BO7">
        <f t="shared" si="9"/>
        <v>0</v>
      </c>
      <c r="BP7">
        <f t="shared" si="10"/>
        <v>0</v>
      </c>
      <c r="BQ7">
        <f t="shared" si="11"/>
        <v>0</v>
      </c>
      <c r="BR7">
        <f t="shared" si="12"/>
        <v>0</v>
      </c>
      <c r="BS7">
        <f t="shared" si="13"/>
        <v>0</v>
      </c>
    </row>
    <row r="8" spans="1:71" x14ac:dyDescent="0.3">
      <c r="A8" s="41">
        <f t="shared" si="14"/>
        <v>1</v>
      </c>
      <c r="B8" s="18">
        <v>5</v>
      </c>
      <c r="C8" s="18" t="s">
        <v>47</v>
      </c>
      <c r="D8" s="92"/>
      <c r="E8" s="93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3">
        <f t="shared" si="15"/>
        <v>0</v>
      </c>
      <c r="S8" s="3">
        <f>IF(H8="",0,H8)*$R$4+IF(I8="",0,I8)*$R$5+IF(J8="",0,J8)*$R$6+IF(K8="",0,K8)*$R$7+IF(L8="",0,L8)*$R$8+IF(M8="",0,M8)*$R$9+IF(N8="",0,N8)*$R$10+IF(O8="",0,O8)*$R$11+IF(P8="",0,P8)*R16+IF(Q8="",0,Q8)*R17</f>
        <v>0</v>
      </c>
      <c r="T8" s="48">
        <f t="shared" si="16"/>
        <v>1</v>
      </c>
      <c r="U8" s="23"/>
      <c r="AB8" s="27">
        <f t="shared" si="1"/>
        <v>0</v>
      </c>
      <c r="AC8" s="28">
        <f t="shared" si="2"/>
        <v>1000</v>
      </c>
      <c r="AD8" s="46"/>
      <c r="AE8" s="7">
        <f t="shared" si="17"/>
        <v>0</v>
      </c>
      <c r="AF8" s="7">
        <f t="shared" si="18"/>
        <v>0</v>
      </c>
      <c r="AG8" s="7">
        <f t="shared" si="19"/>
        <v>0</v>
      </c>
      <c r="AH8" s="7">
        <f t="shared" si="20"/>
        <v>0</v>
      </c>
      <c r="AI8" s="7">
        <f t="shared" si="21"/>
        <v>0</v>
      </c>
      <c r="AJ8" s="7">
        <f t="shared" si="22"/>
        <v>0</v>
      </c>
      <c r="AK8" s="7"/>
      <c r="AL8" s="7">
        <f t="shared" si="23"/>
        <v>0</v>
      </c>
      <c r="AM8" s="7">
        <f t="shared" si="24"/>
        <v>0</v>
      </c>
      <c r="AN8" s="7">
        <f t="shared" si="25"/>
        <v>0</v>
      </c>
      <c r="AO8" s="7">
        <f t="shared" si="26"/>
        <v>1</v>
      </c>
      <c r="AP8" s="46"/>
      <c r="AQ8" s="46"/>
      <c r="AR8" s="46"/>
      <c r="AS8" s="23"/>
      <c r="AT8" s="26">
        <v>5</v>
      </c>
      <c r="AU8" s="29">
        <f t="shared" si="3"/>
        <v>0</v>
      </c>
      <c r="AV8" s="30" t="e">
        <f t="shared" si="4"/>
        <v>#VALUE!</v>
      </c>
      <c r="AW8" s="30">
        <f t="shared" si="27"/>
        <v>0</v>
      </c>
      <c r="AY8">
        <v>5</v>
      </c>
      <c r="AZ8">
        <f t="shared" si="5"/>
        <v>0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>
        <f t="shared" si="5"/>
        <v>0</v>
      </c>
      <c r="BG8">
        <f t="shared" si="5"/>
        <v>0</v>
      </c>
      <c r="BH8">
        <f t="shared" si="5"/>
        <v>0</v>
      </c>
      <c r="BJ8">
        <v>5</v>
      </c>
      <c r="BK8">
        <f t="shared" si="28"/>
        <v>0</v>
      </c>
      <c r="BL8">
        <f t="shared" si="6"/>
        <v>0</v>
      </c>
      <c r="BM8">
        <f t="shared" si="7"/>
        <v>0</v>
      </c>
      <c r="BN8">
        <f t="shared" si="8"/>
        <v>0</v>
      </c>
      <c r="BO8">
        <f t="shared" si="9"/>
        <v>0</v>
      </c>
      <c r="BP8">
        <f t="shared" si="10"/>
        <v>0</v>
      </c>
      <c r="BQ8">
        <f t="shared" si="11"/>
        <v>0</v>
      </c>
      <c r="BR8">
        <f t="shared" si="12"/>
        <v>0</v>
      </c>
      <c r="BS8">
        <f t="shared" si="13"/>
        <v>0</v>
      </c>
    </row>
    <row r="9" spans="1:71" x14ac:dyDescent="0.3">
      <c r="A9" s="41">
        <f t="shared" si="14"/>
        <v>1</v>
      </c>
      <c r="B9" s="18">
        <v>6</v>
      </c>
      <c r="C9" s="18" t="s">
        <v>44</v>
      </c>
      <c r="D9" s="92"/>
      <c r="E9" s="93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3">
        <f t="shared" si="15"/>
        <v>0</v>
      </c>
      <c r="S9" s="3">
        <f>IF(H9="",0,H9)*$R$4+IF(I9="",0,I9)*$R$5+IF(J9="",0,J9)*$R$6+IF(K9="",0,K9)*$R$7+IF(L9="",0,L9)*$R$8+IF(M9="",0,M9)*$R$9+IF(N9="",0,N9)*$R$10+IF(O9="",0,O9)*$R$11+IF(P9="",0,P9)*R17+IF(Q9="",0,Q9)*T18</f>
        <v>0</v>
      </c>
      <c r="T9" s="48">
        <f t="shared" si="16"/>
        <v>1</v>
      </c>
      <c r="U9" s="23"/>
      <c r="AB9" s="27">
        <f t="shared" si="1"/>
        <v>0</v>
      </c>
      <c r="AC9" s="28">
        <f t="shared" si="2"/>
        <v>1000</v>
      </c>
      <c r="AD9" s="46"/>
      <c r="AE9" s="7">
        <f t="shared" si="17"/>
        <v>0</v>
      </c>
      <c r="AF9" s="7">
        <f t="shared" si="18"/>
        <v>0</v>
      </c>
      <c r="AG9" s="7">
        <f t="shared" si="19"/>
        <v>0</v>
      </c>
      <c r="AH9" s="7">
        <f t="shared" si="20"/>
        <v>0</v>
      </c>
      <c r="AI9" s="7">
        <f t="shared" si="21"/>
        <v>0</v>
      </c>
      <c r="AJ9" s="7">
        <f t="shared" si="22"/>
        <v>0</v>
      </c>
      <c r="AK9" s="7"/>
      <c r="AL9" s="7">
        <f t="shared" si="23"/>
        <v>0</v>
      </c>
      <c r="AM9" s="7">
        <f t="shared" si="24"/>
        <v>0</v>
      </c>
      <c r="AN9" s="7">
        <f t="shared" si="25"/>
        <v>0</v>
      </c>
      <c r="AO9" s="7">
        <f t="shared" si="26"/>
        <v>1</v>
      </c>
      <c r="AP9" s="46"/>
      <c r="AQ9" s="46"/>
      <c r="AR9" s="46"/>
      <c r="AS9" s="23"/>
      <c r="AT9" s="26">
        <v>6</v>
      </c>
      <c r="AU9" s="29">
        <f t="shared" si="3"/>
        <v>0</v>
      </c>
      <c r="AV9" s="30" t="e">
        <f t="shared" si="4"/>
        <v>#VALUE!</v>
      </c>
      <c r="AW9" s="30">
        <f t="shared" si="27"/>
        <v>0</v>
      </c>
      <c r="AY9">
        <v>6</v>
      </c>
      <c r="AZ9">
        <f t="shared" si="5"/>
        <v>0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>
        <f t="shared" si="5"/>
        <v>0</v>
      </c>
      <c r="BG9">
        <f t="shared" si="5"/>
        <v>0</v>
      </c>
      <c r="BH9">
        <f t="shared" si="5"/>
        <v>0</v>
      </c>
      <c r="BJ9">
        <v>6</v>
      </c>
      <c r="BK9">
        <f t="shared" si="28"/>
        <v>0</v>
      </c>
      <c r="BL9">
        <f t="shared" si="6"/>
        <v>0</v>
      </c>
      <c r="BM9">
        <f t="shared" si="7"/>
        <v>0</v>
      </c>
      <c r="BN9">
        <f t="shared" si="8"/>
        <v>0</v>
      </c>
      <c r="BO9">
        <f t="shared" si="9"/>
        <v>0</v>
      </c>
      <c r="BP9">
        <f t="shared" si="10"/>
        <v>0</v>
      </c>
      <c r="BQ9">
        <f t="shared" si="11"/>
        <v>0</v>
      </c>
      <c r="BR9">
        <f t="shared" si="12"/>
        <v>0</v>
      </c>
      <c r="BS9">
        <f t="shared" si="13"/>
        <v>0</v>
      </c>
    </row>
    <row r="10" spans="1:71" x14ac:dyDescent="0.3">
      <c r="A10" s="41">
        <f t="shared" si="14"/>
        <v>1</v>
      </c>
      <c r="B10" s="18">
        <v>7</v>
      </c>
      <c r="C10" s="18" t="s">
        <v>45</v>
      </c>
      <c r="D10" s="92"/>
      <c r="E10" s="93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3">
        <f t="shared" si="15"/>
        <v>0</v>
      </c>
      <c r="S10" s="3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48">
        <f t="shared" si="16"/>
        <v>1</v>
      </c>
      <c r="U10" s="23"/>
      <c r="AB10" s="27">
        <f t="shared" si="1"/>
        <v>0</v>
      </c>
      <c r="AC10" s="28">
        <f t="shared" si="2"/>
        <v>1000</v>
      </c>
      <c r="AD10" s="46"/>
      <c r="AE10" s="7">
        <f t="shared" si="17"/>
        <v>0</v>
      </c>
      <c r="AF10" s="7">
        <f t="shared" si="18"/>
        <v>0</v>
      </c>
      <c r="AG10" s="7">
        <f t="shared" si="19"/>
        <v>0</v>
      </c>
      <c r="AH10" s="7">
        <f t="shared" si="20"/>
        <v>0</v>
      </c>
      <c r="AI10" s="7">
        <f t="shared" si="21"/>
        <v>0</v>
      </c>
      <c r="AJ10" s="7">
        <f t="shared" si="22"/>
        <v>0</v>
      </c>
      <c r="AK10" s="7"/>
      <c r="AL10" s="7">
        <f t="shared" si="23"/>
        <v>0</v>
      </c>
      <c r="AM10" s="7">
        <f t="shared" si="24"/>
        <v>0</v>
      </c>
      <c r="AN10" s="7">
        <f t="shared" si="25"/>
        <v>0</v>
      </c>
      <c r="AO10" s="7">
        <f t="shared" si="26"/>
        <v>1</v>
      </c>
      <c r="AP10" s="46"/>
      <c r="AQ10" s="46"/>
      <c r="AR10" s="46"/>
      <c r="AS10" s="23"/>
      <c r="AT10" s="26">
        <v>7</v>
      </c>
      <c r="AU10" s="29">
        <f t="shared" si="3"/>
        <v>0</v>
      </c>
      <c r="AV10" s="30" t="e">
        <f t="shared" si="4"/>
        <v>#VALUE!</v>
      </c>
      <c r="AW10" s="30">
        <f t="shared" si="27"/>
        <v>0</v>
      </c>
      <c r="AY10">
        <v>7</v>
      </c>
      <c r="AZ10">
        <f t="shared" si="5"/>
        <v>0</v>
      </c>
      <c r="BA10">
        <f t="shared" si="5"/>
        <v>0</v>
      </c>
      <c r="BB10">
        <f t="shared" si="5"/>
        <v>0</v>
      </c>
      <c r="BC10">
        <f t="shared" si="5"/>
        <v>0</v>
      </c>
      <c r="BD10">
        <f t="shared" si="5"/>
        <v>0</v>
      </c>
      <c r="BE10">
        <f t="shared" si="5"/>
        <v>0</v>
      </c>
      <c r="BF10">
        <f t="shared" si="5"/>
        <v>0</v>
      </c>
      <c r="BG10">
        <f t="shared" si="5"/>
        <v>0</v>
      </c>
      <c r="BH10">
        <f t="shared" si="5"/>
        <v>0</v>
      </c>
      <c r="BJ10">
        <v>7</v>
      </c>
      <c r="BK10">
        <f t="shared" si="28"/>
        <v>0</v>
      </c>
      <c r="BL10">
        <f t="shared" si="6"/>
        <v>0</v>
      </c>
      <c r="BM10">
        <f t="shared" si="7"/>
        <v>0</v>
      </c>
      <c r="BN10">
        <f t="shared" si="8"/>
        <v>0</v>
      </c>
      <c r="BO10">
        <f t="shared" si="9"/>
        <v>0</v>
      </c>
      <c r="BP10">
        <f t="shared" si="10"/>
        <v>0</v>
      </c>
      <c r="BQ10">
        <f t="shared" si="11"/>
        <v>0</v>
      </c>
      <c r="BR10">
        <f t="shared" si="12"/>
        <v>0</v>
      </c>
      <c r="BS10">
        <f t="shared" si="13"/>
        <v>0</v>
      </c>
    </row>
    <row r="11" spans="1:71" x14ac:dyDescent="0.3">
      <c r="A11" s="41">
        <f t="shared" si="14"/>
        <v>1</v>
      </c>
      <c r="B11" s="18">
        <v>8</v>
      </c>
      <c r="C11" s="18" t="s">
        <v>46</v>
      </c>
      <c r="D11" s="92"/>
      <c r="E11" s="93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0" t="str">
        <f t="shared" si="0"/>
        <v/>
      </c>
      <c r="Q11" s="20" t="str">
        <f t="shared" si="0"/>
        <v/>
      </c>
      <c r="R11" s="3">
        <f t="shared" si="15"/>
        <v>0</v>
      </c>
      <c r="S11" s="3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48">
        <f t="shared" si="16"/>
        <v>1</v>
      </c>
      <c r="U11" s="23"/>
      <c r="AB11" s="27">
        <f t="shared" si="1"/>
        <v>0</v>
      </c>
      <c r="AC11" s="28">
        <f t="shared" si="2"/>
        <v>1000</v>
      </c>
      <c r="AD11" s="46"/>
      <c r="AE11" s="7">
        <f t="shared" si="17"/>
        <v>0</v>
      </c>
      <c r="AF11" s="7">
        <f t="shared" si="18"/>
        <v>0</v>
      </c>
      <c r="AG11" s="7">
        <f t="shared" si="19"/>
        <v>0</v>
      </c>
      <c r="AH11" s="7">
        <f t="shared" si="20"/>
        <v>0</v>
      </c>
      <c r="AI11" s="7">
        <f t="shared" si="21"/>
        <v>0</v>
      </c>
      <c r="AJ11" s="7">
        <f t="shared" si="22"/>
        <v>0</v>
      </c>
      <c r="AK11" s="7"/>
      <c r="AL11" s="7">
        <f t="shared" si="23"/>
        <v>0</v>
      </c>
      <c r="AM11" s="7">
        <f t="shared" si="24"/>
        <v>0</v>
      </c>
      <c r="AN11" s="7">
        <f t="shared" si="25"/>
        <v>0</v>
      </c>
      <c r="AO11" s="7">
        <f t="shared" si="26"/>
        <v>1</v>
      </c>
      <c r="AP11" s="46"/>
      <c r="AQ11" s="46"/>
      <c r="AR11" s="46"/>
      <c r="AS11" s="23"/>
      <c r="AT11" s="26">
        <v>8</v>
      </c>
      <c r="AU11" s="29">
        <f t="shared" si="3"/>
        <v>0</v>
      </c>
      <c r="AV11" s="30" t="e">
        <f t="shared" si="4"/>
        <v>#VALUE!</v>
      </c>
      <c r="AW11" s="30">
        <f t="shared" si="27"/>
        <v>0</v>
      </c>
      <c r="AY11">
        <v>8</v>
      </c>
      <c r="AZ11">
        <f t="shared" si="5"/>
        <v>0</v>
      </c>
      <c r="BA11">
        <f t="shared" si="5"/>
        <v>0</v>
      </c>
      <c r="BB11">
        <f t="shared" si="5"/>
        <v>0</v>
      </c>
      <c r="BC11">
        <f t="shared" si="5"/>
        <v>0</v>
      </c>
      <c r="BD11">
        <f t="shared" si="5"/>
        <v>0</v>
      </c>
      <c r="BE11">
        <f t="shared" si="5"/>
        <v>0</v>
      </c>
      <c r="BF11">
        <f t="shared" si="5"/>
        <v>0</v>
      </c>
      <c r="BG11">
        <f t="shared" si="5"/>
        <v>0</v>
      </c>
      <c r="BH11">
        <f t="shared" si="5"/>
        <v>0</v>
      </c>
      <c r="BJ11">
        <v>8</v>
      </c>
      <c r="BK11">
        <f t="shared" si="28"/>
        <v>0</v>
      </c>
      <c r="BL11">
        <f t="shared" si="6"/>
        <v>0</v>
      </c>
      <c r="BM11">
        <f t="shared" si="7"/>
        <v>0</v>
      </c>
      <c r="BN11">
        <f t="shared" si="8"/>
        <v>0</v>
      </c>
      <c r="BO11">
        <f t="shared" si="9"/>
        <v>0</v>
      </c>
      <c r="BP11">
        <f t="shared" si="10"/>
        <v>0</v>
      </c>
      <c r="BQ11">
        <f t="shared" si="11"/>
        <v>0</v>
      </c>
      <c r="BR11">
        <f t="shared" si="12"/>
        <v>0</v>
      </c>
      <c r="BS11">
        <f t="shared" si="13"/>
        <v>0</v>
      </c>
    </row>
    <row r="12" spans="1:71" x14ac:dyDescent="0.3">
      <c r="A12" s="41">
        <f t="shared" si="14"/>
        <v>1</v>
      </c>
      <c r="B12" s="18">
        <v>9</v>
      </c>
      <c r="C12" s="18" t="s">
        <v>48</v>
      </c>
      <c r="D12" s="92"/>
      <c r="E12" s="93"/>
      <c r="F12" s="18">
        <v>1000</v>
      </c>
      <c r="H12" s="20" t="str">
        <f t="shared" si="0"/>
        <v/>
      </c>
      <c r="I12" s="20" t="str">
        <f t="shared" si="0"/>
        <v/>
      </c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19" t="str">
        <f t="shared" si="0"/>
        <v/>
      </c>
      <c r="Q12" s="20" t="str">
        <f t="shared" si="0"/>
        <v/>
      </c>
      <c r="R12" s="3">
        <f t="shared" si="15"/>
        <v>0</v>
      </c>
      <c r="S12" s="3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48">
        <f t="shared" si="16"/>
        <v>1</v>
      </c>
      <c r="U12" s="23"/>
      <c r="AB12" s="27">
        <f t="shared" si="1"/>
        <v>0</v>
      </c>
      <c r="AC12" s="28">
        <f t="shared" si="2"/>
        <v>1000</v>
      </c>
      <c r="AD12" s="46"/>
      <c r="AE12" s="7">
        <f t="shared" si="17"/>
        <v>0</v>
      </c>
      <c r="AF12" s="7">
        <f t="shared" si="18"/>
        <v>0</v>
      </c>
      <c r="AG12" s="7">
        <f t="shared" si="19"/>
        <v>0</v>
      </c>
      <c r="AH12" s="7">
        <f t="shared" si="20"/>
        <v>0</v>
      </c>
      <c r="AI12" s="7">
        <f t="shared" si="21"/>
        <v>0</v>
      </c>
      <c r="AJ12" s="7">
        <f t="shared" si="22"/>
        <v>0</v>
      </c>
      <c r="AK12" s="7"/>
      <c r="AL12" s="7">
        <f t="shared" si="23"/>
        <v>0</v>
      </c>
      <c r="AM12" s="7">
        <f t="shared" si="24"/>
        <v>0</v>
      </c>
      <c r="AN12" s="7">
        <f t="shared" si="25"/>
        <v>0</v>
      </c>
      <c r="AO12" s="7">
        <f t="shared" si="26"/>
        <v>1</v>
      </c>
      <c r="AP12" s="46"/>
      <c r="AQ12" s="46"/>
      <c r="AR12" s="46"/>
      <c r="AS12" s="23"/>
      <c r="AT12" s="26">
        <v>9</v>
      </c>
      <c r="AU12" s="29">
        <f t="shared" si="3"/>
        <v>0</v>
      </c>
      <c r="AV12" s="30" t="e">
        <f t="shared" si="4"/>
        <v>#VALUE!</v>
      </c>
      <c r="AW12" s="30">
        <f t="shared" si="27"/>
        <v>0</v>
      </c>
      <c r="AY12">
        <v>9</v>
      </c>
      <c r="AZ12">
        <f t="shared" si="5"/>
        <v>0</v>
      </c>
      <c r="BA12">
        <f t="shared" si="5"/>
        <v>0</v>
      </c>
      <c r="BB12">
        <f t="shared" si="5"/>
        <v>0</v>
      </c>
      <c r="BC12">
        <f t="shared" si="5"/>
        <v>0</v>
      </c>
      <c r="BD12">
        <f t="shared" si="5"/>
        <v>0</v>
      </c>
      <c r="BE12">
        <f t="shared" si="5"/>
        <v>0</v>
      </c>
      <c r="BF12">
        <f t="shared" si="5"/>
        <v>0</v>
      </c>
      <c r="BG12">
        <f t="shared" si="5"/>
        <v>0</v>
      </c>
      <c r="BH12">
        <f t="shared" si="5"/>
        <v>0</v>
      </c>
      <c r="BJ12">
        <v>9</v>
      </c>
      <c r="BK12">
        <f t="shared" si="28"/>
        <v>0</v>
      </c>
      <c r="BL12">
        <f t="shared" si="6"/>
        <v>0</v>
      </c>
      <c r="BM12">
        <f t="shared" si="7"/>
        <v>0</v>
      </c>
      <c r="BN12">
        <f t="shared" si="8"/>
        <v>0</v>
      </c>
      <c r="BO12">
        <f t="shared" si="9"/>
        <v>0</v>
      </c>
      <c r="BP12">
        <f t="shared" si="10"/>
        <v>0</v>
      </c>
      <c r="BQ12">
        <f t="shared" si="11"/>
        <v>0</v>
      </c>
      <c r="BR12">
        <f t="shared" si="12"/>
        <v>0</v>
      </c>
      <c r="BS12">
        <f t="shared" si="13"/>
        <v>0</v>
      </c>
    </row>
    <row r="13" spans="1:71" x14ac:dyDescent="0.3">
      <c r="A13" s="41">
        <f t="shared" si="14"/>
        <v>1</v>
      </c>
      <c r="B13" s="18">
        <v>10</v>
      </c>
      <c r="C13" s="18" t="s">
        <v>49</v>
      </c>
      <c r="D13" s="92"/>
      <c r="E13" s="93"/>
      <c r="F13" s="18">
        <v>1000</v>
      </c>
      <c r="H13" s="20" t="str">
        <f t="shared" si="0"/>
        <v/>
      </c>
      <c r="I13" s="20" t="str">
        <f t="shared" si="0"/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19" t="str">
        <f t="shared" si="0"/>
        <v/>
      </c>
      <c r="R13" s="3">
        <f t="shared" si="15"/>
        <v>0</v>
      </c>
      <c r="S13" s="3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48">
        <f t="shared" si="16"/>
        <v>1</v>
      </c>
      <c r="U13" s="23"/>
      <c r="AB13" s="27">
        <f t="shared" si="1"/>
        <v>0</v>
      </c>
      <c r="AC13" s="28">
        <f t="shared" si="2"/>
        <v>1000</v>
      </c>
      <c r="AD13" s="46"/>
      <c r="AE13" s="7">
        <f t="shared" si="17"/>
        <v>0</v>
      </c>
      <c r="AF13" s="7">
        <f t="shared" si="18"/>
        <v>0</v>
      </c>
      <c r="AG13" s="7">
        <f t="shared" si="19"/>
        <v>0</v>
      </c>
      <c r="AH13" s="7">
        <f t="shared" si="20"/>
        <v>0</v>
      </c>
      <c r="AI13" s="7">
        <f t="shared" si="21"/>
        <v>0</v>
      </c>
      <c r="AJ13" s="7">
        <f t="shared" si="22"/>
        <v>0</v>
      </c>
      <c r="AK13" s="7"/>
      <c r="AL13" s="7">
        <f t="shared" si="23"/>
        <v>0</v>
      </c>
      <c r="AM13" s="7">
        <f t="shared" si="24"/>
        <v>0</v>
      </c>
      <c r="AN13" s="7">
        <f t="shared" si="25"/>
        <v>0</v>
      </c>
      <c r="AO13" s="7">
        <f t="shared" si="26"/>
        <v>1</v>
      </c>
      <c r="AP13" s="46"/>
      <c r="AQ13" s="46"/>
      <c r="AR13" s="46"/>
      <c r="AS13" s="23"/>
      <c r="AT13" s="26">
        <v>10</v>
      </c>
      <c r="AU13" s="29">
        <f t="shared" si="3"/>
        <v>0</v>
      </c>
      <c r="AV13" s="30" t="e">
        <f t="shared" si="4"/>
        <v>#VALUE!</v>
      </c>
      <c r="AW13" s="30">
        <f t="shared" si="27"/>
        <v>0</v>
      </c>
      <c r="AY13">
        <v>10</v>
      </c>
      <c r="AZ13">
        <f t="shared" si="5"/>
        <v>0</v>
      </c>
      <c r="BA13">
        <f t="shared" si="5"/>
        <v>0</v>
      </c>
      <c r="BB13">
        <f t="shared" si="5"/>
        <v>0</v>
      </c>
      <c r="BC13">
        <f t="shared" si="5"/>
        <v>0</v>
      </c>
      <c r="BD13">
        <f t="shared" si="5"/>
        <v>0</v>
      </c>
      <c r="BE13">
        <f t="shared" si="5"/>
        <v>0</v>
      </c>
      <c r="BF13">
        <f t="shared" si="5"/>
        <v>0</v>
      </c>
      <c r="BG13">
        <f t="shared" si="5"/>
        <v>0</v>
      </c>
      <c r="BH13">
        <f t="shared" si="5"/>
        <v>0</v>
      </c>
      <c r="BJ13">
        <v>10</v>
      </c>
      <c r="BK13">
        <f t="shared" si="28"/>
        <v>0</v>
      </c>
      <c r="BL13">
        <f t="shared" si="6"/>
        <v>0</v>
      </c>
      <c r="BM13">
        <f t="shared" si="7"/>
        <v>0</v>
      </c>
      <c r="BN13">
        <f t="shared" si="8"/>
        <v>0</v>
      </c>
      <c r="BO13">
        <f t="shared" si="9"/>
        <v>0</v>
      </c>
      <c r="BP13">
        <f t="shared" si="10"/>
        <v>0</v>
      </c>
      <c r="BQ13">
        <f t="shared" si="11"/>
        <v>0</v>
      </c>
      <c r="BR13">
        <f t="shared" si="12"/>
        <v>0</v>
      </c>
      <c r="BS13">
        <f t="shared" si="13"/>
        <v>0</v>
      </c>
    </row>
    <row r="14" spans="1:71" hidden="1" x14ac:dyDescent="0.3">
      <c r="S14" s="49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27">
        <f>IF(ISNA(VLOOKUP(B14,$A$4:$S$13,18,FALSE)),0,VLOOKUP(B14,$A$4:$S$13,18,FALSE))</f>
        <v>0</v>
      </c>
      <c r="AO14" s="46">
        <f t="shared" si="26"/>
        <v>1</v>
      </c>
    </row>
    <row r="15" spans="1:71" x14ac:dyDescent="0.3">
      <c r="AE15" s="46">
        <f>2*MAX(AE4:AE13)+1</f>
        <v>1</v>
      </c>
      <c r="AG15" s="47">
        <f>2*MAX(AG4:AG13)+1</f>
        <v>1</v>
      </c>
      <c r="AI15" s="47">
        <f>2*MAX(AI4:AI13)+1</f>
        <v>1</v>
      </c>
      <c r="AT15" s="31" t="s">
        <v>39</v>
      </c>
      <c r="AU15" s="31" t="s">
        <v>0</v>
      </c>
      <c r="AV15" s="31" t="s">
        <v>1</v>
      </c>
      <c r="AW15" s="31" t="s">
        <v>2</v>
      </c>
      <c r="AY15" s="32" t="s">
        <v>37</v>
      </c>
      <c r="AZ15" s="32" t="s">
        <v>38</v>
      </c>
      <c r="BA15" t="s">
        <v>18</v>
      </c>
      <c r="BB15" t="s">
        <v>19</v>
      </c>
      <c r="BC15" t="s">
        <v>20</v>
      </c>
      <c r="BD15" t="s">
        <v>21</v>
      </c>
    </row>
    <row r="16" spans="1:71" ht="3" customHeight="1" x14ac:dyDescent="0.3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AY16" s="33"/>
      <c r="AZ16" s="33"/>
      <c r="BA16" s="34"/>
      <c r="BB16" s="34"/>
      <c r="BC16" s="34"/>
      <c r="BD16" s="34"/>
    </row>
    <row r="17" spans="2:56" x14ac:dyDescent="0.3">
      <c r="B17" s="35" t="s">
        <v>3</v>
      </c>
      <c r="D17" s="118" t="str">
        <f>"Van:" &amp; TEXT(Configuratie!H28,"uu.mm.ss")</f>
        <v>Van:13.00.00</v>
      </c>
      <c r="E17" s="119"/>
      <c r="F17" s="117"/>
      <c r="H17" s="118" t="str">
        <f>"Tot: "&amp; TEXT(Configuratie!I28,"uu.mm.ss")</f>
        <v>Tot: 13.17.30</v>
      </c>
      <c r="I17" s="119"/>
      <c r="J17" s="117"/>
      <c r="K17" s="117"/>
      <c r="AY17" s="32"/>
      <c r="AZ17" s="32"/>
    </row>
    <row r="18" spans="2:56" x14ac:dyDescent="0.3">
      <c r="B18">
        <v>1</v>
      </c>
      <c r="C18" t="str">
        <f>VLOOKUP(AU18,$B$4:$F$13,2,FALSE)</f>
        <v>A</v>
      </c>
      <c r="D18" s="36" t="s">
        <v>5</v>
      </c>
      <c r="E18" s="86" t="str">
        <f>VLOOKUP(AV18,$B$4:$F$13,2,FALSE)</f>
        <v>J</v>
      </c>
      <c r="F18" s="86"/>
      <c r="G18" s="86"/>
      <c r="H18" s="86"/>
      <c r="J18" s="86" t="str">
        <f>IF(T18="","",VLOOKUP(T18,#REF!,3,FALSE))</f>
        <v/>
      </c>
      <c r="K18" s="86"/>
      <c r="L18" t="s">
        <v>5</v>
      </c>
      <c r="M18" s="86" t="str">
        <f>IF(T18="","",VLOOKUP(T18,#REF!,4,FALSE))</f>
        <v/>
      </c>
      <c r="N18" s="86"/>
      <c r="R18" t="str">
        <f>IF(T18="","",VLOOKUP(T18,#REF!,2,FALSE))</f>
        <v/>
      </c>
      <c r="S18" s="36"/>
      <c r="T18" s="1"/>
      <c r="AT18">
        <v>1</v>
      </c>
      <c r="AU18">
        <v>1</v>
      </c>
      <c r="AV18">
        <v>10</v>
      </c>
      <c r="AW18" t="str">
        <f t="shared" ref="AW18:AW23" si="29">IF(AND(ISNUMBER(J18),ISNUMBER(M18)),IF(J18+M18=1,1,0),"")</f>
        <v/>
      </c>
      <c r="AY18" s="38">
        <f>AU18*100+AV18</f>
        <v>110</v>
      </c>
      <c r="AZ18" s="38">
        <f>AV18*100+AU18</f>
        <v>1001</v>
      </c>
      <c r="BA18">
        <v>0</v>
      </c>
      <c r="BB18">
        <v>0</v>
      </c>
      <c r="BC18" t="e">
        <f>J18*BB18</f>
        <v>#VALUE!</v>
      </c>
      <c r="BD18" t="e">
        <f>M18*BA18</f>
        <v>#VALUE!</v>
      </c>
    </row>
    <row r="19" spans="2:56" x14ac:dyDescent="0.3">
      <c r="B19">
        <v>2</v>
      </c>
      <c r="C19" t="str">
        <f>VLOOKUP(AU19,$B$4:$F$13,2,FALSE)</f>
        <v>B</v>
      </c>
      <c r="D19" s="36" t="s">
        <v>5</v>
      </c>
      <c r="E19" s="86" t="str">
        <f>VLOOKUP(AV19,$B$4:$F$13,2,FALSE)</f>
        <v>I</v>
      </c>
      <c r="F19" s="86"/>
      <c r="G19" s="86"/>
      <c r="H19" s="86"/>
      <c r="J19" s="86" t="str">
        <f>IF(T19="","",VLOOKUP(T19,#REF!,3,FALSE))</f>
        <v/>
      </c>
      <c r="K19" s="86"/>
      <c r="L19" t="s">
        <v>5</v>
      </c>
      <c r="M19" s="86" t="str">
        <f>IF(T19="","",VLOOKUP(T19,#REF!,4,FALSE))</f>
        <v/>
      </c>
      <c r="N19" s="86"/>
      <c r="R19" t="str">
        <f>IF(T19="","",VLOOKUP(T19,#REF!,2,FALSE))</f>
        <v/>
      </c>
      <c r="S19" s="36"/>
      <c r="T19" s="1"/>
      <c r="AT19">
        <v>1</v>
      </c>
      <c r="AU19">
        <v>2</v>
      </c>
      <c r="AV19">
        <v>9</v>
      </c>
      <c r="AW19" t="str">
        <f t="shared" si="29"/>
        <v/>
      </c>
      <c r="AY19" s="38">
        <f>AU19*100+AV19</f>
        <v>209</v>
      </c>
      <c r="AZ19" s="38">
        <f>AV19*100+AU19</f>
        <v>902</v>
      </c>
      <c r="BA19">
        <v>0</v>
      </c>
      <c r="BB19">
        <v>0</v>
      </c>
      <c r="BC19" t="e">
        <f>J19*BB19</f>
        <v>#VALUE!</v>
      </c>
      <c r="BD19" t="e">
        <f>M19*BA19</f>
        <v>#VALUE!</v>
      </c>
    </row>
    <row r="20" spans="2:56" x14ac:dyDescent="0.3">
      <c r="B20">
        <v>3</v>
      </c>
      <c r="C20" t="str">
        <f>VLOOKUP(AU20,$B$4:$F$13,2,FALSE)</f>
        <v>C</v>
      </c>
      <c r="D20" s="36" t="s">
        <v>5</v>
      </c>
      <c r="E20" s="86" t="str">
        <f>VLOOKUP(AV20,$B$4:$F$13,2,FALSE)</f>
        <v>H</v>
      </c>
      <c r="F20" s="86"/>
      <c r="G20" s="86"/>
      <c r="H20" s="86"/>
      <c r="J20" s="86" t="str">
        <f>IF(T20="","",VLOOKUP(T20,#REF!,3,FALSE))</f>
        <v/>
      </c>
      <c r="K20" s="86"/>
      <c r="L20" t="s">
        <v>5</v>
      </c>
      <c r="M20" s="86" t="str">
        <f>IF(T20="","",VLOOKUP(T20,#REF!,4,FALSE))</f>
        <v/>
      </c>
      <c r="N20" s="86"/>
      <c r="R20" t="str">
        <f>IF(T20="","",VLOOKUP(T20,#REF!,2,FALSE))</f>
        <v/>
      </c>
      <c r="S20" s="36"/>
      <c r="T20" s="1"/>
      <c r="AT20">
        <v>1</v>
      </c>
      <c r="AU20">
        <v>3</v>
      </c>
      <c r="AV20">
        <v>8</v>
      </c>
      <c r="AW20" t="str">
        <f t="shared" si="29"/>
        <v/>
      </c>
      <c r="AY20" s="38">
        <f>AU20*100+AV20</f>
        <v>308</v>
      </c>
      <c r="AZ20" s="38">
        <f>AV20*100+AU20</f>
        <v>803</v>
      </c>
      <c r="BA20">
        <v>0</v>
      </c>
      <c r="BB20">
        <v>0</v>
      </c>
      <c r="BC20" t="e">
        <f>J20*BB20</f>
        <v>#VALUE!</v>
      </c>
      <c r="BD20" t="e">
        <f>M20*BA20</f>
        <v>#VALUE!</v>
      </c>
    </row>
    <row r="21" spans="2:56" x14ac:dyDescent="0.3">
      <c r="B21">
        <v>4</v>
      </c>
      <c r="C21" t="str">
        <f>VLOOKUP(AU21,$B$4:$F$13,2,FALSE)</f>
        <v>D</v>
      </c>
      <c r="D21" s="36" t="s">
        <v>5</v>
      </c>
      <c r="E21" s="86" t="str">
        <f>VLOOKUP(AV21,$B$4:$F$13,2,FALSE)</f>
        <v>G</v>
      </c>
      <c r="F21" s="86"/>
      <c r="G21" s="86"/>
      <c r="H21" s="86"/>
      <c r="J21" s="86" t="str">
        <f>IF(T21="","",VLOOKUP(T21,#REF!,3,FALSE))</f>
        <v/>
      </c>
      <c r="K21" s="86"/>
      <c r="L21" t="s">
        <v>5</v>
      </c>
      <c r="M21" s="86" t="str">
        <f>IF(T21="","",VLOOKUP(T21,#REF!,4,FALSE))</f>
        <v/>
      </c>
      <c r="N21" s="86"/>
      <c r="R21" t="str">
        <f>IF(T21="","",VLOOKUP(T21,#REF!,2,FALSE))</f>
        <v/>
      </c>
      <c r="S21" s="36"/>
      <c r="T21" s="1"/>
      <c r="AT21">
        <v>1</v>
      </c>
      <c r="AU21">
        <v>4</v>
      </c>
      <c r="AV21">
        <v>7</v>
      </c>
      <c r="AW21" t="str">
        <f t="shared" si="29"/>
        <v/>
      </c>
      <c r="AY21" s="38">
        <f>AU21*100+AV21</f>
        <v>407</v>
      </c>
      <c r="AZ21" s="38">
        <f>AV21*100+AU21</f>
        <v>704</v>
      </c>
      <c r="BA21">
        <v>0</v>
      </c>
      <c r="BB21">
        <v>0</v>
      </c>
      <c r="BC21" t="e">
        <f>J21*BB21</f>
        <v>#VALUE!</v>
      </c>
      <c r="BD21" t="e">
        <f>M21*BA21</f>
        <v>#VALUE!</v>
      </c>
    </row>
    <row r="22" spans="2:56" x14ac:dyDescent="0.3">
      <c r="B22">
        <v>5</v>
      </c>
      <c r="C22" t="str">
        <f>VLOOKUP(AU22,$B$4:$F$13,2,FALSE)</f>
        <v>E</v>
      </c>
      <c r="D22" s="36" t="s">
        <v>5</v>
      </c>
      <c r="E22" s="86" t="str">
        <f>VLOOKUP(AV22,$B$4:$F$13,2,FALSE)</f>
        <v>F</v>
      </c>
      <c r="F22" s="86"/>
      <c r="G22" s="86"/>
      <c r="H22" s="86"/>
      <c r="J22" s="86" t="str">
        <f>IF(T22="","",VLOOKUP(T22,#REF!,3,FALSE))</f>
        <v/>
      </c>
      <c r="K22" s="86"/>
      <c r="L22" t="s">
        <v>5</v>
      </c>
      <c r="M22" s="86" t="str">
        <f>IF(T22="","",VLOOKUP(T22,#REF!,4,FALSE))</f>
        <v/>
      </c>
      <c r="N22" s="86"/>
      <c r="R22" t="str">
        <f>IF(T22="","",VLOOKUP(T22,#REF!,2,FALSE))</f>
        <v/>
      </c>
      <c r="S22" s="36"/>
      <c r="T22" s="1"/>
      <c r="AT22">
        <v>1</v>
      </c>
      <c r="AU22">
        <v>5</v>
      </c>
      <c r="AV22">
        <v>6</v>
      </c>
      <c r="AW22" t="str">
        <f t="shared" si="29"/>
        <v/>
      </c>
      <c r="AY22" s="38">
        <f>AU22*100+AV22</f>
        <v>506</v>
      </c>
      <c r="AZ22" s="38">
        <f>AV22*100+AU22</f>
        <v>605</v>
      </c>
      <c r="BA22">
        <v>0</v>
      </c>
      <c r="BB22">
        <v>0</v>
      </c>
      <c r="BC22" t="e">
        <f>J22*BB22</f>
        <v>#VALUE!</v>
      </c>
      <c r="BD22" t="e">
        <f>M22*BA22</f>
        <v>#VALUE!</v>
      </c>
    </row>
    <row r="23" spans="2:56" ht="3" customHeight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AW23" t="str">
        <f t="shared" si="29"/>
        <v/>
      </c>
      <c r="AY23" s="32"/>
      <c r="AZ23" s="32"/>
    </row>
    <row r="24" spans="2:56" x14ac:dyDescent="0.3">
      <c r="B24" s="35" t="s">
        <v>9</v>
      </c>
      <c r="D24" s="118" t="str">
        <f>"Van:" &amp; TEXT(Configuratie!J28,"uu.mm.ss")</f>
        <v>Van:13.22.30</v>
      </c>
      <c r="E24" s="119"/>
      <c r="F24" s="117"/>
      <c r="H24" s="118" t="str">
        <f>"Tot: "&amp; TEXT(Configuratie!K28,"uu.mm.ss")</f>
        <v>Tot: 13.40.00</v>
      </c>
      <c r="I24" s="119"/>
      <c r="J24" s="117"/>
      <c r="K24" s="117"/>
      <c r="AY24" s="32"/>
      <c r="AZ24" s="32"/>
    </row>
    <row r="25" spans="2:56" x14ac:dyDescent="0.3">
      <c r="B25">
        <v>1</v>
      </c>
      <c r="C25" t="str">
        <f>VLOOKUP(AU25,$B$4:$F$13,2,FALSE)</f>
        <v>J</v>
      </c>
      <c r="D25" s="36" t="s">
        <v>5</v>
      </c>
      <c r="E25" s="86" t="str">
        <f>VLOOKUP(AV25,$B$4:$F$13,2,FALSE)</f>
        <v>F</v>
      </c>
      <c r="F25" s="86"/>
      <c r="G25" s="86"/>
      <c r="H25" s="86"/>
      <c r="J25" s="86" t="str">
        <f>IF(T25="","",VLOOKUP(T25,#REF!,3,FALSE))</f>
        <v/>
      </c>
      <c r="K25" s="86"/>
      <c r="L25" t="s">
        <v>5</v>
      </c>
      <c r="M25" s="86" t="str">
        <f>IF(T25="","",VLOOKUP(T25,#REF!,4,FALSE))</f>
        <v/>
      </c>
      <c r="N25" s="86"/>
      <c r="R25" t="str">
        <f>IF(T25="","",VLOOKUP(T25,#REF!,2,FALSE))</f>
        <v/>
      </c>
      <c r="S25" s="36"/>
      <c r="T25" s="1"/>
      <c r="AT25">
        <v>2</v>
      </c>
      <c r="AU25">
        <v>10</v>
      </c>
      <c r="AV25">
        <v>6</v>
      </c>
      <c r="AW25" t="str">
        <f t="shared" ref="AW25:AW30" si="30">IF(AND(ISNUMBER(J25),ISNUMBER(M25)),IF(J25+M25=1,1,0),"")</f>
        <v/>
      </c>
      <c r="AY25" s="38">
        <f>AU25*100+AV25</f>
        <v>1006</v>
      </c>
      <c r="AZ25" s="38">
        <f>AV25*100+AU25</f>
        <v>610</v>
      </c>
      <c r="BA25">
        <f t="shared" ref="BA25:BB29" si="31">VLOOKUP(AU25,$BJ$3:$BS$13,$AT25,FALSE)</f>
        <v>0</v>
      </c>
      <c r="BB25">
        <f t="shared" si="31"/>
        <v>0</v>
      </c>
      <c r="BC25" t="e">
        <f>J25*BB25</f>
        <v>#VALUE!</v>
      </c>
      <c r="BD25" t="e">
        <f>M25*BA25</f>
        <v>#VALUE!</v>
      </c>
    </row>
    <row r="26" spans="2:56" x14ac:dyDescent="0.3">
      <c r="B26">
        <v>2</v>
      </c>
      <c r="C26" t="str">
        <f>VLOOKUP(AU26,$B$4:$F$13,2,FALSE)</f>
        <v>G</v>
      </c>
      <c r="D26" s="36" t="s">
        <v>5</v>
      </c>
      <c r="E26" s="86" t="str">
        <f>VLOOKUP(AV26,$B$4:$F$13,2,FALSE)</f>
        <v>E</v>
      </c>
      <c r="F26" s="86"/>
      <c r="G26" s="86"/>
      <c r="H26" s="86"/>
      <c r="J26" s="86" t="str">
        <f>IF(T26="","",VLOOKUP(T26,#REF!,3,FALSE))</f>
        <v/>
      </c>
      <c r="K26" s="86"/>
      <c r="L26" t="s">
        <v>5</v>
      </c>
      <c r="M26" s="86" t="str">
        <f>IF(T26="","",VLOOKUP(T26,#REF!,4,FALSE))</f>
        <v/>
      </c>
      <c r="N26" s="86"/>
      <c r="R26" t="str">
        <f>IF(T26="","",VLOOKUP(T26,#REF!,2,FALSE))</f>
        <v/>
      </c>
      <c r="S26" s="36"/>
      <c r="T26" s="1"/>
      <c r="AT26">
        <v>2</v>
      </c>
      <c r="AU26">
        <v>7</v>
      </c>
      <c r="AV26">
        <v>5</v>
      </c>
      <c r="AW26" t="str">
        <f t="shared" si="30"/>
        <v/>
      </c>
      <c r="AY26" s="38">
        <f>AU26*100+AV26</f>
        <v>705</v>
      </c>
      <c r="AZ26" s="38">
        <f>AV26*100+AU26</f>
        <v>507</v>
      </c>
      <c r="BA26">
        <f t="shared" si="31"/>
        <v>0</v>
      </c>
      <c r="BB26">
        <f t="shared" si="31"/>
        <v>0</v>
      </c>
      <c r="BC26" t="e">
        <f>J26*BB26</f>
        <v>#VALUE!</v>
      </c>
      <c r="BD26" t="e">
        <f>M26*BA26</f>
        <v>#VALUE!</v>
      </c>
    </row>
    <row r="27" spans="2:56" x14ac:dyDescent="0.3">
      <c r="B27">
        <v>3</v>
      </c>
      <c r="C27" t="str">
        <f>VLOOKUP(AU27,$B$4:$F$13,2,FALSE)</f>
        <v>H</v>
      </c>
      <c r="D27" s="36" t="s">
        <v>5</v>
      </c>
      <c r="E27" s="86" t="str">
        <f>VLOOKUP(AV27,$B$4:$F$13,2,FALSE)</f>
        <v>D</v>
      </c>
      <c r="F27" s="86"/>
      <c r="G27" s="86"/>
      <c r="H27" s="86"/>
      <c r="J27" s="86" t="str">
        <f>IF(T27="","",VLOOKUP(T27,#REF!,3,FALSE))</f>
        <v/>
      </c>
      <c r="K27" s="86"/>
      <c r="L27" t="s">
        <v>5</v>
      </c>
      <c r="M27" s="86" t="str">
        <f>IF(T27="","",VLOOKUP(T27,#REF!,4,FALSE))</f>
        <v/>
      </c>
      <c r="N27" s="86"/>
      <c r="R27" t="str">
        <f>IF(T27="","",VLOOKUP(T27,#REF!,2,FALSE))</f>
        <v/>
      </c>
      <c r="S27" s="36"/>
      <c r="T27" s="1"/>
      <c r="AT27">
        <v>2</v>
      </c>
      <c r="AU27">
        <v>8</v>
      </c>
      <c r="AV27">
        <v>4</v>
      </c>
      <c r="AW27" t="str">
        <f t="shared" si="30"/>
        <v/>
      </c>
      <c r="AY27" s="38">
        <f>AU27*100+AV27</f>
        <v>804</v>
      </c>
      <c r="AZ27" s="38">
        <f>AV27*100+AU27</f>
        <v>408</v>
      </c>
      <c r="BA27">
        <f t="shared" si="31"/>
        <v>0</v>
      </c>
      <c r="BB27">
        <f t="shared" si="31"/>
        <v>0</v>
      </c>
      <c r="BC27" t="e">
        <f>J27*BB27</f>
        <v>#VALUE!</v>
      </c>
      <c r="BD27" t="e">
        <f>M27*BA27</f>
        <v>#VALUE!</v>
      </c>
    </row>
    <row r="28" spans="2:56" x14ac:dyDescent="0.3">
      <c r="B28">
        <v>4</v>
      </c>
      <c r="C28" t="str">
        <f>VLOOKUP(AU28,$B$4:$F$13,2,FALSE)</f>
        <v>I</v>
      </c>
      <c r="D28" s="36" t="s">
        <v>5</v>
      </c>
      <c r="E28" s="86" t="str">
        <f>VLOOKUP(AV28,$B$4:$F$13,2,FALSE)</f>
        <v>C</v>
      </c>
      <c r="F28" s="86"/>
      <c r="G28" s="86"/>
      <c r="H28" s="86"/>
      <c r="J28" s="86" t="str">
        <f>IF(T28="","",VLOOKUP(T28,#REF!,3,FALSE))</f>
        <v/>
      </c>
      <c r="K28" s="86"/>
      <c r="L28" t="s">
        <v>5</v>
      </c>
      <c r="M28" s="86" t="str">
        <f>IF(T28="","",VLOOKUP(T28,#REF!,4,FALSE))</f>
        <v/>
      </c>
      <c r="N28" s="86"/>
      <c r="R28" t="str">
        <f>IF(T28="","",VLOOKUP(T28,#REF!,2,FALSE))</f>
        <v/>
      </c>
      <c r="S28" s="36"/>
      <c r="T28" s="1"/>
      <c r="AT28">
        <v>2</v>
      </c>
      <c r="AU28">
        <v>9</v>
      </c>
      <c r="AV28">
        <v>3</v>
      </c>
      <c r="AW28" t="str">
        <f t="shared" si="30"/>
        <v/>
      </c>
      <c r="AY28" s="38">
        <f>AU28*100+AV28</f>
        <v>903</v>
      </c>
      <c r="AZ28" s="38">
        <f>AV28*100+AU28</f>
        <v>309</v>
      </c>
      <c r="BA28">
        <f t="shared" si="31"/>
        <v>0</v>
      </c>
      <c r="BB28">
        <f t="shared" si="31"/>
        <v>0</v>
      </c>
      <c r="BC28" t="e">
        <f>J28*BB28</f>
        <v>#VALUE!</v>
      </c>
      <c r="BD28" t="e">
        <f>M28*BA28</f>
        <v>#VALUE!</v>
      </c>
    </row>
    <row r="29" spans="2:56" x14ac:dyDescent="0.3">
      <c r="B29">
        <v>5</v>
      </c>
      <c r="C29" t="str">
        <f>VLOOKUP(AU29,$B$4:$F$13,2,FALSE)</f>
        <v>A</v>
      </c>
      <c r="D29" s="36" t="s">
        <v>5</v>
      </c>
      <c r="E29" s="86" t="str">
        <f>VLOOKUP(AV29,$B$4:$F$13,2,FALSE)</f>
        <v>B</v>
      </c>
      <c r="F29" s="86"/>
      <c r="G29" s="86"/>
      <c r="H29" s="86"/>
      <c r="J29" s="86" t="str">
        <f>IF(T29="","",VLOOKUP(T29,#REF!,3,FALSE))</f>
        <v/>
      </c>
      <c r="K29" s="86"/>
      <c r="L29" t="s">
        <v>5</v>
      </c>
      <c r="M29" s="86" t="str">
        <f>IF(T29="","",VLOOKUP(T29,#REF!,4,FALSE))</f>
        <v/>
      </c>
      <c r="N29" s="86"/>
      <c r="R29" t="str">
        <f>IF(T29="","",VLOOKUP(T29,#REF!,2,FALSE))</f>
        <v/>
      </c>
      <c r="S29" s="36"/>
      <c r="T29" s="1"/>
      <c r="AT29">
        <v>2</v>
      </c>
      <c r="AU29">
        <v>1</v>
      </c>
      <c r="AV29">
        <v>2</v>
      </c>
      <c r="AW29" t="str">
        <f t="shared" si="30"/>
        <v/>
      </c>
      <c r="AY29" s="38">
        <f>AU29*100+AV29</f>
        <v>102</v>
      </c>
      <c r="AZ29" s="38">
        <f>AV29*100+AU29</f>
        <v>201</v>
      </c>
      <c r="BA29">
        <f t="shared" si="31"/>
        <v>0</v>
      </c>
      <c r="BB29">
        <f t="shared" si="31"/>
        <v>0</v>
      </c>
      <c r="BC29" t="e">
        <f>J29*BB29</f>
        <v>#VALUE!</v>
      </c>
      <c r="BD29" t="e">
        <f>M29*BA29</f>
        <v>#VALUE!</v>
      </c>
    </row>
    <row r="30" spans="2:56" ht="3" customHeight="1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AW30" t="str">
        <f t="shared" si="30"/>
        <v/>
      </c>
      <c r="AY30" s="32"/>
      <c r="AZ30" s="32"/>
    </row>
    <row r="31" spans="2:56" x14ac:dyDescent="0.3">
      <c r="B31" s="35" t="s">
        <v>10</v>
      </c>
      <c r="D31" s="118" t="str">
        <f>"Van:" &amp; TEXT(Configuratie!L28,"uu.mm.ss")</f>
        <v>Van:13.45.00</v>
      </c>
      <c r="E31" s="119"/>
      <c r="F31" s="117"/>
      <c r="H31" s="118" t="str">
        <f>"Tot: "&amp; TEXT(Configuratie!M28,"uu.mm.ss")</f>
        <v>Tot: 14.02.30</v>
      </c>
      <c r="I31" s="119"/>
      <c r="J31" s="117"/>
      <c r="K31" s="117"/>
      <c r="AY31" s="32"/>
      <c r="AZ31" s="32"/>
    </row>
    <row r="32" spans="2:56" x14ac:dyDescent="0.3">
      <c r="B32">
        <v>1</v>
      </c>
      <c r="C32" t="str">
        <f>VLOOKUP(AU32,$B$4:$F$13,2,FALSE)</f>
        <v>B</v>
      </c>
      <c r="D32" s="36" t="s">
        <v>5</v>
      </c>
      <c r="E32" s="86" t="str">
        <f>VLOOKUP(AV32,$B$4:$F$13,2,FALSE)</f>
        <v>J</v>
      </c>
      <c r="F32" s="86"/>
      <c r="G32" s="86"/>
      <c r="H32" s="86"/>
      <c r="J32" s="86" t="str">
        <f>IF(T32="","",VLOOKUP(T32,#REF!,3,FALSE))</f>
        <v/>
      </c>
      <c r="K32" s="86"/>
      <c r="L32" t="s">
        <v>5</v>
      </c>
      <c r="M32" s="86" t="str">
        <f>IF(T32="","",VLOOKUP(T32,#REF!,4,FALSE))</f>
        <v/>
      </c>
      <c r="N32" s="86"/>
      <c r="R32" t="str">
        <f>IF(T32="","",VLOOKUP(T32,#REF!,2,FALSE))</f>
        <v/>
      </c>
      <c r="S32" s="36"/>
      <c r="T32" s="1"/>
      <c r="AT32">
        <v>3</v>
      </c>
      <c r="AU32">
        <v>2</v>
      </c>
      <c r="AV32">
        <v>10</v>
      </c>
      <c r="AW32" t="str">
        <f t="shared" ref="AW32:AW37" si="32">IF(AND(ISNUMBER(J32),ISNUMBER(M32)),IF(J32+M32=1,1,0),"")</f>
        <v/>
      </c>
      <c r="AY32" s="38">
        <f>AU32*100+AV32</f>
        <v>210</v>
      </c>
      <c r="AZ32" s="38">
        <f>AV32*100+AU32</f>
        <v>1002</v>
      </c>
      <c r="BA32">
        <f t="shared" ref="BA32:BB36" si="33">VLOOKUP(AU32,$BJ$3:$BS$13,$AT32,FALSE)</f>
        <v>0</v>
      </c>
      <c r="BB32">
        <f t="shared" si="33"/>
        <v>0</v>
      </c>
      <c r="BC32" t="e">
        <f>J32*BB32</f>
        <v>#VALUE!</v>
      </c>
      <c r="BD32" t="e">
        <f>M32*BA32</f>
        <v>#VALUE!</v>
      </c>
    </row>
    <row r="33" spans="2:56" x14ac:dyDescent="0.3">
      <c r="B33">
        <v>2</v>
      </c>
      <c r="C33" t="str">
        <f>VLOOKUP(AU33,$B$4:$F$13,2,FALSE)</f>
        <v>C</v>
      </c>
      <c r="D33" s="36" t="s">
        <v>5</v>
      </c>
      <c r="E33" s="86" t="str">
        <f>VLOOKUP(AV33,$B$4:$F$13,2,FALSE)</f>
        <v>A</v>
      </c>
      <c r="F33" s="86"/>
      <c r="G33" s="86"/>
      <c r="H33" s="86"/>
      <c r="J33" s="86" t="str">
        <f>IF(T33="","",VLOOKUP(T33,#REF!,3,FALSE))</f>
        <v/>
      </c>
      <c r="K33" s="86"/>
      <c r="L33" t="s">
        <v>5</v>
      </c>
      <c r="M33" s="86" t="str">
        <f>IF(T33="","",VLOOKUP(T33,#REF!,4,FALSE))</f>
        <v/>
      </c>
      <c r="N33" s="86"/>
      <c r="R33" t="str">
        <f>IF(T33="","",VLOOKUP(T33,#REF!,2,FALSE))</f>
        <v/>
      </c>
      <c r="S33" s="36"/>
      <c r="T33" s="1"/>
      <c r="AT33">
        <v>3</v>
      </c>
      <c r="AU33">
        <v>3</v>
      </c>
      <c r="AV33">
        <v>1</v>
      </c>
      <c r="AW33" t="str">
        <f t="shared" si="32"/>
        <v/>
      </c>
      <c r="AY33" s="38">
        <f>AU33*100+AV33</f>
        <v>301</v>
      </c>
      <c r="AZ33" s="38">
        <f>AV33*100+AU33</f>
        <v>103</v>
      </c>
      <c r="BA33">
        <f t="shared" si="33"/>
        <v>0</v>
      </c>
      <c r="BB33">
        <f t="shared" si="33"/>
        <v>0</v>
      </c>
      <c r="BC33" t="e">
        <f>J33*BB33</f>
        <v>#VALUE!</v>
      </c>
      <c r="BD33" t="e">
        <f>M33*BA33</f>
        <v>#VALUE!</v>
      </c>
    </row>
    <row r="34" spans="2:56" x14ac:dyDescent="0.3">
      <c r="B34">
        <v>3</v>
      </c>
      <c r="C34" t="str">
        <f>VLOOKUP(AU34,$B$4:$F$13,2,FALSE)</f>
        <v>D</v>
      </c>
      <c r="D34" s="36" t="s">
        <v>5</v>
      </c>
      <c r="E34" s="86" t="str">
        <f>VLOOKUP(AV34,$B$4:$F$13,2,FALSE)</f>
        <v>I</v>
      </c>
      <c r="F34" s="86"/>
      <c r="G34" s="86"/>
      <c r="H34" s="86"/>
      <c r="J34" s="86" t="str">
        <f>IF(T34="","",VLOOKUP(T34,#REF!,3,FALSE))</f>
        <v/>
      </c>
      <c r="K34" s="86"/>
      <c r="L34" t="s">
        <v>5</v>
      </c>
      <c r="M34" s="86" t="str">
        <f>IF(T34="","",VLOOKUP(T34,#REF!,4,FALSE))</f>
        <v/>
      </c>
      <c r="N34" s="86"/>
      <c r="R34" t="str">
        <f>IF(T34="","",VLOOKUP(T34,#REF!,2,FALSE))</f>
        <v/>
      </c>
      <c r="S34" s="36"/>
      <c r="T34" s="1"/>
      <c r="AT34">
        <v>3</v>
      </c>
      <c r="AU34">
        <v>4</v>
      </c>
      <c r="AV34">
        <v>9</v>
      </c>
      <c r="AW34" t="str">
        <f t="shared" si="32"/>
        <v/>
      </c>
      <c r="AY34" s="38">
        <f>AU34*100+AV34</f>
        <v>409</v>
      </c>
      <c r="AZ34" s="38">
        <f>AV34*100+AU34</f>
        <v>904</v>
      </c>
      <c r="BA34">
        <f t="shared" si="33"/>
        <v>0</v>
      </c>
      <c r="BB34">
        <f t="shared" si="33"/>
        <v>0</v>
      </c>
      <c r="BC34" t="e">
        <f>J34*BB34</f>
        <v>#VALUE!</v>
      </c>
      <c r="BD34" t="e">
        <f>M34*BA34</f>
        <v>#VALUE!</v>
      </c>
    </row>
    <row r="35" spans="2:56" x14ac:dyDescent="0.3">
      <c r="B35">
        <v>4</v>
      </c>
      <c r="C35" t="str">
        <f>VLOOKUP(AU35,$B$4:$F$13,2,FALSE)</f>
        <v>E</v>
      </c>
      <c r="D35" s="36" t="s">
        <v>5</v>
      </c>
      <c r="E35" s="86" t="str">
        <f>VLOOKUP(AV35,$B$4:$F$13,2,FALSE)</f>
        <v>H</v>
      </c>
      <c r="F35" s="86"/>
      <c r="G35" s="86"/>
      <c r="H35" s="86"/>
      <c r="J35" s="86" t="str">
        <f>IF(T35="","",VLOOKUP(T35,#REF!,3,FALSE))</f>
        <v/>
      </c>
      <c r="K35" s="86"/>
      <c r="L35" t="s">
        <v>5</v>
      </c>
      <c r="M35" s="86" t="str">
        <f>IF(T35="","",VLOOKUP(T35,#REF!,4,FALSE))</f>
        <v/>
      </c>
      <c r="N35" s="86"/>
      <c r="R35" t="str">
        <f>IF(T35="","",VLOOKUP(T35,#REF!,2,FALSE))</f>
        <v/>
      </c>
      <c r="S35" s="36"/>
      <c r="T35" s="1"/>
      <c r="AT35">
        <v>3</v>
      </c>
      <c r="AU35">
        <v>5</v>
      </c>
      <c r="AV35">
        <v>8</v>
      </c>
      <c r="AW35" t="str">
        <f t="shared" si="32"/>
        <v/>
      </c>
      <c r="AY35" s="38">
        <f>AU35*100+AV35</f>
        <v>508</v>
      </c>
      <c r="AZ35" s="38">
        <f>AV35*100+AU35</f>
        <v>805</v>
      </c>
      <c r="BA35">
        <f t="shared" si="33"/>
        <v>0</v>
      </c>
      <c r="BB35">
        <f t="shared" si="33"/>
        <v>0</v>
      </c>
      <c r="BC35" t="e">
        <f>J35*BB35</f>
        <v>#VALUE!</v>
      </c>
      <c r="BD35" t="e">
        <f>M35*BA35</f>
        <v>#VALUE!</v>
      </c>
    </row>
    <row r="36" spans="2:56" x14ac:dyDescent="0.3">
      <c r="B36">
        <v>5</v>
      </c>
      <c r="C36" t="str">
        <f>VLOOKUP(AU36,$B$4:$F$13,2,FALSE)</f>
        <v>F</v>
      </c>
      <c r="D36" s="36" t="s">
        <v>5</v>
      </c>
      <c r="E36" s="86" t="str">
        <f>VLOOKUP(AV36,$B$4:$F$13,2,FALSE)</f>
        <v>G</v>
      </c>
      <c r="F36" s="86"/>
      <c r="G36" s="86"/>
      <c r="H36" s="86"/>
      <c r="J36" s="86" t="str">
        <f>IF(T36="","",VLOOKUP(T36,#REF!,3,FALSE))</f>
        <v/>
      </c>
      <c r="K36" s="86"/>
      <c r="L36" t="s">
        <v>5</v>
      </c>
      <c r="M36" s="86" t="str">
        <f>IF(T36="","",VLOOKUP(T36,#REF!,4,FALSE))</f>
        <v/>
      </c>
      <c r="N36" s="86"/>
      <c r="R36" t="str">
        <f>IF(T36="","",VLOOKUP(T36,#REF!,2,FALSE))</f>
        <v/>
      </c>
      <c r="S36" s="36"/>
      <c r="T36" s="1"/>
      <c r="AT36">
        <v>3</v>
      </c>
      <c r="AU36">
        <v>6</v>
      </c>
      <c r="AV36">
        <v>7</v>
      </c>
      <c r="AW36" t="str">
        <f t="shared" si="32"/>
        <v/>
      </c>
      <c r="AY36" s="38">
        <f>AU36*100+AV36</f>
        <v>607</v>
      </c>
      <c r="AZ36" s="38">
        <f>AV36*100+AU36</f>
        <v>706</v>
      </c>
      <c r="BA36">
        <f t="shared" si="33"/>
        <v>0</v>
      </c>
      <c r="BB36">
        <f t="shared" si="33"/>
        <v>0</v>
      </c>
      <c r="BC36" t="e">
        <f>J36*BB36</f>
        <v>#VALUE!</v>
      </c>
      <c r="BD36" t="e">
        <f>M36*BA36</f>
        <v>#VALUE!</v>
      </c>
    </row>
    <row r="37" spans="2:56" ht="3" customHeight="1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AW37" t="str">
        <f t="shared" si="32"/>
        <v/>
      </c>
      <c r="AY37" s="32"/>
      <c r="AZ37" s="32"/>
    </row>
    <row r="38" spans="2:56" x14ac:dyDescent="0.3">
      <c r="B38" s="35" t="s">
        <v>11</v>
      </c>
      <c r="D38" s="118" t="str">
        <f>"Van:" &amp; TEXT(Configuratie!N28,"uu.mm.ss")</f>
        <v>Van:14.07.30</v>
      </c>
      <c r="E38" s="119"/>
      <c r="F38" s="117"/>
      <c r="H38" s="118" t="str">
        <f>"Tot: "&amp; TEXT(Configuratie!O28,"uu.mm.ss")</f>
        <v>Tot: 14.25.00</v>
      </c>
      <c r="I38" s="119"/>
      <c r="J38" s="117"/>
      <c r="K38" s="117"/>
      <c r="AY38" s="32"/>
      <c r="AZ38" s="32"/>
    </row>
    <row r="39" spans="2:56" x14ac:dyDescent="0.3">
      <c r="B39">
        <v>1</v>
      </c>
      <c r="C39" t="str">
        <f>VLOOKUP(AU39,$B$4:$F$13,2,FALSE)</f>
        <v>J</v>
      </c>
      <c r="D39" s="36" t="s">
        <v>5</v>
      </c>
      <c r="E39" s="86" t="str">
        <f>VLOOKUP(AV39,$B$4:$F$13,2,FALSE)</f>
        <v>G</v>
      </c>
      <c r="F39" s="86"/>
      <c r="G39" s="86"/>
      <c r="H39" s="86"/>
      <c r="J39" s="86" t="str">
        <f>IF(T39="","",VLOOKUP(T39,#REF!,3,FALSE))</f>
        <v/>
      </c>
      <c r="K39" s="86"/>
      <c r="L39" t="s">
        <v>5</v>
      </c>
      <c r="M39" s="86" t="str">
        <f>IF(T39="","",VLOOKUP(T39,#REF!,4,FALSE))</f>
        <v/>
      </c>
      <c r="N39" s="86"/>
      <c r="R39" t="str">
        <f>IF(T39="","",VLOOKUP(T39,#REF!,2,FALSE))</f>
        <v/>
      </c>
      <c r="S39" s="36"/>
      <c r="T39" s="1"/>
      <c r="AT39">
        <v>4</v>
      </c>
      <c r="AU39">
        <v>10</v>
      </c>
      <c r="AV39">
        <v>7</v>
      </c>
      <c r="AW39" t="str">
        <f t="shared" ref="AW39:AW44" si="34">IF(AND(ISNUMBER(J39),ISNUMBER(M39)),IF(J39+M39=1,1,0),"")</f>
        <v/>
      </c>
      <c r="AY39" s="38">
        <f>AU39*100+AV39</f>
        <v>1007</v>
      </c>
      <c r="AZ39" s="38">
        <f>AV39*100+AU39</f>
        <v>710</v>
      </c>
      <c r="BA39">
        <f t="shared" ref="BA39:BB43" si="35">VLOOKUP(AU39,$BJ$3:$BS$13,$AT39,FALSE)</f>
        <v>0</v>
      </c>
      <c r="BB39">
        <f t="shared" si="35"/>
        <v>0</v>
      </c>
      <c r="BC39" t="e">
        <f>J39*BB39</f>
        <v>#VALUE!</v>
      </c>
      <c r="BD39" t="e">
        <f>M39*BA39</f>
        <v>#VALUE!</v>
      </c>
    </row>
    <row r="40" spans="2:56" x14ac:dyDescent="0.3">
      <c r="B40">
        <v>2</v>
      </c>
      <c r="C40" t="str">
        <f>VLOOKUP(AU40,$B$4:$F$13,2,FALSE)</f>
        <v>H</v>
      </c>
      <c r="D40" s="36" t="s">
        <v>5</v>
      </c>
      <c r="E40" s="86" t="str">
        <f>VLOOKUP(AV40,$B$4:$F$13,2,FALSE)</f>
        <v>F</v>
      </c>
      <c r="F40" s="86"/>
      <c r="G40" s="86"/>
      <c r="H40" s="86"/>
      <c r="J40" s="86" t="str">
        <f>IF(T40="","",VLOOKUP(T40,#REF!,3,FALSE))</f>
        <v/>
      </c>
      <c r="K40" s="86"/>
      <c r="L40" t="s">
        <v>5</v>
      </c>
      <c r="M40" s="86" t="str">
        <f>IF(T40="","",VLOOKUP(T40,#REF!,4,FALSE))</f>
        <v/>
      </c>
      <c r="N40" s="86"/>
      <c r="R40" t="str">
        <f>IF(T40="","",VLOOKUP(T40,#REF!,2,FALSE))</f>
        <v/>
      </c>
      <c r="S40" s="36"/>
      <c r="T40" s="1"/>
      <c r="AT40">
        <v>4</v>
      </c>
      <c r="AU40">
        <v>8</v>
      </c>
      <c r="AV40">
        <v>6</v>
      </c>
      <c r="AW40" t="str">
        <f t="shared" si="34"/>
        <v/>
      </c>
      <c r="AY40" s="38">
        <f>AU40*100+AV40</f>
        <v>806</v>
      </c>
      <c r="AZ40" s="38">
        <f>AV40*100+AU40</f>
        <v>608</v>
      </c>
      <c r="BA40">
        <f t="shared" si="35"/>
        <v>0</v>
      </c>
      <c r="BB40">
        <f t="shared" si="35"/>
        <v>0</v>
      </c>
      <c r="BC40" t="e">
        <f>J40*BB40</f>
        <v>#VALUE!</v>
      </c>
      <c r="BD40" t="e">
        <f>M40*BA40</f>
        <v>#VALUE!</v>
      </c>
    </row>
    <row r="41" spans="2:56" x14ac:dyDescent="0.3">
      <c r="B41">
        <v>3</v>
      </c>
      <c r="C41" t="str">
        <f>VLOOKUP(AU41,$B$4:$F$13,2,FALSE)</f>
        <v>I</v>
      </c>
      <c r="D41" s="36" t="s">
        <v>5</v>
      </c>
      <c r="E41" s="86" t="str">
        <f>VLOOKUP(AV41,$B$4:$F$13,2,FALSE)</f>
        <v>E</v>
      </c>
      <c r="F41" s="86"/>
      <c r="G41" s="86"/>
      <c r="H41" s="86"/>
      <c r="J41" s="86" t="str">
        <f>IF(T41="","",VLOOKUP(T41,#REF!,3,FALSE))</f>
        <v/>
      </c>
      <c r="K41" s="86"/>
      <c r="L41" t="s">
        <v>5</v>
      </c>
      <c r="M41" s="86" t="str">
        <f>IF(T41="","",VLOOKUP(T41,#REF!,4,FALSE))</f>
        <v/>
      </c>
      <c r="N41" s="86"/>
      <c r="R41" t="str">
        <f>IF(T41="","",VLOOKUP(T41,#REF!,2,FALSE))</f>
        <v/>
      </c>
      <c r="S41" s="36"/>
      <c r="T41" s="1"/>
      <c r="AT41">
        <v>4</v>
      </c>
      <c r="AU41">
        <v>9</v>
      </c>
      <c r="AV41">
        <v>5</v>
      </c>
      <c r="AW41" t="str">
        <f t="shared" si="34"/>
        <v/>
      </c>
      <c r="AY41" s="38">
        <f>AU41*100+AV41</f>
        <v>905</v>
      </c>
      <c r="AZ41" s="38">
        <f>AV41*100+AU41</f>
        <v>509</v>
      </c>
      <c r="BA41">
        <f t="shared" si="35"/>
        <v>0</v>
      </c>
      <c r="BB41">
        <f t="shared" si="35"/>
        <v>0</v>
      </c>
      <c r="BC41" t="e">
        <f>J41*BB41</f>
        <v>#VALUE!</v>
      </c>
      <c r="BD41" t="e">
        <f>M41*BA41</f>
        <v>#VALUE!</v>
      </c>
    </row>
    <row r="42" spans="2:56" x14ac:dyDescent="0.3">
      <c r="B42">
        <v>4</v>
      </c>
      <c r="C42" t="str">
        <f>VLOOKUP(AU42,$B$4:$F$13,2,FALSE)</f>
        <v>A</v>
      </c>
      <c r="D42" s="36" t="s">
        <v>5</v>
      </c>
      <c r="E42" s="86" t="str">
        <f>VLOOKUP(AV42,$B$4:$F$13,2,FALSE)</f>
        <v>D</v>
      </c>
      <c r="F42" s="86"/>
      <c r="G42" s="86"/>
      <c r="H42" s="86"/>
      <c r="J42" s="86" t="str">
        <f>IF(T42="","",VLOOKUP(T42,#REF!,3,FALSE))</f>
        <v/>
      </c>
      <c r="K42" s="86"/>
      <c r="L42" t="s">
        <v>5</v>
      </c>
      <c r="M42" s="86" t="str">
        <f>IF(T42="","",VLOOKUP(T42,#REF!,4,FALSE))</f>
        <v/>
      </c>
      <c r="N42" s="86"/>
      <c r="R42" t="str">
        <f>IF(T42="","",VLOOKUP(T42,#REF!,2,FALSE))</f>
        <v/>
      </c>
      <c r="S42" s="36"/>
      <c r="T42" s="1"/>
      <c r="AT42">
        <v>4</v>
      </c>
      <c r="AU42">
        <v>1</v>
      </c>
      <c r="AV42">
        <v>4</v>
      </c>
      <c r="AW42" t="str">
        <f t="shared" si="34"/>
        <v/>
      </c>
      <c r="AY42" s="38">
        <f>AU42*100+AV42</f>
        <v>104</v>
      </c>
      <c r="AZ42" s="38">
        <f>AV42*100+AU42</f>
        <v>401</v>
      </c>
      <c r="BA42">
        <f t="shared" si="35"/>
        <v>0</v>
      </c>
      <c r="BB42">
        <f t="shared" si="35"/>
        <v>0</v>
      </c>
      <c r="BC42" t="e">
        <f>J42*BB42</f>
        <v>#VALUE!</v>
      </c>
      <c r="BD42" t="e">
        <f>M42*BA42</f>
        <v>#VALUE!</v>
      </c>
    </row>
    <row r="43" spans="2:56" x14ac:dyDescent="0.3">
      <c r="B43">
        <v>5</v>
      </c>
      <c r="C43" t="str">
        <f>VLOOKUP(AU43,$B$4:$F$13,2,FALSE)</f>
        <v>B</v>
      </c>
      <c r="D43" s="36" t="s">
        <v>5</v>
      </c>
      <c r="E43" s="86" t="str">
        <f>VLOOKUP(AV43,$B$4:$F$13,2,FALSE)</f>
        <v>C</v>
      </c>
      <c r="F43" s="86"/>
      <c r="G43" s="86"/>
      <c r="H43" s="86"/>
      <c r="J43" s="86" t="str">
        <f>IF(T43="","",VLOOKUP(T43,#REF!,3,FALSE))</f>
        <v/>
      </c>
      <c r="K43" s="86"/>
      <c r="L43" t="s">
        <v>5</v>
      </c>
      <c r="M43" s="86" t="str">
        <f>IF(T43="","",VLOOKUP(T43,#REF!,4,FALSE))</f>
        <v/>
      </c>
      <c r="N43" s="86"/>
      <c r="R43" t="str">
        <f>IF(T43="","",VLOOKUP(T43,#REF!,2,FALSE))</f>
        <v/>
      </c>
      <c r="S43" s="36"/>
      <c r="T43" s="1"/>
      <c r="AT43">
        <v>4</v>
      </c>
      <c r="AU43">
        <v>2</v>
      </c>
      <c r="AV43">
        <v>3</v>
      </c>
      <c r="AW43" t="str">
        <f t="shared" si="34"/>
        <v/>
      </c>
      <c r="AY43" s="38">
        <f>AU43*100+AV43</f>
        <v>203</v>
      </c>
      <c r="AZ43" s="38">
        <f>AV43*100+AU43</f>
        <v>302</v>
      </c>
      <c r="BA43">
        <f t="shared" si="35"/>
        <v>0</v>
      </c>
      <c r="BB43">
        <f t="shared" si="35"/>
        <v>0</v>
      </c>
      <c r="BC43" t="e">
        <f>J43*BB43</f>
        <v>#VALUE!</v>
      </c>
      <c r="BD43" t="e">
        <f>M43*BA43</f>
        <v>#VALUE!</v>
      </c>
    </row>
    <row r="44" spans="2:56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AW44" t="str">
        <f t="shared" si="34"/>
        <v/>
      </c>
      <c r="AY44" s="32"/>
      <c r="AZ44" s="32"/>
    </row>
    <row r="45" spans="2:56" x14ac:dyDescent="0.3">
      <c r="B45" s="35" t="s">
        <v>12</v>
      </c>
      <c r="D45" s="118" t="str">
        <f>"Van:" &amp; TEXT(Configuratie!P28,"uu.mm.ss")</f>
        <v>Van:14.30.00</v>
      </c>
      <c r="E45" s="119"/>
      <c r="F45" s="117"/>
      <c r="H45" s="118" t="str">
        <f>"Tot: "&amp; TEXT(Configuratie!Q28,"uu.mm.ss")</f>
        <v>Tot: 14.47.30</v>
      </c>
      <c r="I45" s="119"/>
      <c r="J45" s="117"/>
      <c r="K45" s="117"/>
      <c r="AY45" s="32"/>
      <c r="AZ45" s="32"/>
    </row>
    <row r="46" spans="2:56" x14ac:dyDescent="0.3">
      <c r="B46">
        <v>1</v>
      </c>
      <c r="C46" t="str">
        <f>VLOOKUP(AU46,$B$4:$F$13,2,FALSE)</f>
        <v>C</v>
      </c>
      <c r="D46" s="36" t="s">
        <v>5</v>
      </c>
      <c r="E46" s="86" t="str">
        <f>VLOOKUP(AV46,$B$4:$F$13,2,FALSE)</f>
        <v>J</v>
      </c>
      <c r="F46" s="86"/>
      <c r="G46" s="86"/>
      <c r="H46" s="86"/>
      <c r="J46" s="86" t="str">
        <f>IF(T46="","",VLOOKUP(T46,#REF!,3,FALSE))</f>
        <v/>
      </c>
      <c r="K46" s="86"/>
      <c r="L46" t="s">
        <v>5</v>
      </c>
      <c r="M46" s="86" t="str">
        <f>IF(T46="","",VLOOKUP(T46,#REF!,4,FALSE))</f>
        <v/>
      </c>
      <c r="N46" s="86"/>
      <c r="R46" t="str">
        <f>IF(T46="","",VLOOKUP(T46,#REF!,2,FALSE))</f>
        <v/>
      </c>
      <c r="S46" s="36"/>
      <c r="T46" s="1"/>
      <c r="AT46">
        <v>5</v>
      </c>
      <c r="AU46">
        <v>3</v>
      </c>
      <c r="AV46">
        <v>10</v>
      </c>
      <c r="AW46" t="str">
        <f t="shared" ref="AW46:AW51" si="36">IF(AND(ISNUMBER(J46),ISNUMBER(M46)),IF(J46+M46=1,1,0),"")</f>
        <v/>
      </c>
      <c r="AY46" s="38">
        <f>AU46*100+AV46</f>
        <v>310</v>
      </c>
      <c r="AZ46" s="38">
        <f>AV46*100+AU46</f>
        <v>1003</v>
      </c>
      <c r="BA46">
        <f t="shared" ref="BA46:BB50" si="37">VLOOKUP(AU46,$BJ$3:$BS$13,$AT46,FALSE)</f>
        <v>0</v>
      </c>
      <c r="BB46">
        <f t="shared" si="37"/>
        <v>0</v>
      </c>
      <c r="BC46" t="e">
        <f>J46*BB46</f>
        <v>#VALUE!</v>
      </c>
      <c r="BD46" t="e">
        <f>M46*BA46</f>
        <v>#VALUE!</v>
      </c>
    </row>
    <row r="47" spans="2:56" x14ac:dyDescent="0.3">
      <c r="B47">
        <v>2</v>
      </c>
      <c r="C47" t="str">
        <f>VLOOKUP(AU47,$B$4:$F$13,2,FALSE)</f>
        <v>D</v>
      </c>
      <c r="D47" s="36" t="s">
        <v>5</v>
      </c>
      <c r="E47" s="86" t="str">
        <f>VLOOKUP(AV47,$B$4:$F$13,2,FALSE)</f>
        <v>B</v>
      </c>
      <c r="F47" s="86"/>
      <c r="G47" s="86"/>
      <c r="H47" s="86"/>
      <c r="J47" s="86" t="str">
        <f>IF(T47="","",VLOOKUP(T47,#REF!,3,FALSE))</f>
        <v/>
      </c>
      <c r="K47" s="86"/>
      <c r="L47" t="s">
        <v>5</v>
      </c>
      <c r="M47" s="86" t="str">
        <f>IF(T47="","",VLOOKUP(T47,#REF!,4,FALSE))</f>
        <v/>
      </c>
      <c r="N47" s="86"/>
      <c r="R47" t="str">
        <f>IF(T47="","",VLOOKUP(T47,#REF!,2,FALSE))</f>
        <v/>
      </c>
      <c r="S47" s="36"/>
      <c r="T47" s="1"/>
      <c r="AT47">
        <v>5</v>
      </c>
      <c r="AU47">
        <v>4</v>
      </c>
      <c r="AV47">
        <v>2</v>
      </c>
      <c r="AW47" t="str">
        <f t="shared" si="36"/>
        <v/>
      </c>
      <c r="AY47" s="38">
        <f>AU47*100+AV47</f>
        <v>402</v>
      </c>
      <c r="AZ47" s="38">
        <f>AV47*100+AU47</f>
        <v>204</v>
      </c>
      <c r="BA47">
        <f t="shared" si="37"/>
        <v>0</v>
      </c>
      <c r="BB47">
        <f t="shared" si="37"/>
        <v>0</v>
      </c>
      <c r="BC47" t="e">
        <f>J47*BB47</f>
        <v>#VALUE!</v>
      </c>
      <c r="BD47" t="e">
        <f>M47*BA47</f>
        <v>#VALUE!</v>
      </c>
    </row>
    <row r="48" spans="2:56" x14ac:dyDescent="0.3">
      <c r="B48">
        <v>3</v>
      </c>
      <c r="C48" t="str">
        <f>VLOOKUP(AU48,$B$4:$F$13,2,FALSE)</f>
        <v>E</v>
      </c>
      <c r="D48" s="36" t="s">
        <v>5</v>
      </c>
      <c r="E48" s="86" t="str">
        <f>VLOOKUP(AV48,$B$4:$F$13,2,FALSE)</f>
        <v>A</v>
      </c>
      <c r="F48" s="86"/>
      <c r="G48" s="86"/>
      <c r="H48" s="86"/>
      <c r="J48" s="86" t="str">
        <f>IF(T48="","",VLOOKUP(T48,#REF!,3,FALSE))</f>
        <v/>
      </c>
      <c r="K48" s="86"/>
      <c r="L48" t="s">
        <v>5</v>
      </c>
      <c r="M48" s="86" t="str">
        <f>IF(T48="","",VLOOKUP(T48,#REF!,4,FALSE))</f>
        <v/>
      </c>
      <c r="N48" s="86"/>
      <c r="R48" t="str">
        <f>IF(T48="","",VLOOKUP(T48,#REF!,2,FALSE))</f>
        <v/>
      </c>
      <c r="S48" s="36"/>
      <c r="T48" s="1"/>
      <c r="AT48">
        <v>5</v>
      </c>
      <c r="AU48">
        <v>5</v>
      </c>
      <c r="AV48">
        <v>1</v>
      </c>
      <c r="AW48" t="str">
        <f t="shared" si="36"/>
        <v/>
      </c>
      <c r="AY48" s="38">
        <f>AU48*100+AV48</f>
        <v>501</v>
      </c>
      <c r="AZ48" s="38">
        <f>AV48*100+AU48</f>
        <v>105</v>
      </c>
      <c r="BA48">
        <f t="shared" si="37"/>
        <v>0</v>
      </c>
      <c r="BB48">
        <f t="shared" si="37"/>
        <v>0</v>
      </c>
      <c r="BC48" t="e">
        <f>J48*BB48</f>
        <v>#VALUE!</v>
      </c>
      <c r="BD48" t="e">
        <f>M48*BA48</f>
        <v>#VALUE!</v>
      </c>
    </row>
    <row r="49" spans="2:56" x14ac:dyDescent="0.3">
      <c r="B49">
        <v>4</v>
      </c>
      <c r="C49" t="str">
        <f>VLOOKUP(AU49,$B$4:$F$13,2,FALSE)</f>
        <v>F</v>
      </c>
      <c r="D49" s="36" t="s">
        <v>5</v>
      </c>
      <c r="E49" s="86" t="str">
        <f>VLOOKUP(AV49,$B$4:$F$13,2,FALSE)</f>
        <v>I</v>
      </c>
      <c r="F49" s="86"/>
      <c r="G49" s="86"/>
      <c r="H49" s="86"/>
      <c r="J49" s="86" t="str">
        <f>IF(T49="","",VLOOKUP(T49,#REF!,3,FALSE))</f>
        <v/>
      </c>
      <c r="K49" s="86"/>
      <c r="L49" t="s">
        <v>5</v>
      </c>
      <c r="M49" s="86" t="str">
        <f>IF(T49="","",VLOOKUP(T49,#REF!,4,FALSE))</f>
        <v/>
      </c>
      <c r="N49" s="86"/>
      <c r="R49" t="str">
        <f>IF(T49="","",VLOOKUP(T49,#REF!,2,FALSE))</f>
        <v/>
      </c>
      <c r="S49" s="36"/>
      <c r="T49" s="1"/>
      <c r="AT49">
        <v>5</v>
      </c>
      <c r="AU49">
        <v>6</v>
      </c>
      <c r="AV49">
        <v>9</v>
      </c>
      <c r="AW49" t="str">
        <f t="shared" si="36"/>
        <v/>
      </c>
      <c r="AY49" s="38">
        <f>AU49*100+AV49</f>
        <v>609</v>
      </c>
      <c r="AZ49" s="38">
        <f>AV49*100+AU49</f>
        <v>906</v>
      </c>
      <c r="BA49">
        <f t="shared" si="37"/>
        <v>0</v>
      </c>
      <c r="BB49">
        <f t="shared" si="37"/>
        <v>0</v>
      </c>
      <c r="BC49" t="e">
        <f>J49*BB49</f>
        <v>#VALUE!</v>
      </c>
      <c r="BD49" t="e">
        <f>M49*BA49</f>
        <v>#VALUE!</v>
      </c>
    </row>
    <row r="50" spans="2:56" x14ac:dyDescent="0.3">
      <c r="B50">
        <v>5</v>
      </c>
      <c r="C50" t="str">
        <f>VLOOKUP(AU50,$B$4:$F$13,2,FALSE)</f>
        <v>G</v>
      </c>
      <c r="D50" s="36" t="s">
        <v>5</v>
      </c>
      <c r="E50" s="86" t="str">
        <f>VLOOKUP(AV50,$B$4:$F$13,2,FALSE)</f>
        <v>H</v>
      </c>
      <c r="F50" s="86"/>
      <c r="G50" s="86"/>
      <c r="H50" s="86"/>
      <c r="J50" s="86" t="str">
        <f>IF(T50="","",VLOOKUP(T50,#REF!,3,FALSE))</f>
        <v/>
      </c>
      <c r="K50" s="86"/>
      <c r="L50" t="s">
        <v>5</v>
      </c>
      <c r="M50" s="86" t="str">
        <f>IF(T50="","",VLOOKUP(T50,#REF!,4,FALSE))</f>
        <v/>
      </c>
      <c r="N50" s="86"/>
      <c r="R50" t="str">
        <f>IF(T50="","",VLOOKUP(T50,#REF!,2,FALSE))</f>
        <v/>
      </c>
      <c r="S50" s="36"/>
      <c r="T50" s="1"/>
      <c r="AT50">
        <v>5</v>
      </c>
      <c r="AU50">
        <v>7</v>
      </c>
      <c r="AV50">
        <v>8</v>
      </c>
      <c r="AW50" t="str">
        <f t="shared" si="36"/>
        <v/>
      </c>
      <c r="AY50" s="38">
        <f>AU50*100+AV50</f>
        <v>708</v>
      </c>
      <c r="AZ50" s="38">
        <f>AV50*100+AU50</f>
        <v>807</v>
      </c>
      <c r="BA50">
        <f t="shared" si="37"/>
        <v>0</v>
      </c>
      <c r="BB50">
        <f t="shared" si="37"/>
        <v>0</v>
      </c>
      <c r="BC50" t="e">
        <f>J50*BB50</f>
        <v>#VALUE!</v>
      </c>
      <c r="BD50" t="e">
        <f>M50*BA50</f>
        <v>#VALUE!</v>
      </c>
    </row>
    <row r="51" spans="2:56" ht="3" customHeight="1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AW51" t="str">
        <f t="shared" si="36"/>
        <v/>
      </c>
      <c r="AY51" s="32"/>
      <c r="AZ51" s="32"/>
    </row>
    <row r="52" spans="2:56" x14ac:dyDescent="0.3">
      <c r="B52" s="35" t="s">
        <v>13</v>
      </c>
      <c r="D52" s="118" t="str">
        <f>"Van:" &amp; TEXT(Configuratie!R28,"uu.mm.ss")</f>
        <v>Van:15.17.30</v>
      </c>
      <c r="E52" s="119"/>
      <c r="F52" s="117"/>
      <c r="H52" s="118" t="str">
        <f>"Tot: "&amp; TEXT(Configuratie!S28,"uu.mm.ss")</f>
        <v>Tot: 15.35.00</v>
      </c>
      <c r="I52" s="119"/>
      <c r="J52" s="117"/>
      <c r="K52" s="117"/>
      <c r="AY52" s="32"/>
      <c r="AZ52" s="32"/>
    </row>
    <row r="53" spans="2:56" x14ac:dyDescent="0.3">
      <c r="B53">
        <v>1</v>
      </c>
      <c r="C53" t="str">
        <f>VLOOKUP(AU53,$B$4:$F$13,2,FALSE)</f>
        <v>J</v>
      </c>
      <c r="D53" s="36" t="s">
        <v>5</v>
      </c>
      <c r="E53" s="86" t="str">
        <f>VLOOKUP(AV53,$B$4:$F$13,2,FALSE)</f>
        <v>H</v>
      </c>
      <c r="F53" s="86"/>
      <c r="G53" s="86"/>
      <c r="H53" s="86"/>
      <c r="J53" s="86" t="str">
        <f>IF(T53="","",VLOOKUP(T53,#REF!,3,FALSE))</f>
        <v/>
      </c>
      <c r="K53" s="86"/>
      <c r="L53" t="s">
        <v>5</v>
      </c>
      <c r="M53" s="86" t="str">
        <f>IF(T53="","",VLOOKUP(T53,#REF!,4,FALSE))</f>
        <v/>
      </c>
      <c r="N53" s="86"/>
      <c r="R53" t="str">
        <f>IF(T53="","",VLOOKUP(T53,#REF!,2,FALSE))</f>
        <v/>
      </c>
      <c r="S53" s="36"/>
      <c r="T53" s="1"/>
      <c r="AT53">
        <v>6</v>
      </c>
      <c r="AU53">
        <v>10</v>
      </c>
      <c r="AV53">
        <v>8</v>
      </c>
      <c r="AW53" t="str">
        <f t="shared" ref="AW53:AW58" si="38">IF(AND(ISNUMBER(J53),ISNUMBER(M53)),IF(J53+M53=1,1,0),"")</f>
        <v/>
      </c>
      <c r="AY53" s="38">
        <f>AU53*100+AV53</f>
        <v>1008</v>
      </c>
      <c r="AZ53" s="38">
        <f>AV53*100+AU53</f>
        <v>810</v>
      </c>
      <c r="BA53">
        <f t="shared" ref="BA53:BB57" si="39">VLOOKUP(AU53,$BJ$3:$BS$13,$AT53,FALSE)</f>
        <v>0</v>
      </c>
      <c r="BB53">
        <f t="shared" si="39"/>
        <v>0</v>
      </c>
      <c r="BC53" t="e">
        <f>J53*BB53</f>
        <v>#VALUE!</v>
      </c>
      <c r="BD53" t="e">
        <f>M53*BA53</f>
        <v>#VALUE!</v>
      </c>
    </row>
    <row r="54" spans="2:56" x14ac:dyDescent="0.3">
      <c r="B54">
        <v>2</v>
      </c>
      <c r="C54" t="str">
        <f>VLOOKUP(AU54,$B$4:$F$13,2,FALSE)</f>
        <v>I</v>
      </c>
      <c r="D54" s="36" t="s">
        <v>5</v>
      </c>
      <c r="E54" s="86" t="str">
        <f>VLOOKUP(AV54,$B$4:$F$13,2,FALSE)</f>
        <v>G</v>
      </c>
      <c r="F54" s="86"/>
      <c r="G54" s="86"/>
      <c r="H54" s="86"/>
      <c r="J54" s="86" t="str">
        <f>IF(T54="","",VLOOKUP(T54,#REF!,3,FALSE))</f>
        <v/>
      </c>
      <c r="K54" s="86"/>
      <c r="L54" t="s">
        <v>5</v>
      </c>
      <c r="M54" s="86" t="str">
        <f>IF(T54="","",VLOOKUP(T54,#REF!,4,FALSE))</f>
        <v/>
      </c>
      <c r="N54" s="86"/>
      <c r="R54" t="str">
        <f>IF(T54="","",VLOOKUP(T54,#REF!,2,FALSE))</f>
        <v/>
      </c>
      <c r="S54" s="36"/>
      <c r="T54" s="1"/>
      <c r="AT54">
        <v>6</v>
      </c>
      <c r="AU54">
        <v>9</v>
      </c>
      <c r="AV54">
        <v>7</v>
      </c>
      <c r="AW54" t="str">
        <f t="shared" si="38"/>
        <v/>
      </c>
      <c r="AY54" s="38">
        <f>AU54*100+AV54</f>
        <v>907</v>
      </c>
      <c r="AZ54" s="38">
        <f>AV54*100+AU54</f>
        <v>709</v>
      </c>
      <c r="BA54">
        <f t="shared" si="39"/>
        <v>0</v>
      </c>
      <c r="BB54">
        <f t="shared" si="39"/>
        <v>0</v>
      </c>
      <c r="BC54" t="e">
        <f>J54*BB54</f>
        <v>#VALUE!</v>
      </c>
      <c r="BD54" t="e">
        <f>M54*BA54</f>
        <v>#VALUE!</v>
      </c>
    </row>
    <row r="55" spans="2:56" x14ac:dyDescent="0.3">
      <c r="B55">
        <v>3</v>
      </c>
      <c r="C55" t="str">
        <f>VLOOKUP(AU55,$B$4:$F$13,2,FALSE)</f>
        <v>A</v>
      </c>
      <c r="D55" s="36" t="s">
        <v>5</v>
      </c>
      <c r="E55" s="86" t="str">
        <f>VLOOKUP(AV55,$B$4:$F$13,2,FALSE)</f>
        <v>F</v>
      </c>
      <c r="F55" s="86"/>
      <c r="G55" s="86"/>
      <c r="H55" s="86"/>
      <c r="J55" s="86" t="str">
        <f>IF(T55="","",VLOOKUP(T55,#REF!,3,FALSE))</f>
        <v/>
      </c>
      <c r="K55" s="86"/>
      <c r="L55" t="s">
        <v>5</v>
      </c>
      <c r="M55" s="86" t="str">
        <f>IF(T55="","",VLOOKUP(T55,#REF!,4,FALSE))</f>
        <v/>
      </c>
      <c r="N55" s="86"/>
      <c r="R55" t="str">
        <f>IF(T55="","",VLOOKUP(T55,#REF!,2,FALSE))</f>
        <v/>
      </c>
      <c r="S55" s="36"/>
      <c r="T55" s="1"/>
      <c r="AT55">
        <v>6</v>
      </c>
      <c r="AU55">
        <v>1</v>
      </c>
      <c r="AV55">
        <v>6</v>
      </c>
      <c r="AW55" t="str">
        <f t="shared" si="38"/>
        <v/>
      </c>
      <c r="AY55" s="38">
        <f>AU55*100+AV55</f>
        <v>106</v>
      </c>
      <c r="AZ55" s="38">
        <f>AV55*100+AU55</f>
        <v>601</v>
      </c>
      <c r="BA55">
        <f t="shared" si="39"/>
        <v>0</v>
      </c>
      <c r="BB55">
        <f t="shared" si="39"/>
        <v>0</v>
      </c>
      <c r="BC55" t="e">
        <f>J55*BB55</f>
        <v>#VALUE!</v>
      </c>
      <c r="BD55" t="e">
        <f>M55*BA55</f>
        <v>#VALUE!</v>
      </c>
    </row>
    <row r="56" spans="2:56" x14ac:dyDescent="0.3">
      <c r="B56">
        <v>4</v>
      </c>
      <c r="C56" t="str">
        <f>VLOOKUP(AU56,$B$4:$F$13,2,FALSE)</f>
        <v>B</v>
      </c>
      <c r="D56" s="36" t="s">
        <v>5</v>
      </c>
      <c r="E56" s="86" t="str">
        <f>VLOOKUP(AV56,$B$4:$F$13,2,FALSE)</f>
        <v>E</v>
      </c>
      <c r="F56" s="86"/>
      <c r="G56" s="86"/>
      <c r="H56" s="86"/>
      <c r="J56" s="86" t="str">
        <f>IF(T56="","",VLOOKUP(T56,#REF!,3,FALSE))</f>
        <v/>
      </c>
      <c r="K56" s="86"/>
      <c r="L56" t="s">
        <v>5</v>
      </c>
      <c r="M56" s="86" t="str">
        <f>IF(T56="","",VLOOKUP(T56,#REF!,4,FALSE))</f>
        <v/>
      </c>
      <c r="N56" s="86"/>
      <c r="R56" t="str">
        <f>IF(T56="","",VLOOKUP(T56,#REF!,2,FALSE))</f>
        <v/>
      </c>
      <c r="S56" s="36"/>
      <c r="T56" s="1"/>
      <c r="AT56">
        <v>6</v>
      </c>
      <c r="AU56">
        <v>2</v>
      </c>
      <c r="AV56">
        <v>5</v>
      </c>
      <c r="AW56" t="str">
        <f t="shared" si="38"/>
        <v/>
      </c>
      <c r="AY56" s="38">
        <f>AU56*100+AV56</f>
        <v>205</v>
      </c>
      <c r="AZ56" s="38">
        <f>AV56*100+AU56</f>
        <v>502</v>
      </c>
      <c r="BA56">
        <f t="shared" si="39"/>
        <v>0</v>
      </c>
      <c r="BB56">
        <f t="shared" si="39"/>
        <v>0</v>
      </c>
      <c r="BC56" t="e">
        <f>J56*BB56</f>
        <v>#VALUE!</v>
      </c>
      <c r="BD56" t="e">
        <f>M56*BA56</f>
        <v>#VALUE!</v>
      </c>
    </row>
    <row r="57" spans="2:56" x14ac:dyDescent="0.3">
      <c r="B57">
        <v>5</v>
      </c>
      <c r="C57" t="str">
        <f>VLOOKUP(AU57,$B$4:$F$13,2,FALSE)</f>
        <v>C</v>
      </c>
      <c r="D57" s="36" t="s">
        <v>5</v>
      </c>
      <c r="E57" s="86" t="str">
        <f>VLOOKUP(AV57,$B$4:$F$13,2,FALSE)</f>
        <v>D</v>
      </c>
      <c r="F57" s="86"/>
      <c r="G57" s="86"/>
      <c r="H57" s="86"/>
      <c r="J57" s="86" t="str">
        <f>IF(T57="","",VLOOKUP(T57,#REF!,3,FALSE))</f>
        <v/>
      </c>
      <c r="K57" s="86"/>
      <c r="L57" t="s">
        <v>5</v>
      </c>
      <c r="M57" s="86" t="str">
        <f>IF(T57="","",VLOOKUP(T57,#REF!,4,FALSE))</f>
        <v/>
      </c>
      <c r="N57" s="86"/>
      <c r="R57" t="str">
        <f>IF(T57="","",VLOOKUP(T57,#REF!,2,FALSE))</f>
        <v/>
      </c>
      <c r="S57" s="36"/>
      <c r="T57" s="1"/>
      <c r="AT57">
        <v>6</v>
      </c>
      <c r="AU57">
        <v>3</v>
      </c>
      <c r="AV57">
        <v>4</v>
      </c>
      <c r="AW57" t="str">
        <f t="shared" si="38"/>
        <v/>
      </c>
      <c r="AY57" s="38">
        <f>AU57*100+AV57</f>
        <v>304</v>
      </c>
      <c r="AZ57" s="38">
        <f>AV57*100+AU57</f>
        <v>403</v>
      </c>
      <c r="BA57">
        <f t="shared" si="39"/>
        <v>0</v>
      </c>
      <c r="BB57">
        <f t="shared" si="39"/>
        <v>0</v>
      </c>
      <c r="BC57" t="e">
        <f>J57*BB57</f>
        <v>#VALUE!</v>
      </c>
      <c r="BD57" t="e">
        <f>M57*BA57</f>
        <v>#VALUE!</v>
      </c>
    </row>
    <row r="58" spans="2:56" ht="3" customHeight="1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AW58" t="str">
        <f t="shared" si="38"/>
        <v/>
      </c>
      <c r="AY58" s="32"/>
      <c r="AZ58" s="32"/>
    </row>
    <row r="59" spans="2:56" x14ac:dyDescent="0.3">
      <c r="B59" s="35" t="s">
        <v>14</v>
      </c>
      <c r="D59" s="118" t="str">
        <f>"Van:" &amp; TEXT(Configuratie!T28,"uu.mm.ss")</f>
        <v>Van:15.40.00</v>
      </c>
      <c r="E59" s="119"/>
      <c r="F59" s="117"/>
      <c r="H59" s="118" t="str">
        <f>"Tot: "&amp; TEXT(Configuratie!U28,"uu.mm.ss")</f>
        <v>Tot: 15.57.30</v>
      </c>
      <c r="I59" s="119"/>
      <c r="J59" s="117"/>
      <c r="K59" s="117"/>
      <c r="AY59" s="32"/>
      <c r="AZ59" s="32"/>
    </row>
    <row r="60" spans="2:56" x14ac:dyDescent="0.3">
      <c r="B60">
        <v>1</v>
      </c>
      <c r="C60" t="str">
        <f>VLOOKUP(AU60,$B$4:$F$13,2,FALSE)</f>
        <v>D</v>
      </c>
      <c r="D60" s="36" t="s">
        <v>5</v>
      </c>
      <c r="E60" s="86" t="str">
        <f>VLOOKUP(AV60,$B$4:$F$13,2,FALSE)</f>
        <v>J</v>
      </c>
      <c r="F60" s="86"/>
      <c r="G60" s="86"/>
      <c r="H60" s="86"/>
      <c r="J60" s="86" t="str">
        <f>IF(T60="","",VLOOKUP(T60,#REF!,3,FALSE))</f>
        <v/>
      </c>
      <c r="K60" s="86"/>
      <c r="L60" t="s">
        <v>5</v>
      </c>
      <c r="M60" s="86" t="str">
        <f>IF(T60="","",VLOOKUP(T60,#REF!,4,FALSE))</f>
        <v/>
      </c>
      <c r="N60" s="86"/>
      <c r="R60" t="str">
        <f>IF(T60="","",VLOOKUP(T60,#REF!,2,FALSE))</f>
        <v/>
      </c>
      <c r="S60" s="36"/>
      <c r="T60" s="1"/>
      <c r="AT60">
        <v>7</v>
      </c>
      <c r="AU60">
        <v>4</v>
      </c>
      <c r="AV60">
        <v>10</v>
      </c>
      <c r="AW60" t="str">
        <f t="shared" ref="AW60:AW65" si="40">IF(AND(ISNUMBER(J60),ISNUMBER(M60)),IF(J60+M60=1,1,0),"")</f>
        <v/>
      </c>
      <c r="AY60" s="38">
        <f>AU60*100+AV60</f>
        <v>410</v>
      </c>
      <c r="AZ60" s="38">
        <f>AV60*100+AU60</f>
        <v>1004</v>
      </c>
      <c r="BA60">
        <f t="shared" ref="BA60:BB64" si="41">VLOOKUP(AU60,$BJ$3:$BS$13,$AT60,FALSE)</f>
        <v>0</v>
      </c>
      <c r="BB60">
        <f t="shared" si="41"/>
        <v>0</v>
      </c>
      <c r="BC60" t="e">
        <f>J60*BB60</f>
        <v>#VALUE!</v>
      </c>
      <c r="BD60" t="e">
        <f>M60*BA60</f>
        <v>#VALUE!</v>
      </c>
    </row>
    <row r="61" spans="2:56" x14ac:dyDescent="0.3">
      <c r="B61">
        <v>2</v>
      </c>
      <c r="C61" t="str">
        <f>VLOOKUP(AU61,$B$4:$F$13,2,FALSE)</f>
        <v>E</v>
      </c>
      <c r="D61" s="36" t="s">
        <v>5</v>
      </c>
      <c r="E61" s="86" t="str">
        <f>VLOOKUP(AV61,$B$4:$F$13,2,FALSE)</f>
        <v>C</v>
      </c>
      <c r="F61" s="86"/>
      <c r="G61" s="86"/>
      <c r="H61" s="86"/>
      <c r="J61" s="86" t="str">
        <f>IF(T61="","",VLOOKUP(T61,#REF!,3,FALSE))</f>
        <v/>
      </c>
      <c r="K61" s="86"/>
      <c r="L61" t="s">
        <v>5</v>
      </c>
      <c r="M61" s="86" t="str">
        <f>IF(T61="","",VLOOKUP(T61,#REF!,4,FALSE))</f>
        <v/>
      </c>
      <c r="N61" s="86"/>
      <c r="R61" t="str">
        <f>IF(T61="","",VLOOKUP(T61,#REF!,2,FALSE))</f>
        <v/>
      </c>
      <c r="S61" s="36"/>
      <c r="T61" s="1"/>
      <c r="AT61">
        <v>7</v>
      </c>
      <c r="AU61">
        <v>5</v>
      </c>
      <c r="AV61">
        <v>3</v>
      </c>
      <c r="AW61" t="str">
        <f t="shared" si="40"/>
        <v/>
      </c>
      <c r="AY61" s="38">
        <f>AU61*100+AV61</f>
        <v>503</v>
      </c>
      <c r="AZ61" s="38">
        <f>AV61*100+AU61</f>
        <v>305</v>
      </c>
      <c r="BA61">
        <f t="shared" si="41"/>
        <v>0</v>
      </c>
      <c r="BB61">
        <f t="shared" si="41"/>
        <v>0</v>
      </c>
      <c r="BC61" t="e">
        <f>J61*BB61</f>
        <v>#VALUE!</v>
      </c>
      <c r="BD61" t="e">
        <f>M61*BA61</f>
        <v>#VALUE!</v>
      </c>
    </row>
    <row r="62" spans="2:56" x14ac:dyDescent="0.3">
      <c r="B62">
        <v>3</v>
      </c>
      <c r="C62" t="str">
        <f>VLOOKUP(AU62,$B$4:$F$13,2,FALSE)</f>
        <v>F</v>
      </c>
      <c r="D62" s="36" t="s">
        <v>5</v>
      </c>
      <c r="E62" s="86" t="str">
        <f>VLOOKUP(AV62,$B$4:$F$13,2,FALSE)</f>
        <v>B</v>
      </c>
      <c r="F62" s="86"/>
      <c r="G62" s="86"/>
      <c r="H62" s="86"/>
      <c r="J62" s="86" t="str">
        <f>IF(T62="","",VLOOKUP(T62,#REF!,3,FALSE))</f>
        <v/>
      </c>
      <c r="K62" s="86"/>
      <c r="L62" t="s">
        <v>5</v>
      </c>
      <c r="M62" s="86" t="str">
        <f>IF(T62="","",VLOOKUP(T62,#REF!,4,FALSE))</f>
        <v/>
      </c>
      <c r="N62" s="86"/>
      <c r="R62" t="str">
        <f>IF(T62="","",VLOOKUP(T62,#REF!,2,FALSE))</f>
        <v/>
      </c>
      <c r="S62" s="36"/>
      <c r="T62" s="1"/>
      <c r="AT62">
        <v>7</v>
      </c>
      <c r="AU62">
        <v>6</v>
      </c>
      <c r="AV62">
        <v>2</v>
      </c>
      <c r="AW62" t="str">
        <f t="shared" si="40"/>
        <v/>
      </c>
      <c r="AY62" s="38">
        <f>AU62*100+AV62</f>
        <v>602</v>
      </c>
      <c r="AZ62" s="38">
        <f>AV62*100+AU62</f>
        <v>206</v>
      </c>
      <c r="BA62">
        <f t="shared" si="41"/>
        <v>0</v>
      </c>
      <c r="BB62">
        <f t="shared" si="41"/>
        <v>0</v>
      </c>
      <c r="BC62" t="e">
        <f>J62*BB62</f>
        <v>#VALUE!</v>
      </c>
      <c r="BD62" t="e">
        <f>M62*BA62</f>
        <v>#VALUE!</v>
      </c>
    </row>
    <row r="63" spans="2:56" x14ac:dyDescent="0.3">
      <c r="B63">
        <v>4</v>
      </c>
      <c r="C63" t="str">
        <f>VLOOKUP(AU63,$B$4:$F$13,2,FALSE)</f>
        <v>G</v>
      </c>
      <c r="D63" s="36" t="s">
        <v>5</v>
      </c>
      <c r="E63" s="86" t="str">
        <f>VLOOKUP(AV63,$B$4:$F$13,2,FALSE)</f>
        <v>A</v>
      </c>
      <c r="F63" s="86"/>
      <c r="G63" s="86"/>
      <c r="H63" s="86"/>
      <c r="J63" s="86" t="str">
        <f>IF(T63="","",VLOOKUP(T63,#REF!,3,FALSE))</f>
        <v/>
      </c>
      <c r="K63" s="86"/>
      <c r="L63" t="s">
        <v>5</v>
      </c>
      <c r="M63" s="86" t="str">
        <f>IF(T63="","",VLOOKUP(T63,#REF!,4,FALSE))</f>
        <v/>
      </c>
      <c r="N63" s="86"/>
      <c r="R63" t="str">
        <f>IF(T63="","",VLOOKUP(T63,#REF!,2,FALSE))</f>
        <v/>
      </c>
      <c r="S63" s="36"/>
      <c r="T63" s="1"/>
      <c r="AT63">
        <v>7</v>
      </c>
      <c r="AU63">
        <v>7</v>
      </c>
      <c r="AV63">
        <v>1</v>
      </c>
      <c r="AW63" t="str">
        <f t="shared" si="40"/>
        <v/>
      </c>
      <c r="AY63" s="38">
        <f>AU63*100+AV63</f>
        <v>701</v>
      </c>
      <c r="AZ63" s="38">
        <f>AV63*100+AU63</f>
        <v>107</v>
      </c>
      <c r="BA63">
        <f t="shared" si="41"/>
        <v>0</v>
      </c>
      <c r="BB63">
        <f t="shared" si="41"/>
        <v>0</v>
      </c>
      <c r="BC63" t="e">
        <f>J63*BB63</f>
        <v>#VALUE!</v>
      </c>
      <c r="BD63" t="e">
        <f>M63*BA63</f>
        <v>#VALUE!</v>
      </c>
    </row>
    <row r="64" spans="2:56" x14ac:dyDescent="0.3">
      <c r="B64">
        <v>5</v>
      </c>
      <c r="C64" t="str">
        <f>VLOOKUP(AU64,$B$4:$F$13,2,FALSE)</f>
        <v>H</v>
      </c>
      <c r="D64" s="36" t="s">
        <v>5</v>
      </c>
      <c r="E64" s="86" t="str">
        <f>VLOOKUP(AV64,$B$4:$F$13,2,FALSE)</f>
        <v>I</v>
      </c>
      <c r="F64" s="86"/>
      <c r="G64" s="86"/>
      <c r="H64" s="86"/>
      <c r="J64" s="86" t="str">
        <f>IF(T64="","",VLOOKUP(T64,#REF!,3,FALSE))</f>
        <v/>
      </c>
      <c r="K64" s="86"/>
      <c r="L64" t="s">
        <v>5</v>
      </c>
      <c r="M64" s="86" t="str">
        <f>IF(T64="","",VLOOKUP(T64,#REF!,4,FALSE))</f>
        <v/>
      </c>
      <c r="N64" s="86"/>
      <c r="R64" t="str">
        <f>IF(T64="","",VLOOKUP(T64,#REF!,2,FALSE))</f>
        <v/>
      </c>
      <c r="S64" s="36"/>
      <c r="T64" s="1"/>
      <c r="AT64">
        <v>7</v>
      </c>
      <c r="AU64">
        <v>8</v>
      </c>
      <c r="AV64">
        <v>9</v>
      </c>
      <c r="AW64" t="str">
        <f t="shared" si="40"/>
        <v/>
      </c>
      <c r="AY64" s="38">
        <f>AU64*100+AV64</f>
        <v>809</v>
      </c>
      <c r="AZ64" s="38">
        <f>AV64*100+AU64</f>
        <v>908</v>
      </c>
      <c r="BA64">
        <f t="shared" si="41"/>
        <v>0</v>
      </c>
      <c r="BB64">
        <f t="shared" si="41"/>
        <v>0</v>
      </c>
      <c r="BC64" t="e">
        <f>J64*BB64</f>
        <v>#VALUE!</v>
      </c>
      <c r="BD64" t="e">
        <f>M64*BA64</f>
        <v>#VALUE!</v>
      </c>
    </row>
    <row r="65" spans="2:56" ht="3" customHeight="1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AW65" t="str">
        <f t="shared" si="40"/>
        <v/>
      </c>
      <c r="AY65" s="32"/>
      <c r="AZ65" s="32"/>
    </row>
    <row r="66" spans="2:56" x14ac:dyDescent="0.3">
      <c r="B66" s="35" t="s">
        <v>15</v>
      </c>
      <c r="D66" s="118" t="str">
        <f>"Van:" &amp; TEXT(Configuratie!V28,"uu.mm.ss")</f>
        <v>Van:16.02.30</v>
      </c>
      <c r="E66" s="119"/>
      <c r="F66" s="117"/>
      <c r="H66" s="118" t="str">
        <f>"Tot: "&amp; TEXT(Configuratie!W28,"uu.mm.ss")</f>
        <v>Tot: 16.20.00</v>
      </c>
      <c r="I66" s="119"/>
      <c r="J66" s="117"/>
      <c r="K66" s="117"/>
      <c r="AY66" s="32"/>
      <c r="AZ66" s="32"/>
    </row>
    <row r="67" spans="2:56" x14ac:dyDescent="0.3">
      <c r="B67">
        <v>1</v>
      </c>
      <c r="C67" t="str">
        <f>VLOOKUP(AU67,$B$4:$F$13,2,FALSE)</f>
        <v>J</v>
      </c>
      <c r="D67" s="36" t="s">
        <v>5</v>
      </c>
      <c r="E67" s="86" t="str">
        <f>VLOOKUP(AV67,$B$4:$F$13,2,FALSE)</f>
        <v>I</v>
      </c>
      <c r="F67" s="86"/>
      <c r="G67" s="86"/>
      <c r="H67" s="86"/>
      <c r="J67" s="86" t="str">
        <f>IF(T67="","",VLOOKUP(T67,#REF!,3,FALSE))</f>
        <v/>
      </c>
      <c r="K67" s="86"/>
      <c r="L67" t="s">
        <v>5</v>
      </c>
      <c r="M67" s="86" t="str">
        <f>IF(T67="","",VLOOKUP(T67,#REF!,4,FALSE))</f>
        <v/>
      </c>
      <c r="N67" s="86"/>
      <c r="R67" t="str">
        <f>IF(T67="","",VLOOKUP(T67,#REF!,2,FALSE))</f>
        <v/>
      </c>
      <c r="S67" s="36"/>
      <c r="T67" s="1"/>
      <c r="AT67">
        <v>8</v>
      </c>
      <c r="AU67">
        <v>10</v>
      </c>
      <c r="AV67">
        <v>9</v>
      </c>
      <c r="AW67" t="str">
        <f t="shared" ref="AW67:AW72" si="42">IF(AND(ISNUMBER(J67),ISNUMBER(M67)),IF(J67+M67=1,1,0),"")</f>
        <v/>
      </c>
      <c r="AY67" s="38">
        <f>AU67*100+AV67</f>
        <v>1009</v>
      </c>
      <c r="AZ67" s="38">
        <f>AV67*100+AU67</f>
        <v>910</v>
      </c>
      <c r="BA67">
        <f t="shared" ref="BA67:BB71" si="43">VLOOKUP(AU67,$BJ$3:$BS$13,$AT67,FALSE)</f>
        <v>0</v>
      </c>
      <c r="BB67">
        <f t="shared" si="43"/>
        <v>0</v>
      </c>
      <c r="BC67" t="e">
        <f>J67*BB67</f>
        <v>#VALUE!</v>
      </c>
      <c r="BD67" t="e">
        <f>M67*BA67</f>
        <v>#VALUE!</v>
      </c>
    </row>
    <row r="68" spans="2:56" x14ac:dyDescent="0.3">
      <c r="B68">
        <v>2</v>
      </c>
      <c r="C68" t="str">
        <f>VLOOKUP(AU68,$B$4:$F$13,2,FALSE)</f>
        <v>A</v>
      </c>
      <c r="D68" s="36" t="s">
        <v>5</v>
      </c>
      <c r="E68" s="86" t="str">
        <f>VLOOKUP(AV68,$B$4:$F$13,2,FALSE)</f>
        <v>H</v>
      </c>
      <c r="F68" s="86"/>
      <c r="G68" s="86"/>
      <c r="H68" s="86"/>
      <c r="J68" s="86" t="str">
        <f>IF(T68="","",VLOOKUP(T68,#REF!,3,FALSE))</f>
        <v/>
      </c>
      <c r="K68" s="86"/>
      <c r="L68" t="s">
        <v>5</v>
      </c>
      <c r="M68" s="86" t="str">
        <f>IF(T68="","",VLOOKUP(T68,#REF!,4,FALSE))</f>
        <v/>
      </c>
      <c r="N68" s="86"/>
      <c r="R68" t="str">
        <f>IF(T68="","",VLOOKUP(T68,#REF!,2,FALSE))</f>
        <v/>
      </c>
      <c r="S68" s="36"/>
      <c r="T68" s="1"/>
      <c r="AT68">
        <v>8</v>
      </c>
      <c r="AU68">
        <v>1</v>
      </c>
      <c r="AV68">
        <v>8</v>
      </c>
      <c r="AW68" t="str">
        <f t="shared" si="42"/>
        <v/>
      </c>
      <c r="AY68" s="38">
        <f>AU68*100+AV68</f>
        <v>108</v>
      </c>
      <c r="AZ68" s="38">
        <f>AV68*100+AU68</f>
        <v>801</v>
      </c>
      <c r="BA68">
        <f t="shared" si="43"/>
        <v>0</v>
      </c>
      <c r="BB68">
        <f t="shared" si="43"/>
        <v>0</v>
      </c>
      <c r="BC68" t="e">
        <f>J68*BB68</f>
        <v>#VALUE!</v>
      </c>
      <c r="BD68" t="e">
        <f>M68*BA68</f>
        <v>#VALUE!</v>
      </c>
    </row>
    <row r="69" spans="2:56" x14ac:dyDescent="0.3">
      <c r="B69">
        <v>3</v>
      </c>
      <c r="C69" t="str">
        <f>VLOOKUP(AU69,$B$4:$F$13,2,FALSE)</f>
        <v>B</v>
      </c>
      <c r="D69" s="36" t="s">
        <v>5</v>
      </c>
      <c r="E69" s="86" t="str">
        <f>VLOOKUP(AV69,$B$4:$F$13,2,FALSE)</f>
        <v>G</v>
      </c>
      <c r="F69" s="86"/>
      <c r="G69" s="86"/>
      <c r="H69" s="86"/>
      <c r="J69" s="86" t="str">
        <f>IF(T69="","",VLOOKUP(T69,#REF!,3,FALSE))</f>
        <v/>
      </c>
      <c r="K69" s="86"/>
      <c r="L69" t="s">
        <v>5</v>
      </c>
      <c r="M69" s="86" t="str">
        <f>IF(T69="","",VLOOKUP(T69,#REF!,4,FALSE))</f>
        <v/>
      </c>
      <c r="N69" s="86"/>
      <c r="R69" t="str">
        <f>IF(T69="","",VLOOKUP(T69,#REF!,2,FALSE))</f>
        <v/>
      </c>
      <c r="S69" s="36"/>
      <c r="T69" s="1"/>
      <c r="AT69">
        <v>8</v>
      </c>
      <c r="AU69">
        <v>2</v>
      </c>
      <c r="AV69">
        <v>7</v>
      </c>
      <c r="AW69" t="str">
        <f t="shared" si="42"/>
        <v/>
      </c>
      <c r="AY69" s="38">
        <f>AU69*100+AV69</f>
        <v>207</v>
      </c>
      <c r="AZ69" s="38">
        <f>AV69*100+AU69</f>
        <v>702</v>
      </c>
      <c r="BA69">
        <f t="shared" si="43"/>
        <v>0</v>
      </c>
      <c r="BB69">
        <f t="shared" si="43"/>
        <v>0</v>
      </c>
      <c r="BC69" t="e">
        <f>J69*BB69</f>
        <v>#VALUE!</v>
      </c>
      <c r="BD69" t="e">
        <f>M69*BA69</f>
        <v>#VALUE!</v>
      </c>
    </row>
    <row r="70" spans="2:56" x14ac:dyDescent="0.3">
      <c r="B70">
        <v>4</v>
      </c>
      <c r="C70" t="str">
        <f>VLOOKUP(AU70,$B$4:$F$13,2,FALSE)</f>
        <v>C</v>
      </c>
      <c r="D70" s="36" t="s">
        <v>5</v>
      </c>
      <c r="E70" s="86" t="str">
        <f>VLOOKUP(AV70,$B$4:$F$13,2,FALSE)</f>
        <v>F</v>
      </c>
      <c r="F70" s="86"/>
      <c r="G70" s="86"/>
      <c r="H70" s="86"/>
      <c r="J70" s="86" t="str">
        <f>IF(T70="","",VLOOKUP(T70,#REF!,3,FALSE))</f>
        <v/>
      </c>
      <c r="K70" s="86"/>
      <c r="L70" t="s">
        <v>5</v>
      </c>
      <c r="M70" s="86" t="str">
        <f>IF(T70="","",VLOOKUP(T70,#REF!,4,FALSE))</f>
        <v/>
      </c>
      <c r="N70" s="86"/>
      <c r="R70" t="str">
        <f>IF(T70="","",VLOOKUP(T70,#REF!,2,FALSE))</f>
        <v/>
      </c>
      <c r="S70" s="36"/>
      <c r="T70" s="1"/>
      <c r="AT70">
        <v>8</v>
      </c>
      <c r="AU70">
        <v>3</v>
      </c>
      <c r="AV70">
        <v>6</v>
      </c>
      <c r="AW70" t="str">
        <f t="shared" si="42"/>
        <v/>
      </c>
      <c r="AY70" s="38">
        <f>AU70*100+AV70</f>
        <v>306</v>
      </c>
      <c r="AZ70" s="38">
        <f>AV70*100+AU70</f>
        <v>603</v>
      </c>
      <c r="BA70">
        <f t="shared" si="43"/>
        <v>0</v>
      </c>
      <c r="BB70">
        <f t="shared" si="43"/>
        <v>0</v>
      </c>
      <c r="BC70" t="e">
        <f>J70*BB70</f>
        <v>#VALUE!</v>
      </c>
      <c r="BD70" t="e">
        <f>M70*BA70</f>
        <v>#VALUE!</v>
      </c>
    </row>
    <row r="71" spans="2:56" x14ac:dyDescent="0.3">
      <c r="B71">
        <v>5</v>
      </c>
      <c r="C71" t="str">
        <f>VLOOKUP(AU71,$B$4:$F$13,2,FALSE)</f>
        <v>D</v>
      </c>
      <c r="D71" s="36" t="s">
        <v>5</v>
      </c>
      <c r="E71" s="86" t="str">
        <f>VLOOKUP(AV71,$B$4:$F$13,2,FALSE)</f>
        <v>E</v>
      </c>
      <c r="F71" s="86"/>
      <c r="G71" s="86"/>
      <c r="H71" s="86"/>
      <c r="J71" s="86" t="str">
        <f>IF(T71="","",VLOOKUP(T71,#REF!,3,FALSE))</f>
        <v/>
      </c>
      <c r="K71" s="86"/>
      <c r="L71" t="s">
        <v>5</v>
      </c>
      <c r="M71" s="86" t="str">
        <f>IF(T71="","",VLOOKUP(T71,#REF!,4,FALSE))</f>
        <v/>
      </c>
      <c r="N71" s="86"/>
      <c r="R71" t="str">
        <f>IF(T71="","",VLOOKUP(T71,#REF!,2,FALSE))</f>
        <v/>
      </c>
      <c r="S71" s="36"/>
      <c r="T71" s="1"/>
      <c r="AT71">
        <v>8</v>
      </c>
      <c r="AU71">
        <v>4</v>
      </c>
      <c r="AV71">
        <v>5</v>
      </c>
      <c r="AW71" t="str">
        <f t="shared" si="42"/>
        <v/>
      </c>
      <c r="AY71" s="38">
        <f>AU71*100+AV71</f>
        <v>405</v>
      </c>
      <c r="AZ71" s="38">
        <f>AV71*100+AU71</f>
        <v>504</v>
      </c>
      <c r="BA71">
        <f t="shared" si="43"/>
        <v>0</v>
      </c>
      <c r="BB71">
        <f t="shared" si="43"/>
        <v>0</v>
      </c>
      <c r="BC71" t="e">
        <f>J71*BB71</f>
        <v>#VALUE!</v>
      </c>
      <c r="BD71" t="e">
        <f>M71*BA71</f>
        <v>#VALUE!</v>
      </c>
    </row>
    <row r="72" spans="2:56" ht="3" customHeight="1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AW72" t="str">
        <f t="shared" si="42"/>
        <v/>
      </c>
      <c r="AY72" s="32"/>
      <c r="AZ72" s="32"/>
    </row>
    <row r="73" spans="2:56" x14ac:dyDescent="0.3">
      <c r="B73" s="35" t="s">
        <v>16</v>
      </c>
      <c r="D73" s="118" t="str">
        <f>"Van:" &amp; TEXT(Configuratie!X28,"uu.mm.ss")</f>
        <v>Van:16.25.00</v>
      </c>
      <c r="E73" s="119"/>
      <c r="F73" s="117"/>
      <c r="H73" s="118" t="str">
        <f>"Tot: "&amp; TEXT(Configuratie!Y28,"uu.mm.ss")</f>
        <v>Tot: 16.42.30</v>
      </c>
      <c r="I73" s="119"/>
      <c r="J73" s="117"/>
      <c r="K73" s="117"/>
      <c r="AY73" s="32"/>
      <c r="AZ73" s="32"/>
    </row>
    <row r="74" spans="2:56" x14ac:dyDescent="0.3">
      <c r="B74">
        <v>1</v>
      </c>
      <c r="C74" t="str">
        <f>VLOOKUP(AU74,$B$4:$F$13,2,FALSE)</f>
        <v>E</v>
      </c>
      <c r="D74" s="36" t="s">
        <v>5</v>
      </c>
      <c r="E74" s="86" t="str">
        <f>VLOOKUP(AV74,$B$4:$F$13,2,FALSE)</f>
        <v>J</v>
      </c>
      <c r="F74" s="86"/>
      <c r="G74" s="86"/>
      <c r="H74" s="86"/>
      <c r="J74" s="86" t="str">
        <f>IF(T74="","",VLOOKUP(T74,#REF!,3,FALSE))</f>
        <v/>
      </c>
      <c r="K74" s="86"/>
      <c r="L74" t="s">
        <v>5</v>
      </c>
      <c r="M74" s="86" t="str">
        <f>IF(T74="","",VLOOKUP(T74,#REF!,4,FALSE))</f>
        <v/>
      </c>
      <c r="N74" s="86"/>
      <c r="R74" t="str">
        <f>IF(T74="","",VLOOKUP(T74,#REF!,2,FALSE))</f>
        <v/>
      </c>
      <c r="S74" s="36"/>
      <c r="T74" s="1"/>
      <c r="AT74">
        <v>9</v>
      </c>
      <c r="AU74">
        <v>5</v>
      </c>
      <c r="AV74">
        <v>10</v>
      </c>
      <c r="AW74" t="str">
        <f t="shared" ref="AW74:AW79" si="44">IF(AND(ISNUMBER(J74),ISNUMBER(M74)),IF(J74+M74=1,1,0),"")</f>
        <v/>
      </c>
      <c r="AY74" s="38">
        <f>AU74*100+AV74</f>
        <v>510</v>
      </c>
      <c r="AZ74" s="38">
        <f>AV74*100+AU74</f>
        <v>1005</v>
      </c>
      <c r="BA74">
        <f t="shared" ref="BA74:BB78" si="45">VLOOKUP(AU74,$BJ$3:$BS$13,$AT74,FALSE)</f>
        <v>0</v>
      </c>
      <c r="BB74">
        <f t="shared" si="45"/>
        <v>0</v>
      </c>
      <c r="BC74" t="e">
        <f>J74*BB74</f>
        <v>#VALUE!</v>
      </c>
      <c r="BD74" t="e">
        <f>M74*BA74</f>
        <v>#VALUE!</v>
      </c>
    </row>
    <row r="75" spans="2:56" x14ac:dyDescent="0.3">
      <c r="B75">
        <v>2</v>
      </c>
      <c r="C75" t="str">
        <f>VLOOKUP(AU75,$B$4:$F$13,2,FALSE)</f>
        <v>F</v>
      </c>
      <c r="D75" s="36" t="s">
        <v>5</v>
      </c>
      <c r="E75" s="86" t="str">
        <f>VLOOKUP(AV75,$B$4:$F$13,2,FALSE)</f>
        <v>D</v>
      </c>
      <c r="F75" s="86"/>
      <c r="G75" s="86"/>
      <c r="H75" s="86"/>
      <c r="J75" s="86" t="str">
        <f>IF(T75="","",VLOOKUP(T75,#REF!,3,FALSE))</f>
        <v/>
      </c>
      <c r="K75" s="86"/>
      <c r="L75" t="s">
        <v>5</v>
      </c>
      <c r="M75" s="86" t="str">
        <f>IF(T75="","",VLOOKUP(T75,#REF!,4,FALSE))</f>
        <v/>
      </c>
      <c r="N75" s="86"/>
      <c r="R75" t="str">
        <f>IF(T75="","",VLOOKUP(T75,#REF!,2,FALSE))</f>
        <v/>
      </c>
      <c r="S75" s="36"/>
      <c r="T75" s="1"/>
      <c r="AT75">
        <v>9</v>
      </c>
      <c r="AU75">
        <v>6</v>
      </c>
      <c r="AV75">
        <v>4</v>
      </c>
      <c r="AW75" t="str">
        <f t="shared" si="44"/>
        <v/>
      </c>
      <c r="AY75" s="38">
        <f>AU75*100+AV75</f>
        <v>604</v>
      </c>
      <c r="AZ75" s="38">
        <f>AV75*100+AU75</f>
        <v>406</v>
      </c>
      <c r="BA75">
        <f t="shared" si="45"/>
        <v>0</v>
      </c>
      <c r="BB75">
        <f t="shared" si="45"/>
        <v>0</v>
      </c>
      <c r="BC75" t="e">
        <f>J75*BB75</f>
        <v>#VALUE!</v>
      </c>
      <c r="BD75" t="e">
        <f>M75*BA75</f>
        <v>#VALUE!</v>
      </c>
    </row>
    <row r="76" spans="2:56" x14ac:dyDescent="0.3">
      <c r="B76">
        <v>3</v>
      </c>
      <c r="C76" t="str">
        <f>VLOOKUP(AU76,$B$4:$F$13,2,FALSE)</f>
        <v>G</v>
      </c>
      <c r="D76" s="36" t="s">
        <v>5</v>
      </c>
      <c r="E76" s="86" t="str">
        <f>VLOOKUP(AV76,$B$4:$F$13,2,FALSE)</f>
        <v>C</v>
      </c>
      <c r="F76" s="86"/>
      <c r="G76" s="86"/>
      <c r="H76" s="86"/>
      <c r="J76" s="86" t="str">
        <f>IF(T76="","",VLOOKUP(T76,#REF!,3,FALSE))</f>
        <v/>
      </c>
      <c r="K76" s="86"/>
      <c r="L76" t="s">
        <v>5</v>
      </c>
      <c r="M76" s="86" t="str">
        <f>IF(T76="","",VLOOKUP(T76,#REF!,4,FALSE))</f>
        <v/>
      </c>
      <c r="N76" s="86"/>
      <c r="R76" t="str">
        <f>IF(T76="","",VLOOKUP(T76,#REF!,2,FALSE))</f>
        <v/>
      </c>
      <c r="S76" s="36"/>
      <c r="T76" s="1"/>
      <c r="AT76">
        <v>9</v>
      </c>
      <c r="AU76">
        <v>7</v>
      </c>
      <c r="AV76">
        <v>3</v>
      </c>
      <c r="AW76" t="str">
        <f t="shared" si="44"/>
        <v/>
      </c>
      <c r="AY76" s="38">
        <f>AU76*100+AV76</f>
        <v>703</v>
      </c>
      <c r="AZ76" s="38">
        <f>AV76*100+AU76</f>
        <v>307</v>
      </c>
      <c r="BA76">
        <f t="shared" si="45"/>
        <v>0</v>
      </c>
      <c r="BB76">
        <f t="shared" si="45"/>
        <v>0</v>
      </c>
      <c r="BC76" t="e">
        <f>J76*BB76</f>
        <v>#VALUE!</v>
      </c>
      <c r="BD76" t="e">
        <f>M76*BA76</f>
        <v>#VALUE!</v>
      </c>
    </row>
    <row r="77" spans="2:56" x14ac:dyDescent="0.3">
      <c r="B77">
        <v>4</v>
      </c>
      <c r="C77" t="str">
        <f>VLOOKUP(AU77,$B$4:$F$13,2,FALSE)</f>
        <v>H</v>
      </c>
      <c r="D77" s="36" t="s">
        <v>5</v>
      </c>
      <c r="E77" s="86" t="str">
        <f>VLOOKUP(AV77,$B$4:$F$13,2,FALSE)</f>
        <v>B</v>
      </c>
      <c r="F77" s="86"/>
      <c r="G77" s="86"/>
      <c r="H77" s="86"/>
      <c r="J77" s="86" t="str">
        <f>IF(T77="","",VLOOKUP(T77,#REF!,3,FALSE))</f>
        <v/>
      </c>
      <c r="K77" s="86"/>
      <c r="L77" t="s">
        <v>5</v>
      </c>
      <c r="M77" s="86" t="str">
        <f>IF(T77="","",VLOOKUP(T77,#REF!,4,FALSE))</f>
        <v/>
      </c>
      <c r="N77" s="86"/>
      <c r="R77" t="str">
        <f>IF(T77="","",VLOOKUP(T77,#REF!,2,FALSE))</f>
        <v/>
      </c>
      <c r="S77" s="36"/>
      <c r="T77" s="1"/>
      <c r="AT77">
        <v>9</v>
      </c>
      <c r="AU77">
        <v>8</v>
      </c>
      <c r="AV77">
        <v>2</v>
      </c>
      <c r="AW77" t="str">
        <f t="shared" si="44"/>
        <v/>
      </c>
      <c r="AY77" s="38">
        <f>AU77*100+AV77</f>
        <v>802</v>
      </c>
      <c r="AZ77" s="38">
        <f>AV77*100+AU77</f>
        <v>208</v>
      </c>
      <c r="BA77">
        <f t="shared" si="45"/>
        <v>0</v>
      </c>
      <c r="BB77">
        <f t="shared" si="45"/>
        <v>0</v>
      </c>
      <c r="BC77" t="e">
        <f>J77*BB77</f>
        <v>#VALUE!</v>
      </c>
      <c r="BD77" t="e">
        <f>M77*BA77</f>
        <v>#VALUE!</v>
      </c>
    </row>
    <row r="78" spans="2:56" x14ac:dyDescent="0.3">
      <c r="B78">
        <v>5</v>
      </c>
      <c r="C78" t="str">
        <f>VLOOKUP(AU78,$B$4:$F$13,2,FALSE)</f>
        <v>I</v>
      </c>
      <c r="D78" s="36" t="s">
        <v>5</v>
      </c>
      <c r="E78" s="86" t="str">
        <f>VLOOKUP(AV78,$B$4:$F$13,2,FALSE)</f>
        <v>A</v>
      </c>
      <c r="F78" s="86"/>
      <c r="G78" s="86"/>
      <c r="H78" s="86"/>
      <c r="J78" s="86" t="str">
        <f>IF(T78="","",VLOOKUP(T78,#REF!,3,FALSE))</f>
        <v/>
      </c>
      <c r="K78" s="86"/>
      <c r="L78" t="s">
        <v>5</v>
      </c>
      <c r="M78" s="86" t="str">
        <f>IF(T78="","",VLOOKUP(T78,#REF!,4,FALSE))</f>
        <v/>
      </c>
      <c r="N78" s="86"/>
      <c r="R78" t="str">
        <f>IF(T78="","",VLOOKUP(T78,#REF!,2,FALSE))</f>
        <v/>
      </c>
      <c r="S78" s="36"/>
      <c r="T78" s="1"/>
      <c r="AT78">
        <v>9</v>
      </c>
      <c r="AU78">
        <v>9</v>
      </c>
      <c r="AV78">
        <v>1</v>
      </c>
      <c r="AW78" t="str">
        <f t="shared" si="44"/>
        <v/>
      </c>
      <c r="AY78" s="38">
        <f>AU78*100+AV78</f>
        <v>901</v>
      </c>
      <c r="AZ78" s="38">
        <f>AV78*100+AU78</f>
        <v>109</v>
      </c>
      <c r="BA78">
        <f t="shared" si="45"/>
        <v>0</v>
      </c>
      <c r="BB78">
        <f t="shared" si="45"/>
        <v>0</v>
      </c>
      <c r="BC78" t="e">
        <f>J78*BB78</f>
        <v>#VALUE!</v>
      </c>
      <c r="BD78" t="e">
        <f>M78*BA78</f>
        <v>#VALUE!</v>
      </c>
    </row>
    <row r="79" spans="2:56" x14ac:dyDescent="0.3">
      <c r="AW79" t="str">
        <f t="shared" si="44"/>
        <v/>
      </c>
    </row>
    <row r="80" spans="2:56" ht="25.8" x14ac:dyDescent="0.5">
      <c r="D80" s="89" t="str">
        <f>"UITSLAG " &amp; G1</f>
        <v>UITSLAG GROEP A</v>
      </c>
      <c r="E80" s="90"/>
      <c r="F80" s="90"/>
      <c r="G80" s="90"/>
      <c r="H80" s="90"/>
      <c r="I80" s="90"/>
    </row>
    <row r="82" spans="4:9" x14ac:dyDescent="0.3">
      <c r="D82" s="2" t="s">
        <v>33</v>
      </c>
      <c r="E82" s="15" t="s">
        <v>30</v>
      </c>
      <c r="F82" s="2" t="s">
        <v>6</v>
      </c>
      <c r="G82" s="2" t="s">
        <v>29</v>
      </c>
      <c r="H82" s="2" t="s">
        <v>24</v>
      </c>
      <c r="I82" s="2" t="s">
        <v>26</v>
      </c>
    </row>
    <row r="83" spans="4:9" x14ac:dyDescent="0.3">
      <c r="D83" s="24">
        <v>1</v>
      </c>
      <c r="E83" s="25">
        <v>10</v>
      </c>
      <c r="F83" s="26" t="str">
        <f t="shared" ref="F83:F92" si="46">IF(ISNA(VLOOKUP(D83,$A$4:$S$13,3,FALSE)),C4,VLOOKUP(D83,$A$4:$S$13,3,FALSE))</f>
        <v>A</v>
      </c>
      <c r="G83" s="27">
        <f t="shared" ref="G83:G92" si="47">IF(ISNA(VLOOKUP(B4,$A$4:$S$13,18,FALSE)),0,VLOOKUP(B4,$A$4:$S$13,18,FALSE))</f>
        <v>0</v>
      </c>
      <c r="H83" s="27">
        <f t="shared" ref="H83:H92" si="48">VLOOKUP($E83,$AT$4:$AW$13,2,FALSE)</f>
        <v>0</v>
      </c>
      <c r="I83" s="45">
        <f t="shared" ref="I83:I92" si="49">IF(ISNA(VLOOKUP(B4,$A$4:$S$13,19,FALSE)),0,VLOOKUP(B4,$A$4:$S$13,19,FALSE))</f>
        <v>0</v>
      </c>
    </row>
    <row r="84" spans="4:9" x14ac:dyDescent="0.3">
      <c r="D84" s="24">
        <v>2</v>
      </c>
      <c r="E84" s="25">
        <v>9</v>
      </c>
      <c r="F84" s="26" t="str">
        <f t="shared" si="46"/>
        <v>B</v>
      </c>
      <c r="G84" s="27">
        <f t="shared" si="47"/>
        <v>0</v>
      </c>
      <c r="H84" s="27">
        <f t="shared" si="48"/>
        <v>0</v>
      </c>
      <c r="I84" s="45">
        <f t="shared" si="49"/>
        <v>0</v>
      </c>
    </row>
    <row r="85" spans="4:9" x14ac:dyDescent="0.3">
      <c r="D85" s="24">
        <v>3</v>
      </c>
      <c r="E85" s="25">
        <v>8</v>
      </c>
      <c r="F85" s="26" t="str">
        <f t="shared" si="46"/>
        <v>C</v>
      </c>
      <c r="G85" s="27">
        <f t="shared" si="47"/>
        <v>0</v>
      </c>
      <c r="H85" s="27">
        <f t="shared" si="48"/>
        <v>0</v>
      </c>
      <c r="I85" s="45">
        <f t="shared" si="49"/>
        <v>0</v>
      </c>
    </row>
    <row r="86" spans="4:9" x14ac:dyDescent="0.3">
      <c r="D86" s="24">
        <v>4</v>
      </c>
      <c r="E86" s="25">
        <v>7</v>
      </c>
      <c r="F86" s="26" t="str">
        <f t="shared" si="46"/>
        <v>D</v>
      </c>
      <c r="G86" s="27">
        <f t="shared" si="47"/>
        <v>0</v>
      </c>
      <c r="H86" s="27">
        <f t="shared" si="48"/>
        <v>0</v>
      </c>
      <c r="I86" s="45">
        <f t="shared" si="49"/>
        <v>0</v>
      </c>
    </row>
    <row r="87" spans="4:9" x14ac:dyDescent="0.3">
      <c r="D87" s="24">
        <v>5</v>
      </c>
      <c r="E87" s="25">
        <v>6</v>
      </c>
      <c r="F87" s="26" t="str">
        <f t="shared" si="46"/>
        <v>E</v>
      </c>
      <c r="G87" s="27">
        <f t="shared" si="47"/>
        <v>0</v>
      </c>
      <c r="H87" s="27">
        <f t="shared" si="48"/>
        <v>0</v>
      </c>
      <c r="I87" s="45">
        <f t="shared" si="49"/>
        <v>0</v>
      </c>
    </row>
    <row r="88" spans="4:9" x14ac:dyDescent="0.3">
      <c r="D88" s="24">
        <v>6</v>
      </c>
      <c r="E88" s="25">
        <v>5</v>
      </c>
      <c r="F88" s="26" t="str">
        <f t="shared" si="46"/>
        <v>F</v>
      </c>
      <c r="G88" s="27">
        <f t="shared" si="47"/>
        <v>0</v>
      </c>
      <c r="H88" s="27">
        <f t="shared" si="48"/>
        <v>0</v>
      </c>
      <c r="I88" s="45">
        <f t="shared" si="49"/>
        <v>0</v>
      </c>
    </row>
    <row r="89" spans="4:9" x14ac:dyDescent="0.3">
      <c r="D89" s="24">
        <v>7</v>
      </c>
      <c r="E89" s="25">
        <v>4</v>
      </c>
      <c r="F89" s="26" t="str">
        <f t="shared" si="46"/>
        <v>G</v>
      </c>
      <c r="G89" s="27">
        <f t="shared" si="47"/>
        <v>0</v>
      </c>
      <c r="H89" s="27">
        <f t="shared" si="48"/>
        <v>0</v>
      </c>
      <c r="I89" s="45">
        <f t="shared" si="49"/>
        <v>0</v>
      </c>
    </row>
    <row r="90" spans="4:9" x14ac:dyDescent="0.3">
      <c r="D90" s="24">
        <v>8</v>
      </c>
      <c r="E90" s="25">
        <v>3</v>
      </c>
      <c r="F90" s="26" t="str">
        <f t="shared" si="46"/>
        <v>H</v>
      </c>
      <c r="G90" s="27">
        <f t="shared" si="47"/>
        <v>0</v>
      </c>
      <c r="H90" s="27">
        <f t="shared" si="48"/>
        <v>0</v>
      </c>
      <c r="I90" s="45">
        <f t="shared" si="49"/>
        <v>0</v>
      </c>
    </row>
    <row r="91" spans="4:9" x14ac:dyDescent="0.3">
      <c r="D91" s="24">
        <v>9</v>
      </c>
      <c r="E91" s="25">
        <v>2</v>
      </c>
      <c r="F91" s="26" t="str">
        <f t="shared" si="46"/>
        <v>I</v>
      </c>
      <c r="G91" s="27">
        <f t="shared" si="47"/>
        <v>0</v>
      </c>
      <c r="H91" s="27">
        <f t="shared" si="48"/>
        <v>0</v>
      </c>
      <c r="I91" s="45">
        <f t="shared" si="49"/>
        <v>0</v>
      </c>
    </row>
    <row r="92" spans="4:9" x14ac:dyDescent="0.3">
      <c r="D92" s="24">
        <v>10</v>
      </c>
      <c r="E92" s="25">
        <v>1</v>
      </c>
      <c r="F92" s="26" t="str">
        <f t="shared" si="46"/>
        <v>J</v>
      </c>
      <c r="G92" s="27">
        <f t="shared" si="47"/>
        <v>0</v>
      </c>
      <c r="H92" s="27">
        <f t="shared" si="48"/>
        <v>0</v>
      </c>
      <c r="I92" s="45">
        <f t="shared" si="49"/>
        <v>0</v>
      </c>
    </row>
  </sheetData>
  <sheetProtection algorithmName="SHA-512" hashValue="vvPbO1nA4fkj2eUuviZwOIukZ5m7Dp0WebNsysjImYn4d3ufvVmnbT5teqsvI9+lCmLGDNWlYGD72o1ieplHCw==" saltValue="qXHwW4EwxansBk+TYWQ8IA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68">
    <mergeCell ref="D59:F59"/>
    <mergeCell ref="H59:K59"/>
    <mergeCell ref="D66:F66"/>
    <mergeCell ref="H66:K66"/>
    <mergeCell ref="D73:F73"/>
    <mergeCell ref="H73:K73"/>
    <mergeCell ref="D17:F17"/>
    <mergeCell ref="H17:K17"/>
    <mergeCell ref="D24:F24"/>
    <mergeCell ref="H24:K24"/>
    <mergeCell ref="D31:F31"/>
    <mergeCell ref="H31:K31"/>
    <mergeCell ref="D38:F38"/>
    <mergeCell ref="H38:K38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54:K54"/>
    <mergeCell ref="H52:K52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J36:K36"/>
    <mergeCell ref="M36:N36"/>
    <mergeCell ref="J39:K39"/>
    <mergeCell ref="M39:N39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46:K46"/>
    <mergeCell ref="H45:K45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D45:F45"/>
    <mergeCell ref="D52:F52"/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6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topLeftCell="B1" zoomScale="85" zoomScaleNormal="100" zoomScaleSheetLayoutView="85" workbookViewId="0">
      <selection activeCell="T16" sqref="T16"/>
    </sheetView>
  </sheetViews>
  <sheetFormatPr defaultColWidth="9.109375" defaultRowHeight="14.4" x14ac:dyDescent="0.3"/>
  <cols>
    <col min="1" max="1" width="3" style="17" bestFit="1" customWidth="1"/>
    <col min="2" max="2" width="3.6640625" customWidth="1"/>
    <col min="3" max="3" width="27.6640625" customWidth="1"/>
    <col min="4" max="4" width="3.6640625" customWidth="1"/>
    <col min="5" max="5" width="10.44140625" customWidth="1"/>
    <col min="6" max="6" width="9.6640625" customWidth="1"/>
    <col min="7" max="7" width="6.6640625" customWidth="1"/>
    <col min="8" max="15" width="4.6640625" customWidth="1"/>
    <col min="16" max="17" width="3.6640625" hidden="1" customWidth="1"/>
    <col min="18" max="18" width="10.5546875" customWidth="1"/>
    <col min="19" max="19" width="8.109375" customWidth="1"/>
    <col min="20" max="20" width="8.5546875" customWidth="1"/>
    <col min="21" max="21" width="3.88671875" customWidth="1"/>
    <col min="22" max="22" width="3.6640625" customWidth="1"/>
    <col min="23" max="25" width="6.6640625" hidden="1" customWidth="1"/>
    <col min="26" max="26" width="8.5546875" hidden="1" customWidth="1"/>
    <col min="27" max="27" width="6" hidden="1" customWidth="1"/>
    <col min="28" max="28" width="8.5546875" hidden="1" customWidth="1"/>
    <col min="29" max="29" width="5.5546875" hidden="1" customWidth="1"/>
    <col min="30" max="30" width="8.5546875" hidden="1" customWidth="1"/>
    <col min="31" max="31" width="5" hidden="1" customWidth="1"/>
    <col min="32" max="32" width="6.6640625" hidden="1" customWidth="1"/>
    <col min="33" max="33" width="8.5546875" hidden="1" customWidth="1"/>
    <col min="34" max="34" width="4.33203125" hidden="1" customWidth="1"/>
    <col min="35" max="35" width="6" hidden="1" customWidth="1"/>
    <col min="36" max="36" width="5.33203125" hidden="1" customWidth="1"/>
    <col min="37" max="43" width="6.6640625" hidden="1" customWidth="1"/>
    <col min="44" max="47" width="9.109375" hidden="1" customWidth="1"/>
    <col min="48" max="49" width="4.44140625" hidden="1" customWidth="1"/>
    <col min="50" max="68" width="3.6640625" hidden="1" customWidth="1"/>
    <col min="69" max="70" width="9.109375" hidden="1" customWidth="1"/>
  </cols>
  <sheetData>
    <row r="1" spans="1:68" ht="25.8" x14ac:dyDescent="0.5">
      <c r="A1" s="17">
        <v>8</v>
      </c>
      <c r="B1" s="85" t="s">
        <v>31</v>
      </c>
      <c r="C1" s="85"/>
      <c r="D1" s="85"/>
      <c r="E1" s="85"/>
      <c r="F1" s="85"/>
      <c r="G1" s="10" t="s">
        <v>32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T1" s="63" t="e">
        <f>"versie " &amp;#REF!</f>
        <v>#REF!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68" x14ac:dyDescent="0.3">
      <c r="AR2" s="11" t="s">
        <v>27</v>
      </c>
      <c r="AS2" s="11" t="s">
        <v>26</v>
      </c>
      <c r="AT2" s="11" t="s">
        <v>28</v>
      </c>
      <c r="AW2" s="90" t="s">
        <v>22</v>
      </c>
      <c r="AX2" s="90"/>
      <c r="AY2" s="90"/>
      <c r="AZ2" s="90"/>
      <c r="BA2" s="90"/>
      <c r="BB2" s="90"/>
      <c r="BC2" s="90"/>
      <c r="BD2" s="90"/>
      <c r="BE2" s="90"/>
      <c r="BF2" s="12"/>
      <c r="BH2" s="90" t="s">
        <v>23</v>
      </c>
      <c r="BI2" s="90"/>
      <c r="BJ2" s="90"/>
      <c r="BK2" s="90"/>
      <c r="BL2" s="90"/>
      <c r="BM2" s="90"/>
      <c r="BN2" s="90"/>
      <c r="BO2" s="90"/>
      <c r="BP2" s="90"/>
    </row>
    <row r="3" spans="1:68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2">
        <v>7</v>
      </c>
      <c r="O3" s="2">
        <v>8</v>
      </c>
      <c r="P3" s="14"/>
      <c r="Q3" s="40"/>
      <c r="R3" s="2" t="s">
        <v>17</v>
      </c>
      <c r="S3" s="2" t="s">
        <v>26</v>
      </c>
      <c r="T3" s="2" t="s">
        <v>69</v>
      </c>
      <c r="U3" s="8"/>
      <c r="V3" s="12"/>
      <c r="W3" s="2" t="s">
        <v>34</v>
      </c>
      <c r="X3" s="2" t="s">
        <v>35</v>
      </c>
      <c r="Y3" s="8"/>
      <c r="Z3" s="2" t="s">
        <v>60</v>
      </c>
      <c r="AA3" s="2" t="s">
        <v>61</v>
      </c>
      <c r="AB3" s="2" t="s">
        <v>62</v>
      </c>
      <c r="AC3" s="2" t="s">
        <v>63</v>
      </c>
      <c r="AD3" s="2" t="s">
        <v>64</v>
      </c>
      <c r="AE3" s="2" t="s">
        <v>65</v>
      </c>
      <c r="AF3" s="2"/>
      <c r="AG3" s="2" t="s">
        <v>66</v>
      </c>
      <c r="AH3" s="2" t="s">
        <v>67</v>
      </c>
      <c r="AI3" s="2" t="s">
        <v>68</v>
      </c>
      <c r="AJ3" s="2" t="s">
        <v>69</v>
      </c>
      <c r="AK3" s="2"/>
      <c r="AL3" s="2" t="s">
        <v>69</v>
      </c>
      <c r="AM3" s="2" t="s">
        <v>70</v>
      </c>
      <c r="AN3" s="8"/>
      <c r="AO3" s="8"/>
      <c r="AP3" s="12"/>
      <c r="AQ3" s="2" t="s">
        <v>36</v>
      </c>
      <c r="AR3" s="16" t="s">
        <v>25</v>
      </c>
      <c r="AS3" s="11" t="s">
        <v>25</v>
      </c>
      <c r="AT3" s="11" t="s">
        <v>25</v>
      </c>
      <c r="AV3" t="s">
        <v>30</v>
      </c>
      <c r="AW3">
        <v>1</v>
      </c>
      <c r="AX3">
        <v>2</v>
      </c>
      <c r="AY3">
        <v>3</v>
      </c>
      <c r="AZ3">
        <v>4</v>
      </c>
      <c r="BA3">
        <v>5</v>
      </c>
      <c r="BB3">
        <v>6</v>
      </c>
      <c r="BC3">
        <v>7</v>
      </c>
      <c r="BD3">
        <v>8</v>
      </c>
      <c r="BE3">
        <v>9</v>
      </c>
      <c r="BG3" t="s">
        <v>30</v>
      </c>
      <c r="BH3">
        <v>1</v>
      </c>
      <c r="BI3">
        <v>2</v>
      </c>
      <c r="BJ3">
        <v>3</v>
      </c>
      <c r="BK3">
        <v>4</v>
      </c>
      <c r="BL3">
        <v>5</v>
      </c>
      <c r="BM3">
        <v>6</v>
      </c>
      <c r="BN3">
        <v>7</v>
      </c>
      <c r="BO3">
        <v>8</v>
      </c>
      <c r="BP3">
        <v>9</v>
      </c>
    </row>
    <row r="4" spans="1:68" x14ac:dyDescent="0.3">
      <c r="A4" s="17">
        <f>T4</f>
        <v>1</v>
      </c>
      <c r="B4" s="18">
        <v>1</v>
      </c>
      <c r="C4" s="18" t="s">
        <v>40</v>
      </c>
      <c r="D4" s="104"/>
      <c r="E4" s="104"/>
      <c r="F4" s="18">
        <v>1000</v>
      </c>
      <c r="H4" s="19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0" t="str">
        <f t="shared" si="0"/>
        <v/>
      </c>
      <c r="J4" s="20" t="str">
        <f t="shared" si="0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>IF((SUMIF($AV$13:$AV$55,$B4*100+O$3,$AT$13:$AT$55)+SUMIF($AW$13:$AW$55,$B4*100+O$3,$AT$13:$AT$55))=1,(SUMIF($AV$13:$AV$55,$B4*100+O$3,$J$13:$J$55)+SUMIF($AW$13:$AW$55,$B4*100+O$3,$M$13:$M$55)),"")</f>
        <v/>
      </c>
      <c r="P4" s="21"/>
      <c r="Q4" s="43"/>
      <c r="R4" s="50">
        <f t="shared" ref="R4:R11" si="1">SUM(H4:Q4)</f>
        <v>0</v>
      </c>
      <c r="S4" s="3">
        <f>IF(H4="",0,H4)*$R$4+IF(I4="",0,I4)*$R$5+IF(J4="",0,J4)*$R$6+IF(K4="",0,K4)*$R$7+IF(L4="",0,L4)*$R$8+IF(M4="",0,M4)*$R$9+IF(N4="",0,N4)*$R$10+IF(O4="",0,O4)*$R$11</f>
        <v>0</v>
      </c>
      <c r="T4" s="3">
        <f>AJ4</f>
        <v>1</v>
      </c>
      <c r="U4" s="9"/>
      <c r="V4" s="23"/>
      <c r="W4" s="27">
        <f t="shared" ref="W4:W11" si="2">VLOOKUP($D60,$AQ$4:$AT$11,4,FALSE)</f>
        <v>0</v>
      </c>
      <c r="X4" s="28">
        <f t="shared" ref="X4:X11" si="3">VLOOKUP($D60,$B$4:$R$11,5,FALSE)</f>
        <v>1000</v>
      </c>
      <c r="Y4" s="46"/>
      <c r="Z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53">
        <f t="shared" ref="AA4:AA11" si="4">$Z$13*R4+Z4</f>
        <v>0</v>
      </c>
      <c r="AB4" s="52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53">
        <f>$AB$13*AA4+AB4</f>
        <v>0</v>
      </c>
      <c r="AD4" s="52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46">
        <f>$AD$13*AC4+AD4</f>
        <v>0</v>
      </c>
      <c r="AF4" s="46"/>
      <c r="AG4" s="46">
        <f>RANK(AE4,$AE$4:$AE$11,1)-1</f>
        <v>0</v>
      </c>
      <c r="AH4" s="46">
        <f t="shared" ref="AH4:AH12" si="6">RANK(S4,$S$4:$S$11,1)-1</f>
        <v>0</v>
      </c>
      <c r="AI4" s="46">
        <f>8*AG4+AH4</f>
        <v>0</v>
      </c>
      <c r="AJ4" s="46">
        <f>RANK(AI4,$AI$4:$AI$11)</f>
        <v>1</v>
      </c>
      <c r="AK4" s="46"/>
      <c r="AL4" s="46"/>
      <c r="AM4" s="46"/>
      <c r="AN4" s="46"/>
      <c r="AO4" s="46"/>
      <c r="AP4" s="23"/>
      <c r="AQ4" s="26">
        <v>1</v>
      </c>
      <c r="AR4" s="29">
        <f t="shared" ref="AR4:AR11" si="7">SUMIF($AR$13:$AR$55,B4,$AX$13:$AX$55)+SUMIF($AS$13:$AS$55,B4,$AY$13:$AY$55)</f>
        <v>0</v>
      </c>
      <c r="AS4" s="30" t="e">
        <f t="shared" ref="AS4:AS11" si="8">SUMIF($AR$13:$AR$55,B4,$AZ$13:$AZ$55)+SUMIF($AS$13:$AS$55,B4,$BA$13:$BA$55)</f>
        <v>#VALUE!</v>
      </c>
      <c r="AT4" s="30">
        <f>SUM(BH4:BP4)</f>
        <v>0</v>
      </c>
      <c r="AV4">
        <v>1</v>
      </c>
      <c r="AW4">
        <f t="shared" ref="AW4:BE11" si="9" xml:space="preserve"> SUMIFS( $J$16:$J$55, $AR$16:$AR$55,$AV4, $AQ$16:$AQ$55,AW$3) + SUMIFS( $M$16:$M$55, $AS$16:$AS$55,$AV4, $AQ$16:$AQ$55,AW$3)</f>
        <v>0</v>
      </c>
      <c r="AX4">
        <f t="shared" si="9"/>
        <v>0</v>
      </c>
      <c r="AY4">
        <f t="shared" si="9"/>
        <v>0</v>
      </c>
      <c r="AZ4">
        <f t="shared" si="9"/>
        <v>0</v>
      </c>
      <c r="BA4">
        <f t="shared" si="9"/>
        <v>0</v>
      </c>
      <c r="BB4">
        <f t="shared" si="9"/>
        <v>0</v>
      </c>
      <c r="BC4">
        <f t="shared" si="9"/>
        <v>0</v>
      </c>
      <c r="BD4">
        <f t="shared" si="9"/>
        <v>0</v>
      </c>
      <c r="BE4">
        <f t="shared" si="9"/>
        <v>0</v>
      </c>
      <c r="BG4">
        <v>1</v>
      </c>
      <c r="BH4">
        <f>AW4</f>
        <v>0</v>
      </c>
      <c r="BI4">
        <f t="shared" ref="BI4:BP11" si="10">BH4+AX4</f>
        <v>0</v>
      </c>
      <c r="BJ4">
        <f t="shared" si="10"/>
        <v>0</v>
      </c>
      <c r="BK4">
        <f t="shared" si="10"/>
        <v>0</v>
      </c>
      <c r="BL4">
        <f t="shared" si="10"/>
        <v>0</v>
      </c>
      <c r="BM4">
        <f t="shared" si="10"/>
        <v>0</v>
      </c>
      <c r="BN4">
        <f t="shared" si="10"/>
        <v>0</v>
      </c>
      <c r="BO4">
        <f t="shared" si="10"/>
        <v>0</v>
      </c>
      <c r="BP4">
        <f t="shared" si="10"/>
        <v>0</v>
      </c>
    </row>
    <row r="5" spans="1:68" x14ac:dyDescent="0.3">
      <c r="A5" s="17">
        <f t="shared" ref="A5:A12" si="11">T5</f>
        <v>1</v>
      </c>
      <c r="B5" s="18">
        <v>2</v>
      </c>
      <c r="C5" s="18" t="s">
        <v>41</v>
      </c>
      <c r="D5" s="104"/>
      <c r="E5" s="104"/>
      <c r="F5" s="18">
        <v>1000</v>
      </c>
      <c r="H5" s="20" t="str">
        <f t="shared" si="0"/>
        <v/>
      </c>
      <c r="I5" s="19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50">
        <f t="shared" si="1"/>
        <v>0</v>
      </c>
      <c r="S5" s="3">
        <f t="shared" ref="S5:S11" si="12">IF(H5="",0,H5)*$R$4+IF(I5="",0,I5)*$R$5+IF(J5="",0,J5)*$R$6+IF(K5="",0,K5)*$R$7+IF(L5="",0,L5)*$R$8+IF(M5="",0,M5)*$R$9+IF(N5="",0,N5)*$R$10+IF(O5="",0,O5)*$R$11</f>
        <v>0</v>
      </c>
      <c r="T5" s="3">
        <f t="shared" ref="T5:T12" si="13">AJ5</f>
        <v>1</v>
      </c>
      <c r="U5" s="9"/>
      <c r="V5" s="23"/>
      <c r="W5" s="27">
        <f t="shared" si="2"/>
        <v>0</v>
      </c>
      <c r="X5" s="28">
        <f t="shared" si="3"/>
        <v>1000</v>
      </c>
      <c r="Y5" s="46"/>
      <c r="Z5" s="52">
        <f t="shared" ref="Z5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53">
        <f t="shared" si="4"/>
        <v>0</v>
      </c>
      <c r="AB5" s="52">
        <f t="shared" si="5"/>
        <v>0</v>
      </c>
      <c r="AC5" s="53">
        <f t="shared" ref="AC5:AC11" si="15">$AB$13*AA5+AB5</f>
        <v>0</v>
      </c>
      <c r="AD5" s="52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46">
        <f t="shared" ref="AE5:AE11" si="16">$AD$13*AC5+AD5</f>
        <v>0</v>
      </c>
      <c r="AF5" s="46"/>
      <c r="AG5" s="46">
        <f t="shared" ref="AG5:AG11" si="17">RANK(AE5,$AE$4:$AE$11,1)-1</f>
        <v>0</v>
      </c>
      <c r="AH5" s="46">
        <f t="shared" si="6"/>
        <v>0</v>
      </c>
      <c r="AI5" s="46">
        <f t="shared" ref="AI5:AI12" si="18">8*AG5+AH5</f>
        <v>0</v>
      </c>
      <c r="AJ5" s="46">
        <f t="shared" ref="AJ5:AJ11" si="19">RANK(AI5,$AI$4:$AI$11)</f>
        <v>1</v>
      </c>
      <c r="AK5" s="46"/>
      <c r="AL5" s="46"/>
      <c r="AM5" s="46"/>
      <c r="AN5" s="46"/>
      <c r="AO5" s="46"/>
      <c r="AP5" s="23"/>
      <c r="AQ5" s="26">
        <v>2</v>
      </c>
      <c r="AR5" s="29">
        <f t="shared" si="7"/>
        <v>0</v>
      </c>
      <c r="AS5" s="30" t="e">
        <f t="shared" si="8"/>
        <v>#VALUE!</v>
      </c>
      <c r="AT5" s="30">
        <f t="shared" ref="AT5:AT11" si="20">SUM(BH5:BP5)</f>
        <v>0</v>
      </c>
      <c r="AV5">
        <v>2</v>
      </c>
      <c r="AW5">
        <f t="shared" si="9"/>
        <v>0</v>
      </c>
      <c r="AX5">
        <f t="shared" si="9"/>
        <v>0</v>
      </c>
      <c r="AY5">
        <f t="shared" si="9"/>
        <v>0</v>
      </c>
      <c r="AZ5">
        <f t="shared" si="9"/>
        <v>0</v>
      </c>
      <c r="BA5">
        <f t="shared" si="9"/>
        <v>0</v>
      </c>
      <c r="BB5">
        <f t="shared" si="9"/>
        <v>0</v>
      </c>
      <c r="BC5">
        <f t="shared" si="9"/>
        <v>0</v>
      </c>
      <c r="BD5">
        <f t="shared" si="9"/>
        <v>0</v>
      </c>
      <c r="BE5">
        <f t="shared" si="9"/>
        <v>0</v>
      </c>
      <c r="BG5">
        <v>2</v>
      </c>
      <c r="BH5">
        <f t="shared" ref="BH5:BH11" si="21">AW5</f>
        <v>0</v>
      </c>
      <c r="BI5">
        <f t="shared" si="10"/>
        <v>0</v>
      </c>
      <c r="BJ5">
        <f t="shared" si="10"/>
        <v>0</v>
      </c>
      <c r="BK5">
        <f t="shared" si="10"/>
        <v>0</v>
      </c>
      <c r="BL5">
        <f t="shared" si="10"/>
        <v>0</v>
      </c>
      <c r="BM5">
        <f t="shared" si="10"/>
        <v>0</v>
      </c>
      <c r="BN5">
        <f t="shared" si="10"/>
        <v>0</v>
      </c>
      <c r="BO5">
        <f t="shared" si="10"/>
        <v>0</v>
      </c>
      <c r="BP5">
        <f t="shared" si="10"/>
        <v>0</v>
      </c>
    </row>
    <row r="6" spans="1:68" x14ac:dyDescent="0.3">
      <c r="A6" s="17">
        <f t="shared" si="11"/>
        <v>1</v>
      </c>
      <c r="B6" s="18">
        <v>3</v>
      </c>
      <c r="C6" s="18" t="s">
        <v>42</v>
      </c>
      <c r="D6" s="104"/>
      <c r="E6" s="104"/>
      <c r="F6" s="18">
        <v>1000</v>
      </c>
      <c r="H6" s="20" t="str">
        <f t="shared" si="0"/>
        <v/>
      </c>
      <c r="I6" s="20" t="str">
        <f t="shared" si="0"/>
        <v/>
      </c>
      <c r="J6" s="19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1"/>
      <c r="Q6" s="43"/>
      <c r="R6" s="50">
        <f t="shared" si="1"/>
        <v>0</v>
      </c>
      <c r="S6" s="3">
        <f t="shared" si="12"/>
        <v>0</v>
      </c>
      <c r="T6" s="4">
        <f>AJ6</f>
        <v>1</v>
      </c>
      <c r="U6" s="5"/>
      <c r="V6" s="23"/>
      <c r="W6" s="27">
        <f t="shared" si="2"/>
        <v>0</v>
      </c>
      <c r="X6" s="28">
        <f t="shared" si="3"/>
        <v>1000</v>
      </c>
      <c r="Y6" s="46"/>
      <c r="Z6" s="52">
        <f t="shared" si="14"/>
        <v>0</v>
      </c>
      <c r="AA6" s="53">
        <f t="shared" si="4"/>
        <v>0</v>
      </c>
      <c r="AB6" s="52">
        <f t="shared" si="5"/>
        <v>0</v>
      </c>
      <c r="AC6" s="53">
        <f t="shared" si="15"/>
        <v>0</v>
      </c>
      <c r="AD6" s="52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46">
        <f t="shared" si="16"/>
        <v>0</v>
      </c>
      <c r="AF6" s="46"/>
      <c r="AG6" s="46">
        <f t="shared" si="17"/>
        <v>0</v>
      </c>
      <c r="AH6" s="46">
        <f t="shared" si="6"/>
        <v>0</v>
      </c>
      <c r="AI6" s="46">
        <f t="shared" si="18"/>
        <v>0</v>
      </c>
      <c r="AJ6" s="46">
        <f t="shared" si="19"/>
        <v>1</v>
      </c>
      <c r="AK6" s="46"/>
      <c r="AL6" s="46"/>
      <c r="AM6" s="46"/>
      <c r="AN6" s="46"/>
      <c r="AO6" s="46"/>
      <c r="AP6" s="23"/>
      <c r="AQ6" s="26">
        <v>3</v>
      </c>
      <c r="AR6" s="29">
        <f t="shared" si="7"/>
        <v>0</v>
      </c>
      <c r="AS6" s="30" t="e">
        <f t="shared" si="8"/>
        <v>#VALUE!</v>
      </c>
      <c r="AT6" s="30">
        <f t="shared" si="20"/>
        <v>0</v>
      </c>
      <c r="AV6">
        <v>3</v>
      </c>
      <c r="AW6">
        <f t="shared" si="9"/>
        <v>0</v>
      </c>
      <c r="AX6">
        <f t="shared" si="9"/>
        <v>0</v>
      </c>
      <c r="AY6">
        <f t="shared" si="9"/>
        <v>0</v>
      </c>
      <c r="AZ6">
        <f t="shared" si="9"/>
        <v>0</v>
      </c>
      <c r="BA6">
        <f t="shared" si="9"/>
        <v>0</v>
      </c>
      <c r="BB6">
        <f t="shared" si="9"/>
        <v>0</v>
      </c>
      <c r="BC6">
        <f t="shared" si="9"/>
        <v>0</v>
      </c>
      <c r="BD6">
        <f t="shared" si="9"/>
        <v>0</v>
      </c>
      <c r="BE6">
        <f t="shared" si="9"/>
        <v>0</v>
      </c>
      <c r="BG6">
        <v>3</v>
      </c>
      <c r="BH6">
        <f t="shared" si="21"/>
        <v>0</v>
      </c>
      <c r="BI6">
        <f t="shared" si="10"/>
        <v>0</v>
      </c>
      <c r="BJ6">
        <f t="shared" si="10"/>
        <v>0</v>
      </c>
      <c r="BK6">
        <f t="shared" si="10"/>
        <v>0</v>
      </c>
      <c r="BL6">
        <f t="shared" si="10"/>
        <v>0</v>
      </c>
      <c r="BM6">
        <f t="shared" si="10"/>
        <v>0</v>
      </c>
      <c r="BN6">
        <f t="shared" si="10"/>
        <v>0</v>
      </c>
      <c r="BO6">
        <f t="shared" si="10"/>
        <v>0</v>
      </c>
      <c r="BP6">
        <f t="shared" si="10"/>
        <v>0</v>
      </c>
    </row>
    <row r="7" spans="1:68" x14ac:dyDescent="0.3">
      <c r="A7" s="17">
        <f t="shared" si="11"/>
        <v>1</v>
      </c>
      <c r="B7" s="18">
        <v>4</v>
      </c>
      <c r="C7" s="18" t="s">
        <v>43</v>
      </c>
      <c r="D7" s="104"/>
      <c r="E7" s="104"/>
      <c r="F7" s="18">
        <v>1000</v>
      </c>
      <c r="H7" s="20" t="str">
        <f t="shared" si="0"/>
        <v/>
      </c>
      <c r="I7" s="20" t="str">
        <f t="shared" si="0"/>
        <v/>
      </c>
      <c r="J7" s="20" t="str">
        <f t="shared" si="0"/>
        <v/>
      </c>
      <c r="K7" s="19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1"/>
      <c r="Q7" s="43"/>
      <c r="R7" s="50">
        <f t="shared" si="1"/>
        <v>0</v>
      </c>
      <c r="S7" s="3">
        <f t="shared" si="12"/>
        <v>0</v>
      </c>
      <c r="T7" s="3">
        <f t="shared" si="13"/>
        <v>1</v>
      </c>
      <c r="U7" s="9"/>
      <c r="V7" s="23"/>
      <c r="W7" s="27">
        <f t="shared" si="2"/>
        <v>0</v>
      </c>
      <c r="X7" s="28">
        <f t="shared" si="3"/>
        <v>1000</v>
      </c>
      <c r="Y7" s="46"/>
      <c r="Z7" s="52">
        <f t="shared" si="14"/>
        <v>0</v>
      </c>
      <c r="AA7" s="53">
        <f t="shared" si="4"/>
        <v>0</v>
      </c>
      <c r="AB7" s="52">
        <f t="shared" si="5"/>
        <v>0</v>
      </c>
      <c r="AC7" s="53">
        <f t="shared" si="15"/>
        <v>0</v>
      </c>
      <c r="AD7" s="52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46">
        <f t="shared" si="16"/>
        <v>0</v>
      </c>
      <c r="AF7" s="46"/>
      <c r="AG7" s="46">
        <f t="shared" si="17"/>
        <v>0</v>
      </c>
      <c r="AH7" s="46">
        <f t="shared" si="6"/>
        <v>0</v>
      </c>
      <c r="AI7" s="46">
        <f t="shared" si="18"/>
        <v>0</v>
      </c>
      <c r="AJ7" s="46">
        <f t="shared" si="19"/>
        <v>1</v>
      </c>
      <c r="AK7" s="46"/>
      <c r="AL7" s="46"/>
      <c r="AM7" s="46"/>
      <c r="AN7" s="46"/>
      <c r="AO7" s="46"/>
      <c r="AP7" s="23"/>
      <c r="AQ7" s="26">
        <v>4</v>
      </c>
      <c r="AR7" s="29">
        <f t="shared" si="7"/>
        <v>0</v>
      </c>
      <c r="AS7" s="30" t="e">
        <f t="shared" si="8"/>
        <v>#VALUE!</v>
      </c>
      <c r="AT7" s="30">
        <f t="shared" si="20"/>
        <v>0</v>
      </c>
      <c r="AV7">
        <v>4</v>
      </c>
      <c r="AW7">
        <f t="shared" si="9"/>
        <v>0</v>
      </c>
      <c r="AX7">
        <f t="shared" si="9"/>
        <v>0</v>
      </c>
      <c r="AY7">
        <f t="shared" si="9"/>
        <v>0</v>
      </c>
      <c r="AZ7">
        <f t="shared" si="9"/>
        <v>0</v>
      </c>
      <c r="BA7">
        <f t="shared" si="9"/>
        <v>0</v>
      </c>
      <c r="BB7">
        <f t="shared" si="9"/>
        <v>0</v>
      </c>
      <c r="BC7">
        <f t="shared" si="9"/>
        <v>0</v>
      </c>
      <c r="BD7">
        <f t="shared" si="9"/>
        <v>0</v>
      </c>
      <c r="BE7">
        <f t="shared" si="9"/>
        <v>0</v>
      </c>
      <c r="BG7">
        <v>4</v>
      </c>
      <c r="BH7">
        <f t="shared" si="21"/>
        <v>0</v>
      </c>
      <c r="BI7">
        <f t="shared" si="10"/>
        <v>0</v>
      </c>
      <c r="BJ7">
        <f t="shared" si="10"/>
        <v>0</v>
      </c>
      <c r="BK7">
        <f t="shared" si="10"/>
        <v>0</v>
      </c>
      <c r="BL7">
        <f t="shared" si="10"/>
        <v>0</v>
      </c>
      <c r="BM7">
        <f t="shared" si="10"/>
        <v>0</v>
      </c>
      <c r="BN7">
        <f t="shared" si="10"/>
        <v>0</v>
      </c>
      <c r="BO7">
        <f t="shared" si="10"/>
        <v>0</v>
      </c>
      <c r="BP7">
        <f t="shared" si="10"/>
        <v>0</v>
      </c>
    </row>
    <row r="8" spans="1:68" x14ac:dyDescent="0.3">
      <c r="A8" s="17">
        <f t="shared" si="11"/>
        <v>1</v>
      </c>
      <c r="B8" s="18">
        <v>5</v>
      </c>
      <c r="C8" s="18" t="s">
        <v>47</v>
      </c>
      <c r="D8" s="104"/>
      <c r="E8" s="104"/>
      <c r="F8" s="18">
        <v>1000</v>
      </c>
      <c r="H8" s="20" t="str">
        <f t="shared" si="0"/>
        <v/>
      </c>
      <c r="I8" s="20" t="str">
        <f t="shared" si="0"/>
        <v/>
      </c>
      <c r="J8" s="20" t="str">
        <f t="shared" si="0"/>
        <v/>
      </c>
      <c r="K8" s="20" t="str">
        <f t="shared" si="0"/>
        <v/>
      </c>
      <c r="L8" s="19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1"/>
      <c r="Q8" s="43"/>
      <c r="R8" s="50">
        <f t="shared" si="1"/>
        <v>0</v>
      </c>
      <c r="S8" s="3">
        <f t="shared" si="12"/>
        <v>0</v>
      </c>
      <c r="T8" s="3">
        <f t="shared" si="13"/>
        <v>1</v>
      </c>
      <c r="U8" s="9"/>
      <c r="V8" s="23"/>
      <c r="W8" s="27">
        <f t="shared" si="2"/>
        <v>0</v>
      </c>
      <c r="X8" s="28">
        <f t="shared" si="3"/>
        <v>1000</v>
      </c>
      <c r="Y8" s="46"/>
      <c r="Z8" s="52">
        <f t="shared" si="14"/>
        <v>0</v>
      </c>
      <c r="AA8" s="53">
        <f t="shared" si="4"/>
        <v>0</v>
      </c>
      <c r="AB8" s="52">
        <f t="shared" si="5"/>
        <v>0</v>
      </c>
      <c r="AC8" s="53">
        <f t="shared" si="15"/>
        <v>0</v>
      </c>
      <c r="AD8" s="52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46">
        <f t="shared" si="16"/>
        <v>0</v>
      </c>
      <c r="AF8" s="46"/>
      <c r="AG8" s="46">
        <f t="shared" si="17"/>
        <v>0</v>
      </c>
      <c r="AH8" s="46">
        <f t="shared" si="6"/>
        <v>0</v>
      </c>
      <c r="AI8" s="46">
        <f t="shared" si="18"/>
        <v>0</v>
      </c>
      <c r="AJ8" s="46">
        <f t="shared" si="19"/>
        <v>1</v>
      </c>
      <c r="AK8" s="46"/>
      <c r="AL8" s="2"/>
      <c r="AM8" s="46"/>
      <c r="AN8" s="46"/>
      <c r="AO8" s="46"/>
      <c r="AP8" s="23"/>
      <c r="AQ8" s="26">
        <v>5</v>
      </c>
      <c r="AR8" s="29">
        <f t="shared" si="7"/>
        <v>0</v>
      </c>
      <c r="AS8" s="30" t="e">
        <f t="shared" si="8"/>
        <v>#VALUE!</v>
      </c>
      <c r="AT8" s="30">
        <f t="shared" si="20"/>
        <v>0</v>
      </c>
      <c r="AV8">
        <v>5</v>
      </c>
      <c r="AW8">
        <f t="shared" si="9"/>
        <v>0</v>
      </c>
      <c r="AX8">
        <f t="shared" si="9"/>
        <v>0</v>
      </c>
      <c r="AY8">
        <f t="shared" si="9"/>
        <v>0</v>
      </c>
      <c r="AZ8">
        <f t="shared" si="9"/>
        <v>0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G8">
        <v>5</v>
      </c>
      <c r="BH8">
        <f t="shared" si="21"/>
        <v>0</v>
      </c>
      <c r="BI8">
        <f t="shared" si="10"/>
        <v>0</v>
      </c>
      <c r="BJ8">
        <f t="shared" si="10"/>
        <v>0</v>
      </c>
      <c r="BK8">
        <f t="shared" si="10"/>
        <v>0</v>
      </c>
      <c r="BL8">
        <f t="shared" si="10"/>
        <v>0</v>
      </c>
      <c r="BM8">
        <f t="shared" si="10"/>
        <v>0</v>
      </c>
      <c r="BN8">
        <f t="shared" si="10"/>
        <v>0</v>
      </c>
      <c r="BO8">
        <f t="shared" si="10"/>
        <v>0</v>
      </c>
      <c r="BP8">
        <f t="shared" si="10"/>
        <v>0</v>
      </c>
    </row>
    <row r="9" spans="1:68" x14ac:dyDescent="0.3">
      <c r="A9" s="17">
        <f t="shared" si="11"/>
        <v>1</v>
      </c>
      <c r="B9" s="18">
        <v>6</v>
      </c>
      <c r="C9" s="18" t="s">
        <v>44</v>
      </c>
      <c r="D9" s="104"/>
      <c r="E9" s="104"/>
      <c r="F9" s="18">
        <v>1000</v>
      </c>
      <c r="H9" s="20" t="str">
        <f t="shared" si="0"/>
        <v/>
      </c>
      <c r="I9" s="20" t="str">
        <f t="shared" si="0"/>
        <v/>
      </c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19" t="str">
        <f t="shared" si="0"/>
        <v/>
      </c>
      <c r="N9" s="20" t="str">
        <f t="shared" si="0"/>
        <v/>
      </c>
      <c r="O9" s="20" t="str">
        <f t="shared" si="0"/>
        <v/>
      </c>
      <c r="P9" s="21"/>
      <c r="Q9" s="43"/>
      <c r="R9" s="50">
        <f t="shared" si="1"/>
        <v>0</v>
      </c>
      <c r="S9" s="3">
        <f t="shared" si="12"/>
        <v>0</v>
      </c>
      <c r="T9" s="3">
        <f t="shared" si="13"/>
        <v>1</v>
      </c>
      <c r="U9" s="9"/>
      <c r="V9" s="23"/>
      <c r="W9" s="27">
        <f t="shared" si="2"/>
        <v>0</v>
      </c>
      <c r="X9" s="28">
        <f t="shared" si="3"/>
        <v>1000</v>
      </c>
      <c r="Y9" s="46"/>
      <c r="Z9" s="52">
        <f t="shared" si="14"/>
        <v>0</v>
      </c>
      <c r="AA9" s="53">
        <f t="shared" si="4"/>
        <v>0</v>
      </c>
      <c r="AB9" s="52">
        <f t="shared" si="5"/>
        <v>0</v>
      </c>
      <c r="AC9" s="53">
        <f t="shared" si="15"/>
        <v>0</v>
      </c>
      <c r="AD9" s="52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46">
        <f t="shared" si="16"/>
        <v>0</v>
      </c>
      <c r="AF9" s="46"/>
      <c r="AG9" s="46">
        <f t="shared" si="17"/>
        <v>0</v>
      </c>
      <c r="AH9" s="46">
        <f t="shared" si="6"/>
        <v>0</v>
      </c>
      <c r="AI9" s="46">
        <f t="shared" si="18"/>
        <v>0</v>
      </c>
      <c r="AJ9" s="46">
        <f t="shared" si="19"/>
        <v>1</v>
      </c>
      <c r="AK9" s="46"/>
      <c r="AL9" s="46"/>
      <c r="AM9" s="46"/>
      <c r="AN9" s="46"/>
      <c r="AO9" s="46"/>
      <c r="AP9" s="23"/>
      <c r="AQ9" s="26">
        <v>6</v>
      </c>
      <c r="AR9" s="29">
        <f t="shared" si="7"/>
        <v>0</v>
      </c>
      <c r="AS9" s="30" t="e">
        <f t="shared" si="8"/>
        <v>#VALUE!</v>
      </c>
      <c r="AT9" s="30">
        <f t="shared" si="20"/>
        <v>0</v>
      </c>
      <c r="AV9">
        <v>6</v>
      </c>
      <c r="AW9">
        <f t="shared" si="9"/>
        <v>0</v>
      </c>
      <c r="AX9">
        <f t="shared" si="9"/>
        <v>0</v>
      </c>
      <c r="AY9">
        <f t="shared" si="9"/>
        <v>0</v>
      </c>
      <c r="AZ9">
        <f t="shared" si="9"/>
        <v>0</v>
      </c>
      <c r="BA9">
        <f t="shared" si="9"/>
        <v>0</v>
      </c>
      <c r="BB9">
        <f t="shared" si="9"/>
        <v>0</v>
      </c>
      <c r="BC9">
        <f t="shared" si="9"/>
        <v>0</v>
      </c>
      <c r="BD9">
        <f t="shared" si="9"/>
        <v>0</v>
      </c>
      <c r="BE9">
        <f t="shared" si="9"/>
        <v>0</v>
      </c>
      <c r="BG9">
        <v>6</v>
      </c>
      <c r="BH9">
        <f t="shared" si="21"/>
        <v>0</v>
      </c>
      <c r="BI9">
        <f t="shared" si="10"/>
        <v>0</v>
      </c>
      <c r="BJ9">
        <f t="shared" si="10"/>
        <v>0</v>
      </c>
      <c r="BK9">
        <f t="shared" si="10"/>
        <v>0</v>
      </c>
      <c r="BL9">
        <f t="shared" si="10"/>
        <v>0</v>
      </c>
      <c r="BM9">
        <f t="shared" si="10"/>
        <v>0</v>
      </c>
      <c r="BN9">
        <f t="shared" si="10"/>
        <v>0</v>
      </c>
      <c r="BO9">
        <f t="shared" si="10"/>
        <v>0</v>
      </c>
      <c r="BP9">
        <f t="shared" si="10"/>
        <v>0</v>
      </c>
    </row>
    <row r="10" spans="1:68" x14ac:dyDescent="0.3">
      <c r="A10" s="17">
        <f t="shared" si="11"/>
        <v>1</v>
      </c>
      <c r="B10" s="18">
        <v>7</v>
      </c>
      <c r="C10" s="18" t="s">
        <v>45</v>
      </c>
      <c r="D10" s="104"/>
      <c r="E10" s="104"/>
      <c r="F10" s="18">
        <v>1000</v>
      </c>
      <c r="H10" s="20" t="str">
        <f t="shared" si="0"/>
        <v/>
      </c>
      <c r="I10" s="20" t="str">
        <f t="shared" si="0"/>
        <v/>
      </c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19" t="str">
        <f t="shared" si="0"/>
        <v/>
      </c>
      <c r="O10" s="20" t="str">
        <f t="shared" si="0"/>
        <v/>
      </c>
      <c r="P10" s="21"/>
      <c r="Q10" s="43"/>
      <c r="R10" s="50">
        <f t="shared" si="1"/>
        <v>0</v>
      </c>
      <c r="S10" s="3">
        <f t="shared" si="12"/>
        <v>0</v>
      </c>
      <c r="T10" s="3">
        <f t="shared" si="13"/>
        <v>1</v>
      </c>
      <c r="U10" s="9"/>
      <c r="V10" s="23"/>
      <c r="W10" s="27">
        <f t="shared" si="2"/>
        <v>0</v>
      </c>
      <c r="X10" s="28">
        <f t="shared" si="3"/>
        <v>1000</v>
      </c>
      <c r="Y10" s="46"/>
      <c r="Z10" s="52">
        <f t="shared" si="14"/>
        <v>0</v>
      </c>
      <c r="AA10" s="53">
        <f t="shared" si="4"/>
        <v>0</v>
      </c>
      <c r="AB10" s="52">
        <f t="shared" si="5"/>
        <v>0</v>
      </c>
      <c r="AC10" s="53">
        <f t="shared" si="15"/>
        <v>0</v>
      </c>
      <c r="AD10" s="52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46">
        <f t="shared" si="16"/>
        <v>0</v>
      </c>
      <c r="AF10" s="46"/>
      <c r="AG10" s="46">
        <f t="shared" si="17"/>
        <v>0</v>
      </c>
      <c r="AH10" s="46">
        <f t="shared" si="6"/>
        <v>0</v>
      </c>
      <c r="AI10" s="46">
        <f t="shared" si="18"/>
        <v>0</v>
      </c>
      <c r="AJ10" s="46">
        <f t="shared" si="19"/>
        <v>1</v>
      </c>
      <c r="AK10" s="46"/>
      <c r="AL10" s="46"/>
      <c r="AM10" s="46"/>
      <c r="AN10" s="46"/>
      <c r="AO10" s="46"/>
      <c r="AP10" s="23"/>
      <c r="AQ10" s="26">
        <v>7</v>
      </c>
      <c r="AR10" s="29">
        <f t="shared" si="7"/>
        <v>0</v>
      </c>
      <c r="AS10" s="30" t="e">
        <f t="shared" si="8"/>
        <v>#VALUE!</v>
      </c>
      <c r="AT10" s="30">
        <f t="shared" si="20"/>
        <v>0</v>
      </c>
      <c r="AV10">
        <v>7</v>
      </c>
      <c r="AW10">
        <f t="shared" si="9"/>
        <v>0</v>
      </c>
      <c r="AX10">
        <f t="shared" si="9"/>
        <v>0</v>
      </c>
      <c r="AY10">
        <f t="shared" si="9"/>
        <v>0</v>
      </c>
      <c r="AZ10">
        <f t="shared" si="9"/>
        <v>0</v>
      </c>
      <c r="BA10">
        <f t="shared" si="9"/>
        <v>0</v>
      </c>
      <c r="BB10">
        <f t="shared" si="9"/>
        <v>0</v>
      </c>
      <c r="BC10">
        <f t="shared" si="9"/>
        <v>0</v>
      </c>
      <c r="BD10">
        <f t="shared" si="9"/>
        <v>0</v>
      </c>
      <c r="BE10">
        <f t="shared" si="9"/>
        <v>0</v>
      </c>
      <c r="BG10">
        <v>7</v>
      </c>
      <c r="BH10">
        <f t="shared" si="21"/>
        <v>0</v>
      </c>
      <c r="BI10">
        <f t="shared" si="10"/>
        <v>0</v>
      </c>
      <c r="BJ10">
        <f t="shared" si="10"/>
        <v>0</v>
      </c>
      <c r="BK10">
        <f t="shared" si="10"/>
        <v>0</v>
      </c>
      <c r="BL10">
        <f t="shared" si="10"/>
        <v>0</v>
      </c>
      <c r="BM10">
        <f t="shared" si="10"/>
        <v>0</v>
      </c>
      <c r="BN10">
        <f t="shared" si="10"/>
        <v>0</v>
      </c>
      <c r="BO10">
        <f t="shared" si="10"/>
        <v>0</v>
      </c>
      <c r="BP10">
        <f t="shared" si="10"/>
        <v>0</v>
      </c>
    </row>
    <row r="11" spans="1:68" x14ac:dyDescent="0.3">
      <c r="A11" s="17">
        <f t="shared" si="11"/>
        <v>1</v>
      </c>
      <c r="B11" s="18">
        <v>8</v>
      </c>
      <c r="C11" s="18" t="s">
        <v>46</v>
      </c>
      <c r="D11" s="104"/>
      <c r="E11" s="104"/>
      <c r="F11" s="18">
        <v>1000</v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19" t="str">
        <f t="shared" si="0"/>
        <v/>
      </c>
      <c r="P11" s="21"/>
      <c r="Q11" s="43"/>
      <c r="R11" s="50">
        <f t="shared" si="1"/>
        <v>0</v>
      </c>
      <c r="S11" s="3">
        <f t="shared" si="12"/>
        <v>0</v>
      </c>
      <c r="T11" s="3">
        <f t="shared" si="13"/>
        <v>1</v>
      </c>
      <c r="U11" s="9"/>
      <c r="V11" s="23"/>
      <c r="W11" s="27">
        <f t="shared" si="2"/>
        <v>0</v>
      </c>
      <c r="X11" s="28">
        <f t="shared" si="3"/>
        <v>1000</v>
      </c>
      <c r="Y11" s="46"/>
      <c r="Z11" s="52">
        <f t="shared" si="14"/>
        <v>0</v>
      </c>
      <c r="AA11" s="53">
        <f t="shared" si="4"/>
        <v>0</v>
      </c>
      <c r="AB11" s="52">
        <f t="shared" si="5"/>
        <v>0</v>
      </c>
      <c r="AC11" s="53">
        <f t="shared" si="15"/>
        <v>0</v>
      </c>
      <c r="AD11" s="52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46">
        <f t="shared" si="16"/>
        <v>0</v>
      </c>
      <c r="AF11" s="46"/>
      <c r="AG11" s="46">
        <f t="shared" si="17"/>
        <v>0</v>
      </c>
      <c r="AH11" s="46">
        <f t="shared" si="6"/>
        <v>0</v>
      </c>
      <c r="AI11" s="46">
        <f t="shared" si="18"/>
        <v>0</v>
      </c>
      <c r="AJ11" s="46">
        <f t="shared" si="19"/>
        <v>1</v>
      </c>
      <c r="AK11" s="46"/>
      <c r="AL11" s="46"/>
      <c r="AM11" s="46"/>
      <c r="AN11" s="46"/>
      <c r="AO11" s="46"/>
      <c r="AP11" s="23"/>
      <c r="AQ11" s="26">
        <v>8</v>
      </c>
      <c r="AR11" s="29">
        <f t="shared" si="7"/>
        <v>0</v>
      </c>
      <c r="AS11" s="30" t="e">
        <f t="shared" si="8"/>
        <v>#VALUE!</v>
      </c>
      <c r="AT11" s="30">
        <f t="shared" si="20"/>
        <v>0</v>
      </c>
      <c r="AV11">
        <v>8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G11">
        <v>8</v>
      </c>
      <c r="BH11">
        <f t="shared" si="21"/>
        <v>0</v>
      </c>
      <c r="BI11">
        <f t="shared" si="10"/>
        <v>0</v>
      </c>
      <c r="BJ11">
        <f t="shared" si="10"/>
        <v>0</v>
      </c>
      <c r="BK11">
        <f t="shared" si="10"/>
        <v>0</v>
      </c>
      <c r="BL11">
        <f t="shared" si="10"/>
        <v>0</v>
      </c>
      <c r="BM11">
        <f t="shared" si="10"/>
        <v>0</v>
      </c>
      <c r="BN11">
        <f t="shared" si="10"/>
        <v>0</v>
      </c>
      <c r="BO11">
        <f t="shared" si="10"/>
        <v>0</v>
      </c>
      <c r="BP11">
        <f t="shared" si="10"/>
        <v>0</v>
      </c>
    </row>
    <row r="12" spans="1:68" hidden="1" x14ac:dyDescent="0.3">
      <c r="A12" s="17">
        <f t="shared" si="11"/>
        <v>1</v>
      </c>
      <c r="T12" s="5">
        <f t="shared" si="13"/>
        <v>1</v>
      </c>
      <c r="U12" s="5"/>
      <c r="AA12" s="54"/>
      <c r="AD12" s="52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46">
        <f t="shared" si="6"/>
        <v>0</v>
      </c>
      <c r="AI12" s="46">
        <f t="shared" si="18"/>
        <v>0</v>
      </c>
      <c r="AJ12" s="46">
        <f>RANK(AI13,$AI$4:$AI$11,1)</f>
        <v>1</v>
      </c>
    </row>
    <row r="13" spans="1:68" x14ac:dyDescent="0.3">
      <c r="Z13" s="46">
        <f>2*MAX(Z4:Z11)+1</f>
        <v>1</v>
      </c>
      <c r="AA13" s="54"/>
      <c r="AB13" s="46">
        <f>2*MAX(AB4:AB11)+1</f>
        <v>1</v>
      </c>
      <c r="AD13" s="46">
        <f>2*MAX(AD4:AD11)+1</f>
        <v>1</v>
      </c>
      <c r="AQ13" s="31" t="s">
        <v>39</v>
      </c>
      <c r="AR13" s="31" t="s">
        <v>0</v>
      </c>
      <c r="AS13" s="31" t="s">
        <v>1</v>
      </c>
      <c r="AT13" s="31" t="s">
        <v>2</v>
      </c>
      <c r="AV13" s="32" t="s">
        <v>37</v>
      </c>
      <c r="AW13" s="32" t="s">
        <v>38</v>
      </c>
      <c r="AX13" t="s">
        <v>18</v>
      </c>
      <c r="AY13" t="s">
        <v>19</v>
      </c>
      <c r="AZ13" t="s">
        <v>20</v>
      </c>
      <c r="BA13" t="s">
        <v>21</v>
      </c>
    </row>
    <row r="14" spans="1:68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AV14" s="33"/>
      <c r="AW14" s="33"/>
      <c r="AX14" s="34"/>
      <c r="AY14" s="34"/>
      <c r="AZ14" s="34"/>
      <c r="BA14" s="34"/>
    </row>
    <row r="15" spans="1:68" x14ac:dyDescent="0.3">
      <c r="A15" s="17">
        <v>1</v>
      </c>
      <c r="B15" s="35" t="s">
        <v>3</v>
      </c>
      <c r="D15" s="109" t="str">
        <f>"Van:" &amp; TEXT(Configuratie!H25,"uu.mm.ss")</f>
        <v>Van:13.00.00</v>
      </c>
      <c r="E15" s="110"/>
      <c r="G15" s="109" t="str">
        <f>"Tot: "&amp; TEXT(Configuratie!I25,"uu.mm.ss")</f>
        <v>Tot: 13.25.00</v>
      </c>
      <c r="H15" s="110"/>
      <c r="J15" s="105" t="s">
        <v>93</v>
      </c>
      <c r="K15" s="105"/>
      <c r="L15" s="105"/>
      <c r="M15" s="105"/>
      <c r="N15" s="105"/>
      <c r="T15" s="35" t="s">
        <v>92</v>
      </c>
      <c r="AV15" s="32"/>
      <c r="AW15" s="32"/>
    </row>
    <row r="16" spans="1:68" x14ac:dyDescent="0.3">
      <c r="B16">
        <v>1</v>
      </c>
      <c r="C16" t="str">
        <f>VLOOKUP(AR16,$B$4:$F$11,2,FALSE)</f>
        <v>H</v>
      </c>
      <c r="D16" s="36" t="s">
        <v>5</v>
      </c>
      <c r="E16" s="86" t="str">
        <f>VLOOKUP(AS16,$B$4:$F$11,2,FALSE)</f>
        <v>A</v>
      </c>
      <c r="F16" s="86"/>
      <c r="G16" s="86"/>
      <c r="H16" s="86"/>
      <c r="J16" s="92" t="str">
        <f>IF(T16="","",VLOOKUP(T16,#REF!,3,FALSE))</f>
        <v/>
      </c>
      <c r="K16" s="103"/>
      <c r="L16" s="68" t="s">
        <v>5</v>
      </c>
      <c r="M16" s="103" t="str">
        <f>IF(T16="","",VLOOKUP(T16,#REF!,4,FALSE))</f>
        <v/>
      </c>
      <c r="N16" s="93"/>
      <c r="R16" t="str">
        <f>IF(T16="","",VLOOKUP(T16,#REF!,2,FALSE))</f>
        <v/>
      </c>
      <c r="T16" s="1"/>
      <c r="AQ16">
        <v>1</v>
      </c>
      <c r="AR16">
        <v>8</v>
      </c>
      <c r="AS16">
        <v>1</v>
      </c>
      <c r="AT16" t="str">
        <f>IF(AND(ISNUMBER(J16),ISNUMBER(M16)),IF(J16+M16=1,1,0),"")</f>
        <v/>
      </c>
      <c r="AV16" s="38">
        <f>AR16*100+AS16</f>
        <v>801</v>
      </c>
      <c r="AW16" s="38">
        <f>AS16*100+AR16</f>
        <v>108</v>
      </c>
      <c r="AX16">
        <v>0</v>
      </c>
      <c r="AY16">
        <v>0</v>
      </c>
      <c r="AZ16" t="e">
        <f>J16*AY16</f>
        <v>#VALUE!</v>
      </c>
      <c r="BA16" t="e">
        <f>M16*AX16</f>
        <v>#VALUE!</v>
      </c>
    </row>
    <row r="17" spans="1:53" x14ac:dyDescent="0.3">
      <c r="B17">
        <v>2</v>
      </c>
      <c r="C17" t="str">
        <f>VLOOKUP(AR17,$B$4:$F$11,2,FALSE)</f>
        <v>G</v>
      </c>
      <c r="D17" s="36" t="s">
        <v>5</v>
      </c>
      <c r="E17" s="86" t="str">
        <f>VLOOKUP(AS17,$B$4:$F$11,2,FALSE)</f>
        <v>B</v>
      </c>
      <c r="F17" s="86"/>
      <c r="G17" s="86"/>
      <c r="H17" s="86"/>
      <c r="J17" s="92" t="str">
        <f>IF(T17="","",VLOOKUP(T17,#REF!,3,FALSE))</f>
        <v/>
      </c>
      <c r="K17" s="103"/>
      <c r="L17" s="68" t="s">
        <v>5</v>
      </c>
      <c r="M17" s="103" t="str">
        <f>IF(T17="","",VLOOKUP(T17,#REF!,4,FALSE))</f>
        <v/>
      </c>
      <c r="N17" s="93"/>
      <c r="R17" t="str">
        <f>IF(T17="","",VLOOKUP(T17,#REF!,2,FALSE))</f>
        <v/>
      </c>
      <c r="T17" s="1"/>
      <c r="AQ17">
        <v>1</v>
      </c>
      <c r="AR17">
        <v>7</v>
      </c>
      <c r="AS17">
        <v>2</v>
      </c>
      <c r="AT17" t="str">
        <f>IF(AND(ISNUMBER(J17),ISNUMBER(M17)),IF(J17+M17=1,1,0),"")</f>
        <v/>
      </c>
      <c r="AV17" s="38">
        <f>AR17*100+AS17</f>
        <v>702</v>
      </c>
      <c r="AW17" s="38">
        <f>AS17*100+AR17</f>
        <v>207</v>
      </c>
      <c r="AX17">
        <v>0</v>
      </c>
      <c r="AY17">
        <v>0</v>
      </c>
      <c r="AZ17" t="e">
        <f>J17*AY17</f>
        <v>#VALUE!</v>
      </c>
      <c r="BA17" t="e">
        <f>M17*AX17</f>
        <v>#VALUE!</v>
      </c>
    </row>
    <row r="18" spans="1:53" x14ac:dyDescent="0.3">
      <c r="B18">
        <v>3</v>
      </c>
      <c r="C18" t="str">
        <f>VLOOKUP(AR18,$B$4:$F$11,2,FALSE)</f>
        <v>F</v>
      </c>
      <c r="D18" s="36" t="s">
        <v>5</v>
      </c>
      <c r="E18" s="86" t="str">
        <f>VLOOKUP(AS18,$B$4:$F$11,2,FALSE)</f>
        <v>C</v>
      </c>
      <c r="F18" s="86"/>
      <c r="G18" s="86"/>
      <c r="H18" s="86"/>
      <c r="J18" s="92" t="str">
        <f>IF(T18="","",VLOOKUP(T18,#REF!,3,FALSE))</f>
        <v/>
      </c>
      <c r="K18" s="103"/>
      <c r="L18" s="68" t="s">
        <v>5</v>
      </c>
      <c r="M18" s="103" t="str">
        <f>IF(T18="","",VLOOKUP(T18,#REF!,4,FALSE))</f>
        <v/>
      </c>
      <c r="N18" s="93"/>
      <c r="R18" t="str">
        <f>IF(T18="","",VLOOKUP(T18,#REF!,2,FALSE))</f>
        <v/>
      </c>
      <c r="T18" s="1"/>
      <c r="AQ18">
        <v>1</v>
      </c>
      <c r="AR18">
        <v>6</v>
      </c>
      <c r="AS18">
        <v>3</v>
      </c>
      <c r="AT18" t="str">
        <f>IF(AND(ISNUMBER(J18),ISNUMBER(M18)),IF(J18+M18=1,1,0),"")</f>
        <v/>
      </c>
      <c r="AV18" s="38">
        <f>AR18*100+AS18</f>
        <v>603</v>
      </c>
      <c r="AW18" s="38">
        <f>AS18*100+AR18</f>
        <v>306</v>
      </c>
      <c r="AX18">
        <v>0</v>
      </c>
      <c r="AY18">
        <v>0</v>
      </c>
      <c r="AZ18" t="e">
        <f>J18*AY18</f>
        <v>#VALUE!</v>
      </c>
      <c r="BA18" t="e">
        <f>M18*AX18</f>
        <v>#VALUE!</v>
      </c>
    </row>
    <row r="19" spans="1:53" x14ac:dyDescent="0.3">
      <c r="B19">
        <v>4</v>
      </c>
      <c r="C19" t="str">
        <f>VLOOKUP(AR19,$B$4:$F$11,2,FALSE)</f>
        <v>E</v>
      </c>
      <c r="D19" s="36" t="s">
        <v>5</v>
      </c>
      <c r="E19" s="86" t="str">
        <f>VLOOKUP(AS19,$B$4:$F$11,2,FALSE)</f>
        <v>D</v>
      </c>
      <c r="F19" s="86"/>
      <c r="G19" s="86"/>
      <c r="H19" s="86"/>
      <c r="J19" s="92" t="str">
        <f>IF(T19="","",VLOOKUP(T19,#REF!,3,FALSE))</f>
        <v/>
      </c>
      <c r="K19" s="103"/>
      <c r="L19" s="68" t="s">
        <v>5</v>
      </c>
      <c r="M19" s="103" t="str">
        <f>IF(T19="","",VLOOKUP(T19,#REF!,4,FALSE))</f>
        <v/>
      </c>
      <c r="N19" s="93"/>
      <c r="R19" t="str">
        <f>IF(T19="","",VLOOKUP(T19,#REF!,2,FALSE))</f>
        <v/>
      </c>
      <c r="T19" s="1"/>
      <c r="AQ19">
        <v>1</v>
      </c>
      <c r="AR19">
        <v>5</v>
      </c>
      <c r="AS19">
        <v>4</v>
      </c>
      <c r="AT19" t="str">
        <f>IF(AND(ISNUMBER(J19),ISNUMBER(M19)),IF(J19+M19=1,1,0),"")</f>
        <v/>
      </c>
      <c r="AV19" s="38">
        <f>AR19*100+AS19</f>
        <v>504</v>
      </c>
      <c r="AW19" s="38">
        <f>AS19*100+AR19</f>
        <v>405</v>
      </c>
      <c r="AX19">
        <v>0</v>
      </c>
      <c r="AY19">
        <v>0</v>
      </c>
      <c r="AZ19" t="e">
        <f>J19*AY19</f>
        <v>#VALUE!</v>
      </c>
      <c r="BA19" t="e">
        <f>M19*AX19</f>
        <v>#VALUE!</v>
      </c>
    </row>
    <row r="20" spans="1:53" ht="3" customHeight="1" x14ac:dyDescent="0.3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AV20" s="32"/>
      <c r="AW20" s="32"/>
    </row>
    <row r="21" spans="1:53" x14ac:dyDescent="0.3">
      <c r="A21" s="17">
        <v>2</v>
      </c>
      <c r="B21" s="35" t="s">
        <v>9</v>
      </c>
      <c r="D21" s="109" t="str">
        <f>"Van:" &amp; TEXT(Configuratie!J25,"uu.mm.ss")</f>
        <v>Van:13.30.00</v>
      </c>
      <c r="E21" s="110"/>
      <c r="G21" s="109" t="str">
        <f>"Tot: "&amp; TEXT(Configuratie!K25,"uu.mm.ss")</f>
        <v>Tot: 13.55.00</v>
      </c>
      <c r="H21" s="110"/>
      <c r="AV21" s="32"/>
      <c r="AW21" s="32"/>
    </row>
    <row r="22" spans="1:53" x14ac:dyDescent="0.3">
      <c r="B22">
        <v>1</v>
      </c>
      <c r="C22" t="str">
        <f>VLOOKUP(AR22,$B$4:$F$11,2,FALSE)</f>
        <v>H</v>
      </c>
      <c r="D22" s="36" t="s">
        <v>5</v>
      </c>
      <c r="E22" s="86" t="str">
        <f>VLOOKUP(AS22,$B$4:$F$11,2,FALSE)</f>
        <v>D</v>
      </c>
      <c r="F22" s="86"/>
      <c r="G22" s="86"/>
      <c r="H22" s="86"/>
      <c r="J22" s="92" t="str">
        <f>IF(T22="","",VLOOKUP(T22,#REF!,3,FALSE))</f>
        <v/>
      </c>
      <c r="K22" s="103"/>
      <c r="L22" s="68" t="s">
        <v>5</v>
      </c>
      <c r="M22" s="103" t="str">
        <f>IF(T22="","",VLOOKUP(T22,#REF!,4,FALSE))</f>
        <v/>
      </c>
      <c r="N22" s="93"/>
      <c r="R22" t="str">
        <f>IF(T22="","",VLOOKUP(T22,#REF!,2,FALSE))</f>
        <v/>
      </c>
      <c r="T22" s="1"/>
      <c r="AQ22">
        <v>2</v>
      </c>
      <c r="AR22">
        <v>8</v>
      </c>
      <c r="AS22">
        <v>4</v>
      </c>
      <c r="AT22" t="str">
        <f>IF(AND(ISNUMBER(J22),ISNUMBER(M22)),IF(J22+M22=1,1,0),"")</f>
        <v/>
      </c>
      <c r="AV22" s="38">
        <f>AR22*100+AS22</f>
        <v>804</v>
      </c>
      <c r="AW22" s="38">
        <f>AS22*100+AR22</f>
        <v>408</v>
      </c>
      <c r="AX22">
        <f t="shared" ref="AX22:AY25" si="22">VLOOKUP(AR22,$BG$3:$BP$11,$AQ22,FALSE)</f>
        <v>0</v>
      </c>
      <c r="AY22">
        <f t="shared" si="22"/>
        <v>0</v>
      </c>
      <c r="AZ22" t="e">
        <f>J22*AY22</f>
        <v>#VALUE!</v>
      </c>
      <c r="BA22" t="e">
        <f>M22*AX22</f>
        <v>#VALUE!</v>
      </c>
    </row>
    <row r="23" spans="1:53" x14ac:dyDescent="0.3">
      <c r="B23">
        <v>2</v>
      </c>
      <c r="C23" t="str">
        <f>VLOOKUP(AR23,$B$4:$F$11,2,FALSE)</f>
        <v>C</v>
      </c>
      <c r="D23" s="36" t="s">
        <v>5</v>
      </c>
      <c r="E23" s="86" t="str">
        <f>VLOOKUP(AS23,$B$4:$F$11,2,FALSE)</f>
        <v>E</v>
      </c>
      <c r="F23" s="86"/>
      <c r="G23" s="86"/>
      <c r="H23" s="86"/>
      <c r="J23" s="92" t="str">
        <f>IF(T23="","",VLOOKUP(T23,#REF!,3,FALSE))</f>
        <v/>
      </c>
      <c r="K23" s="103"/>
      <c r="L23" s="68" t="s">
        <v>5</v>
      </c>
      <c r="M23" s="103" t="str">
        <f>IF(T23="","",VLOOKUP(T23,#REF!,4,FALSE))</f>
        <v/>
      </c>
      <c r="N23" s="93"/>
      <c r="R23" t="str">
        <f>IF(T23="","",VLOOKUP(T23,#REF!,2,FALSE))</f>
        <v/>
      </c>
      <c r="T23" s="1"/>
      <c r="AQ23">
        <v>2</v>
      </c>
      <c r="AR23">
        <v>3</v>
      </c>
      <c r="AS23">
        <v>5</v>
      </c>
      <c r="AT23" t="str">
        <f>IF(AND(ISNUMBER(J23),ISNUMBER(M23)),IF(J23+M23=1,1,0),"")</f>
        <v/>
      </c>
      <c r="AV23" s="38">
        <f>AR23*100+AS23</f>
        <v>305</v>
      </c>
      <c r="AW23" s="38">
        <f>AS23*100+AR23</f>
        <v>503</v>
      </c>
      <c r="AX23">
        <f t="shared" si="22"/>
        <v>0</v>
      </c>
      <c r="AY23">
        <f t="shared" si="22"/>
        <v>0</v>
      </c>
      <c r="AZ23" t="e">
        <f>J23*AY23</f>
        <v>#VALUE!</v>
      </c>
      <c r="BA23" t="e">
        <f>M23*AX23</f>
        <v>#VALUE!</v>
      </c>
    </row>
    <row r="24" spans="1:53" x14ac:dyDescent="0.3">
      <c r="B24">
        <v>3</v>
      </c>
      <c r="C24" t="str">
        <f>VLOOKUP(AR24,$B$4:$F$11,2,FALSE)</f>
        <v>B</v>
      </c>
      <c r="D24" s="36" t="s">
        <v>5</v>
      </c>
      <c r="E24" s="86" t="str">
        <f>VLOOKUP(AS24,$B$4:$F$11,2,FALSE)</f>
        <v>F</v>
      </c>
      <c r="F24" s="86"/>
      <c r="G24" s="86"/>
      <c r="H24" s="86"/>
      <c r="J24" s="92" t="str">
        <f>IF(T24="","",VLOOKUP(T24,#REF!,3,FALSE))</f>
        <v/>
      </c>
      <c r="K24" s="103"/>
      <c r="L24" s="68" t="s">
        <v>5</v>
      </c>
      <c r="M24" s="103" t="str">
        <f>IF(T24="","",VLOOKUP(T24,#REF!,4,FALSE))</f>
        <v/>
      </c>
      <c r="N24" s="93"/>
      <c r="R24" t="str">
        <f>IF(T24="","",VLOOKUP(T24,#REF!,2,FALSE))</f>
        <v/>
      </c>
      <c r="T24" s="1"/>
      <c r="AQ24">
        <v>2</v>
      </c>
      <c r="AR24">
        <v>2</v>
      </c>
      <c r="AS24">
        <v>6</v>
      </c>
      <c r="AT24" t="str">
        <f>IF(AND(ISNUMBER(J24),ISNUMBER(M24)),IF(J24+M24=1,1,0),"")</f>
        <v/>
      </c>
      <c r="AV24" s="38">
        <f>AR24*100+AS24</f>
        <v>206</v>
      </c>
      <c r="AW24" s="38">
        <f>AS24*100+AR24</f>
        <v>602</v>
      </c>
      <c r="AX24">
        <f t="shared" si="22"/>
        <v>0</v>
      </c>
      <c r="AY24">
        <f t="shared" si="22"/>
        <v>0</v>
      </c>
      <c r="AZ24" t="e">
        <f>J24*AY24</f>
        <v>#VALUE!</v>
      </c>
      <c r="BA24" t="e">
        <f>M24*AX24</f>
        <v>#VALUE!</v>
      </c>
    </row>
    <row r="25" spans="1:53" x14ac:dyDescent="0.3">
      <c r="B25">
        <v>4</v>
      </c>
      <c r="C25" t="str">
        <f>VLOOKUP(AR25,$B$4:$F$11,2,FALSE)</f>
        <v>A</v>
      </c>
      <c r="D25" s="36" t="s">
        <v>5</v>
      </c>
      <c r="E25" s="86" t="str">
        <f>VLOOKUP(AS25,$B$4:$F$11,2,FALSE)</f>
        <v>G</v>
      </c>
      <c r="F25" s="86"/>
      <c r="G25" s="86"/>
      <c r="H25" s="86"/>
      <c r="J25" s="92" t="str">
        <f>IF(T25="","",VLOOKUP(T25,#REF!,3,FALSE))</f>
        <v/>
      </c>
      <c r="K25" s="103"/>
      <c r="L25" s="68" t="s">
        <v>5</v>
      </c>
      <c r="M25" s="103" t="str">
        <f>IF(T25="","",VLOOKUP(T25,#REF!,4,FALSE))</f>
        <v/>
      </c>
      <c r="N25" s="93"/>
      <c r="R25" t="str">
        <f>IF(T25="","",VLOOKUP(T25,#REF!,2,FALSE))</f>
        <v/>
      </c>
      <c r="T25" s="1"/>
      <c r="AQ25">
        <v>2</v>
      </c>
      <c r="AR25">
        <v>1</v>
      </c>
      <c r="AS25">
        <v>7</v>
      </c>
      <c r="AT25" t="str">
        <f>IF(AND(ISNUMBER(J25),ISNUMBER(M25)),IF(J25+M25=1,1,0),"")</f>
        <v/>
      </c>
      <c r="AV25" s="38">
        <f>AR25*100+AS25</f>
        <v>107</v>
      </c>
      <c r="AW25" s="38">
        <f>AS25*100+AR25</f>
        <v>701</v>
      </c>
      <c r="AX25">
        <f t="shared" si="22"/>
        <v>0</v>
      </c>
      <c r="AY25">
        <f t="shared" si="22"/>
        <v>0</v>
      </c>
      <c r="AZ25" t="e">
        <f>J25*AY25</f>
        <v>#VALUE!</v>
      </c>
      <c r="BA25" t="e">
        <f>M25*AX25</f>
        <v>#VALUE!</v>
      </c>
    </row>
    <row r="26" spans="1:53" ht="3" customHeight="1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AV26" s="32"/>
      <c r="AW26" s="32"/>
    </row>
    <row r="27" spans="1:53" x14ac:dyDescent="0.3">
      <c r="A27" s="17">
        <v>3</v>
      </c>
      <c r="B27" s="35" t="s">
        <v>10</v>
      </c>
      <c r="D27" s="109" t="str">
        <f>"Van:" &amp; TEXT(Configuratie!L25,"uu.mm.ss")</f>
        <v>Van:14.00.00</v>
      </c>
      <c r="E27" s="110"/>
      <c r="G27" s="109" t="str">
        <f>"Tot: "&amp; TEXT(Configuratie!M25,"uu.mm.ss")</f>
        <v>Tot: 14.25.00</v>
      </c>
      <c r="H27" s="110"/>
      <c r="AV27" s="32"/>
      <c r="AW27" s="32"/>
    </row>
    <row r="28" spans="1:53" x14ac:dyDescent="0.3">
      <c r="B28">
        <v>1</v>
      </c>
      <c r="C28" t="str">
        <f>VLOOKUP(AR28,$B$4:$F$11,2,FALSE)</f>
        <v>G</v>
      </c>
      <c r="D28" s="36" t="s">
        <v>5</v>
      </c>
      <c r="E28" s="86" t="str">
        <f>VLOOKUP(AS28,$B$4:$F$11,2,FALSE)</f>
        <v>H</v>
      </c>
      <c r="F28" s="86"/>
      <c r="G28" s="86"/>
      <c r="H28" s="86"/>
      <c r="J28" s="92" t="str">
        <f>IF(T28="","",VLOOKUP(T28,#REF!,3,FALSE))</f>
        <v/>
      </c>
      <c r="K28" s="103"/>
      <c r="L28" s="68" t="s">
        <v>5</v>
      </c>
      <c r="M28" s="103" t="str">
        <f>IF(T28="","",VLOOKUP(T28,#REF!,4,FALSE))</f>
        <v/>
      </c>
      <c r="N28" s="93"/>
      <c r="R28" t="str">
        <f>IF(T28="","",VLOOKUP(T28,#REF!,2,FALSE))</f>
        <v/>
      </c>
      <c r="T28" s="1"/>
      <c r="AQ28">
        <v>3</v>
      </c>
      <c r="AR28">
        <v>7</v>
      </c>
      <c r="AS28">
        <v>8</v>
      </c>
      <c r="AT28" t="str">
        <f>IF(AND(ISNUMBER(J28),ISNUMBER(M28)),IF(J28+M28=1,1,0),"")</f>
        <v/>
      </c>
      <c r="AV28" s="38">
        <f>AR28*100+AS28</f>
        <v>708</v>
      </c>
      <c r="AW28" s="38">
        <f>AS28*100+AR28</f>
        <v>807</v>
      </c>
      <c r="AX28">
        <f t="shared" ref="AX28:AY31" si="23">VLOOKUP(AR28,$BG$3:$BP$11,$AQ28,FALSE)</f>
        <v>0</v>
      </c>
      <c r="AY28">
        <f t="shared" si="23"/>
        <v>0</v>
      </c>
      <c r="AZ28" t="e">
        <f>J28*AY28</f>
        <v>#VALUE!</v>
      </c>
      <c r="BA28" t="e">
        <f>M28*AX28</f>
        <v>#VALUE!</v>
      </c>
    </row>
    <row r="29" spans="1:53" x14ac:dyDescent="0.3">
      <c r="B29">
        <v>2</v>
      </c>
      <c r="C29" t="str">
        <f>VLOOKUP(AR29,$B$4:$F$11,2,FALSE)</f>
        <v>F</v>
      </c>
      <c r="D29" s="36" t="s">
        <v>5</v>
      </c>
      <c r="E29" s="86" t="str">
        <f>VLOOKUP(AS29,$B$4:$F$11,2,FALSE)</f>
        <v>A</v>
      </c>
      <c r="F29" s="86"/>
      <c r="G29" s="86"/>
      <c r="H29" s="86"/>
      <c r="J29" s="92" t="str">
        <f>IF(T29="","",VLOOKUP(T29,#REF!,3,FALSE))</f>
        <v/>
      </c>
      <c r="K29" s="103"/>
      <c r="L29" s="68" t="s">
        <v>5</v>
      </c>
      <c r="M29" s="103" t="str">
        <f>IF(T29="","",VLOOKUP(T29,#REF!,4,FALSE))</f>
        <v/>
      </c>
      <c r="N29" s="93"/>
      <c r="R29" t="str">
        <f>IF(T29="","",VLOOKUP(T29,#REF!,2,FALSE))</f>
        <v/>
      </c>
      <c r="T29" s="1"/>
      <c r="AQ29">
        <v>3</v>
      </c>
      <c r="AR29">
        <v>6</v>
      </c>
      <c r="AS29">
        <v>1</v>
      </c>
      <c r="AT29" t="str">
        <f>IF(AND(ISNUMBER(J29),ISNUMBER(M29)),IF(J29+M29=1,1,0),"")</f>
        <v/>
      </c>
      <c r="AV29" s="38">
        <f>AR29*100+AS29</f>
        <v>601</v>
      </c>
      <c r="AW29" s="38">
        <f>AS29*100+AR29</f>
        <v>106</v>
      </c>
      <c r="AX29">
        <f t="shared" si="23"/>
        <v>0</v>
      </c>
      <c r="AY29">
        <f t="shared" si="23"/>
        <v>0</v>
      </c>
      <c r="AZ29" t="e">
        <f>J29*AY29</f>
        <v>#VALUE!</v>
      </c>
      <c r="BA29" t="e">
        <f>M29*AX29</f>
        <v>#VALUE!</v>
      </c>
    </row>
    <row r="30" spans="1:53" x14ac:dyDescent="0.3">
      <c r="B30">
        <v>3</v>
      </c>
      <c r="C30" t="str">
        <f>VLOOKUP(AR30,$B$4:$F$11,2,FALSE)</f>
        <v>E</v>
      </c>
      <c r="D30" s="36" t="s">
        <v>5</v>
      </c>
      <c r="E30" s="86" t="str">
        <f>VLOOKUP(AS30,$B$4:$F$11,2,FALSE)</f>
        <v>B</v>
      </c>
      <c r="F30" s="86"/>
      <c r="G30" s="86"/>
      <c r="H30" s="86"/>
      <c r="J30" s="92" t="str">
        <f>IF(T30="","",VLOOKUP(T30,#REF!,3,FALSE))</f>
        <v/>
      </c>
      <c r="K30" s="103"/>
      <c r="L30" s="68" t="s">
        <v>5</v>
      </c>
      <c r="M30" s="103" t="str">
        <f>IF(T30="","",VLOOKUP(T30,#REF!,4,FALSE))</f>
        <v/>
      </c>
      <c r="N30" s="93"/>
      <c r="R30" t="str">
        <f>IF(T30="","",VLOOKUP(T30,#REF!,2,FALSE))</f>
        <v/>
      </c>
      <c r="T30" s="1"/>
      <c r="AQ30">
        <v>3</v>
      </c>
      <c r="AR30">
        <v>5</v>
      </c>
      <c r="AS30">
        <v>2</v>
      </c>
      <c r="AT30" t="str">
        <f>IF(AND(ISNUMBER(J30),ISNUMBER(M30)),IF(J30+M30=1,1,0),"")</f>
        <v/>
      </c>
      <c r="AV30" s="38">
        <f>AR30*100+AS30</f>
        <v>502</v>
      </c>
      <c r="AW30" s="38">
        <f>AS30*100+AR30</f>
        <v>205</v>
      </c>
      <c r="AX30">
        <f t="shared" si="23"/>
        <v>0</v>
      </c>
      <c r="AY30">
        <f t="shared" si="23"/>
        <v>0</v>
      </c>
      <c r="AZ30" t="e">
        <f>J30*AY30</f>
        <v>#VALUE!</v>
      </c>
      <c r="BA30" t="e">
        <f>M30*AX30</f>
        <v>#VALUE!</v>
      </c>
    </row>
    <row r="31" spans="1:53" x14ac:dyDescent="0.3">
      <c r="B31">
        <v>4</v>
      </c>
      <c r="C31" t="str">
        <f>VLOOKUP(AR31,$B$4:$F$11,2,FALSE)</f>
        <v>D</v>
      </c>
      <c r="D31" s="36" t="s">
        <v>5</v>
      </c>
      <c r="E31" s="86" t="str">
        <f>VLOOKUP(AS31,$B$4:$F$11,2,FALSE)</f>
        <v>C</v>
      </c>
      <c r="F31" s="86"/>
      <c r="G31" s="86"/>
      <c r="H31" s="86"/>
      <c r="J31" s="92" t="str">
        <f>IF(T31="","",VLOOKUP(T31,#REF!,3,FALSE))</f>
        <v/>
      </c>
      <c r="K31" s="103"/>
      <c r="L31" s="68" t="s">
        <v>5</v>
      </c>
      <c r="M31" s="103" t="str">
        <f>IF(T31="","",VLOOKUP(T31,#REF!,4,FALSE))</f>
        <v/>
      </c>
      <c r="N31" s="93"/>
      <c r="R31" t="str">
        <f>IF(T31="","",VLOOKUP(T31,#REF!,2,FALSE))</f>
        <v/>
      </c>
      <c r="T31" s="1"/>
      <c r="AQ31">
        <v>3</v>
      </c>
      <c r="AR31">
        <v>4</v>
      </c>
      <c r="AS31">
        <v>3</v>
      </c>
      <c r="AT31" t="str">
        <f>IF(AND(ISNUMBER(J31),ISNUMBER(M31)),IF(J31+M31=1,1,0),"")</f>
        <v/>
      </c>
      <c r="AV31" s="38">
        <f>AR31*100+AS31</f>
        <v>403</v>
      </c>
      <c r="AW31" s="38">
        <f>AS31*100+AR31</f>
        <v>304</v>
      </c>
      <c r="AX31">
        <f t="shared" si="23"/>
        <v>0</v>
      </c>
      <c r="AY31">
        <f t="shared" si="23"/>
        <v>0</v>
      </c>
      <c r="AZ31" t="e">
        <f>J31*AY31</f>
        <v>#VALUE!</v>
      </c>
      <c r="BA31" t="e">
        <f>M31*AX31</f>
        <v>#VALUE!</v>
      </c>
    </row>
    <row r="32" spans="1:53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AV32" s="32"/>
      <c r="AW32" s="32"/>
    </row>
    <row r="33" spans="1:53" x14ac:dyDescent="0.3">
      <c r="A33" s="17">
        <v>4</v>
      </c>
      <c r="B33" s="35" t="s">
        <v>11</v>
      </c>
      <c r="D33" s="109" t="str">
        <f>"Van:" &amp; TEXT(Configuratie!N25,"uu.mm.ss")</f>
        <v>Van:14.30.00</v>
      </c>
      <c r="E33" s="110"/>
      <c r="G33" s="109" t="str">
        <f>"Tot: "&amp; TEXT(Configuratie!O25,"uu.mm.ss")</f>
        <v>Tot: 14.55.00</v>
      </c>
      <c r="H33" s="110"/>
      <c r="AV33" s="32"/>
      <c r="AW33" s="32"/>
    </row>
    <row r="34" spans="1:53" x14ac:dyDescent="0.3">
      <c r="B34">
        <v>1</v>
      </c>
      <c r="C34" t="str">
        <f>VLOOKUP(AR34,$B$4:$F$11,2,FALSE)</f>
        <v>H</v>
      </c>
      <c r="D34" s="36" t="s">
        <v>5</v>
      </c>
      <c r="E34" s="86" t="str">
        <f>VLOOKUP(AS34,$B$4:$F$11,2,FALSE)</f>
        <v>C</v>
      </c>
      <c r="F34" s="86"/>
      <c r="G34" s="86"/>
      <c r="H34" s="86"/>
      <c r="J34" s="92" t="str">
        <f>IF(T34="","",VLOOKUP(T34,#REF!,3,FALSE))</f>
        <v/>
      </c>
      <c r="K34" s="103"/>
      <c r="L34" s="68" t="s">
        <v>5</v>
      </c>
      <c r="M34" s="103" t="str">
        <f>IF(T34="","",VLOOKUP(T34,#REF!,4,FALSE))</f>
        <v/>
      </c>
      <c r="N34" s="93"/>
      <c r="R34" t="str">
        <f>IF(T34="","",VLOOKUP(T34,#REF!,2,FALSE))</f>
        <v/>
      </c>
      <c r="T34" s="1"/>
      <c r="AQ34">
        <v>4</v>
      </c>
      <c r="AR34">
        <v>8</v>
      </c>
      <c r="AS34">
        <v>3</v>
      </c>
      <c r="AT34" t="str">
        <f>IF(AND(ISNUMBER(J34),ISNUMBER(M34)),IF(J34+M34=1,1,0),"")</f>
        <v/>
      </c>
      <c r="AV34" s="38">
        <f>AR34*100+AS34</f>
        <v>803</v>
      </c>
      <c r="AW34" s="38">
        <f>AS34*100+AR34</f>
        <v>308</v>
      </c>
      <c r="AX34">
        <f t="shared" ref="AX34:AY37" si="24">VLOOKUP(AR34,$BG$3:$BP$11,$AQ34,FALSE)</f>
        <v>0</v>
      </c>
      <c r="AY34">
        <f t="shared" si="24"/>
        <v>0</v>
      </c>
      <c r="AZ34" t="e">
        <f>J34*AY34</f>
        <v>#VALUE!</v>
      </c>
      <c r="BA34" t="e">
        <f>M34*AX34</f>
        <v>#VALUE!</v>
      </c>
    </row>
    <row r="35" spans="1:53" x14ac:dyDescent="0.3">
      <c r="B35">
        <v>2</v>
      </c>
      <c r="C35" t="str">
        <f>VLOOKUP(AR35,$B$4:$F$11,2,FALSE)</f>
        <v>B</v>
      </c>
      <c r="D35" s="36" t="s">
        <v>5</v>
      </c>
      <c r="E35" s="86" t="str">
        <f>VLOOKUP(AS35,$B$4:$F$11,2,FALSE)</f>
        <v>D</v>
      </c>
      <c r="F35" s="86"/>
      <c r="G35" s="86"/>
      <c r="H35" s="86"/>
      <c r="J35" s="92" t="str">
        <f>IF(T35="","",VLOOKUP(T35,#REF!,3,FALSE))</f>
        <v/>
      </c>
      <c r="K35" s="103"/>
      <c r="L35" s="68" t="s">
        <v>5</v>
      </c>
      <c r="M35" s="103" t="str">
        <f>IF(T35="","",VLOOKUP(T35,#REF!,4,FALSE))</f>
        <v/>
      </c>
      <c r="N35" s="93"/>
      <c r="R35" t="str">
        <f>IF(T35="","",VLOOKUP(T35,#REF!,2,FALSE))</f>
        <v/>
      </c>
      <c r="T35" s="1"/>
      <c r="AQ35">
        <v>4</v>
      </c>
      <c r="AR35">
        <v>2</v>
      </c>
      <c r="AS35">
        <v>4</v>
      </c>
      <c r="AT35" t="str">
        <f>IF(AND(ISNUMBER(J35),ISNUMBER(M35)),IF(J35+M35=1,1,0),"")</f>
        <v/>
      </c>
      <c r="AV35" s="38">
        <f>AR35*100+AS35</f>
        <v>204</v>
      </c>
      <c r="AW35" s="38">
        <f>AS35*100+AR35</f>
        <v>402</v>
      </c>
      <c r="AX35">
        <f t="shared" si="24"/>
        <v>0</v>
      </c>
      <c r="AY35">
        <f t="shared" si="24"/>
        <v>0</v>
      </c>
      <c r="AZ35" t="e">
        <f>J35*AY35</f>
        <v>#VALUE!</v>
      </c>
      <c r="BA35" t="e">
        <f>M35*AX35</f>
        <v>#VALUE!</v>
      </c>
    </row>
    <row r="36" spans="1:53" x14ac:dyDescent="0.3">
      <c r="B36">
        <v>3</v>
      </c>
      <c r="C36" t="str">
        <f>VLOOKUP(AR36,$B$4:$F$11,2,FALSE)</f>
        <v>A</v>
      </c>
      <c r="D36" s="36" t="s">
        <v>5</v>
      </c>
      <c r="E36" s="86" t="str">
        <f>VLOOKUP(AS36,$B$4:$F$11,2,FALSE)</f>
        <v>E</v>
      </c>
      <c r="F36" s="86"/>
      <c r="G36" s="86"/>
      <c r="H36" s="86"/>
      <c r="J36" s="92" t="str">
        <f>IF(T36="","",VLOOKUP(T36,#REF!,3,FALSE))</f>
        <v/>
      </c>
      <c r="K36" s="103"/>
      <c r="L36" s="68" t="s">
        <v>5</v>
      </c>
      <c r="M36" s="103" t="str">
        <f>IF(T36="","",VLOOKUP(T36,#REF!,4,FALSE))</f>
        <v/>
      </c>
      <c r="N36" s="93"/>
      <c r="R36" t="str">
        <f>IF(T36="","",VLOOKUP(T36,#REF!,2,FALSE))</f>
        <v/>
      </c>
      <c r="T36" s="1"/>
      <c r="AQ36">
        <v>4</v>
      </c>
      <c r="AR36">
        <v>1</v>
      </c>
      <c r="AS36">
        <v>5</v>
      </c>
      <c r="AT36" t="str">
        <f>IF(AND(ISNUMBER(J36),ISNUMBER(M36)),IF(J36+M36=1,1,0),"")</f>
        <v/>
      </c>
      <c r="AV36" s="38">
        <f>AR36*100+AS36</f>
        <v>105</v>
      </c>
      <c r="AW36" s="38">
        <f>AS36*100+AR36</f>
        <v>501</v>
      </c>
      <c r="AX36">
        <f t="shared" si="24"/>
        <v>0</v>
      </c>
      <c r="AY36">
        <f t="shared" si="24"/>
        <v>0</v>
      </c>
      <c r="AZ36" t="e">
        <f>J36*AY36</f>
        <v>#VALUE!</v>
      </c>
      <c r="BA36" t="e">
        <f>M36*AX36</f>
        <v>#VALUE!</v>
      </c>
    </row>
    <row r="37" spans="1:53" x14ac:dyDescent="0.3">
      <c r="B37">
        <v>4</v>
      </c>
      <c r="C37" t="str">
        <f>VLOOKUP(AR37,$B$4:$F$11,2,FALSE)</f>
        <v>G</v>
      </c>
      <c r="D37" s="36" t="s">
        <v>5</v>
      </c>
      <c r="E37" s="86" t="str">
        <f>VLOOKUP(AS37,$B$4:$F$11,2,FALSE)</f>
        <v>F</v>
      </c>
      <c r="F37" s="86"/>
      <c r="G37" s="86"/>
      <c r="H37" s="86"/>
      <c r="J37" s="92" t="str">
        <f>IF(T37="","",VLOOKUP(T37,#REF!,3,FALSE))</f>
        <v/>
      </c>
      <c r="K37" s="103"/>
      <c r="L37" s="68" t="s">
        <v>5</v>
      </c>
      <c r="M37" s="103" t="str">
        <f>IF(T37="","",VLOOKUP(T37,#REF!,4,FALSE))</f>
        <v/>
      </c>
      <c r="N37" s="93"/>
      <c r="R37" t="str">
        <f>IF(T37="","",VLOOKUP(T37,#REF!,2,FALSE))</f>
        <v/>
      </c>
      <c r="T37" s="1"/>
      <c r="AQ37">
        <v>4</v>
      </c>
      <c r="AR37">
        <v>7</v>
      </c>
      <c r="AS37">
        <v>6</v>
      </c>
      <c r="AT37" t="str">
        <f>IF(AND(ISNUMBER(J37),ISNUMBER(M37)),IF(J37+M37=1,1,0),"")</f>
        <v/>
      </c>
      <c r="AV37" s="38">
        <f>AR37*100+AS37</f>
        <v>706</v>
      </c>
      <c r="AW37" s="38">
        <f>AS37*100+AR37</f>
        <v>607</v>
      </c>
      <c r="AX37">
        <f t="shared" si="24"/>
        <v>0</v>
      </c>
      <c r="AY37">
        <f t="shared" si="24"/>
        <v>0</v>
      </c>
      <c r="AZ37" t="e">
        <f>J37*AY37</f>
        <v>#VALUE!</v>
      </c>
      <c r="BA37" t="e">
        <f>M37*AX37</f>
        <v>#VALUE!</v>
      </c>
    </row>
    <row r="38" spans="1:53" ht="3" customHeight="1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AV38" s="32"/>
      <c r="AW38" s="32"/>
    </row>
    <row r="39" spans="1:53" x14ac:dyDescent="0.3">
      <c r="A39" s="17">
        <v>5</v>
      </c>
      <c r="B39" s="35" t="s">
        <v>12</v>
      </c>
      <c r="D39" s="109" t="str">
        <f>"Van:" &amp; TEXT(Configuratie!P25,"uu.mm.ss")</f>
        <v>Van:15.15.00</v>
      </c>
      <c r="E39" s="110"/>
      <c r="G39" s="109" t="str">
        <f>"Tot: "&amp; TEXT(Configuratie!Q25,"uu.mm.ss")</f>
        <v>Tot: 15.40.00</v>
      </c>
      <c r="H39" s="110"/>
      <c r="AV39" s="32"/>
      <c r="AW39" s="32"/>
    </row>
    <row r="40" spans="1:53" x14ac:dyDescent="0.3">
      <c r="B40">
        <v>1</v>
      </c>
      <c r="C40" t="str">
        <f>VLOOKUP(AR40,$B$4:$F$11,2,FALSE)</f>
        <v>F</v>
      </c>
      <c r="D40" s="36" t="s">
        <v>5</v>
      </c>
      <c r="E40" s="86" t="str">
        <f>VLOOKUP(AS40,$B$4:$F$11,2,FALSE)</f>
        <v>H</v>
      </c>
      <c r="F40" s="86"/>
      <c r="G40" s="86"/>
      <c r="H40" s="86"/>
      <c r="J40" s="92" t="str">
        <f>IF(T40="","",VLOOKUP(T40,#REF!,3,FALSE))</f>
        <v/>
      </c>
      <c r="K40" s="103"/>
      <c r="L40" s="68" t="s">
        <v>5</v>
      </c>
      <c r="M40" s="103" t="str">
        <f>IF(T40="","",VLOOKUP(T40,#REF!,4,FALSE))</f>
        <v/>
      </c>
      <c r="N40" s="93"/>
      <c r="R40" t="str">
        <f>IF(T40="","",VLOOKUP(T40,#REF!,2,FALSE))</f>
        <v/>
      </c>
      <c r="T40" s="1"/>
      <c r="AQ40">
        <v>5</v>
      </c>
      <c r="AR40">
        <v>6</v>
      </c>
      <c r="AS40">
        <v>8</v>
      </c>
      <c r="AT40" t="str">
        <f>IF(AND(ISNUMBER(J40),ISNUMBER(M40)),IF(J40+M40=1,1,0),"")</f>
        <v/>
      </c>
      <c r="AV40" s="38">
        <f>AR40*100+AS40</f>
        <v>608</v>
      </c>
      <c r="AW40" s="38">
        <f>AS40*100+AR40</f>
        <v>806</v>
      </c>
      <c r="AX40">
        <f t="shared" ref="AX40:AY43" si="25">VLOOKUP(AR40,$BG$3:$BP$11,$AQ40,FALSE)</f>
        <v>0</v>
      </c>
      <c r="AY40">
        <f t="shared" si="25"/>
        <v>0</v>
      </c>
      <c r="AZ40" t="e">
        <f>J40*AY40</f>
        <v>#VALUE!</v>
      </c>
      <c r="BA40" t="e">
        <f>M40*AX40</f>
        <v>#VALUE!</v>
      </c>
    </row>
    <row r="41" spans="1:53" x14ac:dyDescent="0.3">
      <c r="B41">
        <v>2</v>
      </c>
      <c r="C41" t="str">
        <f>VLOOKUP(AR41,$B$4:$F$11,2,FALSE)</f>
        <v>E</v>
      </c>
      <c r="D41" s="36" t="s">
        <v>5</v>
      </c>
      <c r="E41" s="86" t="str">
        <f>VLOOKUP(AS41,$B$4:$F$11,2,FALSE)</f>
        <v>G</v>
      </c>
      <c r="F41" s="86"/>
      <c r="G41" s="86"/>
      <c r="H41" s="86"/>
      <c r="J41" s="92" t="str">
        <f>IF(T41="","",VLOOKUP(T41,#REF!,3,FALSE))</f>
        <v/>
      </c>
      <c r="K41" s="103"/>
      <c r="L41" s="68" t="s">
        <v>5</v>
      </c>
      <c r="M41" s="103" t="str">
        <f>IF(T41="","",VLOOKUP(T41,#REF!,4,FALSE))</f>
        <v/>
      </c>
      <c r="N41" s="93"/>
      <c r="R41" t="str">
        <f>IF(T41="","",VLOOKUP(T41,#REF!,2,FALSE))</f>
        <v/>
      </c>
      <c r="T41" s="1"/>
      <c r="AQ41">
        <v>5</v>
      </c>
      <c r="AR41">
        <v>5</v>
      </c>
      <c r="AS41">
        <v>7</v>
      </c>
      <c r="AT41" t="str">
        <f>IF(AND(ISNUMBER(J41),ISNUMBER(M41)),IF(J41+M41=1,1,0),"")</f>
        <v/>
      </c>
      <c r="AV41" s="38">
        <f>AR41*100+AS41</f>
        <v>507</v>
      </c>
      <c r="AW41" s="38">
        <f>AS41*100+AR41</f>
        <v>705</v>
      </c>
      <c r="AX41">
        <f t="shared" si="25"/>
        <v>0</v>
      </c>
      <c r="AY41">
        <f t="shared" si="25"/>
        <v>0</v>
      </c>
      <c r="AZ41" t="e">
        <f>J41*AY41</f>
        <v>#VALUE!</v>
      </c>
      <c r="BA41" t="e">
        <f>M41*AX41</f>
        <v>#VALUE!</v>
      </c>
    </row>
    <row r="42" spans="1:53" x14ac:dyDescent="0.3">
      <c r="B42">
        <v>3</v>
      </c>
      <c r="C42" t="str">
        <f>VLOOKUP(AR42,$B$4:$F$11,2,FALSE)</f>
        <v>D</v>
      </c>
      <c r="D42" s="36" t="s">
        <v>5</v>
      </c>
      <c r="E42" s="86" t="str">
        <f>VLOOKUP(AS42,$B$4:$F$11,2,FALSE)</f>
        <v>A</v>
      </c>
      <c r="F42" s="86"/>
      <c r="G42" s="86"/>
      <c r="H42" s="86"/>
      <c r="J42" s="92" t="str">
        <f>IF(T42="","",VLOOKUP(T42,#REF!,3,FALSE))</f>
        <v/>
      </c>
      <c r="K42" s="103"/>
      <c r="L42" s="68" t="s">
        <v>5</v>
      </c>
      <c r="M42" s="103" t="str">
        <f>IF(T42="","",VLOOKUP(T42,#REF!,4,FALSE))</f>
        <v/>
      </c>
      <c r="N42" s="93"/>
      <c r="R42" t="str">
        <f>IF(T42="","",VLOOKUP(T42,#REF!,2,FALSE))</f>
        <v/>
      </c>
      <c r="T42" s="1"/>
      <c r="AQ42">
        <v>5</v>
      </c>
      <c r="AR42">
        <v>4</v>
      </c>
      <c r="AS42">
        <v>1</v>
      </c>
      <c r="AT42" t="str">
        <f>IF(AND(ISNUMBER(J42),ISNUMBER(M42)),IF(J42+M42=1,1,0),"")</f>
        <v/>
      </c>
      <c r="AV42" s="38">
        <f>AR42*100+AS42</f>
        <v>401</v>
      </c>
      <c r="AW42" s="38">
        <f>AS42*100+AR42</f>
        <v>104</v>
      </c>
      <c r="AX42">
        <f t="shared" si="25"/>
        <v>0</v>
      </c>
      <c r="AY42">
        <f t="shared" si="25"/>
        <v>0</v>
      </c>
      <c r="AZ42" t="e">
        <f>J42*AY42</f>
        <v>#VALUE!</v>
      </c>
      <c r="BA42" t="e">
        <f>M42*AX42</f>
        <v>#VALUE!</v>
      </c>
    </row>
    <row r="43" spans="1:53" x14ac:dyDescent="0.3">
      <c r="B43">
        <v>4</v>
      </c>
      <c r="C43" t="str">
        <f>VLOOKUP(AR43,$B$4:$F$11,2,FALSE)</f>
        <v>C</v>
      </c>
      <c r="D43" s="36" t="s">
        <v>5</v>
      </c>
      <c r="E43" s="86" t="str">
        <f>VLOOKUP(AS43,$B$4:$F$11,2,FALSE)</f>
        <v>B</v>
      </c>
      <c r="F43" s="86"/>
      <c r="G43" s="86"/>
      <c r="H43" s="86"/>
      <c r="J43" s="92" t="str">
        <f>IF(T43="","",VLOOKUP(T43,#REF!,3,FALSE))</f>
        <v/>
      </c>
      <c r="K43" s="103"/>
      <c r="L43" s="68" t="s">
        <v>5</v>
      </c>
      <c r="M43" s="103" t="str">
        <f>IF(T43="","",VLOOKUP(T43,#REF!,4,FALSE))</f>
        <v/>
      </c>
      <c r="N43" s="93"/>
      <c r="R43" t="str">
        <f>IF(T43="","",VLOOKUP(T43,#REF!,2,FALSE))</f>
        <v/>
      </c>
      <c r="T43" s="1"/>
      <c r="AQ43">
        <v>5</v>
      </c>
      <c r="AR43">
        <v>3</v>
      </c>
      <c r="AS43">
        <v>2</v>
      </c>
      <c r="AT43" t="str">
        <f>IF(AND(ISNUMBER(J43),ISNUMBER(M43)),IF(J43+M43=1,1,0),"")</f>
        <v/>
      </c>
      <c r="AV43" s="38">
        <f>AR43*100+AS43</f>
        <v>302</v>
      </c>
      <c r="AW43" s="38">
        <f>AS43*100+AR43</f>
        <v>203</v>
      </c>
      <c r="AX43">
        <f t="shared" si="25"/>
        <v>0</v>
      </c>
      <c r="AY43">
        <f t="shared" si="25"/>
        <v>0</v>
      </c>
      <c r="AZ43" t="e">
        <f>J43*AY43</f>
        <v>#VALUE!</v>
      </c>
      <c r="BA43" t="e">
        <f>M43*AX43</f>
        <v>#VALUE!</v>
      </c>
    </row>
    <row r="44" spans="1:53" ht="3" customHeight="1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AV44" s="32"/>
      <c r="AW44" s="32"/>
    </row>
    <row r="45" spans="1:53" x14ac:dyDescent="0.3">
      <c r="A45" s="17">
        <v>6</v>
      </c>
      <c r="B45" s="35" t="s">
        <v>13</v>
      </c>
      <c r="D45" s="109" t="str">
        <f>"Van:" &amp; TEXT(Configuratie!R25,"uu.mm.ss")</f>
        <v>Van:15.45.00</v>
      </c>
      <c r="E45" s="110"/>
      <c r="G45" s="109" t="str">
        <f>"Tot: "&amp; TEXT(Configuratie!S25,"uu.mm.ss")</f>
        <v>Tot: 16.10.00</v>
      </c>
      <c r="H45" s="110"/>
      <c r="AV45" s="32"/>
      <c r="AW45" s="32"/>
    </row>
    <row r="46" spans="1:53" x14ac:dyDescent="0.3">
      <c r="B46">
        <v>1</v>
      </c>
      <c r="C46" t="str">
        <f>VLOOKUP(AR46,$B$4:$F$11,2,FALSE)</f>
        <v>H</v>
      </c>
      <c r="D46" s="36" t="s">
        <v>5</v>
      </c>
      <c r="E46" s="86" t="str">
        <f>VLOOKUP(AS46,$B$4:$F$11,2,FALSE)</f>
        <v>B</v>
      </c>
      <c r="F46" s="86"/>
      <c r="G46" s="86"/>
      <c r="H46" s="86"/>
      <c r="J46" s="92" t="str">
        <f>IF(T46="","",VLOOKUP(T46,#REF!,3,FALSE))</f>
        <v/>
      </c>
      <c r="K46" s="103"/>
      <c r="L46" s="68" t="s">
        <v>5</v>
      </c>
      <c r="M46" s="103" t="str">
        <f>IF(T46="","",VLOOKUP(T46,#REF!,4,FALSE))</f>
        <v/>
      </c>
      <c r="N46" s="93"/>
      <c r="R46" t="str">
        <f>IF(T46="","",VLOOKUP(T46,#REF!,2,FALSE))</f>
        <v/>
      </c>
      <c r="T46" s="1"/>
      <c r="AQ46">
        <v>6</v>
      </c>
      <c r="AR46">
        <v>8</v>
      </c>
      <c r="AS46">
        <v>2</v>
      </c>
      <c r="AT46" t="str">
        <f>IF(AND(ISNUMBER(J46),ISNUMBER(M46)),IF(J46+M46=1,1,0),"")</f>
        <v/>
      </c>
      <c r="AV46" s="38">
        <f>AR46*100+AS46</f>
        <v>802</v>
      </c>
      <c r="AW46" s="38">
        <f>AS46*100+AR46</f>
        <v>208</v>
      </c>
      <c r="AX46">
        <f t="shared" ref="AX46:AY49" si="26">VLOOKUP(AR46,$BG$3:$BP$11,$AQ46,FALSE)</f>
        <v>0</v>
      </c>
      <c r="AY46">
        <f t="shared" si="26"/>
        <v>0</v>
      </c>
      <c r="AZ46" t="e">
        <f>J46*AY46</f>
        <v>#VALUE!</v>
      </c>
      <c r="BA46" t="e">
        <f>M46*AX46</f>
        <v>#VALUE!</v>
      </c>
    </row>
    <row r="47" spans="1:53" x14ac:dyDescent="0.3">
      <c r="B47">
        <v>2</v>
      </c>
      <c r="C47" t="str">
        <f>VLOOKUP(AR47,$B$4:$F$11,2,FALSE)</f>
        <v>A</v>
      </c>
      <c r="D47" s="36" t="s">
        <v>5</v>
      </c>
      <c r="E47" s="86" t="str">
        <f>VLOOKUP(AS47,$B$4:$F$11,2,FALSE)</f>
        <v>C</v>
      </c>
      <c r="F47" s="86"/>
      <c r="G47" s="86"/>
      <c r="H47" s="86"/>
      <c r="J47" s="92" t="str">
        <f>IF(T47="","",VLOOKUP(T47,#REF!,3,FALSE))</f>
        <v/>
      </c>
      <c r="K47" s="103"/>
      <c r="L47" s="68" t="s">
        <v>5</v>
      </c>
      <c r="M47" s="103" t="str">
        <f>IF(T47="","",VLOOKUP(T47,#REF!,4,FALSE))</f>
        <v/>
      </c>
      <c r="N47" s="93"/>
      <c r="R47" t="str">
        <f>IF(T47="","",VLOOKUP(T47,#REF!,2,FALSE))</f>
        <v/>
      </c>
      <c r="T47" s="1"/>
      <c r="AQ47">
        <v>6</v>
      </c>
      <c r="AR47">
        <v>1</v>
      </c>
      <c r="AS47">
        <v>3</v>
      </c>
      <c r="AT47" t="str">
        <f>IF(AND(ISNUMBER(J47),ISNUMBER(M47)),IF(J47+M47=1,1,0),"")</f>
        <v/>
      </c>
      <c r="AV47" s="38">
        <f>AR47*100+AS47</f>
        <v>103</v>
      </c>
      <c r="AW47" s="38">
        <f>AS47*100+AR47</f>
        <v>301</v>
      </c>
      <c r="AX47">
        <f t="shared" si="26"/>
        <v>0</v>
      </c>
      <c r="AY47">
        <f t="shared" si="26"/>
        <v>0</v>
      </c>
      <c r="AZ47" t="e">
        <f>J47*AY47</f>
        <v>#VALUE!</v>
      </c>
      <c r="BA47" t="e">
        <f>M47*AX47</f>
        <v>#VALUE!</v>
      </c>
    </row>
    <row r="48" spans="1:53" x14ac:dyDescent="0.3">
      <c r="B48">
        <v>3</v>
      </c>
      <c r="C48" t="str">
        <f>VLOOKUP(AR48,$B$4:$F$11,2,FALSE)</f>
        <v>G</v>
      </c>
      <c r="D48" s="36" t="s">
        <v>5</v>
      </c>
      <c r="E48" s="86" t="str">
        <f>VLOOKUP(AS48,$B$4:$F$11,2,FALSE)</f>
        <v>D</v>
      </c>
      <c r="F48" s="86"/>
      <c r="G48" s="86"/>
      <c r="H48" s="86"/>
      <c r="J48" s="92" t="str">
        <f>IF(T48="","",VLOOKUP(T48,#REF!,3,FALSE))</f>
        <v/>
      </c>
      <c r="K48" s="103"/>
      <c r="L48" s="68" t="s">
        <v>5</v>
      </c>
      <c r="M48" s="103" t="str">
        <f>IF(T48="","",VLOOKUP(T48,#REF!,4,FALSE))</f>
        <v/>
      </c>
      <c r="N48" s="93"/>
      <c r="R48" t="str">
        <f>IF(T48="","",VLOOKUP(T48,#REF!,2,FALSE))</f>
        <v/>
      </c>
      <c r="T48" s="1"/>
      <c r="AQ48">
        <v>6</v>
      </c>
      <c r="AR48">
        <v>7</v>
      </c>
      <c r="AS48">
        <v>4</v>
      </c>
      <c r="AT48" t="str">
        <f>IF(AND(ISNUMBER(J48),ISNUMBER(M48)),IF(J48+M48=1,1,0),"")</f>
        <v/>
      </c>
      <c r="AV48" s="38">
        <f>AR48*100+AS48</f>
        <v>704</v>
      </c>
      <c r="AW48" s="38">
        <f>AS48*100+AR48</f>
        <v>407</v>
      </c>
      <c r="AX48">
        <f t="shared" si="26"/>
        <v>0</v>
      </c>
      <c r="AY48">
        <f t="shared" si="26"/>
        <v>0</v>
      </c>
      <c r="AZ48" t="e">
        <f>J48*AY48</f>
        <v>#VALUE!</v>
      </c>
      <c r="BA48" t="e">
        <f>M48*AX48</f>
        <v>#VALUE!</v>
      </c>
    </row>
    <row r="49" spans="1:53" x14ac:dyDescent="0.3">
      <c r="B49">
        <v>4</v>
      </c>
      <c r="C49" t="str">
        <f>VLOOKUP(AR49,$B$4:$F$11,2,FALSE)</f>
        <v>F</v>
      </c>
      <c r="D49" s="36" t="s">
        <v>5</v>
      </c>
      <c r="E49" s="86" t="str">
        <f>VLOOKUP(AS49,$B$4:$F$11,2,FALSE)</f>
        <v>E</v>
      </c>
      <c r="F49" s="86"/>
      <c r="G49" s="86"/>
      <c r="H49" s="86"/>
      <c r="J49" s="92" t="str">
        <f>IF(T49="","",VLOOKUP(T49,#REF!,3,FALSE))</f>
        <v/>
      </c>
      <c r="K49" s="103"/>
      <c r="L49" s="68" t="s">
        <v>5</v>
      </c>
      <c r="M49" s="103" t="str">
        <f>IF(T49="","",VLOOKUP(T49,#REF!,4,FALSE))</f>
        <v/>
      </c>
      <c r="N49" s="93"/>
      <c r="R49" t="str">
        <f>IF(T49="","",VLOOKUP(T49,#REF!,2,FALSE))</f>
        <v/>
      </c>
      <c r="T49" s="1"/>
      <c r="AQ49">
        <v>6</v>
      </c>
      <c r="AR49">
        <v>6</v>
      </c>
      <c r="AS49">
        <v>5</v>
      </c>
      <c r="AT49" t="str">
        <f>IF(AND(ISNUMBER(J49),ISNUMBER(M49)),IF(J49+M49=1,1,0),"")</f>
        <v/>
      </c>
      <c r="AV49" s="38">
        <f>AR49*100+AS49</f>
        <v>605</v>
      </c>
      <c r="AW49" s="38">
        <f>AS49*100+AR49</f>
        <v>506</v>
      </c>
      <c r="AX49">
        <f t="shared" si="26"/>
        <v>0</v>
      </c>
      <c r="AY49">
        <f t="shared" si="26"/>
        <v>0</v>
      </c>
      <c r="AZ49" t="e">
        <f>J49*AY49</f>
        <v>#VALUE!</v>
      </c>
      <c r="BA49" t="e">
        <f>M49*AX49</f>
        <v>#VALUE!</v>
      </c>
    </row>
    <row r="50" spans="1:53" ht="3" customHeight="1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AV50" s="32"/>
      <c r="AW50" s="32"/>
    </row>
    <row r="51" spans="1:53" x14ac:dyDescent="0.3">
      <c r="A51" s="17">
        <v>7</v>
      </c>
      <c r="B51" s="35" t="s">
        <v>14</v>
      </c>
      <c r="D51" s="109" t="str">
        <f>"Van:" &amp; TEXT(Configuratie!T25,"uu.mm.ss")</f>
        <v>Van:16.15.00</v>
      </c>
      <c r="E51" s="110"/>
      <c r="G51" s="109" t="str">
        <f>"Tot: "&amp; TEXT(Configuratie!U25,"uu.mm.ss")</f>
        <v>Tot: 16.40.00</v>
      </c>
      <c r="H51" s="110"/>
      <c r="AV51" s="32"/>
      <c r="AW51" s="32"/>
    </row>
    <row r="52" spans="1:53" x14ac:dyDescent="0.3">
      <c r="B52">
        <v>1</v>
      </c>
      <c r="C52" t="str">
        <f>VLOOKUP(AR52,$B$4:$F$11,2,FALSE)</f>
        <v>E</v>
      </c>
      <c r="D52" s="36" t="s">
        <v>5</v>
      </c>
      <c r="E52" s="86" t="str">
        <f>VLOOKUP(AS52,$B$4:$F$11,2,FALSE)</f>
        <v>H</v>
      </c>
      <c r="F52" s="86"/>
      <c r="G52" s="86"/>
      <c r="H52" s="86"/>
      <c r="J52" s="92" t="str">
        <f>IF(T52="","",VLOOKUP(T52,#REF!,3,FALSE))</f>
        <v/>
      </c>
      <c r="K52" s="103"/>
      <c r="L52" s="68" t="s">
        <v>5</v>
      </c>
      <c r="M52" s="103" t="str">
        <f>IF(T52="","",VLOOKUP(T52,#REF!,4,FALSE))</f>
        <v/>
      </c>
      <c r="N52" s="93"/>
      <c r="R52" t="str">
        <f>IF(T52="","",VLOOKUP(T52,#REF!,2,FALSE))</f>
        <v/>
      </c>
      <c r="T52" s="1"/>
      <c r="AQ52">
        <v>7</v>
      </c>
      <c r="AR52">
        <v>5</v>
      </c>
      <c r="AS52">
        <v>8</v>
      </c>
      <c r="AT52" t="str">
        <f>IF(AND(ISNUMBER(J52),ISNUMBER(M52)),IF(J52+M52=1,1,0),"")</f>
        <v/>
      </c>
      <c r="AV52" s="38">
        <f>AR52*100+AS52</f>
        <v>508</v>
      </c>
      <c r="AW52" s="38">
        <f>AS52*100+AR52</f>
        <v>805</v>
      </c>
      <c r="AX52">
        <f t="shared" ref="AX52:AY55" si="27">VLOOKUP(AR52,$BG$3:$BP$11,$AQ52,FALSE)</f>
        <v>0</v>
      </c>
      <c r="AY52">
        <f t="shared" si="27"/>
        <v>0</v>
      </c>
      <c r="AZ52" t="e">
        <f>J52*AY52</f>
        <v>#VALUE!</v>
      </c>
      <c r="BA52" t="e">
        <f>M52*AX52</f>
        <v>#VALUE!</v>
      </c>
    </row>
    <row r="53" spans="1:53" x14ac:dyDescent="0.3">
      <c r="B53">
        <v>2</v>
      </c>
      <c r="C53" t="str">
        <f>VLOOKUP(AR53,$B$4:$F$11,2,FALSE)</f>
        <v>D</v>
      </c>
      <c r="D53" s="36" t="s">
        <v>5</v>
      </c>
      <c r="E53" s="86" t="str">
        <f>VLOOKUP(AS53,$B$4:$F$11,2,FALSE)</f>
        <v>F</v>
      </c>
      <c r="F53" s="86"/>
      <c r="G53" s="86"/>
      <c r="H53" s="86"/>
      <c r="J53" s="92" t="str">
        <f>IF(T53="","",VLOOKUP(T53,#REF!,3,FALSE))</f>
        <v/>
      </c>
      <c r="K53" s="103"/>
      <c r="L53" s="68" t="s">
        <v>5</v>
      </c>
      <c r="M53" s="103" t="str">
        <f>IF(T53="","",VLOOKUP(T53,#REF!,4,FALSE))</f>
        <v/>
      </c>
      <c r="N53" s="93"/>
      <c r="R53" t="str">
        <f>IF(T53="","",VLOOKUP(T53,#REF!,2,FALSE))</f>
        <v/>
      </c>
      <c r="T53" s="1"/>
      <c r="AQ53">
        <v>7</v>
      </c>
      <c r="AR53">
        <v>4</v>
      </c>
      <c r="AS53">
        <v>6</v>
      </c>
      <c r="AT53" t="str">
        <f>IF(AND(ISNUMBER(J53),ISNUMBER(M53)),IF(J53+M53=1,1,0),"")</f>
        <v/>
      </c>
      <c r="AV53" s="38">
        <f>AR53*100+AS53</f>
        <v>406</v>
      </c>
      <c r="AW53" s="38">
        <f>AS53*100+AR53</f>
        <v>604</v>
      </c>
      <c r="AX53">
        <f t="shared" si="27"/>
        <v>0</v>
      </c>
      <c r="AY53">
        <f t="shared" si="27"/>
        <v>0</v>
      </c>
      <c r="AZ53" t="e">
        <f>J53*AY53</f>
        <v>#VALUE!</v>
      </c>
      <c r="BA53" t="e">
        <f>M53*AX53</f>
        <v>#VALUE!</v>
      </c>
    </row>
    <row r="54" spans="1:53" x14ac:dyDescent="0.3">
      <c r="B54">
        <v>3</v>
      </c>
      <c r="C54" t="str">
        <f>VLOOKUP(AR54,$B$4:$F$11,2,FALSE)</f>
        <v>C</v>
      </c>
      <c r="D54" s="36" t="s">
        <v>5</v>
      </c>
      <c r="E54" s="86" t="str">
        <f>VLOOKUP(AS54,$B$4:$F$11,2,FALSE)</f>
        <v>G</v>
      </c>
      <c r="F54" s="86"/>
      <c r="G54" s="86"/>
      <c r="H54" s="86"/>
      <c r="J54" s="92" t="str">
        <f>IF(T54="","",VLOOKUP(T54,#REF!,3,FALSE))</f>
        <v/>
      </c>
      <c r="K54" s="103"/>
      <c r="L54" s="68" t="s">
        <v>5</v>
      </c>
      <c r="M54" s="103" t="str">
        <f>IF(T54="","",VLOOKUP(T54,#REF!,4,FALSE))</f>
        <v/>
      </c>
      <c r="N54" s="93"/>
      <c r="R54" t="str">
        <f>IF(T54="","",VLOOKUP(T54,#REF!,2,FALSE))</f>
        <v/>
      </c>
      <c r="T54" s="1"/>
      <c r="AQ54">
        <v>7</v>
      </c>
      <c r="AR54">
        <v>3</v>
      </c>
      <c r="AS54">
        <v>7</v>
      </c>
      <c r="AT54" t="str">
        <f>IF(AND(ISNUMBER(J54),ISNUMBER(M54)),IF(J54+M54=1,1,0),"")</f>
        <v/>
      </c>
      <c r="AV54" s="38">
        <f>AR54*100+AS54</f>
        <v>307</v>
      </c>
      <c r="AW54" s="38">
        <f>AS54*100+AR54</f>
        <v>703</v>
      </c>
      <c r="AX54">
        <f t="shared" si="27"/>
        <v>0</v>
      </c>
      <c r="AY54">
        <f t="shared" si="27"/>
        <v>0</v>
      </c>
      <c r="AZ54" t="e">
        <f>J54*AY54</f>
        <v>#VALUE!</v>
      </c>
      <c r="BA54" t="e">
        <f>M54*AX54</f>
        <v>#VALUE!</v>
      </c>
    </row>
    <row r="55" spans="1:53" x14ac:dyDescent="0.3">
      <c r="B55">
        <v>4</v>
      </c>
      <c r="C55" t="str">
        <f>VLOOKUP(AR55,$B$4:$F$11,2,FALSE)</f>
        <v>B</v>
      </c>
      <c r="D55" s="36" t="s">
        <v>5</v>
      </c>
      <c r="E55" s="86" t="str">
        <f>VLOOKUP(AS55,$B$4:$F$11,2,FALSE)</f>
        <v>A</v>
      </c>
      <c r="F55" s="86"/>
      <c r="G55" s="86"/>
      <c r="H55" s="86"/>
      <c r="J55" s="92" t="str">
        <f>IF(T55="","",VLOOKUP(T55,#REF!,3,FALSE))</f>
        <v/>
      </c>
      <c r="K55" s="103"/>
      <c r="L55" s="68" t="s">
        <v>5</v>
      </c>
      <c r="M55" s="103" t="str">
        <f>IF(T55="","",VLOOKUP(T55,#REF!,4,FALSE))</f>
        <v/>
      </c>
      <c r="N55" s="93"/>
      <c r="R55" t="str">
        <f>IF(T55="","",VLOOKUP(T55,#REF!,2,FALSE))</f>
        <v/>
      </c>
      <c r="T55" s="1"/>
      <c r="AQ55">
        <v>7</v>
      </c>
      <c r="AR55">
        <v>2</v>
      </c>
      <c r="AS55">
        <v>1</v>
      </c>
      <c r="AT55" t="str">
        <f>IF(AND(ISNUMBER(J55),ISNUMBER(M55)),IF(J55+M55=1,1,0),"")</f>
        <v/>
      </c>
      <c r="AV55" s="38">
        <f>AR55*100+AS55</f>
        <v>201</v>
      </c>
      <c r="AW55" s="38">
        <f>AS55*100+AR55</f>
        <v>102</v>
      </c>
      <c r="AX55">
        <f t="shared" si="27"/>
        <v>0</v>
      </c>
      <c r="AY55">
        <f t="shared" si="27"/>
        <v>0</v>
      </c>
      <c r="AZ55" t="e">
        <f>J55*AY55</f>
        <v>#VALUE!</v>
      </c>
      <c r="BA55" t="e">
        <f>M55*AX55</f>
        <v>#VALUE!</v>
      </c>
    </row>
    <row r="57" spans="1:53" ht="25.8" x14ac:dyDescent="0.5">
      <c r="B57" s="89" t="str">
        <f>"UITSLAG " &amp; G1</f>
        <v>UITSLAG GROEP A</v>
      </c>
      <c r="C57" s="90"/>
      <c r="D57" s="90"/>
      <c r="E57" s="90"/>
      <c r="F57" s="90"/>
      <c r="G57" s="90"/>
      <c r="H57" s="90"/>
    </row>
    <row r="59" spans="1:53" x14ac:dyDescent="0.3">
      <c r="B59" s="2" t="s">
        <v>33</v>
      </c>
      <c r="C59" s="2"/>
      <c r="D59" s="15" t="s">
        <v>30</v>
      </c>
      <c r="E59" s="2" t="s">
        <v>6</v>
      </c>
      <c r="F59" s="2" t="s">
        <v>29</v>
      </c>
      <c r="G59" s="2" t="s">
        <v>24</v>
      </c>
      <c r="H59" s="2" t="s">
        <v>26</v>
      </c>
    </row>
    <row r="60" spans="1:53" x14ac:dyDescent="0.3">
      <c r="B60" s="24">
        <v>1</v>
      </c>
      <c r="C60" s="24" t="str">
        <f t="shared" ref="C60:C67" si="28">C4</f>
        <v>A</v>
      </c>
      <c r="D60" s="25">
        <v>2</v>
      </c>
      <c r="E60" s="26" t="str">
        <f t="shared" ref="E60:E67" si="29">IF(ISNA(VLOOKUP(B60,$A$4:$T$11,3,FALSE)),C4,VLOOKUP(B60,$A$4:$T$11,3,FALSE))</f>
        <v>A</v>
      </c>
      <c r="F60" s="51">
        <f t="shared" ref="F60:F67" si="30">IF(ISNA(VLOOKUP($B4,$A$4:$T$11,18,FALSE)),0,VLOOKUP($B4,$A$4:$T$11,18,FALSE))</f>
        <v>0</v>
      </c>
      <c r="G60" s="27">
        <f>VLOOKUP($B4,$A$4:$T$11,18,FALSE)</f>
        <v>0</v>
      </c>
      <c r="H60" s="7">
        <f t="shared" ref="H60:H67" si="31">IF(ISNA(VLOOKUP($B4,$A$4:$T$11,19,FALSE)),0,VLOOKUP($B4,$A$4:$T$11,19,FALSE))</f>
        <v>0</v>
      </c>
    </row>
    <row r="61" spans="1:53" x14ac:dyDescent="0.3">
      <c r="B61" s="24">
        <v>2</v>
      </c>
      <c r="C61" s="24" t="str">
        <f t="shared" si="28"/>
        <v>B</v>
      </c>
      <c r="D61" s="25">
        <v>7</v>
      </c>
      <c r="E61" s="26" t="str">
        <f t="shared" si="29"/>
        <v>B</v>
      </c>
      <c r="F61" s="51">
        <f t="shared" si="30"/>
        <v>0</v>
      </c>
      <c r="G61" s="27">
        <f t="shared" ref="G61:G67" si="32">VLOOKUP($D61,$AQ$4:$AT$11,2,FALSE)</f>
        <v>0</v>
      </c>
      <c r="H61" s="7">
        <f t="shared" si="31"/>
        <v>0</v>
      </c>
    </row>
    <row r="62" spans="1:53" x14ac:dyDescent="0.3">
      <c r="B62" s="24">
        <v>3</v>
      </c>
      <c r="C62" s="24" t="str">
        <f t="shared" si="28"/>
        <v>C</v>
      </c>
      <c r="D62" s="25">
        <v>1</v>
      </c>
      <c r="E62" s="26" t="str">
        <f t="shared" si="29"/>
        <v>C</v>
      </c>
      <c r="F62" s="51">
        <f t="shared" si="30"/>
        <v>0</v>
      </c>
      <c r="G62" s="27">
        <f t="shared" si="32"/>
        <v>0</v>
      </c>
      <c r="H62" s="7">
        <f t="shared" si="31"/>
        <v>0</v>
      </c>
    </row>
    <row r="63" spans="1:53" x14ac:dyDescent="0.3">
      <c r="B63" s="24">
        <v>4</v>
      </c>
      <c r="C63" s="24" t="str">
        <f t="shared" si="28"/>
        <v>D</v>
      </c>
      <c r="D63" s="25">
        <v>6</v>
      </c>
      <c r="E63" s="26" t="str">
        <f t="shared" si="29"/>
        <v>D</v>
      </c>
      <c r="F63" s="51">
        <f t="shared" si="30"/>
        <v>0</v>
      </c>
      <c r="G63" s="27">
        <f t="shared" si="32"/>
        <v>0</v>
      </c>
      <c r="H63" s="7">
        <f t="shared" si="31"/>
        <v>0</v>
      </c>
    </row>
    <row r="64" spans="1:53" x14ac:dyDescent="0.3">
      <c r="B64" s="24">
        <v>5</v>
      </c>
      <c r="C64" s="24" t="str">
        <f t="shared" si="28"/>
        <v>E</v>
      </c>
      <c r="D64" s="25">
        <v>3</v>
      </c>
      <c r="E64" s="26" t="str">
        <f t="shared" si="29"/>
        <v>E</v>
      </c>
      <c r="F64" s="51">
        <f t="shared" si="30"/>
        <v>0</v>
      </c>
      <c r="G64" s="27">
        <f t="shared" si="32"/>
        <v>0</v>
      </c>
      <c r="H64" s="7">
        <f t="shared" si="31"/>
        <v>0</v>
      </c>
    </row>
    <row r="65" spans="2:8" x14ac:dyDescent="0.3">
      <c r="B65" s="24">
        <v>6</v>
      </c>
      <c r="C65" s="24" t="str">
        <f t="shared" si="28"/>
        <v>F</v>
      </c>
      <c r="D65" s="25">
        <v>5</v>
      </c>
      <c r="E65" s="26" t="str">
        <f t="shared" si="29"/>
        <v>F</v>
      </c>
      <c r="F65" s="51">
        <f t="shared" si="30"/>
        <v>0</v>
      </c>
      <c r="G65" s="27">
        <f t="shared" si="32"/>
        <v>0</v>
      </c>
      <c r="H65" s="7">
        <f t="shared" si="31"/>
        <v>0</v>
      </c>
    </row>
    <row r="66" spans="2:8" x14ac:dyDescent="0.3">
      <c r="B66" s="24">
        <v>7</v>
      </c>
      <c r="C66" s="24" t="str">
        <f t="shared" si="28"/>
        <v>G</v>
      </c>
      <c r="D66" s="25">
        <v>4</v>
      </c>
      <c r="E66" s="26" t="str">
        <f t="shared" si="29"/>
        <v>G</v>
      </c>
      <c r="F66" s="51">
        <f t="shared" si="30"/>
        <v>0</v>
      </c>
      <c r="G66" s="27">
        <f t="shared" si="32"/>
        <v>0</v>
      </c>
      <c r="H66" s="7">
        <f t="shared" si="31"/>
        <v>0</v>
      </c>
    </row>
    <row r="67" spans="2:8" x14ac:dyDescent="0.3">
      <c r="B67" s="24">
        <v>8</v>
      </c>
      <c r="C67" s="24" t="str">
        <f t="shared" si="28"/>
        <v>H</v>
      </c>
      <c r="D67" s="25">
        <v>8</v>
      </c>
      <c r="E67" s="26" t="str">
        <f t="shared" si="29"/>
        <v>H</v>
      </c>
      <c r="F67" s="51">
        <f t="shared" si="30"/>
        <v>0</v>
      </c>
      <c r="G67" s="27">
        <f t="shared" si="32"/>
        <v>0</v>
      </c>
      <c r="H67" s="7">
        <f t="shared" si="31"/>
        <v>0</v>
      </c>
    </row>
  </sheetData>
  <sheetProtection algorithmName="SHA-512" hashValue="U7qt3615amBCKArXevv4JmgBl9kC4hkTZHMiWaOPyUtoIcLGW3CN1rpaonZ6aJQh2AGH+lxqom+N4bL4dOMwKg==" saltValue="QR31ZaRuCDpaRS/fahRQOA==" spinCount="100000" sheet="1" selectLockedCells="1"/>
  <sortState xmlns:xlrd2="http://schemas.microsoft.com/office/spreadsheetml/2017/richdata2" ref="W4:X11">
    <sortCondition descending="1" ref="W4:W11"/>
    <sortCondition descending="1" ref="X4:X11"/>
  </sortState>
  <mergeCells count="112">
    <mergeCell ref="G21:H21"/>
    <mergeCell ref="G27:H27"/>
    <mergeCell ref="G33:H33"/>
    <mergeCell ref="G39:H39"/>
    <mergeCell ref="G45:H45"/>
    <mergeCell ref="D21:E21"/>
    <mergeCell ref="D27:E27"/>
    <mergeCell ref="D33:E33"/>
    <mergeCell ref="D39:E39"/>
    <mergeCell ref="D45:E45"/>
    <mergeCell ref="E34:H34"/>
    <mergeCell ref="E43:H43"/>
    <mergeCell ref="D4:E4"/>
    <mergeCell ref="B1:F1"/>
    <mergeCell ref="AW2:BE2"/>
    <mergeCell ref="BH2:BP2"/>
    <mergeCell ref="D3:E3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5:E15"/>
    <mergeCell ref="G15:H15"/>
    <mergeCell ref="J15:N1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D51:E51"/>
    <mergeCell ref="G51:H51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6" stopIfTrue="1" operator="between">
      <formula>0</formula>
      <formula>1</formula>
    </cfRule>
  </conditionalFormatting>
  <conditionalFormatting sqref="T4:U11">
    <cfRule type="cellIs" dxfId="10" priority="3" operator="equal">
      <formula>3</formula>
    </cfRule>
    <cfRule type="cellIs" dxfId="9" priority="4" operator="equal">
      <formula>2</formula>
    </cfRule>
    <cfRule type="cellIs" dxfId="8" priority="5" operator="equal">
      <formula>1</formula>
    </cfRule>
  </conditionalFormatting>
  <printOptions horizontalCentered="1" verticalCentered="1"/>
  <pageMargins left="0.7" right="0.7" top="0.75" bottom="0.75" header="0.3" footer="0.3"/>
  <pageSetup paperSize="9" scale="69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topLeftCell="A7" zoomScaleNormal="100" zoomScaleSheetLayoutView="100" workbookViewId="0">
      <selection activeCell="T14" sqref="T14"/>
    </sheetView>
  </sheetViews>
  <sheetFormatPr defaultColWidth="9.109375" defaultRowHeight="14.4" x14ac:dyDescent="0.3"/>
  <cols>
    <col min="1" max="1" width="3" style="17" bestFit="1" customWidth="1"/>
    <col min="2" max="2" width="3.6640625" customWidth="1"/>
    <col min="3" max="3" width="27.6640625" customWidth="1"/>
    <col min="4" max="4" width="3.6640625" customWidth="1"/>
    <col min="5" max="5" width="12" customWidth="1"/>
    <col min="6" max="6" width="9.6640625" customWidth="1"/>
    <col min="7" max="7" width="6.6640625" customWidth="1"/>
    <col min="8" max="13" width="4.6640625" customWidth="1"/>
    <col min="14" max="14" width="3.6640625" customWidth="1"/>
    <col min="15" max="17" width="3.6640625" hidden="1" customWidth="1"/>
    <col min="18" max="18" width="10.44140625" customWidth="1"/>
    <col min="19" max="19" width="7.44140625" customWidth="1"/>
    <col min="20" max="20" width="6.5546875" customWidth="1"/>
    <col min="21" max="21" width="3.6640625" customWidth="1"/>
    <col min="22" max="24" width="6.6640625" hidden="1" customWidth="1"/>
    <col min="25" max="25" width="8.5546875" hidden="1" customWidth="1"/>
    <col min="26" max="26" width="6.6640625" hidden="1" customWidth="1"/>
    <col min="27" max="27" width="8.5546875" hidden="1" customWidth="1"/>
    <col min="28" max="28" width="6.6640625" hidden="1" customWidth="1"/>
    <col min="29" max="29" width="8.5546875" hidden="1" customWidth="1"/>
    <col min="30" max="31" width="6.6640625" hidden="1" customWidth="1"/>
    <col min="32" max="32" width="8.5546875" hidden="1" customWidth="1"/>
    <col min="33" max="40" width="6.6640625" hidden="1" customWidth="1"/>
    <col min="41" max="44" width="9.109375" hidden="1" customWidth="1"/>
    <col min="45" max="46" width="4.44140625" hidden="1" customWidth="1"/>
    <col min="47" max="65" width="3.6640625" hidden="1" customWidth="1"/>
    <col min="66" max="66" width="9.109375" hidden="1" customWidth="1"/>
    <col min="67" max="68" width="9.109375" customWidth="1"/>
  </cols>
  <sheetData>
    <row r="1" spans="1:65" ht="25.8" x14ac:dyDescent="0.5">
      <c r="A1" s="17">
        <v>6</v>
      </c>
      <c r="B1" s="85" t="s">
        <v>31</v>
      </c>
      <c r="C1" s="85"/>
      <c r="D1" s="85"/>
      <c r="E1" s="85"/>
      <c r="F1" s="85"/>
      <c r="G1" s="10" t="s">
        <v>32</v>
      </c>
      <c r="H1" s="10"/>
      <c r="I1" s="37"/>
      <c r="J1" s="37"/>
      <c r="K1" s="37"/>
      <c r="L1" s="37"/>
      <c r="M1" s="37"/>
      <c r="N1" s="37"/>
      <c r="O1" s="37"/>
      <c r="P1" s="37"/>
      <c r="Q1" s="37"/>
      <c r="R1" s="37"/>
      <c r="T1" s="63" t="e">
        <f>"versie " &amp;#REF!</f>
        <v>#REF!</v>
      </c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65" x14ac:dyDescent="0.3">
      <c r="AO2" s="11" t="s">
        <v>27</v>
      </c>
      <c r="AP2" s="11" t="s">
        <v>26</v>
      </c>
      <c r="AQ2" s="11" t="s">
        <v>28</v>
      </c>
      <c r="AT2" s="90" t="s">
        <v>22</v>
      </c>
      <c r="AU2" s="90"/>
      <c r="AV2" s="90"/>
      <c r="AW2" s="90"/>
      <c r="AX2" s="90"/>
      <c r="AY2" s="90"/>
      <c r="AZ2" s="90"/>
      <c r="BA2" s="90"/>
      <c r="BB2" s="90"/>
      <c r="BC2" s="12"/>
      <c r="BE2" s="90" t="s">
        <v>23</v>
      </c>
      <c r="BF2" s="90"/>
      <c r="BG2" s="90"/>
      <c r="BH2" s="90"/>
      <c r="BI2" s="90"/>
      <c r="BJ2" s="90"/>
      <c r="BK2" s="90"/>
      <c r="BL2" s="90"/>
      <c r="BM2" s="90"/>
    </row>
    <row r="3" spans="1:65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H3" s="2">
        <v>1</v>
      </c>
      <c r="I3" s="2">
        <v>2</v>
      </c>
      <c r="J3" s="2">
        <v>3</v>
      </c>
      <c r="K3" s="2">
        <v>4</v>
      </c>
      <c r="L3" s="2">
        <v>5</v>
      </c>
      <c r="M3" s="2">
        <v>6</v>
      </c>
      <c r="N3" s="98"/>
      <c r="O3" s="111"/>
      <c r="P3" s="39"/>
      <c r="Q3" s="40"/>
      <c r="R3" s="2" t="s">
        <v>17</v>
      </c>
      <c r="S3" s="2" t="s">
        <v>26</v>
      </c>
      <c r="T3" s="2" t="s">
        <v>69</v>
      </c>
      <c r="U3" s="12"/>
      <c r="V3" s="2" t="s">
        <v>34</v>
      </c>
      <c r="W3" s="2" t="s">
        <v>35</v>
      </c>
      <c r="X3" s="8"/>
      <c r="Y3" s="2" t="s">
        <v>60</v>
      </c>
      <c r="Z3" s="2" t="s">
        <v>61</v>
      </c>
      <c r="AA3" s="2" t="s">
        <v>62</v>
      </c>
      <c r="AB3" s="2" t="s">
        <v>63</v>
      </c>
      <c r="AC3" s="2" t="s">
        <v>64</v>
      </c>
      <c r="AD3" s="2" t="s">
        <v>65</v>
      </c>
      <c r="AE3" s="2"/>
      <c r="AF3" s="2" t="s">
        <v>66</v>
      </c>
      <c r="AG3" s="2" t="s">
        <v>67</v>
      </c>
      <c r="AH3" s="2" t="s">
        <v>68</v>
      </c>
      <c r="AI3" s="2" t="s">
        <v>69</v>
      </c>
      <c r="AJ3" s="8"/>
      <c r="AK3" s="8"/>
      <c r="AL3" s="8"/>
      <c r="AM3" s="12"/>
      <c r="AN3" s="2" t="s">
        <v>36</v>
      </c>
      <c r="AO3" s="16" t="s">
        <v>25</v>
      </c>
      <c r="AP3" s="11" t="s">
        <v>25</v>
      </c>
      <c r="AQ3" s="11" t="s">
        <v>25</v>
      </c>
      <c r="AS3" t="s">
        <v>30</v>
      </c>
      <c r="AT3">
        <v>1</v>
      </c>
      <c r="AU3">
        <v>2</v>
      </c>
      <c r="AV3">
        <v>3</v>
      </c>
      <c r="AW3">
        <v>4</v>
      </c>
      <c r="AX3">
        <v>5</v>
      </c>
      <c r="AY3">
        <v>6</v>
      </c>
      <c r="AZ3">
        <v>7</v>
      </c>
      <c r="BA3">
        <v>8</v>
      </c>
      <c r="BB3">
        <v>9</v>
      </c>
      <c r="BD3" t="s">
        <v>30</v>
      </c>
      <c r="BE3">
        <v>1</v>
      </c>
      <c r="BF3">
        <v>2</v>
      </c>
      <c r="BG3">
        <v>3</v>
      </c>
      <c r="BH3">
        <v>4</v>
      </c>
      <c r="BI3">
        <v>5</v>
      </c>
      <c r="BJ3">
        <v>6</v>
      </c>
      <c r="BK3">
        <v>7</v>
      </c>
      <c r="BL3">
        <v>8</v>
      </c>
      <c r="BM3">
        <v>9</v>
      </c>
    </row>
    <row r="4" spans="1:65" x14ac:dyDescent="0.3">
      <c r="A4" s="41">
        <f t="shared" ref="A4:A9" si="0">T4</f>
        <v>1</v>
      </c>
      <c r="B4" s="18">
        <v>1</v>
      </c>
      <c r="C4" s="18" t="s">
        <v>40</v>
      </c>
      <c r="D4" s="104"/>
      <c r="E4" s="104"/>
      <c r="F4" s="18">
        <v>1000</v>
      </c>
      <c r="H4" s="19" t="str">
        <f t="shared" ref="H4:M9" si="1">IF((SUMIF($AS$11:$AS$36,$B4*100+H$3,$AQ$11:$AQ$36)+SUMIF($AS$11:$AS$36,$B4+H$3*100,$AQ$11:$AQ$36))=1,(SUMIF($AS$11:$AS$36,$B4*100+H$3,$J$11:$J$36)+SUMIF($AT$11:$AT$36,$B4*100+H$3,$M$11:$M$36)),"")</f>
        <v/>
      </c>
      <c r="I4" s="20" t="str">
        <f t="shared" si="1"/>
        <v/>
      </c>
      <c r="J4" s="20" t="str">
        <f t="shared" si="1"/>
        <v/>
      </c>
      <c r="K4" s="20" t="str">
        <f t="shared" si="1"/>
        <v/>
      </c>
      <c r="L4" s="20" t="str">
        <f t="shared" si="1"/>
        <v/>
      </c>
      <c r="M4" s="20" t="str">
        <f t="shared" si="1"/>
        <v/>
      </c>
      <c r="N4" s="112"/>
      <c r="O4" s="113"/>
      <c r="P4" s="42"/>
      <c r="Q4" s="43"/>
      <c r="R4" s="3">
        <f t="shared" ref="R4:R9" si="2">SUM(H4:Q4)</f>
        <v>0</v>
      </c>
      <c r="S4" s="3">
        <f t="shared" ref="S4:S9" si="3">IF(H4="",0,H4)*$R$4+IF(I4="",0,I4)*$R$5+IF(J4="",0,J4)*$R$6+IF(K4="",0,K4)*$R$7+IF(L4="",0,L4)*$R$8+IF(M4="",0,M4)*$R$9</f>
        <v>0</v>
      </c>
      <c r="T4" s="44">
        <f t="shared" ref="T4:T9" si="4">AI4</f>
        <v>1</v>
      </c>
      <c r="U4" s="23"/>
      <c r="V4" s="27">
        <f t="shared" ref="V4:V9" si="5">VLOOKUP($C42,$AN$4:$AQ$9,4,FALSE)</f>
        <v>0</v>
      </c>
      <c r="W4" s="28">
        <f t="shared" ref="W4:W9" si="6">VLOOKUP($C42,$B$4:$R$9,5,FALSE)</f>
        <v>1000</v>
      </c>
      <c r="X4" s="46"/>
      <c r="Y4" s="2">
        <f t="shared" ref="Y4:Y9" si="7">IF(R4=$R$4,IF(H4="",0,H4))+IF(R4=$R$5,IF(I4="",0,I4))+IF(R4=$R$6,IF(J4="",0,J4))+IF(R4=$R$7,IF(K4="",0,K4))+IF(R4=$R$8,IF(L4="",0,L4))+IF(R4=$R$9,IF(M4="",0,M4))</f>
        <v>0</v>
      </c>
      <c r="Z4" s="2">
        <f t="shared" ref="Z4:Z9" si="8">$Y$11*R4+Y4</f>
        <v>0</v>
      </c>
      <c r="AA4" s="2">
        <f t="shared" ref="AA4:AA9" si="9">IF(Z4=$Z$4,IF(H4="",0,H4))+IF(Z4=$Z$5,IF(I4="",0,I4))+IF(Z4=$Z$6,IF(J4="",0,J4))+IF(Z4=$Z$7,IF(K4="",0,K4))+IF(Z4=$Z$8,IF(L4="",0,L4))+IF(Z4=$Z$9,IF(M4="",0,M4))</f>
        <v>0</v>
      </c>
      <c r="AB4" s="2">
        <f t="shared" ref="AB4:AB9" si="10">$AA$11*Z4+AA4</f>
        <v>0</v>
      </c>
      <c r="AC4" s="2">
        <f t="shared" ref="AC4:AC9" si="11">IF(AB4=$AB$4,IF(H4="",0,H4))+IF(AB4=$AB$5,IF(I4="",0,I4))+IF(AB4=$AB$6,IF(J4="",0,J4))+IF(AB4=$AB$7,IF(K4="",0,K4))+IF(AB4=$AB$8,IF(L4="",0,L4))+IF(AB4=$AB$9,IF(M4="",0,M4))</f>
        <v>0</v>
      </c>
      <c r="AD4" s="2">
        <f t="shared" ref="AD4:AD9" si="12">$AC$11*AB4+AC4</f>
        <v>0</v>
      </c>
      <c r="AE4" s="46"/>
      <c r="AF4" s="46">
        <f t="shared" ref="AF4:AF9" si="13">RANK(AD4,$AD$4:$AD$9,1)-1</f>
        <v>0</v>
      </c>
      <c r="AG4" s="46">
        <f t="shared" ref="AG4:AG9" si="14">RANK(S4,$S$4:$S$9,1)-1</f>
        <v>0</v>
      </c>
      <c r="AH4" s="46">
        <f t="shared" ref="AH4:AH9" si="15">6*AF4+AG4</f>
        <v>0</v>
      </c>
      <c r="AI4" s="46">
        <f t="shared" ref="AI4:AI9" si="16">RANK(AH4,$AH$4:$AH$9)</f>
        <v>1</v>
      </c>
      <c r="AJ4" s="46"/>
      <c r="AK4" s="46"/>
      <c r="AL4" s="46"/>
      <c r="AM4" s="23"/>
      <c r="AN4" s="26">
        <v>1</v>
      </c>
      <c r="AO4" s="29">
        <f t="shared" ref="AO4:AO9" si="17">SUMIF($AO$11:$AO$36,B4,$AU$11:$AU$36)+SUMIF($AP$11:$AP$36,B4,$AV$11:$AV$36)</f>
        <v>0</v>
      </c>
      <c r="AP4" s="30" t="e">
        <f t="shared" ref="AP4:AP9" si="18">SUMIF($AO$11:$AO$36,B4,$AW$11:$AW$36)+SUMIF($AP$11:$AP$36,B4,$AX$11:$AX$36)</f>
        <v>#VALUE!</v>
      </c>
      <c r="AQ4" s="30">
        <f t="shared" ref="AQ4:AQ9" si="19">SUM(BE4:BM4)</f>
        <v>0</v>
      </c>
      <c r="AS4">
        <v>1</v>
      </c>
      <c r="AT4">
        <f t="shared" ref="AT4:BB9" si="20" xml:space="preserve"> SUMIFS( $J$14:$J$36, $AO$14:$AO$36,$AS4, $AN$14:$AN$36,AT$3) + SUMIFS( $M$14:$M$36, $AP$14:$AP$36,$AS4, $AN$14:$AN$36,AT$3)</f>
        <v>0</v>
      </c>
      <c r="AU4">
        <f t="shared" si="20"/>
        <v>0</v>
      </c>
      <c r="AV4">
        <f t="shared" si="20"/>
        <v>0</v>
      </c>
      <c r="AW4">
        <f t="shared" si="20"/>
        <v>0</v>
      </c>
      <c r="AX4">
        <f t="shared" si="20"/>
        <v>0</v>
      </c>
      <c r="AY4">
        <f t="shared" si="20"/>
        <v>0</v>
      </c>
      <c r="AZ4">
        <f t="shared" si="20"/>
        <v>0</v>
      </c>
      <c r="BA4">
        <f t="shared" si="20"/>
        <v>0</v>
      </c>
      <c r="BB4">
        <f t="shared" si="20"/>
        <v>0</v>
      </c>
      <c r="BD4">
        <v>1</v>
      </c>
      <c r="BE4">
        <f t="shared" ref="BE4:BE9" si="21">AT4</f>
        <v>0</v>
      </c>
      <c r="BF4">
        <f t="shared" ref="BF4:BM9" si="22">BE4+AU4</f>
        <v>0</v>
      </c>
      <c r="BG4">
        <f t="shared" si="22"/>
        <v>0</v>
      </c>
      <c r="BH4">
        <f t="shared" si="22"/>
        <v>0</v>
      </c>
      <c r="BI4">
        <f t="shared" si="22"/>
        <v>0</v>
      </c>
      <c r="BJ4">
        <f t="shared" si="22"/>
        <v>0</v>
      </c>
      <c r="BK4">
        <f t="shared" si="22"/>
        <v>0</v>
      </c>
      <c r="BL4">
        <f t="shared" si="22"/>
        <v>0</v>
      </c>
      <c r="BM4">
        <f t="shared" si="22"/>
        <v>0</v>
      </c>
    </row>
    <row r="5" spans="1:65" x14ac:dyDescent="0.3">
      <c r="A5" s="41">
        <f t="shared" si="0"/>
        <v>1</v>
      </c>
      <c r="B5" s="18">
        <v>2</v>
      </c>
      <c r="C5" s="18" t="s">
        <v>41</v>
      </c>
      <c r="D5" s="104"/>
      <c r="E5" s="104"/>
      <c r="F5" s="18">
        <v>1000</v>
      </c>
      <c r="H5" s="20" t="str">
        <f t="shared" si="1"/>
        <v/>
      </c>
      <c r="I5" s="19" t="str">
        <f t="shared" si="1"/>
        <v/>
      </c>
      <c r="J5" s="20" t="str">
        <f t="shared" si="1"/>
        <v/>
      </c>
      <c r="K5" s="20" t="str">
        <f t="shared" si="1"/>
        <v/>
      </c>
      <c r="L5" s="20" t="str">
        <f t="shared" si="1"/>
        <v/>
      </c>
      <c r="M5" s="20" t="str">
        <f t="shared" si="1"/>
        <v/>
      </c>
      <c r="N5" s="112"/>
      <c r="O5" s="113"/>
      <c r="P5" s="42"/>
      <c r="Q5" s="43"/>
      <c r="R5" s="3">
        <f t="shared" si="2"/>
        <v>0</v>
      </c>
      <c r="S5" s="3">
        <f t="shared" si="3"/>
        <v>0</v>
      </c>
      <c r="T5" s="44">
        <f t="shared" si="4"/>
        <v>1</v>
      </c>
      <c r="U5" s="23"/>
      <c r="V5" s="27">
        <f t="shared" si="5"/>
        <v>0</v>
      </c>
      <c r="W5" s="28">
        <f t="shared" si="6"/>
        <v>1000</v>
      </c>
      <c r="X5" s="46"/>
      <c r="Y5" s="2">
        <f t="shared" si="7"/>
        <v>0</v>
      </c>
      <c r="Z5" s="2">
        <f t="shared" si="8"/>
        <v>0</v>
      </c>
      <c r="AA5" s="2">
        <f t="shared" si="9"/>
        <v>0</v>
      </c>
      <c r="AB5" s="2">
        <f t="shared" si="10"/>
        <v>0</v>
      </c>
      <c r="AC5" s="2">
        <f t="shared" si="11"/>
        <v>0</v>
      </c>
      <c r="AD5" s="2">
        <f t="shared" si="12"/>
        <v>0</v>
      </c>
      <c r="AE5" s="46"/>
      <c r="AF5" s="46">
        <f t="shared" si="13"/>
        <v>0</v>
      </c>
      <c r="AG5" s="46">
        <f t="shared" si="14"/>
        <v>0</v>
      </c>
      <c r="AH5" s="46">
        <f t="shared" si="15"/>
        <v>0</v>
      </c>
      <c r="AI5" s="46">
        <f t="shared" si="16"/>
        <v>1</v>
      </c>
      <c r="AJ5" s="46"/>
      <c r="AK5" s="46"/>
      <c r="AL5" s="46"/>
      <c r="AM5" s="23"/>
      <c r="AN5" s="26">
        <v>2</v>
      </c>
      <c r="AO5" s="29">
        <f t="shared" si="17"/>
        <v>0</v>
      </c>
      <c r="AP5" s="30" t="e">
        <f t="shared" si="18"/>
        <v>#VALUE!</v>
      </c>
      <c r="AQ5" s="30">
        <f t="shared" si="19"/>
        <v>0</v>
      </c>
      <c r="AS5">
        <v>2</v>
      </c>
      <c r="AT5">
        <f t="shared" si="20"/>
        <v>0</v>
      </c>
      <c r="AU5">
        <f t="shared" si="20"/>
        <v>0</v>
      </c>
      <c r="AV5">
        <f t="shared" si="20"/>
        <v>0</v>
      </c>
      <c r="AW5">
        <f t="shared" si="20"/>
        <v>0</v>
      </c>
      <c r="AX5">
        <f t="shared" si="20"/>
        <v>0</v>
      </c>
      <c r="AY5">
        <f t="shared" si="20"/>
        <v>0</v>
      </c>
      <c r="AZ5">
        <f t="shared" si="20"/>
        <v>0</v>
      </c>
      <c r="BA5">
        <f t="shared" si="20"/>
        <v>0</v>
      </c>
      <c r="BB5">
        <f t="shared" si="20"/>
        <v>0</v>
      </c>
      <c r="BD5">
        <v>2</v>
      </c>
      <c r="BE5">
        <f t="shared" si="21"/>
        <v>0</v>
      </c>
      <c r="BF5">
        <f t="shared" si="22"/>
        <v>0</v>
      </c>
      <c r="BG5">
        <f t="shared" si="22"/>
        <v>0</v>
      </c>
      <c r="BH5">
        <f t="shared" si="22"/>
        <v>0</v>
      </c>
      <c r="BI5">
        <f t="shared" si="22"/>
        <v>0</v>
      </c>
      <c r="BJ5">
        <f t="shared" si="22"/>
        <v>0</v>
      </c>
      <c r="BK5">
        <f t="shared" si="22"/>
        <v>0</v>
      </c>
      <c r="BL5">
        <f t="shared" si="22"/>
        <v>0</v>
      </c>
      <c r="BM5">
        <f t="shared" si="22"/>
        <v>0</v>
      </c>
    </row>
    <row r="6" spans="1:65" x14ac:dyDescent="0.3">
      <c r="A6" s="41">
        <f t="shared" si="0"/>
        <v>1</v>
      </c>
      <c r="B6" s="18">
        <v>3</v>
      </c>
      <c r="C6" s="18" t="s">
        <v>42</v>
      </c>
      <c r="D6" s="104"/>
      <c r="E6" s="104"/>
      <c r="F6" s="18">
        <v>1000</v>
      </c>
      <c r="H6" s="20" t="str">
        <f t="shared" si="1"/>
        <v/>
      </c>
      <c r="I6" s="20" t="str">
        <f t="shared" si="1"/>
        <v/>
      </c>
      <c r="J6" s="19" t="str">
        <f t="shared" si="1"/>
        <v/>
      </c>
      <c r="K6" s="20" t="str">
        <f t="shared" si="1"/>
        <v/>
      </c>
      <c r="L6" s="20" t="str">
        <f t="shared" si="1"/>
        <v/>
      </c>
      <c r="M6" s="20" t="str">
        <f t="shared" si="1"/>
        <v/>
      </c>
      <c r="N6" s="112"/>
      <c r="O6" s="113"/>
      <c r="P6" s="42"/>
      <c r="Q6" s="43"/>
      <c r="R6" s="3">
        <f t="shared" si="2"/>
        <v>0</v>
      </c>
      <c r="S6" s="3">
        <f t="shared" si="3"/>
        <v>0</v>
      </c>
      <c r="T6" s="44">
        <f t="shared" si="4"/>
        <v>1</v>
      </c>
      <c r="U6" s="23"/>
      <c r="V6" s="27">
        <f t="shared" si="5"/>
        <v>0</v>
      </c>
      <c r="W6" s="28">
        <f t="shared" si="6"/>
        <v>1000</v>
      </c>
      <c r="X6" s="46"/>
      <c r="Y6" s="2">
        <f t="shared" si="7"/>
        <v>0</v>
      </c>
      <c r="Z6" s="2">
        <f t="shared" si="8"/>
        <v>0</v>
      </c>
      <c r="AA6" s="2">
        <f t="shared" si="9"/>
        <v>0</v>
      </c>
      <c r="AB6" s="2">
        <f t="shared" si="10"/>
        <v>0</v>
      </c>
      <c r="AC6" s="2">
        <f t="shared" si="11"/>
        <v>0</v>
      </c>
      <c r="AD6" s="2">
        <f t="shared" si="12"/>
        <v>0</v>
      </c>
      <c r="AE6" s="46"/>
      <c r="AF6" s="46">
        <f t="shared" si="13"/>
        <v>0</v>
      </c>
      <c r="AG6" s="46">
        <f t="shared" si="14"/>
        <v>0</v>
      </c>
      <c r="AH6" s="46">
        <f t="shared" si="15"/>
        <v>0</v>
      </c>
      <c r="AI6" s="46">
        <f t="shared" si="16"/>
        <v>1</v>
      </c>
      <c r="AJ6" s="46"/>
      <c r="AK6" s="46"/>
      <c r="AL6" s="46"/>
      <c r="AM6" s="23"/>
      <c r="AN6" s="26">
        <v>3</v>
      </c>
      <c r="AO6" s="29">
        <f t="shared" si="17"/>
        <v>0</v>
      </c>
      <c r="AP6" s="30" t="e">
        <f t="shared" si="18"/>
        <v>#VALUE!</v>
      </c>
      <c r="AQ6" s="30">
        <f t="shared" si="19"/>
        <v>0</v>
      </c>
      <c r="AS6">
        <v>3</v>
      </c>
      <c r="AT6">
        <f t="shared" si="20"/>
        <v>0</v>
      </c>
      <c r="AU6">
        <f t="shared" si="20"/>
        <v>0</v>
      </c>
      <c r="AV6">
        <f t="shared" si="20"/>
        <v>0</v>
      </c>
      <c r="AW6">
        <f t="shared" si="20"/>
        <v>0</v>
      </c>
      <c r="AX6">
        <f t="shared" si="20"/>
        <v>0</v>
      </c>
      <c r="AY6">
        <f t="shared" si="20"/>
        <v>0</v>
      </c>
      <c r="AZ6">
        <f t="shared" si="20"/>
        <v>0</v>
      </c>
      <c r="BA6">
        <f t="shared" si="20"/>
        <v>0</v>
      </c>
      <c r="BB6">
        <f t="shared" si="20"/>
        <v>0</v>
      </c>
      <c r="BD6">
        <v>3</v>
      </c>
      <c r="BE6">
        <f t="shared" si="21"/>
        <v>0</v>
      </c>
      <c r="BF6">
        <f t="shared" si="22"/>
        <v>0</v>
      </c>
      <c r="BG6">
        <f t="shared" si="22"/>
        <v>0</v>
      </c>
      <c r="BH6">
        <f t="shared" si="22"/>
        <v>0</v>
      </c>
      <c r="BI6">
        <f t="shared" si="22"/>
        <v>0</v>
      </c>
      <c r="BJ6">
        <f t="shared" si="22"/>
        <v>0</v>
      </c>
      <c r="BK6">
        <f t="shared" si="22"/>
        <v>0</v>
      </c>
      <c r="BL6">
        <f t="shared" si="22"/>
        <v>0</v>
      </c>
      <c r="BM6">
        <f t="shared" si="22"/>
        <v>0</v>
      </c>
    </row>
    <row r="7" spans="1:65" x14ac:dyDescent="0.3">
      <c r="A7" s="41">
        <f t="shared" si="0"/>
        <v>1</v>
      </c>
      <c r="B7" s="18">
        <v>4</v>
      </c>
      <c r="C7" s="18" t="s">
        <v>43</v>
      </c>
      <c r="D7" s="104"/>
      <c r="E7" s="104"/>
      <c r="F7" s="18">
        <v>1000</v>
      </c>
      <c r="H7" s="20" t="str">
        <f t="shared" si="1"/>
        <v/>
      </c>
      <c r="I7" s="20" t="str">
        <f t="shared" si="1"/>
        <v/>
      </c>
      <c r="J7" s="20" t="str">
        <f t="shared" si="1"/>
        <v/>
      </c>
      <c r="K7" s="19" t="str">
        <f t="shared" si="1"/>
        <v/>
      </c>
      <c r="L7" s="20" t="str">
        <f t="shared" si="1"/>
        <v/>
      </c>
      <c r="M7" s="20" t="str">
        <f t="shared" si="1"/>
        <v/>
      </c>
      <c r="N7" s="112"/>
      <c r="O7" s="113"/>
      <c r="P7" s="42"/>
      <c r="Q7" s="43"/>
      <c r="R7" s="3">
        <f t="shared" si="2"/>
        <v>0</v>
      </c>
      <c r="S7" s="3">
        <f t="shared" si="3"/>
        <v>0</v>
      </c>
      <c r="T7" s="44">
        <f t="shared" si="4"/>
        <v>1</v>
      </c>
      <c r="U7" s="23"/>
      <c r="V7" s="27">
        <f t="shared" si="5"/>
        <v>0</v>
      </c>
      <c r="W7" s="28">
        <f t="shared" si="6"/>
        <v>1000</v>
      </c>
      <c r="X7" s="46"/>
      <c r="Y7" s="2">
        <f t="shared" si="7"/>
        <v>0</v>
      </c>
      <c r="Z7" s="2">
        <f t="shared" si="8"/>
        <v>0</v>
      </c>
      <c r="AA7" s="2">
        <f t="shared" si="9"/>
        <v>0</v>
      </c>
      <c r="AB7" s="2">
        <f t="shared" si="10"/>
        <v>0</v>
      </c>
      <c r="AC7" s="2">
        <f t="shared" si="11"/>
        <v>0</v>
      </c>
      <c r="AD7" s="2">
        <f t="shared" si="12"/>
        <v>0</v>
      </c>
      <c r="AE7" s="46"/>
      <c r="AF7" s="46">
        <f t="shared" si="13"/>
        <v>0</v>
      </c>
      <c r="AG7" s="46">
        <f t="shared" si="14"/>
        <v>0</v>
      </c>
      <c r="AH7" s="46">
        <f t="shared" si="15"/>
        <v>0</v>
      </c>
      <c r="AI7" s="46">
        <f t="shared" si="16"/>
        <v>1</v>
      </c>
      <c r="AJ7" s="46"/>
      <c r="AK7" s="46"/>
      <c r="AL7" s="46"/>
      <c r="AM7" s="23"/>
      <c r="AN7" s="26">
        <v>4</v>
      </c>
      <c r="AO7" s="29">
        <f t="shared" si="17"/>
        <v>0</v>
      </c>
      <c r="AP7" s="30" t="e">
        <f t="shared" si="18"/>
        <v>#VALUE!</v>
      </c>
      <c r="AQ7" s="30">
        <f t="shared" si="19"/>
        <v>0</v>
      </c>
      <c r="AS7">
        <v>4</v>
      </c>
      <c r="AT7">
        <f t="shared" si="20"/>
        <v>0</v>
      </c>
      <c r="AU7">
        <f t="shared" si="20"/>
        <v>0</v>
      </c>
      <c r="AV7">
        <f t="shared" si="20"/>
        <v>0</v>
      </c>
      <c r="AW7">
        <f t="shared" si="20"/>
        <v>0</v>
      </c>
      <c r="AX7">
        <f t="shared" si="20"/>
        <v>0</v>
      </c>
      <c r="AY7">
        <f t="shared" si="20"/>
        <v>0</v>
      </c>
      <c r="AZ7">
        <f t="shared" si="20"/>
        <v>0</v>
      </c>
      <c r="BA7">
        <f t="shared" si="20"/>
        <v>0</v>
      </c>
      <c r="BB7">
        <f t="shared" si="20"/>
        <v>0</v>
      </c>
      <c r="BD7">
        <v>4</v>
      </c>
      <c r="BE7">
        <f t="shared" si="21"/>
        <v>0</v>
      </c>
      <c r="BF7">
        <f t="shared" si="22"/>
        <v>0</v>
      </c>
      <c r="BG7">
        <f t="shared" si="22"/>
        <v>0</v>
      </c>
      <c r="BH7">
        <f t="shared" si="22"/>
        <v>0</v>
      </c>
      <c r="BI7">
        <f t="shared" si="22"/>
        <v>0</v>
      </c>
      <c r="BJ7">
        <f t="shared" si="22"/>
        <v>0</v>
      </c>
      <c r="BK7">
        <f t="shared" si="22"/>
        <v>0</v>
      </c>
      <c r="BL7">
        <f t="shared" si="22"/>
        <v>0</v>
      </c>
      <c r="BM7">
        <f t="shared" si="22"/>
        <v>0</v>
      </c>
    </row>
    <row r="8" spans="1:65" x14ac:dyDescent="0.3">
      <c r="A8" s="41">
        <f t="shared" si="0"/>
        <v>1</v>
      </c>
      <c r="B8" s="18">
        <v>5</v>
      </c>
      <c r="C8" s="18" t="s">
        <v>47</v>
      </c>
      <c r="D8" s="104"/>
      <c r="E8" s="104"/>
      <c r="F8" s="18">
        <v>1000</v>
      </c>
      <c r="H8" s="20" t="str">
        <f t="shared" si="1"/>
        <v/>
      </c>
      <c r="I8" s="20" t="str">
        <f t="shared" si="1"/>
        <v/>
      </c>
      <c r="J8" s="20" t="str">
        <f t="shared" si="1"/>
        <v/>
      </c>
      <c r="K8" s="20" t="str">
        <f t="shared" si="1"/>
        <v/>
      </c>
      <c r="L8" s="19" t="str">
        <f t="shared" si="1"/>
        <v/>
      </c>
      <c r="M8" s="20" t="str">
        <f t="shared" si="1"/>
        <v/>
      </c>
      <c r="N8" s="112"/>
      <c r="O8" s="113"/>
      <c r="P8" s="42"/>
      <c r="Q8" s="43"/>
      <c r="R8" s="3">
        <f t="shared" si="2"/>
        <v>0</v>
      </c>
      <c r="S8" s="3">
        <f t="shared" si="3"/>
        <v>0</v>
      </c>
      <c r="T8" s="44">
        <f t="shared" si="4"/>
        <v>1</v>
      </c>
      <c r="U8" s="23"/>
      <c r="V8" s="27">
        <f t="shared" si="5"/>
        <v>0</v>
      </c>
      <c r="W8" s="28">
        <f t="shared" si="6"/>
        <v>1000</v>
      </c>
      <c r="X8" s="46"/>
      <c r="Y8" s="2">
        <f t="shared" si="7"/>
        <v>0</v>
      </c>
      <c r="Z8" s="2">
        <f t="shared" si="8"/>
        <v>0</v>
      </c>
      <c r="AA8" s="2">
        <f t="shared" si="9"/>
        <v>0</v>
      </c>
      <c r="AB8" s="2">
        <f t="shared" si="10"/>
        <v>0</v>
      </c>
      <c r="AC8" s="2">
        <f t="shared" si="11"/>
        <v>0</v>
      </c>
      <c r="AD8" s="2">
        <f t="shared" si="12"/>
        <v>0</v>
      </c>
      <c r="AE8" s="46"/>
      <c r="AF8" s="46">
        <f t="shared" si="13"/>
        <v>0</v>
      </c>
      <c r="AG8" s="46">
        <f t="shared" si="14"/>
        <v>0</v>
      </c>
      <c r="AH8" s="46">
        <f t="shared" si="15"/>
        <v>0</v>
      </c>
      <c r="AI8" s="46">
        <f t="shared" si="16"/>
        <v>1</v>
      </c>
      <c r="AJ8" s="46"/>
      <c r="AK8" s="46"/>
      <c r="AL8" s="46"/>
      <c r="AM8" s="23"/>
      <c r="AN8" s="26">
        <v>5</v>
      </c>
      <c r="AO8" s="29">
        <f t="shared" si="17"/>
        <v>0</v>
      </c>
      <c r="AP8" s="30" t="e">
        <f t="shared" si="18"/>
        <v>#VALUE!</v>
      </c>
      <c r="AQ8" s="30">
        <f t="shared" si="19"/>
        <v>0</v>
      </c>
      <c r="AS8">
        <v>5</v>
      </c>
      <c r="AT8">
        <f t="shared" si="20"/>
        <v>0</v>
      </c>
      <c r="AU8">
        <f t="shared" si="20"/>
        <v>0</v>
      </c>
      <c r="AV8">
        <f t="shared" si="20"/>
        <v>0</v>
      </c>
      <c r="AW8">
        <f t="shared" si="20"/>
        <v>0</v>
      </c>
      <c r="AX8">
        <f t="shared" si="20"/>
        <v>0</v>
      </c>
      <c r="AY8">
        <f t="shared" si="20"/>
        <v>0</v>
      </c>
      <c r="AZ8">
        <f t="shared" si="20"/>
        <v>0</v>
      </c>
      <c r="BA8">
        <f t="shared" si="20"/>
        <v>0</v>
      </c>
      <c r="BB8">
        <f t="shared" si="20"/>
        <v>0</v>
      </c>
      <c r="BD8">
        <v>5</v>
      </c>
      <c r="BE8">
        <f t="shared" si="21"/>
        <v>0</v>
      </c>
      <c r="BF8">
        <f t="shared" si="22"/>
        <v>0</v>
      </c>
      <c r="BG8">
        <f t="shared" si="22"/>
        <v>0</v>
      </c>
      <c r="BH8">
        <f t="shared" si="22"/>
        <v>0</v>
      </c>
      <c r="BI8">
        <f t="shared" si="22"/>
        <v>0</v>
      </c>
      <c r="BJ8">
        <f t="shared" si="22"/>
        <v>0</v>
      </c>
      <c r="BK8">
        <f t="shared" si="22"/>
        <v>0</v>
      </c>
      <c r="BL8">
        <f t="shared" si="22"/>
        <v>0</v>
      </c>
      <c r="BM8">
        <f t="shared" si="22"/>
        <v>0</v>
      </c>
    </row>
    <row r="9" spans="1:65" x14ac:dyDescent="0.3">
      <c r="A9" s="41">
        <f t="shared" si="0"/>
        <v>1</v>
      </c>
      <c r="B9" s="18">
        <v>6</v>
      </c>
      <c r="C9" s="18" t="s">
        <v>44</v>
      </c>
      <c r="D9" s="104"/>
      <c r="E9" s="104"/>
      <c r="F9" s="18">
        <v>1000</v>
      </c>
      <c r="H9" s="20" t="str">
        <f t="shared" si="1"/>
        <v/>
      </c>
      <c r="I9" s="20" t="str">
        <f t="shared" si="1"/>
        <v/>
      </c>
      <c r="J9" s="20" t="str">
        <f t="shared" si="1"/>
        <v/>
      </c>
      <c r="K9" s="20" t="str">
        <f t="shared" si="1"/>
        <v/>
      </c>
      <c r="L9" s="20" t="str">
        <f t="shared" si="1"/>
        <v/>
      </c>
      <c r="M9" s="19" t="str">
        <f t="shared" si="1"/>
        <v/>
      </c>
      <c r="N9" s="112"/>
      <c r="O9" s="113"/>
      <c r="P9" s="42"/>
      <c r="Q9" s="43"/>
      <c r="R9" s="3">
        <f t="shared" si="2"/>
        <v>0</v>
      </c>
      <c r="S9" s="3">
        <f t="shared" si="3"/>
        <v>0</v>
      </c>
      <c r="T9" s="44">
        <f t="shared" si="4"/>
        <v>1</v>
      </c>
      <c r="U9" s="23"/>
      <c r="V9" s="27">
        <f t="shared" si="5"/>
        <v>0</v>
      </c>
      <c r="W9" s="28">
        <f t="shared" si="6"/>
        <v>1000</v>
      </c>
      <c r="X9" s="46"/>
      <c r="Y9" s="2">
        <f t="shared" si="7"/>
        <v>0</v>
      </c>
      <c r="Z9" s="2">
        <f t="shared" si="8"/>
        <v>0</v>
      </c>
      <c r="AA9" s="2">
        <f t="shared" si="9"/>
        <v>0</v>
      </c>
      <c r="AB9" s="2">
        <f t="shared" si="10"/>
        <v>0</v>
      </c>
      <c r="AC9" s="2">
        <f t="shared" si="11"/>
        <v>0</v>
      </c>
      <c r="AD9" s="2">
        <f t="shared" si="12"/>
        <v>0</v>
      </c>
      <c r="AE9" s="46"/>
      <c r="AF9" s="46">
        <f t="shared" si="13"/>
        <v>0</v>
      </c>
      <c r="AG9" s="46">
        <f t="shared" si="14"/>
        <v>0</v>
      </c>
      <c r="AH9" s="46">
        <f t="shared" si="15"/>
        <v>0</v>
      </c>
      <c r="AI9" s="46">
        <f t="shared" si="16"/>
        <v>1</v>
      </c>
      <c r="AJ9" s="46"/>
      <c r="AK9" s="46"/>
      <c r="AL9" s="46"/>
      <c r="AM9" s="23"/>
      <c r="AN9" s="26">
        <v>6</v>
      </c>
      <c r="AO9" s="29">
        <f t="shared" si="17"/>
        <v>0</v>
      </c>
      <c r="AP9" s="30" t="e">
        <f t="shared" si="18"/>
        <v>#VALUE!</v>
      </c>
      <c r="AQ9" s="30">
        <f t="shared" si="19"/>
        <v>0</v>
      </c>
      <c r="AS9">
        <v>6</v>
      </c>
      <c r="AT9">
        <f t="shared" si="20"/>
        <v>0</v>
      </c>
      <c r="AU9">
        <f t="shared" si="20"/>
        <v>0</v>
      </c>
      <c r="AV9">
        <f t="shared" si="20"/>
        <v>0</v>
      </c>
      <c r="AW9">
        <f t="shared" si="20"/>
        <v>0</v>
      </c>
      <c r="AX9">
        <f t="shared" si="20"/>
        <v>0</v>
      </c>
      <c r="AY9">
        <f t="shared" si="20"/>
        <v>0</v>
      </c>
      <c r="AZ9">
        <f t="shared" si="20"/>
        <v>0</v>
      </c>
      <c r="BA9">
        <f t="shared" si="20"/>
        <v>0</v>
      </c>
      <c r="BB9">
        <f t="shared" si="20"/>
        <v>0</v>
      </c>
      <c r="BD9">
        <v>6</v>
      </c>
      <c r="BE9">
        <f t="shared" si="21"/>
        <v>0</v>
      </c>
      <c r="BF9">
        <f t="shared" si="22"/>
        <v>0</v>
      </c>
      <c r="BG9">
        <f t="shared" si="22"/>
        <v>0</v>
      </c>
      <c r="BH9">
        <f t="shared" si="22"/>
        <v>0</v>
      </c>
      <c r="BI9">
        <f t="shared" si="22"/>
        <v>0</v>
      </c>
      <c r="BJ9">
        <f t="shared" si="22"/>
        <v>0</v>
      </c>
      <c r="BK9">
        <f t="shared" si="22"/>
        <v>0</v>
      </c>
      <c r="BL9">
        <f t="shared" si="22"/>
        <v>0</v>
      </c>
      <c r="BM9">
        <f t="shared" si="22"/>
        <v>0</v>
      </c>
    </row>
    <row r="10" spans="1:65" hidden="1" x14ac:dyDescent="0.3"/>
    <row r="11" spans="1:65" x14ac:dyDescent="0.3">
      <c r="Y11" s="46">
        <f>2*MAX(Y4:Y9)+1</f>
        <v>1</v>
      </c>
      <c r="AA11" s="46">
        <f>2*MAX(AA4:AA9)+1</f>
        <v>1</v>
      </c>
      <c r="AC11" s="46">
        <f>2*MAX(AC4:AC9)+1</f>
        <v>1</v>
      </c>
      <c r="AN11" s="31" t="s">
        <v>39</v>
      </c>
      <c r="AO11" s="31" t="s">
        <v>0</v>
      </c>
      <c r="AP11" s="31" t="s">
        <v>1</v>
      </c>
      <c r="AQ11" s="31" t="s">
        <v>2</v>
      </c>
      <c r="AS11" s="32" t="s">
        <v>37</v>
      </c>
      <c r="AT11" s="32" t="s">
        <v>38</v>
      </c>
      <c r="AU11" t="s">
        <v>18</v>
      </c>
      <c r="AV11" t="s">
        <v>19</v>
      </c>
      <c r="AW11" t="s">
        <v>20</v>
      </c>
      <c r="AX11" t="s">
        <v>21</v>
      </c>
    </row>
    <row r="12" spans="1:65" ht="3" customHeight="1" x14ac:dyDescent="0.3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AS12" s="33"/>
      <c r="AT12" s="33"/>
      <c r="AU12" s="34"/>
      <c r="AV12" s="34"/>
      <c r="AW12" s="34"/>
      <c r="AX12" s="34"/>
    </row>
    <row r="13" spans="1:65" x14ac:dyDescent="0.3">
      <c r="A13" s="17">
        <v>1</v>
      </c>
      <c r="B13" s="35" t="s">
        <v>3</v>
      </c>
      <c r="D13" s="109" t="str">
        <f>"Van:" &amp; TEXT(Configuratie!H22,"uu.mm.ss")</f>
        <v>Van:13.00.00</v>
      </c>
      <c r="E13" s="110"/>
      <c r="F13" s="109" t="str">
        <f>"Tot: "&amp; TEXT(Configuratie!I22,"uu.mm.ss")</f>
        <v>Tot: 13.35.00</v>
      </c>
      <c r="G13" s="110"/>
      <c r="H13" s="114"/>
      <c r="I13" s="114"/>
      <c r="J13" s="105" t="s">
        <v>93</v>
      </c>
      <c r="K13" s="105"/>
      <c r="L13" s="105"/>
      <c r="M13" s="105"/>
      <c r="N13" s="105"/>
      <c r="S13" s="35"/>
      <c r="T13" s="35" t="s">
        <v>92</v>
      </c>
      <c r="AS13" s="32"/>
      <c r="AT13" s="32"/>
    </row>
    <row r="14" spans="1:65" x14ac:dyDescent="0.3">
      <c r="B14">
        <v>1</v>
      </c>
      <c r="C14" t="str">
        <f>VLOOKUP(AO14,$B$4:$F$9,2,FALSE)</f>
        <v>F</v>
      </c>
      <c r="D14" s="36" t="s">
        <v>5</v>
      </c>
      <c r="E14" s="86" t="str">
        <f>VLOOKUP(AP14,$B$4:$F$9,2,FALSE)</f>
        <v>A</v>
      </c>
      <c r="F14" s="86"/>
      <c r="G14" s="86"/>
      <c r="H14" s="86"/>
      <c r="J14" s="92" t="str">
        <f>IF(T14="","",VLOOKUP(T14,#REF!,3,FALSE))</f>
        <v/>
      </c>
      <c r="K14" s="103"/>
      <c r="L14" s="68" t="s">
        <v>5</v>
      </c>
      <c r="M14" s="103" t="str">
        <f>IF(T14="","",VLOOKUP(T14,#REF!,4,FALSE))</f>
        <v/>
      </c>
      <c r="N14" s="93"/>
      <c r="R14" t="str">
        <f>IF(T14="","",VLOOKUP(T14,#REF!,2,FALSE))</f>
        <v/>
      </c>
      <c r="T14" s="1"/>
      <c r="AC14" s="2"/>
      <c r="AN14">
        <v>1</v>
      </c>
      <c r="AO14">
        <v>6</v>
      </c>
      <c r="AP14">
        <v>1</v>
      </c>
      <c r="AQ14" t="str">
        <f>IF(AND(ISNUMBER(J14),ISNUMBER(M14)),IF(J14+M14=1,1,0),"")</f>
        <v/>
      </c>
      <c r="AS14" s="38">
        <f>AO14*100+AP14</f>
        <v>601</v>
      </c>
      <c r="AT14" s="38">
        <f>AP14*100+AO14</f>
        <v>106</v>
      </c>
      <c r="AU14">
        <v>0</v>
      </c>
      <c r="AV14">
        <v>0</v>
      </c>
      <c r="AW14" t="e">
        <f>J14*AV14</f>
        <v>#VALUE!</v>
      </c>
      <c r="AX14" t="e">
        <f>M14*AU14</f>
        <v>#VALUE!</v>
      </c>
    </row>
    <row r="15" spans="1:65" x14ac:dyDescent="0.3">
      <c r="B15">
        <v>2</v>
      </c>
      <c r="C15" t="str">
        <f>VLOOKUP(AO15,$B$4:$F$9,2,FALSE)</f>
        <v>E</v>
      </c>
      <c r="D15" s="36" t="s">
        <v>5</v>
      </c>
      <c r="E15" s="86" t="str">
        <f>VLOOKUP(AP15,$B$4:$F$9,2,FALSE)</f>
        <v>B</v>
      </c>
      <c r="F15" s="86"/>
      <c r="G15" s="86"/>
      <c r="H15" s="86"/>
      <c r="J15" s="92" t="str">
        <f>IF(T15="","",VLOOKUP(T15,#REF!,3,FALSE))</f>
        <v/>
      </c>
      <c r="K15" s="103"/>
      <c r="L15" s="68" t="s">
        <v>5</v>
      </c>
      <c r="M15" s="103" t="str">
        <f>IF(T15="","",VLOOKUP(T15,#REF!,4,FALSE))</f>
        <v/>
      </c>
      <c r="N15" s="93"/>
      <c r="R15" t="str">
        <f>IF(T15="","",VLOOKUP(T15,#REF!,2,FALSE))</f>
        <v/>
      </c>
      <c r="T15" s="1"/>
      <c r="AC15" s="46"/>
      <c r="AN15">
        <v>1</v>
      </c>
      <c r="AO15">
        <v>5</v>
      </c>
      <c r="AP15">
        <v>2</v>
      </c>
      <c r="AQ15" t="str">
        <f>IF(AND(ISNUMBER(J15),ISNUMBER(M15)),IF(J15+M15=1,1,0),"")</f>
        <v/>
      </c>
      <c r="AS15" s="38">
        <f>AO15*100+AP15</f>
        <v>502</v>
      </c>
      <c r="AT15" s="38">
        <f>AP15*100+AO15</f>
        <v>205</v>
      </c>
      <c r="AU15">
        <v>0</v>
      </c>
      <c r="AV15">
        <v>0</v>
      </c>
      <c r="AW15" t="e">
        <f>J15*AV15</f>
        <v>#VALUE!</v>
      </c>
      <c r="AX15" t="e">
        <f>M15*AU15</f>
        <v>#VALUE!</v>
      </c>
    </row>
    <row r="16" spans="1:65" x14ac:dyDescent="0.3">
      <c r="B16">
        <v>3</v>
      </c>
      <c r="C16" t="str">
        <f>VLOOKUP(AO16,$B$4:$F$9,2,FALSE)</f>
        <v>D</v>
      </c>
      <c r="D16" s="36" t="s">
        <v>5</v>
      </c>
      <c r="E16" s="86" t="str">
        <f>VLOOKUP(AP16,$B$4:$F$9,2,FALSE)</f>
        <v>C</v>
      </c>
      <c r="F16" s="86"/>
      <c r="G16" s="86"/>
      <c r="H16" s="86"/>
      <c r="J16" s="106" t="str">
        <f>IF(T16="","",VLOOKUP(T16,#REF!,3,FALSE))</f>
        <v/>
      </c>
      <c r="K16" s="107"/>
      <c r="L16" s="69" t="s">
        <v>5</v>
      </c>
      <c r="M16" s="107" t="str">
        <f>IF(T16="","",VLOOKUP(T16,#REF!,4,FALSE))</f>
        <v/>
      </c>
      <c r="N16" s="108"/>
      <c r="R16" t="str">
        <f>IF(T16="","",VLOOKUP(T16,#REF!,2,FALSE))</f>
        <v/>
      </c>
      <c r="T16" s="1"/>
      <c r="AC16" s="46"/>
      <c r="AN16">
        <v>1</v>
      </c>
      <c r="AO16">
        <v>4</v>
      </c>
      <c r="AP16">
        <v>3</v>
      </c>
      <c r="AQ16" t="str">
        <f>IF(AND(ISNUMBER(J16),ISNUMBER(M16)),IF(J16+M16=1,1,0),"")</f>
        <v/>
      </c>
      <c r="AS16" s="38">
        <f>AO16*100+AP16</f>
        <v>403</v>
      </c>
      <c r="AT16" s="38">
        <f>AP16*100+AO16</f>
        <v>304</v>
      </c>
      <c r="AU16">
        <v>0</v>
      </c>
      <c r="AV16">
        <v>0</v>
      </c>
      <c r="AW16" t="e">
        <f>J16*AV16</f>
        <v>#VALUE!</v>
      </c>
      <c r="AX16" t="e">
        <f>M16*AU16</f>
        <v>#VALUE!</v>
      </c>
    </row>
    <row r="17" spans="1:50" ht="3" customHeight="1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AC17" s="46"/>
      <c r="AS17" s="32"/>
      <c r="AT17" s="32"/>
    </row>
    <row r="18" spans="1:50" x14ac:dyDescent="0.3">
      <c r="A18" s="17">
        <v>2</v>
      </c>
      <c r="B18" s="35" t="s">
        <v>9</v>
      </c>
      <c r="D18" s="109" t="str">
        <f>"Van:" &amp; TEXT(Configuratie!J22,"uu.mm.ss")</f>
        <v>Van:13.40.00</v>
      </c>
      <c r="E18" s="110"/>
      <c r="F18" s="109" t="str">
        <f>"Tot: "&amp; TEXT(Configuratie!K22,"uu.mm.ss")</f>
        <v>Tot: 14.15.00</v>
      </c>
      <c r="G18" s="110"/>
      <c r="AC18" s="46"/>
      <c r="AS18" s="32"/>
      <c r="AT18" s="32"/>
    </row>
    <row r="19" spans="1:50" x14ac:dyDescent="0.3">
      <c r="B19">
        <v>1</v>
      </c>
      <c r="C19" t="str">
        <f>VLOOKUP(AO19,$B$4:$F$9,2,FALSE)</f>
        <v>F</v>
      </c>
      <c r="D19" s="36" t="s">
        <v>5</v>
      </c>
      <c r="E19" s="86" t="str">
        <f>VLOOKUP(AP19,$B$4:$F$9,2,FALSE)</f>
        <v>C</v>
      </c>
      <c r="F19" s="86"/>
      <c r="G19" s="86"/>
      <c r="H19" s="86"/>
      <c r="J19" s="92" t="str">
        <f>IF(T19="","",VLOOKUP(T19,#REF!,3,FALSE))</f>
        <v/>
      </c>
      <c r="K19" s="103"/>
      <c r="L19" s="68" t="s">
        <v>5</v>
      </c>
      <c r="M19" s="103" t="str">
        <f>IF(T19="","",VLOOKUP(T19,#REF!,4,FALSE))</f>
        <v/>
      </c>
      <c r="N19" s="93"/>
      <c r="R19" t="str">
        <f>IF(T19="","",VLOOKUP(T19,#REF!,2,FALSE))</f>
        <v/>
      </c>
      <c r="T19" s="1"/>
      <c r="AC19" s="46"/>
      <c r="AN19">
        <v>2</v>
      </c>
      <c r="AO19">
        <v>6</v>
      </c>
      <c r="AP19">
        <v>3</v>
      </c>
      <c r="AQ19" t="str">
        <f>IF(AND(ISNUMBER(J19),ISNUMBER(M19)),IF(J19+M19=1,1,0),"")</f>
        <v/>
      </c>
      <c r="AS19" s="38">
        <f>AO19*100+AP19</f>
        <v>603</v>
      </c>
      <c r="AT19" s="38">
        <f>AP19*100+AO19</f>
        <v>306</v>
      </c>
      <c r="AU19">
        <f t="shared" ref="AU19:AV21" si="23">VLOOKUP(AO19,$BD$3:$BM$9,$AN19,FALSE)</f>
        <v>0</v>
      </c>
      <c r="AV19">
        <f t="shared" si="23"/>
        <v>0</v>
      </c>
      <c r="AW19" t="e">
        <f>J19*AV19</f>
        <v>#VALUE!</v>
      </c>
      <c r="AX19" t="e">
        <f>M19*AU19</f>
        <v>#VALUE!</v>
      </c>
    </row>
    <row r="20" spans="1:50" x14ac:dyDescent="0.3">
      <c r="B20">
        <v>2</v>
      </c>
      <c r="C20" t="str">
        <f>VLOOKUP(AO20,$B$4:$F$9,2,FALSE)</f>
        <v>B</v>
      </c>
      <c r="D20" s="36" t="s">
        <v>5</v>
      </c>
      <c r="E20" s="86" t="str">
        <f>VLOOKUP(AP20,$B$4:$F$9,2,FALSE)</f>
        <v>D</v>
      </c>
      <c r="F20" s="86"/>
      <c r="G20" s="86"/>
      <c r="H20" s="86"/>
      <c r="J20" s="92" t="str">
        <f>IF(T20="","",VLOOKUP(T20,#REF!,3,FALSE))</f>
        <v/>
      </c>
      <c r="K20" s="103"/>
      <c r="L20" s="68" t="s">
        <v>5</v>
      </c>
      <c r="M20" s="103" t="str">
        <f>IF(T20="","",VLOOKUP(T20,#REF!,4,FALSE))</f>
        <v/>
      </c>
      <c r="N20" s="93"/>
      <c r="R20" t="str">
        <f>IF(T20="","",VLOOKUP(T20,#REF!,2,FALSE))</f>
        <v/>
      </c>
      <c r="T20" s="1"/>
      <c r="AN20">
        <v>2</v>
      </c>
      <c r="AO20">
        <v>2</v>
      </c>
      <c r="AP20">
        <v>4</v>
      </c>
      <c r="AQ20" t="str">
        <f>IF(AND(ISNUMBER(J20),ISNUMBER(M20)),IF(J20+M20=1,1,0),"")</f>
        <v/>
      </c>
      <c r="AS20" s="38">
        <f>AO20*100+AP20</f>
        <v>204</v>
      </c>
      <c r="AT20" s="38">
        <f>AP20*100+AO20</f>
        <v>402</v>
      </c>
      <c r="AU20">
        <f t="shared" si="23"/>
        <v>0</v>
      </c>
      <c r="AV20">
        <f t="shared" si="23"/>
        <v>0</v>
      </c>
      <c r="AW20" t="e">
        <f>J20*AV20</f>
        <v>#VALUE!</v>
      </c>
      <c r="AX20" t="e">
        <f>M20*AU20</f>
        <v>#VALUE!</v>
      </c>
    </row>
    <row r="21" spans="1:50" x14ac:dyDescent="0.3">
      <c r="B21">
        <v>3</v>
      </c>
      <c r="C21" t="str">
        <f>VLOOKUP(AO21,$B$4:$F$9,2,FALSE)</f>
        <v>A</v>
      </c>
      <c r="D21" s="36" t="s">
        <v>5</v>
      </c>
      <c r="E21" s="86" t="str">
        <f>VLOOKUP(AP21,$B$4:$F$9,2,FALSE)</f>
        <v>E</v>
      </c>
      <c r="F21" s="86"/>
      <c r="G21" s="86"/>
      <c r="H21" s="86"/>
      <c r="J21" s="106" t="str">
        <f>IF(T21="","",VLOOKUP(T21,#REF!,3,FALSE))</f>
        <v/>
      </c>
      <c r="K21" s="107"/>
      <c r="L21" s="69" t="s">
        <v>5</v>
      </c>
      <c r="M21" s="107" t="str">
        <f>IF(T21="","",VLOOKUP(T21,#REF!,4,FALSE))</f>
        <v/>
      </c>
      <c r="N21" s="108"/>
      <c r="R21" t="str">
        <f>IF(T21="","",VLOOKUP(T21,#REF!,2,FALSE))</f>
        <v/>
      </c>
      <c r="T21" s="1"/>
      <c r="AN21">
        <v>2</v>
      </c>
      <c r="AO21">
        <v>1</v>
      </c>
      <c r="AP21">
        <v>5</v>
      </c>
      <c r="AQ21" t="str">
        <f>IF(AND(ISNUMBER(J21),ISNUMBER(M21)),IF(J21+M21=1,1,0),"")</f>
        <v/>
      </c>
      <c r="AS21" s="38">
        <f>AO21*100+AP21</f>
        <v>105</v>
      </c>
      <c r="AT21" s="38">
        <f>AP21*100+AO21</f>
        <v>501</v>
      </c>
      <c r="AU21">
        <f t="shared" si="23"/>
        <v>0</v>
      </c>
      <c r="AV21">
        <f t="shared" si="23"/>
        <v>0</v>
      </c>
      <c r="AW21" t="e">
        <f>J21*AV21</f>
        <v>#VALUE!</v>
      </c>
      <c r="AX21" t="e">
        <f>M21*AU21</f>
        <v>#VALUE!</v>
      </c>
    </row>
    <row r="22" spans="1:50" ht="3" customHeight="1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S22" s="32"/>
      <c r="AT22" s="32"/>
    </row>
    <row r="23" spans="1:50" x14ac:dyDescent="0.3">
      <c r="A23" s="17">
        <v>3</v>
      </c>
      <c r="B23" s="35" t="s">
        <v>10</v>
      </c>
      <c r="D23" s="109" t="str">
        <f>"Van:" &amp; TEXT(Configuratie!L22,"uu.mm.ss")</f>
        <v>Van:14.20.00</v>
      </c>
      <c r="E23" s="110"/>
      <c r="F23" s="109" t="str">
        <f>"Tot: "&amp; TEXT(Configuratie!M22,"uu.mm.ss")</f>
        <v>Tot: 14.55.00</v>
      </c>
      <c r="G23" s="110"/>
      <c r="AS23" s="32"/>
      <c r="AT23" s="32"/>
    </row>
    <row r="24" spans="1:50" x14ac:dyDescent="0.3">
      <c r="B24">
        <v>1</v>
      </c>
      <c r="C24" t="str">
        <f>VLOOKUP(AO24,$B$4:$F$9,2,FALSE)</f>
        <v>E</v>
      </c>
      <c r="D24" s="36" t="s">
        <v>5</v>
      </c>
      <c r="E24" s="86" t="str">
        <f>VLOOKUP(AP24,$B$4:$F$9,2,FALSE)</f>
        <v>F</v>
      </c>
      <c r="F24" s="86"/>
      <c r="G24" s="86"/>
      <c r="H24" s="86"/>
      <c r="J24" s="92" t="str">
        <f>IF(T24="","",VLOOKUP(T24,#REF!,3,FALSE))</f>
        <v/>
      </c>
      <c r="K24" s="103"/>
      <c r="L24" s="68" t="s">
        <v>5</v>
      </c>
      <c r="M24" s="103" t="str">
        <f>IF(T24="","",VLOOKUP(T24,#REF!,4,FALSE))</f>
        <v/>
      </c>
      <c r="N24" s="93"/>
      <c r="R24" t="str">
        <f>IF(T24="","",VLOOKUP(T24,#REF!,2,FALSE))</f>
        <v/>
      </c>
      <c r="T24" s="1"/>
      <c r="AN24">
        <v>3</v>
      </c>
      <c r="AO24">
        <v>5</v>
      </c>
      <c r="AP24">
        <v>6</v>
      </c>
      <c r="AQ24" t="str">
        <f>IF(AND(ISNUMBER(J24),ISNUMBER(M24)),IF(J24+M24=1,1,0),"")</f>
        <v/>
      </c>
      <c r="AS24" s="38">
        <f>AO24*100+AP24</f>
        <v>506</v>
      </c>
      <c r="AT24" s="38">
        <f>AP24*100+AO24</f>
        <v>605</v>
      </c>
      <c r="AU24">
        <f t="shared" ref="AU24:AV26" si="24">VLOOKUP(AO24,$BD$3:$BM$9,$AN24,FALSE)</f>
        <v>0</v>
      </c>
      <c r="AV24">
        <f t="shared" si="24"/>
        <v>0</v>
      </c>
      <c r="AW24" t="e">
        <f>J24*AV24</f>
        <v>#VALUE!</v>
      </c>
      <c r="AX24" t="e">
        <f>M24*AU24</f>
        <v>#VALUE!</v>
      </c>
    </row>
    <row r="25" spans="1:50" x14ac:dyDescent="0.3">
      <c r="B25">
        <v>2</v>
      </c>
      <c r="C25" t="str">
        <f>VLOOKUP(AO25,$B$4:$F$9,2,FALSE)</f>
        <v>D</v>
      </c>
      <c r="D25" s="36" t="s">
        <v>5</v>
      </c>
      <c r="E25" s="86" t="str">
        <f>VLOOKUP(AP25,$B$4:$F$9,2,FALSE)</f>
        <v>A</v>
      </c>
      <c r="F25" s="86"/>
      <c r="G25" s="86"/>
      <c r="H25" s="86"/>
      <c r="J25" s="92" t="str">
        <f>IF(T25="","",VLOOKUP(T25,#REF!,3,FALSE))</f>
        <v/>
      </c>
      <c r="K25" s="103"/>
      <c r="L25" s="68" t="s">
        <v>5</v>
      </c>
      <c r="M25" s="103" t="str">
        <f>IF(T25="","",VLOOKUP(T25,#REF!,4,FALSE))</f>
        <v/>
      </c>
      <c r="N25" s="93"/>
      <c r="R25" t="str">
        <f>IF(T25="","",VLOOKUP(T25,#REF!,2,FALSE))</f>
        <v/>
      </c>
      <c r="T25" s="1"/>
      <c r="AN25">
        <v>3</v>
      </c>
      <c r="AO25">
        <v>4</v>
      </c>
      <c r="AP25">
        <v>1</v>
      </c>
      <c r="AQ25" t="str">
        <f>IF(AND(ISNUMBER(J25),ISNUMBER(M25)),IF(J25+M25=1,1,0),"")</f>
        <v/>
      </c>
      <c r="AS25" s="38">
        <f>AO25*100+AP25</f>
        <v>401</v>
      </c>
      <c r="AT25" s="38">
        <f>AP25*100+AO25</f>
        <v>104</v>
      </c>
      <c r="AU25">
        <f t="shared" si="24"/>
        <v>0</v>
      </c>
      <c r="AV25">
        <f t="shared" si="24"/>
        <v>0</v>
      </c>
      <c r="AW25" t="e">
        <f>J25*AV25</f>
        <v>#VALUE!</v>
      </c>
      <c r="AX25" t="e">
        <f>M25*AU25</f>
        <v>#VALUE!</v>
      </c>
    </row>
    <row r="26" spans="1:50" x14ac:dyDescent="0.3">
      <c r="B26">
        <v>3</v>
      </c>
      <c r="C26" t="str">
        <f>VLOOKUP(AO26,$B$4:$F$9,2,FALSE)</f>
        <v>C</v>
      </c>
      <c r="D26" s="36" t="s">
        <v>5</v>
      </c>
      <c r="E26" s="86" t="str">
        <f>VLOOKUP(AP26,$B$4:$F$9,2,FALSE)</f>
        <v>B</v>
      </c>
      <c r="F26" s="86"/>
      <c r="G26" s="86"/>
      <c r="H26" s="86"/>
      <c r="J26" s="106" t="str">
        <f>IF(T26="","",VLOOKUP(T26,#REF!,3,FALSE))</f>
        <v/>
      </c>
      <c r="K26" s="107"/>
      <c r="L26" s="69" t="s">
        <v>5</v>
      </c>
      <c r="M26" s="107" t="str">
        <f>IF(T26="","",VLOOKUP(T26,#REF!,4,FALSE))</f>
        <v/>
      </c>
      <c r="N26" s="108"/>
      <c r="R26" t="str">
        <f>IF(T26="","",VLOOKUP(T26,#REF!,2,FALSE))</f>
        <v/>
      </c>
      <c r="T26" s="1"/>
      <c r="AN26">
        <v>3</v>
      </c>
      <c r="AO26">
        <v>3</v>
      </c>
      <c r="AP26">
        <v>2</v>
      </c>
      <c r="AQ26" t="str">
        <f>IF(AND(ISNUMBER(J26),ISNUMBER(M26)),IF(J26+M26=1,1,0),"")</f>
        <v/>
      </c>
      <c r="AS26" s="38">
        <f>AO26*100+AP26</f>
        <v>302</v>
      </c>
      <c r="AT26" s="38">
        <f>AP26*100+AO26</f>
        <v>203</v>
      </c>
      <c r="AU26">
        <f t="shared" si="24"/>
        <v>0</v>
      </c>
      <c r="AV26">
        <f t="shared" si="24"/>
        <v>0</v>
      </c>
      <c r="AW26" t="e">
        <f>J26*AV26</f>
        <v>#VALUE!</v>
      </c>
      <c r="AX26" t="e">
        <f>M26*AU26</f>
        <v>#VALUE!</v>
      </c>
    </row>
    <row r="27" spans="1:50" ht="3" customHeight="1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AS27" s="32"/>
      <c r="AT27" s="32"/>
    </row>
    <row r="28" spans="1:50" x14ac:dyDescent="0.3">
      <c r="A28" s="17">
        <v>4</v>
      </c>
      <c r="B28" s="35" t="s">
        <v>11</v>
      </c>
      <c r="D28" s="109" t="str">
        <f>"Van:" &amp; TEXT(Configuratie!N22,"uu.mm.ss")</f>
        <v>Van:15.25.00</v>
      </c>
      <c r="E28" s="110"/>
      <c r="F28" s="109" t="str">
        <f>"Tot: "&amp; TEXT(Configuratie!O22,"uu.mm.ss")</f>
        <v>Tot: 16.00.00</v>
      </c>
      <c r="G28" s="110"/>
      <c r="AS28" s="32"/>
      <c r="AT28" s="32"/>
    </row>
    <row r="29" spans="1:50" x14ac:dyDescent="0.3">
      <c r="B29">
        <v>1</v>
      </c>
      <c r="C29" t="str">
        <f>VLOOKUP(AO29,$B$4:$F$9,2,FALSE)</f>
        <v>F</v>
      </c>
      <c r="D29" s="36" t="s">
        <v>5</v>
      </c>
      <c r="E29" s="86" t="str">
        <f>VLOOKUP(AP29,$B$4:$F$9,2,FALSE)</f>
        <v>B</v>
      </c>
      <c r="F29" s="86"/>
      <c r="G29" s="86"/>
      <c r="H29" s="86"/>
      <c r="J29" s="92" t="str">
        <f>IF(T29="","",VLOOKUP(T29,#REF!,3,FALSE))</f>
        <v/>
      </c>
      <c r="K29" s="103"/>
      <c r="L29" s="68" t="s">
        <v>5</v>
      </c>
      <c r="M29" s="103" t="str">
        <f>IF(T29="","",VLOOKUP(T29,#REF!,4,FALSE))</f>
        <v/>
      </c>
      <c r="N29" s="93"/>
      <c r="R29" t="str">
        <f>IF(T29="","",VLOOKUP(T29,#REF!,2,FALSE))</f>
        <v/>
      </c>
      <c r="T29" s="1"/>
      <c r="AN29">
        <v>4</v>
      </c>
      <c r="AO29">
        <v>6</v>
      </c>
      <c r="AP29">
        <v>2</v>
      </c>
      <c r="AQ29" t="str">
        <f>IF(AND(ISNUMBER(J29),ISNUMBER(M29)),IF(J29+M29=1,1,0),"")</f>
        <v/>
      </c>
      <c r="AS29" s="38">
        <f>AO29*100+AP29</f>
        <v>602</v>
      </c>
      <c r="AT29" s="38">
        <f>AP29*100+AO29</f>
        <v>206</v>
      </c>
      <c r="AU29">
        <f t="shared" ref="AU29:AV31" si="25">VLOOKUP(AO29,$BD$3:$BM$9,$AN29,FALSE)</f>
        <v>0</v>
      </c>
      <c r="AV29">
        <f t="shared" si="25"/>
        <v>0</v>
      </c>
      <c r="AW29" t="e">
        <f>J29*AV29</f>
        <v>#VALUE!</v>
      </c>
      <c r="AX29" t="e">
        <f>M29*AU29</f>
        <v>#VALUE!</v>
      </c>
    </row>
    <row r="30" spans="1:50" x14ac:dyDescent="0.3">
      <c r="B30">
        <v>2</v>
      </c>
      <c r="C30" t="str">
        <f>VLOOKUP(AO30,$B$4:$F$9,2,FALSE)</f>
        <v>A</v>
      </c>
      <c r="D30" s="36" t="s">
        <v>5</v>
      </c>
      <c r="E30" s="86" t="str">
        <f>VLOOKUP(AP30,$B$4:$F$9,2,FALSE)</f>
        <v>C</v>
      </c>
      <c r="F30" s="86"/>
      <c r="G30" s="86"/>
      <c r="H30" s="86"/>
      <c r="J30" s="92" t="str">
        <f>IF(T30="","",VLOOKUP(T30,#REF!,3,FALSE))</f>
        <v/>
      </c>
      <c r="K30" s="103"/>
      <c r="L30" s="68" t="s">
        <v>5</v>
      </c>
      <c r="M30" s="103" t="str">
        <f>IF(T30="","",VLOOKUP(T30,#REF!,4,FALSE))</f>
        <v/>
      </c>
      <c r="N30" s="93"/>
      <c r="R30" t="str">
        <f>IF(T30="","",VLOOKUP(T30,#REF!,2,FALSE))</f>
        <v/>
      </c>
      <c r="T30" s="1"/>
      <c r="AN30">
        <v>4</v>
      </c>
      <c r="AO30">
        <v>1</v>
      </c>
      <c r="AP30">
        <v>3</v>
      </c>
      <c r="AQ30" t="str">
        <f>IF(AND(ISNUMBER(J30),ISNUMBER(M30)),IF(J30+M30=1,1,0),"")</f>
        <v/>
      </c>
      <c r="AS30" s="38">
        <f>AO30*100+AP30</f>
        <v>103</v>
      </c>
      <c r="AT30" s="38">
        <f>AP30*100+AO30</f>
        <v>301</v>
      </c>
      <c r="AU30">
        <f t="shared" si="25"/>
        <v>0</v>
      </c>
      <c r="AV30">
        <f t="shared" si="25"/>
        <v>0</v>
      </c>
      <c r="AW30" t="e">
        <f>J30*AV30</f>
        <v>#VALUE!</v>
      </c>
      <c r="AX30" t="e">
        <f>M30*AU30</f>
        <v>#VALUE!</v>
      </c>
    </row>
    <row r="31" spans="1:50" x14ac:dyDescent="0.3">
      <c r="B31">
        <v>3</v>
      </c>
      <c r="C31" t="str">
        <f>VLOOKUP(AO31,$B$4:$F$9,2,FALSE)</f>
        <v>E</v>
      </c>
      <c r="D31" s="36" t="s">
        <v>5</v>
      </c>
      <c r="E31" s="86" t="str">
        <f>VLOOKUP(AP31,$B$4:$F$9,2,FALSE)</f>
        <v>D</v>
      </c>
      <c r="F31" s="86"/>
      <c r="G31" s="86"/>
      <c r="H31" s="86"/>
      <c r="J31" s="106" t="str">
        <f>IF(T31="","",VLOOKUP(T31,#REF!,3,FALSE))</f>
        <v/>
      </c>
      <c r="K31" s="107"/>
      <c r="L31" s="69" t="s">
        <v>5</v>
      </c>
      <c r="M31" s="107" t="str">
        <f>IF(T31="","",VLOOKUP(T31,#REF!,4,FALSE))</f>
        <v/>
      </c>
      <c r="N31" s="108"/>
      <c r="R31" t="str">
        <f>IF(T31="","",VLOOKUP(T31,#REF!,2,FALSE))</f>
        <v/>
      </c>
      <c r="T31" s="1"/>
      <c r="AN31">
        <v>4</v>
      </c>
      <c r="AO31">
        <v>5</v>
      </c>
      <c r="AP31">
        <v>4</v>
      </c>
      <c r="AQ31" t="str">
        <f>IF(AND(ISNUMBER(J31),ISNUMBER(M31)),IF(J31+M31=1,1,0),"")</f>
        <v/>
      </c>
      <c r="AS31" s="38">
        <f>AO31*100+AP31</f>
        <v>504</v>
      </c>
      <c r="AT31" s="38">
        <f>AP31*100+AO31</f>
        <v>405</v>
      </c>
      <c r="AU31">
        <f t="shared" si="25"/>
        <v>0</v>
      </c>
      <c r="AV31">
        <f t="shared" si="25"/>
        <v>0</v>
      </c>
      <c r="AW31" t="e">
        <f>J31*AV31</f>
        <v>#VALUE!</v>
      </c>
      <c r="AX31" t="e">
        <f>M31*AU31</f>
        <v>#VALUE!</v>
      </c>
    </row>
    <row r="32" spans="1:50" ht="3" customHeight="1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S32" s="32"/>
      <c r="AT32" s="32"/>
    </row>
    <row r="33" spans="1:50" x14ac:dyDescent="0.3">
      <c r="A33" s="17">
        <v>5</v>
      </c>
      <c r="B33" s="35" t="s">
        <v>12</v>
      </c>
      <c r="D33" s="109" t="str">
        <f>"Van:" &amp; TEXT(Configuratie!P22,"uu.mm.ss")</f>
        <v>Van:16.05.00</v>
      </c>
      <c r="E33" s="110"/>
      <c r="F33" s="109" t="str">
        <f>"Tot: "&amp; TEXT(Configuratie!Q22,"uu.mm.ss")</f>
        <v>Tot: 16.40.00</v>
      </c>
      <c r="G33" s="110"/>
      <c r="AS33" s="32"/>
      <c r="AT33" s="32"/>
    </row>
    <row r="34" spans="1:50" x14ac:dyDescent="0.3">
      <c r="B34">
        <v>1</v>
      </c>
      <c r="C34" t="str">
        <f>VLOOKUP(AO34,$B$4:$F$9,2,FALSE)</f>
        <v>D</v>
      </c>
      <c r="D34" s="36" t="s">
        <v>5</v>
      </c>
      <c r="E34" s="86" t="str">
        <f>VLOOKUP(AP34,$B$4:$F$9,2,FALSE)</f>
        <v>F</v>
      </c>
      <c r="F34" s="86"/>
      <c r="G34" s="86"/>
      <c r="H34" s="86"/>
      <c r="J34" s="92" t="str">
        <f>IF(T34="","",VLOOKUP(T34,#REF!,3,FALSE))</f>
        <v/>
      </c>
      <c r="K34" s="103"/>
      <c r="L34" s="68" t="s">
        <v>5</v>
      </c>
      <c r="M34" s="103" t="str">
        <f>IF(T34="","",VLOOKUP(T34,#REF!,4,FALSE))</f>
        <v/>
      </c>
      <c r="N34" s="93"/>
      <c r="R34" t="str">
        <f>IF(T34="","",VLOOKUP(T34,#REF!,2,FALSE))</f>
        <v/>
      </c>
      <c r="T34" s="1"/>
      <c r="AN34">
        <v>5</v>
      </c>
      <c r="AO34">
        <v>4</v>
      </c>
      <c r="AP34">
        <v>6</v>
      </c>
      <c r="AQ34" t="str">
        <f>IF(AND(ISNUMBER(J34),ISNUMBER(M34)),IF(J34+M34=1,1,0),"")</f>
        <v/>
      </c>
      <c r="AS34" s="38">
        <f>AO34*100+AP34</f>
        <v>406</v>
      </c>
      <c r="AT34" s="38">
        <f>AP34*100+AO34</f>
        <v>604</v>
      </c>
      <c r="AU34">
        <f t="shared" ref="AU34:AV36" si="26">VLOOKUP(AO34,$BD$3:$BM$9,$AN34,FALSE)</f>
        <v>0</v>
      </c>
      <c r="AV34">
        <f t="shared" si="26"/>
        <v>0</v>
      </c>
      <c r="AW34" t="e">
        <f>J34*AV34</f>
        <v>#VALUE!</v>
      </c>
      <c r="AX34" t="e">
        <f>M34*AU34</f>
        <v>#VALUE!</v>
      </c>
    </row>
    <row r="35" spans="1:50" x14ac:dyDescent="0.3">
      <c r="B35">
        <v>2</v>
      </c>
      <c r="C35" t="str">
        <f>VLOOKUP(AO35,$B$4:$F$9,2,FALSE)</f>
        <v>C</v>
      </c>
      <c r="D35" s="36" t="s">
        <v>5</v>
      </c>
      <c r="E35" s="86" t="str">
        <f>VLOOKUP(AP35,$B$4:$F$9,2,FALSE)</f>
        <v>E</v>
      </c>
      <c r="F35" s="86"/>
      <c r="G35" s="86"/>
      <c r="H35" s="86"/>
      <c r="J35" s="92" t="str">
        <f>IF(T35="","",VLOOKUP(T35,#REF!,3,FALSE))</f>
        <v/>
      </c>
      <c r="K35" s="103"/>
      <c r="L35" s="68" t="s">
        <v>5</v>
      </c>
      <c r="M35" s="103" t="str">
        <f>IF(T35="","",VLOOKUP(T35,#REF!,4,FALSE))</f>
        <v/>
      </c>
      <c r="N35" s="93"/>
      <c r="R35" t="str">
        <f>IF(T35="","",VLOOKUP(T35,#REF!,2,FALSE))</f>
        <v/>
      </c>
      <c r="T35" s="1"/>
      <c r="AN35">
        <v>5</v>
      </c>
      <c r="AO35">
        <v>3</v>
      </c>
      <c r="AP35">
        <v>5</v>
      </c>
      <c r="AQ35" t="str">
        <f>IF(AND(ISNUMBER(J35),ISNUMBER(M35)),IF(J35+M35=1,1,0),"")</f>
        <v/>
      </c>
      <c r="AS35" s="38">
        <f>AO35*100+AP35</f>
        <v>305</v>
      </c>
      <c r="AT35" s="38">
        <f>AP35*100+AO35</f>
        <v>503</v>
      </c>
      <c r="AU35">
        <f t="shared" si="26"/>
        <v>0</v>
      </c>
      <c r="AV35">
        <f t="shared" si="26"/>
        <v>0</v>
      </c>
      <c r="AW35" t="e">
        <f>J35*AV35</f>
        <v>#VALUE!</v>
      </c>
      <c r="AX35" t="e">
        <f>M35*AU35</f>
        <v>#VALUE!</v>
      </c>
    </row>
    <row r="36" spans="1:50" x14ac:dyDescent="0.3">
      <c r="B36">
        <v>3</v>
      </c>
      <c r="C36" t="str">
        <f>VLOOKUP(AO36,$B$4:$F$9,2,FALSE)</f>
        <v>B</v>
      </c>
      <c r="D36" s="36" t="s">
        <v>5</v>
      </c>
      <c r="E36" s="86" t="str">
        <f>VLOOKUP(AP36,$B$4:$F$9,2,FALSE)</f>
        <v>A</v>
      </c>
      <c r="F36" s="86"/>
      <c r="G36" s="86"/>
      <c r="H36" s="86"/>
      <c r="J36" s="106" t="str">
        <f>IF(T36="","",VLOOKUP(T36,#REF!,3,FALSE))</f>
        <v/>
      </c>
      <c r="K36" s="107"/>
      <c r="L36" s="69" t="s">
        <v>5</v>
      </c>
      <c r="M36" s="107" t="str">
        <f>IF(T36="","",VLOOKUP(T36,#REF!,4,FALSE))</f>
        <v/>
      </c>
      <c r="N36" s="108"/>
      <c r="R36" t="str">
        <f>IF(T36="","",VLOOKUP(T36,#REF!,2,FALSE))</f>
        <v/>
      </c>
      <c r="T36" s="1"/>
      <c r="AN36">
        <v>5</v>
      </c>
      <c r="AO36">
        <v>2</v>
      </c>
      <c r="AP36">
        <v>1</v>
      </c>
      <c r="AQ36" t="str">
        <f>IF(AND(ISNUMBER(J36),ISNUMBER(M36)),IF(J36+M36=1,1,0),"")</f>
        <v/>
      </c>
      <c r="AS36" s="38">
        <f>AO36*100+AP36</f>
        <v>201</v>
      </c>
      <c r="AT36" s="38">
        <f>AP36*100+AO36</f>
        <v>102</v>
      </c>
      <c r="AU36">
        <f t="shared" si="26"/>
        <v>0</v>
      </c>
      <c r="AV36">
        <f t="shared" si="26"/>
        <v>0</v>
      </c>
      <c r="AW36" t="e">
        <f>J36*AV36</f>
        <v>#VALUE!</v>
      </c>
      <c r="AX36" t="e">
        <f>M36*AU36</f>
        <v>#VALUE!</v>
      </c>
    </row>
    <row r="37" spans="1:50" x14ac:dyDescent="0.3">
      <c r="D37" s="36"/>
      <c r="E37" s="37"/>
      <c r="F37" s="37"/>
      <c r="G37" s="37"/>
      <c r="H37" s="37"/>
      <c r="J37" s="37"/>
      <c r="K37" s="37"/>
      <c r="M37" s="37"/>
      <c r="N37" s="37"/>
      <c r="T37" s="62"/>
      <c r="AS37" s="38"/>
      <c r="AT37" s="38"/>
    </row>
    <row r="39" spans="1:50" ht="25.8" x14ac:dyDescent="0.5">
      <c r="B39" s="89" t="str">
        <f>"UITSLAG "&amp; G1</f>
        <v>UITSLAG GROEP A</v>
      </c>
      <c r="C39" s="90"/>
      <c r="D39" s="90"/>
      <c r="E39" s="90"/>
      <c r="F39" s="90"/>
      <c r="G39" s="90"/>
    </row>
    <row r="41" spans="1:50" x14ac:dyDescent="0.3">
      <c r="B41" s="2" t="s">
        <v>33</v>
      </c>
      <c r="C41" s="15" t="s">
        <v>30</v>
      </c>
      <c r="D41" s="2" t="s">
        <v>6</v>
      </c>
      <c r="E41" s="2" t="s">
        <v>29</v>
      </c>
      <c r="F41" s="2" t="s">
        <v>24</v>
      </c>
      <c r="G41" s="2" t="s">
        <v>26</v>
      </c>
    </row>
    <row r="42" spans="1:50" x14ac:dyDescent="0.3">
      <c r="B42" s="24">
        <v>1</v>
      </c>
      <c r="C42" s="25">
        <v>6</v>
      </c>
      <c r="D42" s="26" t="str">
        <f t="shared" ref="D42:D47" si="27">IF(ISNA(VLOOKUP(B42,$A$4:$T$11,3,FALSE)),C4,VLOOKUP(B42,$A$4:$T$11,3,FALSE))</f>
        <v>A</v>
      </c>
      <c r="E42" s="27">
        <f t="shared" ref="E42:E47" si="28">IF(ISNA(VLOOKUP(B4,$A$4:$S$11,18,FALSE)),0,VLOOKUP(B4,$A$4:$S$11,18,FALSE))</f>
        <v>0</v>
      </c>
      <c r="F42" s="27">
        <f t="shared" ref="F42:F47" si="29">VLOOKUP($C42,$AN$4:$AQ$9,2,FALSE)</f>
        <v>0</v>
      </c>
      <c r="G42" s="45">
        <f t="shared" ref="G42:G47" si="30">IF(ISNA(VLOOKUP(B4,$A$4:$S$11,19,FALSE)),0,VLOOKUP(B4,$A$4:$S$11,19,FALSE))</f>
        <v>0</v>
      </c>
    </row>
    <row r="43" spans="1:50" x14ac:dyDescent="0.3">
      <c r="B43" s="24">
        <v>2</v>
      </c>
      <c r="C43" s="25">
        <v>5</v>
      </c>
      <c r="D43" s="26" t="str">
        <f t="shared" si="27"/>
        <v>B</v>
      </c>
      <c r="E43" s="27">
        <f t="shared" si="28"/>
        <v>0</v>
      </c>
      <c r="F43" s="27">
        <f t="shared" si="29"/>
        <v>0</v>
      </c>
      <c r="G43" s="45">
        <f t="shared" si="30"/>
        <v>0</v>
      </c>
    </row>
    <row r="44" spans="1:50" x14ac:dyDescent="0.3">
      <c r="B44" s="24">
        <v>3</v>
      </c>
      <c r="C44" s="25">
        <v>4</v>
      </c>
      <c r="D44" s="26" t="str">
        <f t="shared" si="27"/>
        <v>C</v>
      </c>
      <c r="E44" s="27">
        <f t="shared" si="28"/>
        <v>0</v>
      </c>
      <c r="F44" s="27">
        <f t="shared" si="29"/>
        <v>0</v>
      </c>
      <c r="G44" s="45">
        <f t="shared" si="30"/>
        <v>0</v>
      </c>
    </row>
    <row r="45" spans="1:50" x14ac:dyDescent="0.3">
      <c r="B45" s="24">
        <v>4</v>
      </c>
      <c r="C45" s="25">
        <v>3</v>
      </c>
      <c r="D45" s="26" t="str">
        <f t="shared" si="27"/>
        <v>D</v>
      </c>
      <c r="E45" s="27">
        <f t="shared" si="28"/>
        <v>0</v>
      </c>
      <c r="F45" s="27">
        <f t="shared" si="29"/>
        <v>0</v>
      </c>
      <c r="G45" s="45">
        <f t="shared" si="30"/>
        <v>0</v>
      </c>
    </row>
    <row r="46" spans="1:50" x14ac:dyDescent="0.3">
      <c r="B46" s="24">
        <v>5</v>
      </c>
      <c r="C46" s="25">
        <v>2</v>
      </c>
      <c r="D46" s="26" t="str">
        <f t="shared" si="27"/>
        <v>E</v>
      </c>
      <c r="E46" s="27">
        <f t="shared" si="28"/>
        <v>0</v>
      </c>
      <c r="F46" s="27">
        <f t="shared" si="29"/>
        <v>0</v>
      </c>
      <c r="G46" s="45">
        <f t="shared" si="30"/>
        <v>0</v>
      </c>
    </row>
    <row r="47" spans="1:50" x14ac:dyDescent="0.3">
      <c r="B47" s="24">
        <v>6</v>
      </c>
      <c r="C47" s="25">
        <v>1</v>
      </c>
      <c r="D47" s="26" t="str">
        <f t="shared" si="27"/>
        <v>F</v>
      </c>
      <c r="E47" s="27">
        <f t="shared" si="28"/>
        <v>0</v>
      </c>
      <c r="F47" s="27">
        <f t="shared" si="29"/>
        <v>0</v>
      </c>
      <c r="G47" s="45">
        <f t="shared" si="30"/>
        <v>0</v>
      </c>
    </row>
    <row r="48" spans="1:50" x14ac:dyDescent="0.3">
      <c r="D48" s="26">
        <f>IF(ISNA(VLOOKUP(B10,$A$4:$T$11,3,FALSE)),C10,VLOOKUP(B10,$A$4:$T$11,3,FALSE))</f>
        <v>0</v>
      </c>
    </row>
    <row r="49" spans="4:14" x14ac:dyDescent="0.3">
      <c r="D49" s="26"/>
    </row>
    <row r="53" spans="4:14" x14ac:dyDescent="0.3">
      <c r="M53" s="86"/>
      <c r="N53" s="86"/>
    </row>
    <row r="54" spans="4:14" x14ac:dyDescent="0.3">
      <c r="M54" s="86"/>
      <c r="N54" s="86"/>
    </row>
    <row r="55" spans="4:14" x14ac:dyDescent="0.3">
      <c r="M55" s="86"/>
      <c r="N55" s="86"/>
    </row>
  </sheetData>
  <sheetProtection algorithmName="SHA-512" hashValue="KY4h1w4O1wjbs6HFi0ECMm75RPLfUcSlRkgIVeT3b/7Pu0gfW41eFwiapQJIlupFcfdVZifmPfSLAZq2iPdqnQ==" saltValue="i8z4j8S4XqqDtpXdAr+eEg==" spinCount="100000" sheet="1" selectLockedCells="1"/>
  <mergeCells count="78">
    <mergeCell ref="D8:E8"/>
    <mergeCell ref="D9:E9"/>
    <mergeCell ref="E16:H16"/>
    <mergeCell ref="J16:K16"/>
    <mergeCell ref="M16:N16"/>
    <mergeCell ref="E14:H14"/>
    <mergeCell ref="J14:K14"/>
    <mergeCell ref="M14:N14"/>
    <mergeCell ref="B1:F1"/>
    <mergeCell ref="AT2:BB2"/>
    <mergeCell ref="D5:E5"/>
    <mergeCell ref="D6:E6"/>
    <mergeCell ref="D7:E7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N7:O7"/>
    <mergeCell ref="N8:O8"/>
    <mergeCell ref="N9:O9"/>
    <mergeCell ref="H13:I13"/>
    <mergeCell ref="D13:E13"/>
    <mergeCell ref="F13:G13"/>
    <mergeCell ref="D4:E4"/>
    <mergeCell ref="J21:K21"/>
    <mergeCell ref="M21:N21"/>
    <mergeCell ref="E19:H19"/>
    <mergeCell ref="J19:K19"/>
    <mergeCell ref="M19:N19"/>
    <mergeCell ref="E20:H20"/>
    <mergeCell ref="J20:K20"/>
    <mergeCell ref="M20:N20"/>
    <mergeCell ref="E21:H21"/>
    <mergeCell ref="J26:K26"/>
    <mergeCell ref="M26:N26"/>
    <mergeCell ref="E24:H24"/>
    <mergeCell ref="J24:K24"/>
    <mergeCell ref="M24:N24"/>
    <mergeCell ref="E25:H25"/>
    <mergeCell ref="J25:K25"/>
    <mergeCell ref="M25:N25"/>
    <mergeCell ref="M29:N29"/>
    <mergeCell ref="E30:H30"/>
    <mergeCell ref="J30:K30"/>
    <mergeCell ref="M30:N30"/>
    <mergeCell ref="J29:K29"/>
    <mergeCell ref="M54:N54"/>
    <mergeCell ref="M55:N55"/>
    <mergeCell ref="E36:H36"/>
    <mergeCell ref="M36:N36"/>
    <mergeCell ref="J36:K36"/>
    <mergeCell ref="B39:G39"/>
    <mergeCell ref="E35:H35"/>
    <mergeCell ref="M35:N35"/>
    <mergeCell ref="J34:K34"/>
    <mergeCell ref="J35:K35"/>
    <mergeCell ref="M53:N53"/>
    <mergeCell ref="J31:K31"/>
    <mergeCell ref="M31:N31"/>
    <mergeCell ref="J13:N13"/>
    <mergeCell ref="E34:H34"/>
    <mergeCell ref="M34:N34"/>
    <mergeCell ref="D18:E18"/>
    <mergeCell ref="F18:G18"/>
    <mergeCell ref="F33:G33"/>
    <mergeCell ref="D33:E33"/>
    <mergeCell ref="F28:G28"/>
    <mergeCell ref="D28:E28"/>
    <mergeCell ref="E31:H31"/>
    <mergeCell ref="E29:H29"/>
    <mergeCell ref="E26:H26"/>
    <mergeCell ref="D23:E23"/>
    <mergeCell ref="F23:G23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ColWidth="9.109375" defaultRowHeight="14.4" x14ac:dyDescent="0.3"/>
  <cols>
    <col min="1" max="1" width="3" bestFit="1" customWidth="1"/>
    <col min="2" max="2" width="3.6640625" customWidth="1"/>
    <col min="3" max="3" width="27.6640625" customWidth="1"/>
    <col min="4" max="4" width="3.6640625" customWidth="1"/>
    <col min="5" max="5" width="6.6640625" customWidth="1"/>
    <col min="6" max="6" width="9.6640625" customWidth="1"/>
    <col min="7" max="7" width="6.6640625" customWidth="1"/>
    <col min="8" max="12" width="3.6640625" customWidth="1"/>
    <col min="13" max="16" width="4.6640625" customWidth="1"/>
    <col min="17" max="17" width="10.109375" customWidth="1"/>
    <col min="18" max="18" width="9.33203125" customWidth="1"/>
    <col min="19" max="19" width="8.44140625" customWidth="1"/>
    <col min="20" max="20" width="3.6640625" customWidth="1"/>
    <col min="21" max="22" width="6.6640625" hidden="1" customWidth="1"/>
    <col min="23" max="23" width="3.5546875" hidden="1" customWidth="1"/>
    <col min="24" max="24" width="8.88671875" hidden="1" customWidth="1"/>
    <col min="25" max="25" width="6.109375" hidden="1" customWidth="1"/>
    <col min="26" max="26" width="8.5546875" hidden="1" customWidth="1"/>
    <col min="27" max="27" width="6.109375" hidden="1" customWidth="1"/>
    <col min="28" max="28" width="8.5546875" hidden="1" customWidth="1"/>
    <col min="29" max="30" width="6.6640625" hidden="1" customWidth="1"/>
    <col min="31" max="31" width="10.44140625" hidden="1" customWidth="1"/>
    <col min="32" max="36" width="6.6640625" hidden="1" customWidth="1"/>
    <col min="37" max="40" width="9.109375" hidden="1" customWidth="1"/>
    <col min="41" max="42" width="4.44140625" hidden="1" customWidth="1"/>
    <col min="43" max="61" width="3.6640625" hidden="1" customWidth="1"/>
    <col min="62" max="63" width="9.109375" hidden="1" customWidth="1"/>
    <col min="64" max="79" width="9.109375" customWidth="1"/>
  </cols>
  <sheetData>
    <row r="1" spans="1:61" ht="25.8" x14ac:dyDescent="0.5">
      <c r="A1" s="17">
        <v>4</v>
      </c>
      <c r="B1" s="85" t="s">
        <v>31</v>
      </c>
      <c r="C1" s="85"/>
      <c r="D1" s="85"/>
      <c r="E1" s="85"/>
      <c r="F1" s="85"/>
      <c r="G1" s="10" t="s">
        <v>32</v>
      </c>
      <c r="H1" s="37"/>
      <c r="I1" s="37"/>
      <c r="J1" s="37"/>
      <c r="K1" s="37"/>
      <c r="L1" s="37"/>
      <c r="M1" s="37"/>
      <c r="N1" s="37"/>
      <c r="O1" s="37"/>
      <c r="P1" s="37"/>
      <c r="Q1" s="37"/>
      <c r="S1" s="63" t="e">
        <f>"versie " &amp;#REF!</f>
        <v>#REF!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</row>
    <row r="2" spans="1:61" x14ac:dyDescent="0.3">
      <c r="AK2" s="11" t="s">
        <v>27</v>
      </c>
      <c r="AL2" s="11" t="s">
        <v>26</v>
      </c>
      <c r="AM2" s="11" t="s">
        <v>28</v>
      </c>
      <c r="AP2" s="90" t="s">
        <v>22</v>
      </c>
      <c r="AQ2" s="90"/>
      <c r="AR2" s="90"/>
      <c r="AS2" s="90"/>
      <c r="AT2" s="90"/>
      <c r="AU2" s="90"/>
      <c r="AV2" s="90"/>
      <c r="AW2" s="90"/>
      <c r="AX2" s="90"/>
      <c r="AY2" s="12"/>
      <c r="BA2" s="90" t="s">
        <v>23</v>
      </c>
      <c r="BB2" s="90"/>
      <c r="BC2" s="90"/>
      <c r="BD2" s="90"/>
      <c r="BE2" s="90"/>
      <c r="BF2" s="90"/>
      <c r="BG2" s="90"/>
      <c r="BH2" s="90"/>
      <c r="BI2" s="90"/>
    </row>
    <row r="3" spans="1:61" x14ac:dyDescent="0.3">
      <c r="B3" s="13" t="s">
        <v>4</v>
      </c>
      <c r="C3" s="13" t="s">
        <v>6</v>
      </c>
      <c r="D3" s="91" t="s">
        <v>7</v>
      </c>
      <c r="E3" s="91"/>
      <c r="F3" s="13" t="s">
        <v>8</v>
      </c>
      <c r="M3" s="2">
        <v>1</v>
      </c>
      <c r="N3" s="2">
        <v>2</v>
      </c>
      <c r="O3" s="2">
        <v>3</v>
      </c>
      <c r="P3" s="2">
        <v>4</v>
      </c>
      <c r="Q3" s="14" t="s">
        <v>17</v>
      </c>
      <c r="R3" s="2" t="s">
        <v>26</v>
      </c>
      <c r="S3" s="2" t="s">
        <v>69</v>
      </c>
      <c r="T3" s="12"/>
      <c r="U3" s="2" t="s">
        <v>34</v>
      </c>
      <c r="V3" s="2" t="s">
        <v>35</v>
      </c>
      <c r="W3" s="12"/>
      <c r="X3" s="2" t="s">
        <v>60</v>
      </c>
      <c r="Y3" s="2" t="s">
        <v>61</v>
      </c>
      <c r="Z3" s="2" t="s">
        <v>62</v>
      </c>
      <c r="AA3" s="2" t="s">
        <v>63</v>
      </c>
      <c r="AB3" s="2" t="s">
        <v>64</v>
      </c>
      <c r="AC3" s="2" t="s">
        <v>65</v>
      </c>
      <c r="AD3" s="2"/>
      <c r="AE3" s="2" t="s">
        <v>66</v>
      </c>
      <c r="AF3" s="2" t="s">
        <v>67</v>
      </c>
      <c r="AG3" s="2" t="s">
        <v>68</v>
      </c>
      <c r="AH3" s="2" t="s">
        <v>69</v>
      </c>
      <c r="AI3" s="12"/>
      <c r="AJ3" s="2" t="s">
        <v>36</v>
      </c>
      <c r="AK3" s="16" t="s">
        <v>25</v>
      </c>
      <c r="AL3" s="11" t="s">
        <v>25</v>
      </c>
      <c r="AM3" s="11" t="s">
        <v>25</v>
      </c>
      <c r="AO3" t="s">
        <v>30</v>
      </c>
      <c r="AP3">
        <v>1</v>
      </c>
      <c r="AQ3">
        <v>2</v>
      </c>
      <c r="AR3">
        <v>3</v>
      </c>
      <c r="AS3">
        <v>4</v>
      </c>
      <c r="AT3">
        <v>5</v>
      </c>
      <c r="AU3">
        <v>6</v>
      </c>
      <c r="AV3">
        <v>7</v>
      </c>
      <c r="AW3">
        <v>8</v>
      </c>
      <c r="AX3">
        <v>9</v>
      </c>
      <c r="AZ3" t="s">
        <v>30</v>
      </c>
      <c r="BA3">
        <v>1</v>
      </c>
      <c r="BB3">
        <v>2</v>
      </c>
      <c r="BC3">
        <v>3</v>
      </c>
      <c r="BD3">
        <v>4</v>
      </c>
      <c r="BE3">
        <v>5</v>
      </c>
      <c r="BF3">
        <v>6</v>
      </c>
      <c r="BG3">
        <v>7</v>
      </c>
      <c r="BH3">
        <v>8</v>
      </c>
      <c r="BI3">
        <v>9</v>
      </c>
    </row>
    <row r="4" spans="1:61" x14ac:dyDescent="0.3">
      <c r="A4" s="17">
        <f>S4</f>
        <v>1</v>
      </c>
      <c r="B4" s="18">
        <v>1</v>
      </c>
      <c r="C4" s="18" t="s">
        <v>40</v>
      </c>
      <c r="D4" s="104"/>
      <c r="E4" s="104"/>
      <c r="F4" s="18">
        <v>1000</v>
      </c>
      <c r="M4" s="19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1">
        <f>SUM(M4:P4)</f>
        <v>0</v>
      </c>
      <c r="R4" s="22">
        <f>IF(M4="",0,M4)*$Q$4+IF(N4="",0,N4)*$Q$5+IF(O4="",0,O4)*$Q$6+IF(P4="",0,P4)*$Q$7</f>
        <v>0</v>
      </c>
      <c r="S4" s="20">
        <f>AH4</f>
        <v>1</v>
      </c>
      <c r="T4" s="23"/>
      <c r="U4" s="27">
        <f>VLOOKUP($C26,$AJ$4:$AM$7,4,FALSE)</f>
        <v>0</v>
      </c>
      <c r="V4" s="28">
        <f>VLOOKUP($C26,$B$4:$K$7,5,FALSE)</f>
        <v>1000</v>
      </c>
      <c r="W4" s="23"/>
      <c r="X4" s="12">
        <f>IF(Q4=$Q$4,IF(M4="",0,M4))+IF(Q4=$Q$5,IF(N4="",0,N4))+IF(Q4=$Q$6,IF(O4="",0,O4))+IF(Q4=$Q$7,IF(P4="",0,P4))</f>
        <v>0</v>
      </c>
      <c r="Y4" s="23">
        <f>$X$9*Q4+X4</f>
        <v>0</v>
      </c>
      <c r="Z4" s="23">
        <f>IF(Y4=$ADY$4,IF(M4="",0,M4))+IF(Y4=$Y$5,IF(N4="",0,N4))+IF(Y4=$Y$6,IF(O4="",0,O4))+IF(Y4=$Y$7,IF(P4="",0,P4))</f>
        <v>0</v>
      </c>
      <c r="AA4" s="23">
        <f>$Z$9*Y4+Z4</f>
        <v>0</v>
      </c>
      <c r="AB4" s="23">
        <f>IF(AA4=$AA$4,IF(M4="",0,M4))+IF(AA4=$AA$5,IF(N4="",0,N4))+IF(AA4=$AA$6,IF(O4="",0,O4))+IF(AA4=$AA$7,IF(O4="",0,O4))</f>
        <v>0</v>
      </c>
      <c r="AC4" s="23">
        <f>$AB$9*AA4+AD4</f>
        <v>0</v>
      </c>
      <c r="AD4" s="23"/>
      <c r="AE4" s="23">
        <f>RANK(AC4,$AC$4:$AC$7,1)-1</f>
        <v>0</v>
      </c>
      <c r="AF4" s="23">
        <f>RANK(R4,$R$4:$R$7,1)-1</f>
        <v>0</v>
      </c>
      <c r="AG4" s="23">
        <f>4*AE4+AF4</f>
        <v>0</v>
      </c>
      <c r="AH4" s="23">
        <f>RANK(AG4,$AG$4:$AG$7)</f>
        <v>1</v>
      </c>
      <c r="AI4" s="23"/>
      <c r="AJ4" s="26">
        <v>1</v>
      </c>
      <c r="AK4" s="29">
        <f>SUMIF($AK$9:$AK$21,B4,$AQ$9:$AQ$21)+SUMIF($AL$9:$AL$21,B4,$AR$9:$AR$21)</f>
        <v>0</v>
      </c>
      <c r="AL4" s="30" t="e">
        <f>SUMIF($AK$9:$AK$21,B4,$AS$9:$AS$21)+SUMIF($AL$9:$AL$21,B4,$AT$9:$AT$21)</f>
        <v>#VALUE!</v>
      </c>
      <c r="AM4" s="30">
        <f>SUM(BA4:BI4)</f>
        <v>0</v>
      </c>
      <c r="AO4">
        <v>1</v>
      </c>
      <c r="AP4">
        <f t="shared" ref="AP4:AX7" si="1" xml:space="preserve"> SUMIFS( $J$12:$J$21, $AK$12:$AK$21,$AO4, $AJ$12:$AJ$21,AP$3) + SUMIFS( $N$12:$N$21, $AL$12:$AL$21,$AO4, $AJ$12:$AJ$21,AP$3)</f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Z4">
        <v>1</v>
      </c>
      <c r="BA4">
        <f>AP4</f>
        <v>0</v>
      </c>
      <c r="BB4">
        <f t="shared" ref="BB4:BI7" si="2">BA4+AQ4</f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</row>
    <row r="5" spans="1:61" x14ac:dyDescent="0.3">
      <c r="A5" s="17">
        <f>S5</f>
        <v>1</v>
      </c>
      <c r="B5" s="18">
        <v>2</v>
      </c>
      <c r="C5" s="18" t="s">
        <v>41</v>
      </c>
      <c r="D5" s="104"/>
      <c r="E5" s="104"/>
      <c r="F5" s="18">
        <v>1000</v>
      </c>
      <c r="M5" s="20" t="str">
        <f t="shared" si="0"/>
        <v/>
      </c>
      <c r="N5" s="19" t="str">
        <f t="shared" si="0"/>
        <v/>
      </c>
      <c r="O5" s="20" t="str">
        <f t="shared" si="0"/>
        <v/>
      </c>
      <c r="P5" s="20" t="str">
        <f t="shared" si="0"/>
        <v/>
      </c>
      <c r="Q5" s="21">
        <f>SUM(M5:P5)</f>
        <v>0</v>
      </c>
      <c r="R5" s="22">
        <f>IF(M5="",0,M5)*$Q$4+IF(N5="",0,N5)*$Q$5+IF(O5="",0,O5)*$Q$6+IF(P5="",0,P5)*$Q$7</f>
        <v>0</v>
      </c>
      <c r="S5" s="20">
        <f>AH5</f>
        <v>1</v>
      </c>
      <c r="T5" s="23"/>
      <c r="U5" s="27">
        <f>VLOOKUP($C27,$AJ$4:$AM$7,4,FALSE)</f>
        <v>0</v>
      </c>
      <c r="V5" s="28">
        <f>VLOOKUP($C27,$B$4:$K$7,5,FALSE)</f>
        <v>1000</v>
      </c>
      <c r="W5" s="23"/>
      <c r="X5" s="12">
        <f>IF(Q5=$Q$4,IF(M5="",0,M5))+IF(Q5=$Q$5,IF(N5="",0,N5))+IF(Q5=$Q$6,IF(O5="",0,O5))+IF(Q5=$Q$7,IF(P5="",0,P5))</f>
        <v>0</v>
      </c>
      <c r="Y5" s="23">
        <f>$X$9*Q5+X5</f>
        <v>0</v>
      </c>
      <c r="Z5" s="23">
        <f>IF(Y5=$ADY$4,IF(M5="",0,M5))+IF(Y5=$Y$5,IF(N5="",0,N5))+IF(Y5=$Y$6,IF(O5="",0,O5))+IF(Y5=$Y$7,IF(P5="",0,P5))</f>
        <v>0</v>
      </c>
      <c r="AA5" s="23">
        <f>$Z$9*Y5+Z5</f>
        <v>0</v>
      </c>
      <c r="AB5" s="23">
        <f>IF(AA5=$AA$4,IF(M5="",0,M5))+IF(AA5=$AA$5,IF(N5="",0,N5))+IF(AA5=$AA$6,IF(O5="",0,O5))+IF(AA5=$AA$7,IF(O5="",0,O5))</f>
        <v>0</v>
      </c>
      <c r="AC5" s="23">
        <f>$AB$9*AA5+AD5</f>
        <v>0</v>
      </c>
      <c r="AD5" s="23"/>
      <c r="AE5" s="23">
        <f>RANK(AC5,$AC$4:$AC$7,1)-1</f>
        <v>0</v>
      </c>
      <c r="AF5" s="23">
        <f>RANK(R5,$R$4:$R$7,1)-1</f>
        <v>0</v>
      </c>
      <c r="AG5" s="23">
        <f>4*AE5+AF5</f>
        <v>0</v>
      </c>
      <c r="AH5" s="23">
        <f>RANK(AG5,$AG$4:$AG$7)</f>
        <v>1</v>
      </c>
      <c r="AI5" s="23"/>
      <c r="AJ5" s="26">
        <v>2</v>
      </c>
      <c r="AK5" s="29">
        <f>SUMIF($AK$9:$AK$21,B5,$AQ$9:$AQ$21)+SUMIF($AL$9:$AL$21,B5,$AR$9:$AR$21)</f>
        <v>0</v>
      </c>
      <c r="AL5" s="30" t="e">
        <f>SUMIF($AK$9:$AK$21,B5,$AS$9:$AS$21)+SUMIF($AL$9:$AL$21,B5,$AT$9:$AT$21)</f>
        <v>#VALUE!</v>
      </c>
      <c r="AM5" s="30">
        <f>SUM(BA5:BI5)</f>
        <v>0</v>
      </c>
      <c r="AO5">
        <v>2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Z5">
        <v>2</v>
      </c>
      <c r="BA5">
        <f>AP5</f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</row>
    <row r="6" spans="1:61" x14ac:dyDescent="0.3">
      <c r="A6" s="17">
        <f>S6</f>
        <v>1</v>
      </c>
      <c r="B6" s="18">
        <v>3</v>
      </c>
      <c r="C6" s="18" t="s">
        <v>42</v>
      </c>
      <c r="D6" s="104"/>
      <c r="E6" s="104"/>
      <c r="F6" s="18">
        <v>1000</v>
      </c>
      <c r="M6" s="20" t="str">
        <f t="shared" si="0"/>
        <v/>
      </c>
      <c r="N6" s="20" t="str">
        <f t="shared" si="0"/>
        <v/>
      </c>
      <c r="O6" s="19" t="str">
        <f t="shared" si="0"/>
        <v/>
      </c>
      <c r="P6" s="20" t="str">
        <f t="shared" si="0"/>
        <v/>
      </c>
      <c r="Q6" s="21">
        <f>SUM(M6:P6)</f>
        <v>0</v>
      </c>
      <c r="R6" s="22">
        <f>IF(M6="",0,M6)*$Q$4+IF(N6="",0,N6)*$Q$5+IF(O6="",0,O6)*$Q$6+IF(P6="",0,P6)*$Q$7</f>
        <v>0</v>
      </c>
      <c r="S6" s="20">
        <f>AH6</f>
        <v>1</v>
      </c>
      <c r="T6" s="23"/>
      <c r="U6" s="27">
        <f>VLOOKUP($C28,$AJ$4:$AM$7,4,FALSE)</f>
        <v>0</v>
      </c>
      <c r="V6" s="28">
        <f>VLOOKUP($C28,$B$4:$K$7,5,FALSE)</f>
        <v>1000</v>
      </c>
      <c r="W6" s="23"/>
      <c r="X6" s="12">
        <f>IF(Q6=$Q$4,IF(M6="",0,M6))+IF(Q6=$Q$5,IF(N6="",0,N6))+IF(Q6=$Q$6,IF(O6="",0,O6))+IF(Q6=$Q$7,IF(P6="",0,P6))</f>
        <v>0</v>
      </c>
      <c r="Y6" s="23">
        <f>$X$9*Q6+X6</f>
        <v>0</v>
      </c>
      <c r="Z6" s="23">
        <f>IF(Y6=$ADY$4,IF(M6="",0,M6))+IF(Y6=$Y$5,IF(N6="",0,N6))+IF(Y6=$Y$6,IF(O6="",0,O6))+IF(Y6=$Y$7,IF(P6="",0,P6))</f>
        <v>0</v>
      </c>
      <c r="AA6" s="23">
        <f>$Z$9*Y6+Z6</f>
        <v>0</v>
      </c>
      <c r="AB6" s="23">
        <f>IF(AA6=$AA$4,IF(M6="",0,M6))+IF(AA6=$AA$5,IF(N6="",0,N6))+IF(AA6=$AA$6,IF(O6="",0,O6))+IF(AA6=$AA$7,IF(O6="",0,O6))</f>
        <v>0</v>
      </c>
      <c r="AC6" s="23">
        <f>$AB$9*AA6+AD6</f>
        <v>0</v>
      </c>
      <c r="AD6" s="23"/>
      <c r="AE6" s="23">
        <f>RANK(AC6,$AC$4:$AC$7,1)-1</f>
        <v>0</v>
      </c>
      <c r="AF6" s="23">
        <f>RANK(R6,$R$4:$R$7,1)-1</f>
        <v>0</v>
      </c>
      <c r="AG6" s="23">
        <f>4*AE6+AF6</f>
        <v>0</v>
      </c>
      <c r="AH6" s="23">
        <f>RANK(AG6,$AG$4:$AG$7)</f>
        <v>1</v>
      </c>
      <c r="AI6" s="23"/>
      <c r="AJ6" s="26">
        <v>3</v>
      </c>
      <c r="AK6" s="29">
        <f>SUMIF($AK$9:$AK$21,B6,$AQ$9:$AQ$21)+SUMIF($AL$9:$AL$21,B6,$AR$9:$AR$21)</f>
        <v>0</v>
      </c>
      <c r="AL6" s="30" t="e">
        <f>SUMIF($AK$9:$AK$21,B6,$AS$9:$AS$21)+SUMIF($AL$9:$AL$21,B6,$AT$9:$AT$21)</f>
        <v>#VALUE!</v>
      </c>
      <c r="AM6" s="30">
        <f>SUM(BA6:BI6)</f>
        <v>0</v>
      </c>
      <c r="AO6">
        <v>3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Z6">
        <v>3</v>
      </c>
      <c r="BA6">
        <f>AP6</f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</row>
    <row r="7" spans="1:61" x14ac:dyDescent="0.3">
      <c r="A7" s="17">
        <f>S7</f>
        <v>1</v>
      </c>
      <c r="B7" s="18">
        <v>4</v>
      </c>
      <c r="C7" s="18" t="s">
        <v>43</v>
      </c>
      <c r="D7" s="104"/>
      <c r="E7" s="104"/>
      <c r="F7" s="18">
        <v>1000</v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19" t="str">
        <f t="shared" si="0"/>
        <v/>
      </c>
      <c r="Q7" s="21">
        <f>SUM(M7:P7)</f>
        <v>0</v>
      </c>
      <c r="R7" s="22">
        <f>IF(M7="",0,M7)*$Q$4+IF(N7="",0,N7)*$Q$5+IF(O7="",0,O7)*$Q$6+IF(P7="",0,P7)*$Q$7</f>
        <v>0</v>
      </c>
      <c r="S7" s="20">
        <f>AH7</f>
        <v>1</v>
      </c>
      <c r="T7" s="23"/>
      <c r="U7" s="27">
        <f>VLOOKUP($C29,$AJ$4:$AM$7,4,FALSE)</f>
        <v>0</v>
      </c>
      <c r="V7" s="28">
        <f>VLOOKUP($C29,$B$4:$K$7,5,FALSE)</f>
        <v>1000</v>
      </c>
      <c r="W7" s="23"/>
      <c r="X7" s="12">
        <f>IF(Q7=$Q$4,IF(M7="",0,M7))+IF(Q7=$Q$5,IF(N7="",0,N7))+IF(Q7=$Q$6,IF(O7="",0,O7))+IF(Q7=$Q$7,IF(P7="",0,P7))</f>
        <v>0</v>
      </c>
      <c r="Y7" s="23">
        <f>$X$9*Q7+X7</f>
        <v>0</v>
      </c>
      <c r="Z7" s="23">
        <f>IF(Y7=$ADY$4,IF(M7="",0,M7))+IF(Y7=$Y$5,IF(N7="",0,N7))+IF(Y7=$Y$6,IF(O7="",0,O7))+IF(Y7=$Y$7,IF(P7="",0,P7))</f>
        <v>0</v>
      </c>
      <c r="AA7" s="23">
        <f>$Z$9*Y7+Z7</f>
        <v>0</v>
      </c>
      <c r="AB7" s="23">
        <f>IF(AA7=$AA$4,IF(M7="",0,M7))+IF(AA7=$AA$5,IF(N7="",0,N7))+IF(AA7=$AA$6,IF(O7="",0,O7))+IF(AA7=$AA$7,IF(O7="",0,O7))</f>
        <v>0</v>
      </c>
      <c r="AC7" s="23">
        <f>$AB$9*AA7+AD7</f>
        <v>0</v>
      </c>
      <c r="AD7" s="23"/>
      <c r="AE7" s="23">
        <f>RANK(AC7,$AC$4:$AC$7,1)-1</f>
        <v>0</v>
      </c>
      <c r="AF7" s="23">
        <f>RANK(R7,$R$4:$R$7,1)-1</f>
        <v>0</v>
      </c>
      <c r="AG7" s="23">
        <f>4*AE7+AF7</f>
        <v>0</v>
      </c>
      <c r="AH7" s="23">
        <f>RANK(AG7,$AG$4:$AG$7)</f>
        <v>1</v>
      </c>
      <c r="AI7" s="23"/>
      <c r="AJ7" s="26">
        <v>4</v>
      </c>
      <c r="AK7" s="29">
        <f>SUMIF($AK$9:$AK$21,B7,$AQ$9:$AQ$21)+SUMIF($AL$9:$AL$21,B7,$AR$9:$AR$21)</f>
        <v>0</v>
      </c>
      <c r="AL7" s="30" t="e">
        <f>SUMIF($AK$9:$AK$21,B7,$AS$9:$AS$21)+SUMIF($AL$9:$AL$21,B7,$AT$9:$AT$21)</f>
        <v>#VALUE!</v>
      </c>
      <c r="AM7" s="30">
        <f>SUM(BA7:BI7)</f>
        <v>0</v>
      </c>
      <c r="AO7">
        <v>4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Z7">
        <v>4</v>
      </c>
      <c r="BA7">
        <f>AP7</f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</row>
    <row r="8" spans="1:61" hidden="1" x14ac:dyDescent="0.3">
      <c r="R8" s="20">
        <f>IF(L8="",0,L8)*$Q$4+IF(M8="",0,M8)*$Q$5+IF(N8="",N8)*$Q$6+IF(O8="",O8)*$Q$7</f>
        <v>0</v>
      </c>
      <c r="S8" s="20">
        <f>AH8</f>
        <v>0</v>
      </c>
      <c r="AF8" s="23">
        <f>RANK(R8,R8:R11,1)-1</f>
        <v>0</v>
      </c>
    </row>
    <row r="9" spans="1:61" x14ac:dyDescent="0.3">
      <c r="X9" s="12">
        <f>2*MAX(X4:X7)+1</f>
        <v>1</v>
      </c>
      <c r="Z9" s="23">
        <f>2*MAX(Z4:Z7)+1</f>
        <v>1</v>
      </c>
      <c r="AB9" s="23">
        <f>2*MAX(AB4:AB7)+1</f>
        <v>1</v>
      </c>
      <c r="AJ9" s="31" t="s">
        <v>39</v>
      </c>
      <c r="AK9" s="31" t="s">
        <v>0</v>
      </c>
      <c r="AL9" s="31" t="s">
        <v>1</v>
      </c>
      <c r="AM9" s="31" t="s">
        <v>2</v>
      </c>
      <c r="AO9" s="32" t="s">
        <v>37</v>
      </c>
      <c r="AP9" s="32" t="s">
        <v>38</v>
      </c>
      <c r="AQ9" t="s">
        <v>18</v>
      </c>
      <c r="AR9" t="s">
        <v>19</v>
      </c>
      <c r="AS9" t="s">
        <v>20</v>
      </c>
      <c r="AT9" t="s">
        <v>21</v>
      </c>
    </row>
    <row r="10" spans="1:61" ht="3" customHeight="1" x14ac:dyDescent="0.3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AO10" s="33"/>
      <c r="AP10" s="33"/>
      <c r="AQ10" s="34"/>
      <c r="AR10" s="34"/>
      <c r="AS10" s="34"/>
      <c r="AT10" s="34"/>
    </row>
    <row r="11" spans="1:61" x14ac:dyDescent="0.3">
      <c r="B11" s="35" t="s">
        <v>3</v>
      </c>
      <c r="D11" s="117" t="str">
        <f>"Van:" &amp; TEXT(Configuratie!H19,"uu.mm.ss")</f>
        <v>Van:13.00.00</v>
      </c>
      <c r="E11" s="117"/>
      <c r="F11" s="117"/>
      <c r="G11" t="str">
        <f>"Tot: "&amp; TEXT(Configuratie!I19,"uu.mm.ss")</f>
        <v>Tot: 14.00.00</v>
      </c>
      <c r="AO11" s="32"/>
      <c r="AP11" s="32"/>
    </row>
    <row r="12" spans="1:61" x14ac:dyDescent="0.3">
      <c r="B12">
        <v>1</v>
      </c>
      <c r="C12" t="str">
        <f>VLOOKUP(AK12,$B$4:$F$7,2,FALSE)</f>
        <v>D</v>
      </c>
      <c r="D12" s="36" t="s">
        <v>5</v>
      </c>
      <c r="E12" s="86" t="str">
        <f>VLOOKUP(AL12,$B$4:$F$7,2,FALSE)</f>
        <v>A</v>
      </c>
      <c r="F12" s="86"/>
      <c r="G12" s="86"/>
      <c r="H12" s="86"/>
      <c r="J12" s="86" t="str">
        <f>IF(S12="","",VLOOKUP(S12,#REF!,3,FALSE))</f>
        <v/>
      </c>
      <c r="K12" s="86"/>
      <c r="L12" s="37" t="s">
        <v>5</v>
      </c>
      <c r="N12" s="86" t="str">
        <f>IF(S12="","",VLOOKUP(S12,#REF!,4,FALSE))</f>
        <v/>
      </c>
      <c r="O12" s="86"/>
      <c r="Q12" t="str">
        <f>IF(S12="","",VLOOKUP(S12,#REF!,2,FALSE))</f>
        <v/>
      </c>
      <c r="S12" s="1"/>
      <c r="AJ12">
        <v>1</v>
      </c>
      <c r="AK12">
        <v>4</v>
      </c>
      <c r="AL12">
        <v>1</v>
      </c>
      <c r="AM12" t="str">
        <f>IF(AND(ISNUMBER(J12),ISNUMBER(N12)),IF(J12+N12=1,1,0),"")</f>
        <v/>
      </c>
      <c r="AO12" s="38">
        <f>AK12*100+AL12</f>
        <v>401</v>
      </c>
      <c r="AP12" s="38">
        <f>AL12*100+AK12</f>
        <v>104</v>
      </c>
      <c r="AQ12">
        <v>0</v>
      </c>
      <c r="AR12">
        <v>0</v>
      </c>
      <c r="AS12" t="e">
        <f>J12*AR12</f>
        <v>#VALUE!</v>
      </c>
      <c r="AT12" t="e">
        <f>N12*AQ12</f>
        <v>#VALUE!</v>
      </c>
    </row>
    <row r="13" spans="1:61" x14ac:dyDescent="0.3">
      <c r="B13">
        <v>2</v>
      </c>
      <c r="C13" t="str">
        <f>VLOOKUP(AK13,$B$4:$F$7,2,FALSE)</f>
        <v>C</v>
      </c>
      <c r="D13" s="36" t="s">
        <v>5</v>
      </c>
      <c r="E13" s="86" t="str">
        <f>VLOOKUP(AL13,$B$4:$F$7,2,FALSE)</f>
        <v>B</v>
      </c>
      <c r="F13" s="86"/>
      <c r="G13" s="86"/>
      <c r="H13" s="86"/>
      <c r="J13" s="86" t="str">
        <f>IF(S13="","",VLOOKUP(S13,#REF!,3,FALSE))</f>
        <v/>
      </c>
      <c r="K13" s="86"/>
      <c r="L13" s="37" t="s">
        <v>5</v>
      </c>
      <c r="N13" s="86" t="str">
        <f>IF(S13="","",VLOOKUP(S13,#REF!,4,FALSE))</f>
        <v/>
      </c>
      <c r="O13" s="86"/>
      <c r="Q13" t="str">
        <f>IF(S13="","",VLOOKUP(S13,#REF!,2,FALSE))</f>
        <v/>
      </c>
      <c r="S13" s="1"/>
      <c r="AJ13">
        <v>1</v>
      </c>
      <c r="AK13">
        <v>3</v>
      </c>
      <c r="AL13">
        <v>2</v>
      </c>
      <c r="AM13" t="str">
        <f>IF(AND(ISNUMBER(J13),ISNUMBER(N13)),IF(J13+N13=1,1,0),"")</f>
        <v/>
      </c>
      <c r="AO13" s="38">
        <f>AK13*100+AL13</f>
        <v>302</v>
      </c>
      <c r="AP13" s="38">
        <f>AL13*100+AK13</f>
        <v>203</v>
      </c>
      <c r="AQ13">
        <v>0</v>
      </c>
      <c r="AR13">
        <v>0</v>
      </c>
      <c r="AS13" t="e">
        <f>J13*AR13</f>
        <v>#VALUE!</v>
      </c>
      <c r="AT13" t="e">
        <f>N13*AQ13</f>
        <v>#VALUE!</v>
      </c>
    </row>
    <row r="14" spans="1:61" ht="3" customHeight="1" x14ac:dyDescent="0.3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AO14" s="32"/>
      <c r="AP14" s="32"/>
    </row>
    <row r="15" spans="1:61" x14ac:dyDescent="0.3">
      <c r="B15" s="35" t="s">
        <v>9</v>
      </c>
      <c r="D15" s="117" t="str">
        <f>"Van:" &amp; TEXT(Configuratie!J19,"uu.mm.ss")</f>
        <v>Van:14.35.00</v>
      </c>
      <c r="E15" s="117"/>
      <c r="F15" s="117"/>
      <c r="G15" s="117" t="str">
        <f>"Tot: "&amp; TEXT(Configuratie!K19,"uu.mm.ss")</f>
        <v>Tot: 15.35.00</v>
      </c>
      <c r="H15" s="117"/>
      <c r="I15" s="117"/>
      <c r="AO15" s="32"/>
      <c r="AP15" s="32"/>
    </row>
    <row r="16" spans="1:61" x14ac:dyDescent="0.3">
      <c r="B16">
        <v>1</v>
      </c>
      <c r="C16" t="str">
        <f>VLOOKUP(AK16,$B$4:$F$7,2,FALSE)</f>
        <v>D</v>
      </c>
      <c r="D16" s="36" t="s">
        <v>5</v>
      </c>
      <c r="E16" s="86" t="str">
        <f>VLOOKUP(AL16,$B$4:$F$7,2,FALSE)</f>
        <v>B</v>
      </c>
      <c r="F16" s="86"/>
      <c r="G16" s="86"/>
      <c r="H16" s="86"/>
      <c r="J16" s="86" t="str">
        <f>IF(S16="","",VLOOKUP(S16,#REF!,3,FALSE))</f>
        <v/>
      </c>
      <c r="K16" s="86"/>
      <c r="L16" s="37" t="s">
        <v>5</v>
      </c>
      <c r="N16" s="86" t="str">
        <f>IF(S16="","",VLOOKUP(S16,#REF!,4,FALSE))</f>
        <v/>
      </c>
      <c r="O16" s="86"/>
      <c r="Q16" t="str">
        <f>IF(S16="","",VLOOKUP(S16,#REF!,2,FALSE))</f>
        <v/>
      </c>
      <c r="S16" s="1"/>
      <c r="AJ16">
        <v>2</v>
      </c>
      <c r="AK16">
        <v>4</v>
      </c>
      <c r="AL16">
        <v>2</v>
      </c>
      <c r="AM16" t="str">
        <f>IF(AND(ISNUMBER(J16),ISNUMBER(N16)),IF(J16+N16=1,1,0),"")</f>
        <v/>
      </c>
      <c r="AO16" s="38">
        <f>AK16*100+AL16</f>
        <v>402</v>
      </c>
      <c r="AP16" s="38">
        <f>AL16*100+AK16</f>
        <v>204</v>
      </c>
      <c r="AQ16">
        <f>VLOOKUP(AK16,$AZ$3:$BI$7,$AJ16,FALSE)</f>
        <v>0</v>
      </c>
      <c r="AR16">
        <f>VLOOKUP(AL16,$AZ$3:$BI$7,$AJ16,FALSE)</f>
        <v>0</v>
      </c>
      <c r="AS16" t="e">
        <f>J16*AR16</f>
        <v>#VALUE!</v>
      </c>
      <c r="AT16" t="e">
        <f>N16*AQ16</f>
        <v>#VALUE!</v>
      </c>
    </row>
    <row r="17" spans="2:46" x14ac:dyDescent="0.3">
      <c r="B17">
        <v>2</v>
      </c>
      <c r="C17" t="str">
        <f>VLOOKUP(AK17,$B$4:$F$7,2,FALSE)</f>
        <v>A</v>
      </c>
      <c r="D17" s="36" t="s">
        <v>5</v>
      </c>
      <c r="E17" s="86" t="str">
        <f>VLOOKUP(AL17,$B$4:$F$7,2,FALSE)</f>
        <v>C</v>
      </c>
      <c r="F17" s="86"/>
      <c r="G17" s="86"/>
      <c r="H17" s="86"/>
      <c r="J17" s="86" t="str">
        <f>IF(S17="","",VLOOKUP(S17,#REF!,3,FALSE))</f>
        <v/>
      </c>
      <c r="K17" s="86"/>
      <c r="L17" s="37" t="s">
        <v>5</v>
      </c>
      <c r="N17" s="86" t="str">
        <f>IF(S17="","",VLOOKUP(S17,#REF!,4,FALSE))</f>
        <v/>
      </c>
      <c r="O17" s="86"/>
      <c r="Q17" t="str">
        <f>IF(S17="","",VLOOKUP(S17,#REF!,2,FALSE))</f>
        <v/>
      </c>
      <c r="S17" s="1"/>
      <c r="AJ17">
        <v>2</v>
      </c>
      <c r="AK17">
        <v>1</v>
      </c>
      <c r="AL17">
        <v>3</v>
      </c>
      <c r="AM17" t="str">
        <f>IF(AND(ISNUMBER(J17),ISNUMBER(N17)),IF(J17+N17=1,1,0),"")</f>
        <v/>
      </c>
      <c r="AO17" s="38">
        <f>AK17*100+AL17</f>
        <v>103</v>
      </c>
      <c r="AP17" s="38">
        <f>AL17*100+AK17</f>
        <v>301</v>
      </c>
      <c r="AQ17">
        <f>VLOOKUP(AK17,$AZ$3:$BI$7,$AJ17,FALSE)</f>
        <v>0</v>
      </c>
      <c r="AR17">
        <f>VLOOKUP(AL17,$AZ$3:$BI$7,$AJ17,FALSE)</f>
        <v>0</v>
      </c>
      <c r="AS17" t="e">
        <f>J17*AR17</f>
        <v>#VALUE!</v>
      </c>
      <c r="AT17" t="e">
        <f>N17*AQ17</f>
        <v>#VALUE!</v>
      </c>
    </row>
    <row r="18" spans="2:46" ht="3" customHeight="1" x14ac:dyDescent="0.3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AO18" s="32"/>
      <c r="AP18" s="32"/>
    </row>
    <row r="19" spans="2:46" x14ac:dyDescent="0.3">
      <c r="B19" s="35" t="s">
        <v>10</v>
      </c>
      <c r="D19" s="117" t="str">
        <f>"Van:" &amp; TEXT(Configuratie!L19,"uu.mm.ss")</f>
        <v>Van:15.40.00</v>
      </c>
      <c r="E19" s="117"/>
      <c r="F19" s="117"/>
      <c r="G19" s="117" t="str">
        <f>"Tot: "&amp; TEXT(Configuratie!M19,"uu.mm.ss")</f>
        <v>Tot: 16.40.00</v>
      </c>
      <c r="H19" s="117"/>
      <c r="I19" s="117"/>
      <c r="AO19" s="32"/>
      <c r="AP19" s="32"/>
    </row>
    <row r="20" spans="2:46" x14ac:dyDescent="0.3">
      <c r="B20">
        <v>1</v>
      </c>
      <c r="C20" t="str">
        <f>VLOOKUP(AK20,$B$4:$F$7,2,FALSE)</f>
        <v>C</v>
      </c>
      <c r="D20" s="36" t="s">
        <v>5</v>
      </c>
      <c r="E20" s="86" t="str">
        <f>VLOOKUP(AL20,$B$4:$F$7,2,FALSE)</f>
        <v>D</v>
      </c>
      <c r="F20" s="86"/>
      <c r="G20" s="86"/>
      <c r="H20" s="86"/>
      <c r="J20" s="86" t="str">
        <f>IF(S20="","",VLOOKUP(S20,#REF!,3,FALSE))</f>
        <v/>
      </c>
      <c r="K20" s="86"/>
      <c r="L20" s="37" t="s">
        <v>5</v>
      </c>
      <c r="N20" s="86" t="str">
        <f>IF(S20="","",VLOOKUP(S20,#REF!,4,FALSE))</f>
        <v/>
      </c>
      <c r="O20" s="86"/>
      <c r="Q20" t="str">
        <f>IF(S20="","",VLOOKUP(S20,#REF!,2,FALSE))</f>
        <v/>
      </c>
      <c r="S20" s="1"/>
      <c r="AJ20">
        <v>3</v>
      </c>
      <c r="AK20">
        <v>3</v>
      </c>
      <c r="AL20">
        <v>4</v>
      </c>
      <c r="AM20" t="str">
        <f>IF(AND(ISNUMBER(J20),ISNUMBER(N20)),IF(J20+N20=1,1,0),"")</f>
        <v/>
      </c>
      <c r="AO20" s="38">
        <f>AK20*100+AL20</f>
        <v>304</v>
      </c>
      <c r="AP20" s="38">
        <f>AL20*100+AK20</f>
        <v>403</v>
      </c>
      <c r="AQ20">
        <f>VLOOKUP(AK20,$AZ$3:$BI$7,$AJ20,FALSE)</f>
        <v>0</v>
      </c>
      <c r="AR20">
        <f>VLOOKUP(AL20,$AZ$3:$BI$7,$AJ20,FALSE)</f>
        <v>0</v>
      </c>
      <c r="AS20" t="e">
        <f>J20*AR20</f>
        <v>#VALUE!</v>
      </c>
      <c r="AT20" t="e">
        <f>N20*AQ20</f>
        <v>#VALUE!</v>
      </c>
    </row>
    <row r="21" spans="2:46" x14ac:dyDescent="0.3">
      <c r="B21">
        <v>2</v>
      </c>
      <c r="C21" t="str">
        <f>VLOOKUP(AK21,$B$4:$F$7,2,FALSE)</f>
        <v>B</v>
      </c>
      <c r="D21" s="36" t="s">
        <v>5</v>
      </c>
      <c r="E21" s="86" t="str">
        <f>VLOOKUP(AL21,$B$4:$F$7,2,FALSE)</f>
        <v>A</v>
      </c>
      <c r="F21" s="86"/>
      <c r="G21" s="86"/>
      <c r="H21" s="86"/>
      <c r="J21" s="86" t="str">
        <f>IF(S21="","",VLOOKUP(S21,#REF!,3,FALSE))</f>
        <v/>
      </c>
      <c r="K21" s="86"/>
      <c r="L21" s="37" t="s">
        <v>5</v>
      </c>
      <c r="N21" s="86" t="str">
        <f>IF(S21="","",VLOOKUP(S21,#REF!,4,FALSE))</f>
        <v/>
      </c>
      <c r="O21" s="86"/>
      <c r="Q21" t="str">
        <f>IF(S21="","",VLOOKUP(S21,#REF!,2,FALSE))</f>
        <v/>
      </c>
      <c r="S21" s="1"/>
      <c r="AJ21">
        <v>3</v>
      </c>
      <c r="AK21">
        <v>2</v>
      </c>
      <c r="AL21">
        <v>1</v>
      </c>
      <c r="AM21" t="str">
        <f>IF(AND(ISNUMBER(J21),ISNUMBER(N21)),IF(J21+N21=1,1,0),"")</f>
        <v/>
      </c>
      <c r="AO21" s="38">
        <f>AK21*100+AL21</f>
        <v>201</v>
      </c>
      <c r="AP21" s="38">
        <f>AL21*100+AK21</f>
        <v>102</v>
      </c>
      <c r="AQ21">
        <f>VLOOKUP(AK21,$AZ$3:$BI$7,$AJ21,FALSE)</f>
        <v>0</v>
      </c>
      <c r="AR21">
        <f>VLOOKUP(AL21,$AZ$3:$BI$7,$AJ21,FALSE)</f>
        <v>0</v>
      </c>
      <c r="AS21" t="e">
        <f>J21*AR21</f>
        <v>#VALUE!</v>
      </c>
      <c r="AT21" t="e">
        <f>N21*AQ21</f>
        <v>#VALUE!</v>
      </c>
    </row>
    <row r="23" spans="2:46" ht="25.8" x14ac:dyDescent="0.5">
      <c r="B23" s="89" t="str">
        <f>"UITSLAG " &amp; G1</f>
        <v>UITSLAG GROEP A</v>
      </c>
      <c r="C23" s="90"/>
      <c r="D23" s="90"/>
      <c r="E23" s="90"/>
      <c r="F23" s="90"/>
      <c r="G23" s="90"/>
    </row>
    <row r="25" spans="2:46" x14ac:dyDescent="0.3">
      <c r="B25" s="2" t="s">
        <v>33</v>
      </c>
      <c r="C25" s="15" t="s">
        <v>30</v>
      </c>
      <c r="D25" s="2" t="s">
        <v>6</v>
      </c>
      <c r="E25" s="2" t="s">
        <v>29</v>
      </c>
      <c r="F25" s="2" t="s">
        <v>24</v>
      </c>
      <c r="G25" s="2" t="s">
        <v>26</v>
      </c>
    </row>
    <row r="26" spans="2:46" x14ac:dyDescent="0.3">
      <c r="B26" s="24">
        <v>1</v>
      </c>
      <c r="C26" s="25">
        <v>4</v>
      </c>
      <c r="D26" s="26" t="str">
        <f>IF(ISNA(VLOOKUP(B26,$A$4:$T$7,3,FALSE)),C4,VLOOKUP(B26,$A$4:$T$7,3,FALSE))</f>
        <v>A</v>
      </c>
      <c r="E26" s="27">
        <f t="shared" ref="E26:F29" si="3">IF(ISNA(VLOOKUP($B4,$A$4:$S$7,17,FALSE)),0,VLOOKUP($B4,$A$4:$S$7,17,FALSE))</f>
        <v>0</v>
      </c>
      <c r="F26" s="27">
        <f t="shared" si="3"/>
        <v>0</v>
      </c>
      <c r="G26" s="27">
        <f>IF(ISNA(VLOOKUP($B4,$A$4:$S$7,18,FALSE)),0,VLOOKUP($B4,$A$4:$S$7,18,FALSE))</f>
        <v>0</v>
      </c>
    </row>
    <row r="27" spans="2:46" x14ac:dyDescent="0.3">
      <c r="B27" s="24">
        <v>2</v>
      </c>
      <c r="C27" s="25">
        <v>3</v>
      </c>
      <c r="D27" s="26" t="str">
        <f>IF(ISNA(VLOOKUP(B27,$A$4:$T$7,3,FALSE)),C5,VLOOKUP(B27,$A$4:$T$7,3,FALSE))</f>
        <v>B</v>
      </c>
      <c r="E27" s="27">
        <f t="shared" si="3"/>
        <v>0</v>
      </c>
      <c r="F27" s="27">
        <f t="shared" si="3"/>
        <v>0</v>
      </c>
      <c r="G27" s="27">
        <f>IF(ISNA(VLOOKUP($B5,$A$4:$S$7,18,FALSE)),0,VLOOKUP($B5,$A$4:$S$7,18,FALSE))</f>
        <v>0</v>
      </c>
    </row>
    <row r="28" spans="2:46" x14ac:dyDescent="0.3">
      <c r="B28" s="24">
        <v>3</v>
      </c>
      <c r="C28" s="25">
        <v>2</v>
      </c>
      <c r="D28" s="26" t="str">
        <f>IF(ISNA(VLOOKUP(B28,$A$4:$T$7,3,FALSE)),C6,VLOOKUP(B28,$A$4:$T$7,3,FALSE))</f>
        <v>C</v>
      </c>
      <c r="E28" s="27">
        <f t="shared" si="3"/>
        <v>0</v>
      </c>
      <c r="F28" s="27">
        <f t="shared" si="3"/>
        <v>0</v>
      </c>
      <c r="G28" s="27">
        <f>IF(ISNA(VLOOKUP($B6,$A$4:$S$7,18,FALSE)),0,VLOOKUP($B6,$A$4:$S$7,18,FALSE))</f>
        <v>0</v>
      </c>
    </row>
    <row r="29" spans="2:46" x14ac:dyDescent="0.3">
      <c r="B29" s="24">
        <v>4</v>
      </c>
      <c r="C29" s="25">
        <v>1</v>
      </c>
      <c r="D29" s="26" t="str">
        <f>IF(ISNA(VLOOKUP(B29,$A$4:$T$7,3,FALSE)),C7,VLOOKUP(B29,$A$4:$T$7,3,FALSE))</f>
        <v>D</v>
      </c>
      <c r="E29" s="27">
        <f t="shared" si="3"/>
        <v>0</v>
      </c>
      <c r="F29" s="27">
        <f t="shared" si="3"/>
        <v>0</v>
      </c>
      <c r="G29" s="27">
        <f>IF(ISNA(VLOOKUP($B7,$A$4:$S$7,18,FALSE)),0,VLOOKUP($B7,$A$4:$S$7,18,FALSE))</f>
        <v>0</v>
      </c>
    </row>
  </sheetData>
  <sheetProtection algorithmName="SHA-512" hashValue="QJdlgw1cdvnoCqkKiMcW4X/x4C3T2OCvKnoRoO+fqxk04jUOqTC8LWgkT7EPCYwizZS2L/JWhSn7+fcOyynErA==" saltValue="7U2TTyxsmgfXm0LrK1YZTQ==" spinCount="100000" sheet="1" objects="1" scenarios="1" selectLockedCells="1"/>
  <sortState xmlns:xlrd2="http://schemas.microsoft.com/office/spreadsheetml/2017/richdata2" ref="U4:U7">
    <sortCondition descending="1" ref="U4:U7"/>
  </sortState>
  <mergeCells count="32"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  <mergeCell ref="E21:H21"/>
    <mergeCell ref="J21:K21"/>
    <mergeCell ref="N21:O21"/>
    <mergeCell ref="E17:H17"/>
    <mergeCell ref="J17:K17"/>
    <mergeCell ref="N17:O17"/>
    <mergeCell ref="D19:F19"/>
    <mergeCell ref="G19:I19"/>
    <mergeCell ref="E16:H16"/>
    <mergeCell ref="J16:K16"/>
    <mergeCell ref="N16:O16"/>
    <mergeCell ref="B1:F1"/>
    <mergeCell ref="N20:O20"/>
    <mergeCell ref="D11:F11"/>
    <mergeCell ref="D15:F15"/>
    <mergeCell ref="G15:I15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E1"/>
  <sheetViews>
    <sheetView tabSelected="1" workbookViewId="0">
      <selection activeCell="G13" sqref="G13"/>
    </sheetView>
  </sheetViews>
  <sheetFormatPr defaultRowHeight="14.4" x14ac:dyDescent="0.3"/>
  <cols>
    <col min="2" max="2" width="42.5546875" customWidth="1"/>
    <col min="3" max="3" width="12.33203125" customWidth="1"/>
    <col min="4" max="4" width="11.44140625" customWidth="1"/>
    <col min="5" max="5" width="12.109375" customWidth="1"/>
    <col min="6" max="6" width="11.109375" customWidth="1"/>
  </cols>
  <sheetData>
    <row r="1" spans="1:5" ht="25.8" x14ac:dyDescent="0.5">
      <c r="A1" s="89" t="s">
        <v>51</v>
      </c>
      <c r="B1" s="89"/>
      <c r="C1" s="89"/>
      <c r="D1" s="89"/>
      <c r="E1" s="89"/>
    </row>
  </sheetData>
  <sheetProtection algorithmName="SHA-512" hashValue="lk2BtmyVtrY36x6fXH2hWEk+Q0veNvQkSnHRtNTL1IvfNYi7jSEeYoJWJZXGkOg1AneIJ+rLiB0vEFSTCOYUKA==" saltValue="qAHfsn2UgoiQZBzVBz8tJQ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E1"/>
  <sheetViews>
    <sheetView workbookViewId="0">
      <selection activeCell="B27" sqref="B27"/>
    </sheetView>
  </sheetViews>
  <sheetFormatPr defaultRowHeight="14.4" x14ac:dyDescent="0.3"/>
  <cols>
    <col min="1" max="1" width="41" customWidth="1"/>
    <col min="2" max="2" width="13.44140625" customWidth="1"/>
    <col min="3" max="3" width="12.21875" customWidth="1"/>
    <col min="4" max="4" width="14.21875" customWidth="1"/>
    <col min="5" max="5" width="12.44140625" customWidth="1"/>
  </cols>
  <sheetData>
    <row r="1" spans="1:5" ht="25.8" x14ac:dyDescent="0.5">
      <c r="A1" s="89" t="s">
        <v>50</v>
      </c>
      <c r="B1" s="89"/>
      <c r="C1" s="89"/>
      <c r="D1" s="89"/>
      <c r="E1" s="89"/>
    </row>
  </sheetData>
  <sheetProtection algorithmName="SHA-512" hashValue="lagXhHP6duKXS3T6auaD7J2oCyWfSdtUddgY/VqEFkRYsr+njnXZ0+2ECM/QP/71PFMWzzqOEMY7QAidoIO0DA==" saltValue="mYoakra1JjQKv7ACbJdOFw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D48B-4F23-4860-82C3-26319D085561}">
  <sheetPr codeName="Blad7"/>
  <dimension ref="A1:AI36"/>
  <sheetViews>
    <sheetView topLeftCell="A15" zoomScale="110" zoomScaleNormal="110" workbookViewId="0">
      <selection activeCell="D35" sqref="D35"/>
    </sheetView>
  </sheetViews>
  <sheetFormatPr defaultRowHeight="14.4" x14ac:dyDescent="0.3"/>
  <cols>
    <col min="1" max="1" width="20.6640625" bestFit="1" customWidth="1"/>
    <col min="3" max="3" width="14.21875" bestFit="1" customWidth="1"/>
    <col min="6" max="6" width="16.6640625" customWidth="1"/>
    <col min="7" max="7" width="5" customWidth="1"/>
    <col min="8" max="8" width="9.109375" bestFit="1" customWidth="1"/>
  </cols>
  <sheetData>
    <row r="1" spans="1:5" x14ac:dyDescent="0.3">
      <c r="A1" t="s">
        <v>84</v>
      </c>
      <c r="B1" t="s">
        <v>85</v>
      </c>
    </row>
    <row r="2" spans="1:5" x14ac:dyDescent="0.3">
      <c r="A2" t="s">
        <v>52</v>
      </c>
      <c r="B2">
        <v>0</v>
      </c>
      <c r="C2" t="s">
        <v>54</v>
      </c>
      <c r="D2">
        <v>0</v>
      </c>
      <c r="E2">
        <v>1</v>
      </c>
    </row>
    <row r="3" spans="1:5" x14ac:dyDescent="0.3">
      <c r="A3" t="s">
        <v>74</v>
      </c>
      <c r="B3">
        <v>1</v>
      </c>
      <c r="C3" t="s">
        <v>53</v>
      </c>
      <c r="D3">
        <v>1</v>
      </c>
      <c r="E3">
        <v>0</v>
      </c>
    </row>
    <row r="4" spans="1:5" x14ac:dyDescent="0.3">
      <c r="B4">
        <v>2</v>
      </c>
      <c r="C4" t="s">
        <v>55</v>
      </c>
      <c r="D4">
        <v>0.5</v>
      </c>
      <c r="E4">
        <v>0.5</v>
      </c>
    </row>
    <row r="5" spans="1:5" x14ac:dyDescent="0.3">
      <c r="B5">
        <v>3</v>
      </c>
      <c r="C5" t="s">
        <v>72</v>
      </c>
      <c r="D5">
        <v>0</v>
      </c>
      <c r="E5">
        <v>1</v>
      </c>
    </row>
    <row r="6" spans="1:5" x14ac:dyDescent="0.3">
      <c r="B6">
        <v>4</v>
      </c>
      <c r="C6" t="s">
        <v>71</v>
      </c>
      <c r="D6">
        <v>1</v>
      </c>
      <c r="E6">
        <v>0</v>
      </c>
    </row>
    <row r="7" spans="1:5" x14ac:dyDescent="0.3">
      <c r="B7">
        <v>5</v>
      </c>
      <c r="C7" t="s">
        <v>73</v>
      </c>
      <c r="D7">
        <v>0.5</v>
      </c>
      <c r="E7">
        <v>0.5</v>
      </c>
    </row>
    <row r="8" spans="1:5" x14ac:dyDescent="0.3">
      <c r="B8">
        <v>6</v>
      </c>
      <c r="C8" t="s">
        <v>57</v>
      </c>
      <c r="D8">
        <v>0</v>
      </c>
      <c r="E8">
        <v>0</v>
      </c>
    </row>
    <row r="9" spans="1:5" x14ac:dyDescent="0.3">
      <c r="B9">
        <v>7</v>
      </c>
      <c r="C9" t="s">
        <v>58</v>
      </c>
      <c r="D9">
        <v>0</v>
      </c>
      <c r="E9">
        <v>1</v>
      </c>
    </row>
    <row r="10" spans="1:5" x14ac:dyDescent="0.3">
      <c r="B10">
        <v>8</v>
      </c>
      <c r="C10" t="s">
        <v>56</v>
      </c>
      <c r="D10">
        <v>1</v>
      </c>
      <c r="E10">
        <v>0</v>
      </c>
    </row>
    <row r="11" spans="1:5" x14ac:dyDescent="0.3">
      <c r="B11">
        <v>9</v>
      </c>
      <c r="C11" t="s">
        <v>59</v>
      </c>
      <c r="D11">
        <v>0.5</v>
      </c>
      <c r="E11">
        <v>0.5</v>
      </c>
    </row>
    <row r="12" spans="1:5" ht="15" thickBot="1" x14ac:dyDescent="0.35"/>
    <row r="13" spans="1:5" x14ac:dyDescent="0.3">
      <c r="A13" t="s">
        <v>86</v>
      </c>
      <c r="B13" t="s">
        <v>87</v>
      </c>
      <c r="D13" s="70">
        <v>0.54166666666666663</v>
      </c>
    </row>
    <row r="14" spans="1:5" x14ac:dyDescent="0.3">
      <c r="B14" t="s">
        <v>90</v>
      </c>
      <c r="D14" s="71">
        <v>0.70833333333333337</v>
      </c>
    </row>
    <row r="15" spans="1:5" ht="15" thickBot="1" x14ac:dyDescent="0.35">
      <c r="B15" t="s">
        <v>89</v>
      </c>
      <c r="D15" s="72">
        <v>3.472222222222222E-3</v>
      </c>
    </row>
    <row r="17" spans="2:33" x14ac:dyDescent="0.3">
      <c r="D17" s="67"/>
      <c r="H17" t="s">
        <v>124</v>
      </c>
    </row>
    <row r="18" spans="2:33" ht="29.4" thickBot="1" x14ac:dyDescent="0.35">
      <c r="D18" s="67" t="s">
        <v>94</v>
      </c>
      <c r="E18" t="s">
        <v>95</v>
      </c>
      <c r="F18" s="116" t="s">
        <v>123</v>
      </c>
      <c r="H18" s="69" t="s">
        <v>96</v>
      </c>
      <c r="I18" s="69" t="s">
        <v>97</v>
      </c>
      <c r="J18" s="69" t="s">
        <v>98</v>
      </c>
      <c r="K18" s="69" t="s">
        <v>99</v>
      </c>
      <c r="L18" s="69" t="s">
        <v>100</v>
      </c>
      <c r="M18" s="69" t="s">
        <v>101</v>
      </c>
      <c r="N18" s="69" t="s">
        <v>102</v>
      </c>
      <c r="O18" s="69" t="s">
        <v>103</v>
      </c>
      <c r="P18" s="69" t="s">
        <v>104</v>
      </c>
      <c r="Q18" s="69" t="s">
        <v>105</v>
      </c>
      <c r="R18" s="69" t="s">
        <v>106</v>
      </c>
      <c r="S18" s="69" t="s">
        <v>107</v>
      </c>
      <c r="T18" s="69" t="s">
        <v>108</v>
      </c>
      <c r="U18" s="69" t="s">
        <v>109</v>
      </c>
      <c r="V18" s="69" t="s">
        <v>110</v>
      </c>
      <c r="W18" s="69" t="s">
        <v>111</v>
      </c>
      <c r="X18" s="69" t="s">
        <v>112</v>
      </c>
      <c r="Y18" s="69" t="s">
        <v>113</v>
      </c>
      <c r="Z18" s="69" t="s">
        <v>114</v>
      </c>
      <c r="AA18" s="69" t="s">
        <v>115</v>
      </c>
      <c r="AB18" s="69" t="s">
        <v>116</v>
      </c>
      <c r="AC18" s="69" t="s">
        <v>117</v>
      </c>
      <c r="AD18" s="69" t="s">
        <v>118</v>
      </c>
      <c r="AE18" s="69" t="s">
        <v>119</v>
      </c>
      <c r="AF18" s="69" t="s">
        <v>120</v>
      </c>
      <c r="AG18" s="69" t="s">
        <v>121</v>
      </c>
    </row>
    <row r="19" spans="2:33" x14ac:dyDescent="0.3">
      <c r="B19">
        <v>4</v>
      </c>
      <c r="C19" t="s">
        <v>88</v>
      </c>
      <c r="D19" s="73">
        <v>4.1666666666666664E-2</v>
      </c>
      <c r="E19" s="74">
        <v>0</v>
      </c>
      <c r="F19" s="75">
        <v>60</v>
      </c>
      <c r="G19" s="115"/>
      <c r="H19" s="66">
        <f>$D$13</f>
        <v>0.54166666666666663</v>
      </c>
      <c r="I19" s="66">
        <f>H19+D19+60*E19</f>
        <v>0.58333333333333326</v>
      </c>
      <c r="J19" s="66">
        <f>IF(D20=1,I19+D21,I19+$D$15)</f>
        <v>0.60763888888888884</v>
      </c>
      <c r="K19" s="66">
        <f>J19+D19+F19*E19</f>
        <v>0.64930555555555547</v>
      </c>
      <c r="L19" s="66">
        <f>IF(D20=2,K19+D21,K19+$D$15)</f>
        <v>0.65277777777777768</v>
      </c>
      <c r="M19" s="66">
        <f>L19+D19+F19*E19</f>
        <v>0.69444444444444431</v>
      </c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</row>
    <row r="20" spans="2:33" x14ac:dyDescent="0.3">
      <c r="C20" t="s">
        <v>91</v>
      </c>
      <c r="D20" s="76">
        <v>1</v>
      </c>
      <c r="E20" s="77"/>
      <c r="F20" s="78"/>
      <c r="G20" s="115"/>
    </row>
    <row r="21" spans="2:33" x14ac:dyDescent="0.3">
      <c r="C21" t="s">
        <v>122</v>
      </c>
      <c r="D21" s="79">
        <v>2.4305555555555556E-2</v>
      </c>
      <c r="E21" s="77"/>
      <c r="F21" s="78"/>
      <c r="G21" s="115"/>
    </row>
    <row r="22" spans="2:33" x14ac:dyDescent="0.3">
      <c r="B22">
        <v>6</v>
      </c>
      <c r="C22" t="s">
        <v>88</v>
      </c>
      <c r="D22" s="80">
        <v>2.4305555555555556E-2</v>
      </c>
      <c r="E22" s="77">
        <v>0</v>
      </c>
      <c r="F22" s="78">
        <v>60</v>
      </c>
      <c r="G22" s="115"/>
      <c r="H22" s="66">
        <f>$D$13</f>
        <v>0.54166666666666663</v>
      </c>
      <c r="I22" s="66">
        <f>H22+D22+60*E22</f>
        <v>0.56597222222222221</v>
      </c>
      <c r="J22" s="66">
        <f>IF(D23=1,I22+D24,I22+$D$15)</f>
        <v>0.56944444444444442</v>
      </c>
      <c r="K22" s="66">
        <f>J22+D22+F22*E22</f>
        <v>0.59375</v>
      </c>
      <c r="L22" s="66">
        <f>IF(D23=2,K22+D24,K22+$D$15)</f>
        <v>0.59722222222222221</v>
      </c>
      <c r="M22" s="66">
        <f>L22+D22+F22*E22</f>
        <v>0.62152777777777779</v>
      </c>
      <c r="N22" s="66">
        <f>IF(D23=3,M22+D24,M22+$D$15)</f>
        <v>0.64236111111111116</v>
      </c>
      <c r="O22" s="66">
        <f>N22+D22+F22*E22</f>
        <v>0.66666666666666674</v>
      </c>
      <c r="P22" s="66">
        <f>IF(D23=4,O22+D24,O22+$D$15)</f>
        <v>0.67013888888888895</v>
      </c>
      <c r="Q22" s="66">
        <f>P22+D22+F22*E22</f>
        <v>0.69444444444444453</v>
      </c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</row>
    <row r="23" spans="2:33" x14ac:dyDescent="0.3">
      <c r="C23" t="s">
        <v>91</v>
      </c>
      <c r="D23" s="76">
        <v>3</v>
      </c>
      <c r="E23" s="77"/>
      <c r="F23" s="78"/>
      <c r="G23" s="115"/>
    </row>
    <row r="24" spans="2:33" x14ac:dyDescent="0.3">
      <c r="C24" t="s">
        <v>122</v>
      </c>
      <c r="D24" s="79">
        <v>2.0833333333333332E-2</v>
      </c>
      <c r="E24" s="77"/>
      <c r="F24" s="78"/>
      <c r="G24" s="115"/>
    </row>
    <row r="25" spans="2:33" x14ac:dyDescent="0.3">
      <c r="B25">
        <v>8</v>
      </c>
      <c r="C25" t="s">
        <v>88</v>
      </c>
      <c r="D25" s="81">
        <v>1.7361111111111112E-2</v>
      </c>
      <c r="E25" s="77">
        <v>0</v>
      </c>
      <c r="F25" s="78">
        <v>60</v>
      </c>
      <c r="G25" s="115"/>
      <c r="H25" s="66">
        <f>$D$13</f>
        <v>0.54166666666666663</v>
      </c>
      <c r="I25" s="66">
        <f>H25+D25+60*E25</f>
        <v>0.55902777777777779</v>
      </c>
      <c r="J25" s="66">
        <f>IF(D26=1,I25+D27,I25+$D$15)</f>
        <v>0.5625</v>
      </c>
      <c r="K25" s="66">
        <f>J25+D25+F25*E25</f>
        <v>0.57986111111111116</v>
      </c>
      <c r="L25" s="66">
        <f>IF(D26=2,K25+D27,K25+$D$15)</f>
        <v>0.58333333333333337</v>
      </c>
      <c r="M25" s="66">
        <f>L25+D25+F25*E25</f>
        <v>0.60069444444444453</v>
      </c>
      <c r="N25" s="66">
        <f>IF(D26=3,M25+D27,M25+$D$15)</f>
        <v>0.60416666666666674</v>
      </c>
      <c r="O25" s="66">
        <f>N25+D25+F25*E25</f>
        <v>0.6215277777777779</v>
      </c>
      <c r="P25" s="66">
        <f>IF(D26=4,O25+D27,O25+$D$15)</f>
        <v>0.63541666666666674</v>
      </c>
      <c r="Q25" s="66">
        <f>P25+D25+F25*E25</f>
        <v>0.6527777777777779</v>
      </c>
      <c r="R25" s="66">
        <f>IF(D26=5,Q25+D27,Q25+$D$15)</f>
        <v>0.65625000000000011</v>
      </c>
      <c r="S25" s="66">
        <f>R25+D25+F25*E25</f>
        <v>0.67361111111111127</v>
      </c>
      <c r="T25" s="66">
        <f>IF(D26=6,S25+D27,S25+$D$15)</f>
        <v>0.67708333333333348</v>
      </c>
      <c r="U25" s="66">
        <f>T25+D25+F25*E25</f>
        <v>0.69444444444444464</v>
      </c>
      <c r="V25" s="66"/>
      <c r="W25" s="66"/>
      <c r="X25" s="66"/>
      <c r="Y25" s="66"/>
      <c r="Z25" s="66"/>
      <c r="AA25" s="66"/>
      <c r="AB25" s="66"/>
      <c r="AC25" s="66"/>
      <c r="AD25" s="66"/>
      <c r="AE25" s="66"/>
    </row>
    <row r="26" spans="2:33" x14ac:dyDescent="0.3">
      <c r="C26" t="s">
        <v>91</v>
      </c>
      <c r="D26" s="76">
        <v>4</v>
      </c>
      <c r="E26" s="77"/>
      <c r="F26" s="78"/>
      <c r="G26" s="115"/>
    </row>
    <row r="27" spans="2:33" x14ac:dyDescent="0.3">
      <c r="C27" t="s">
        <v>122</v>
      </c>
      <c r="D27" s="79">
        <v>1.3888888888888888E-2</v>
      </c>
      <c r="E27" s="77"/>
      <c r="F27" s="78"/>
      <c r="G27" s="115"/>
    </row>
    <row r="28" spans="2:33" x14ac:dyDescent="0.3">
      <c r="B28">
        <v>10</v>
      </c>
      <c r="C28" t="s">
        <v>88</v>
      </c>
      <c r="D28" s="81">
        <v>1.2152777777777778E-2</v>
      </c>
      <c r="E28" s="77">
        <v>0</v>
      </c>
      <c r="F28" s="78">
        <v>60</v>
      </c>
      <c r="G28" s="115"/>
      <c r="H28" s="66">
        <f>$D$13</f>
        <v>0.54166666666666663</v>
      </c>
      <c r="I28" s="66">
        <f>H28+D28+60*E28</f>
        <v>0.55381944444444442</v>
      </c>
      <c r="J28" s="66">
        <f>IF(D29=1,I28+D30,I28+$D$15)</f>
        <v>0.55729166666666663</v>
      </c>
      <c r="K28" s="66">
        <f>J28+D28+F28*E28</f>
        <v>0.56944444444444442</v>
      </c>
      <c r="L28" s="66">
        <f>IF(D29=2,K28+D30,K28+$D$15)</f>
        <v>0.57291666666666663</v>
      </c>
      <c r="M28" s="66">
        <f>L28+D28+F28*E28</f>
        <v>0.58506944444444442</v>
      </c>
      <c r="N28" s="66">
        <f>IF(D29=3,M28+D30,M28+$D$15)</f>
        <v>0.58854166666666663</v>
      </c>
      <c r="O28" s="66">
        <f>N28+D28+F28*E28</f>
        <v>0.60069444444444442</v>
      </c>
      <c r="P28" s="66">
        <f>IF(D29=4,O28+D30,O28+$D$15)</f>
        <v>0.60416666666666663</v>
      </c>
      <c r="Q28" s="66">
        <f>P28+D28+F28*E28</f>
        <v>0.61631944444444442</v>
      </c>
      <c r="R28" s="66">
        <f>IF(D29=5,Q28+D30,Q28+$D$15)</f>
        <v>0.63715277777777779</v>
      </c>
      <c r="S28" s="66">
        <f>R28+D28+F28*E28</f>
        <v>0.64930555555555558</v>
      </c>
      <c r="T28" s="66">
        <f>IF(D29=6,S28+D30,S28+$D$15)</f>
        <v>0.65277777777777779</v>
      </c>
      <c r="U28" s="66">
        <f>T28+D28+F28*E28</f>
        <v>0.66493055555555558</v>
      </c>
      <c r="V28" s="66">
        <f>IF(D29=7,U28+D30,U28+$D$15)</f>
        <v>0.66840277777777779</v>
      </c>
      <c r="W28" s="66">
        <f>V28+D28+F28*E28</f>
        <v>0.68055555555555558</v>
      </c>
      <c r="X28" s="66">
        <f>IF(D29=8,W28+D30,W28+$D$15)</f>
        <v>0.68402777777777779</v>
      </c>
      <c r="Y28" s="66">
        <f>X28+D28+F28*E28</f>
        <v>0.69618055555555558</v>
      </c>
      <c r="Z28" s="66"/>
      <c r="AA28" s="66"/>
      <c r="AB28" s="66"/>
      <c r="AC28" s="66"/>
      <c r="AD28" s="66"/>
      <c r="AE28" s="66"/>
    </row>
    <row r="29" spans="2:33" x14ac:dyDescent="0.3">
      <c r="C29" t="s">
        <v>91</v>
      </c>
      <c r="D29" s="76">
        <v>5</v>
      </c>
      <c r="E29" s="77"/>
      <c r="F29" s="78"/>
      <c r="G29" s="115"/>
    </row>
    <row r="30" spans="2:33" x14ac:dyDescent="0.3">
      <c r="C30" t="s">
        <v>122</v>
      </c>
      <c r="D30" s="79">
        <v>2.0833333333333332E-2</v>
      </c>
      <c r="E30" s="77"/>
      <c r="F30" s="78"/>
      <c r="G30" s="115"/>
    </row>
    <row r="31" spans="2:33" x14ac:dyDescent="0.3">
      <c r="B31">
        <v>12</v>
      </c>
      <c r="C31" t="s">
        <v>88</v>
      </c>
      <c r="D31" s="81">
        <v>8.6805555555555559E-3</v>
      </c>
      <c r="E31" s="77">
        <v>0</v>
      </c>
      <c r="F31" s="78">
        <v>60</v>
      </c>
      <c r="G31" s="115"/>
      <c r="H31" s="66">
        <f>$D$13</f>
        <v>0.54166666666666663</v>
      </c>
      <c r="I31" s="66">
        <f>H31+D31+60*E31</f>
        <v>0.55034722222222221</v>
      </c>
      <c r="J31" s="66">
        <f>IF(D32=1,I31+D33,I31+$D$15)</f>
        <v>0.55381944444444442</v>
      </c>
      <c r="K31" s="66">
        <f>J31+D31+F31*E31</f>
        <v>0.5625</v>
      </c>
      <c r="L31" s="66">
        <f>IF(D32=2,K31+D33,K31+$D$15)</f>
        <v>0.56597222222222221</v>
      </c>
      <c r="M31" s="66">
        <f>L31+D31+F31*E31</f>
        <v>0.57465277777777779</v>
      </c>
      <c r="N31" s="66">
        <f>IF(D32=3,M31+D33,M31+$D$15)</f>
        <v>0.578125</v>
      </c>
      <c r="O31" s="66">
        <f>N31+D31+F31*E31</f>
        <v>0.58680555555555558</v>
      </c>
      <c r="P31" s="66">
        <f>IF(D32=4,O31+D33,O31+$D$15)</f>
        <v>0.59027777777777779</v>
      </c>
      <c r="Q31" s="66">
        <f>P31+D31+F31*E31</f>
        <v>0.59895833333333337</v>
      </c>
      <c r="R31" s="66">
        <f>IF(D32=5,Q31+D33,Q31+$D$15)</f>
        <v>0.60243055555555558</v>
      </c>
      <c r="S31" s="66">
        <f>R31+D31+F31*E31</f>
        <v>0.61111111111111116</v>
      </c>
      <c r="T31" s="66">
        <f>IF(D32=6,S31+D33,S31+$D$15)</f>
        <v>0.63194444444444453</v>
      </c>
      <c r="U31" s="66">
        <f>T31+D31+F31*E31</f>
        <v>0.64062500000000011</v>
      </c>
      <c r="V31" s="66">
        <f>IF(D32=7,U31+D33,U31+$D$15)</f>
        <v>0.64409722222222232</v>
      </c>
      <c r="W31" s="66">
        <f>V31+D31+F31*E31</f>
        <v>0.6527777777777779</v>
      </c>
      <c r="X31" s="66">
        <f>IF(D32=8,W31+D33,W31+$D$15)</f>
        <v>0.65625000000000011</v>
      </c>
      <c r="Y31" s="66">
        <f>X31+D31+F31*E31</f>
        <v>0.66493055555555569</v>
      </c>
      <c r="Z31" s="66">
        <f>IF(D32=9,Y31+D33,Y31+$D$15)</f>
        <v>0.6684027777777779</v>
      </c>
      <c r="AA31" s="66">
        <f>Z31+D31+F31*E31</f>
        <v>0.67708333333333348</v>
      </c>
      <c r="AB31" s="66">
        <f>IF(D32=10,AA31+D33,AA31+$D$15)</f>
        <v>0.68055555555555569</v>
      </c>
      <c r="AC31" s="66">
        <f>AB31+D31+F31*E31</f>
        <v>0.68923611111111127</v>
      </c>
      <c r="AD31" s="66"/>
      <c r="AE31" s="66"/>
      <c r="AF31" s="66"/>
      <c r="AG31" s="66"/>
    </row>
    <row r="32" spans="2:33" x14ac:dyDescent="0.3">
      <c r="C32" t="s">
        <v>91</v>
      </c>
      <c r="D32" s="76">
        <v>6</v>
      </c>
      <c r="E32" s="77"/>
      <c r="F32" s="78"/>
      <c r="G32" s="115"/>
    </row>
    <row r="33" spans="2:35" x14ac:dyDescent="0.3">
      <c r="C33" t="s">
        <v>122</v>
      </c>
      <c r="D33" s="79">
        <v>2.0833333333333332E-2</v>
      </c>
      <c r="E33" s="77"/>
      <c r="F33" s="78"/>
      <c r="G33" s="115"/>
    </row>
    <row r="34" spans="2:35" x14ac:dyDescent="0.3">
      <c r="B34">
        <v>14</v>
      </c>
      <c r="C34" t="s">
        <v>88</v>
      </c>
      <c r="D34" s="81">
        <v>6.9444444444444441E-3</v>
      </c>
      <c r="E34" s="77">
        <v>0</v>
      </c>
      <c r="F34" s="78">
        <v>60</v>
      </c>
      <c r="G34" s="115"/>
      <c r="H34" s="66">
        <f>$D$13</f>
        <v>0.54166666666666663</v>
      </c>
      <c r="I34" s="66">
        <f>H34+D34+60*E34</f>
        <v>0.54861111111111105</v>
      </c>
      <c r="J34" s="66">
        <f>IF(D35=1,I34+D36,I34+$D$15)</f>
        <v>0.55208333333333326</v>
      </c>
      <c r="K34" s="66">
        <f>J34+D34+F34*E34</f>
        <v>0.55902777777777768</v>
      </c>
      <c r="L34" s="66">
        <f>IF(D35=2,K34+D36,K34+$D$15)</f>
        <v>0.56249999999999989</v>
      </c>
      <c r="M34" s="66">
        <f>L34+D34+F34*E34</f>
        <v>0.56944444444444431</v>
      </c>
      <c r="N34" s="66">
        <f>IF(D35=3,M34+D36,M34+$D$15)</f>
        <v>0.57291666666666652</v>
      </c>
      <c r="O34" s="66">
        <f>N34+D34+F34*E34</f>
        <v>0.57986111111111094</v>
      </c>
      <c r="P34" s="66">
        <f>IF(D35=4,O34+D36,O34+$D$15)</f>
        <v>0.58333333333333315</v>
      </c>
      <c r="Q34" s="66">
        <f>P34+D34+F34*E34</f>
        <v>0.59027777777777757</v>
      </c>
      <c r="R34" s="66">
        <f>IF(D35=5,Q34+D36,Q34+$D$15)</f>
        <v>0.59374999999999978</v>
      </c>
      <c r="S34" s="66">
        <f>R34+D34+F34*E34</f>
        <v>0.6006944444444442</v>
      </c>
      <c r="T34" s="66">
        <f>IF(D35=6,S34+D36,S34+$D$15)</f>
        <v>0.62152777777777757</v>
      </c>
      <c r="U34" s="66">
        <f>T34+D34+F34*E34</f>
        <v>0.62847222222222199</v>
      </c>
      <c r="V34" s="66">
        <f>IF(D35=7,U34+D36,U34+$D$15)</f>
        <v>0.6319444444444442</v>
      </c>
      <c r="W34" s="66">
        <f>V34+D34+F34*E34</f>
        <v>0.63888888888888862</v>
      </c>
      <c r="X34" s="66">
        <f>IF(D35=8,W34+D36,W34+$D$15)</f>
        <v>0.64236111111111083</v>
      </c>
      <c r="Y34" s="66">
        <f>X34+D34+F34*E34</f>
        <v>0.64930555555555525</v>
      </c>
      <c r="Z34" s="66">
        <f>IF(D35=9,Y34+D36,Y34+$D$15)</f>
        <v>0.65277777777777746</v>
      </c>
      <c r="AA34" s="66">
        <f>Z34+D34+F34*E34</f>
        <v>0.65972222222222188</v>
      </c>
      <c r="AB34" s="66">
        <f>IF(D35=10,AA34+D36,AA34+$D$15)</f>
        <v>0.66319444444444409</v>
      </c>
      <c r="AC34" s="66">
        <f>AB34+D34+F34*E34</f>
        <v>0.67013888888888851</v>
      </c>
      <c r="AD34" s="66">
        <f>IF(D35=11,AC34+D36,AC34+$D$15)</f>
        <v>0.67361111111111072</v>
      </c>
      <c r="AE34" s="66">
        <f>AD34+D34+F34*E34</f>
        <v>0.68055555555555514</v>
      </c>
      <c r="AF34" s="66">
        <f>IF(D35=12,AE34+D36,AE34+$D$15)</f>
        <v>0.68402777777777735</v>
      </c>
      <c r="AG34" s="66">
        <f>AF34+D34+F34*E34</f>
        <v>0.69097222222222177</v>
      </c>
      <c r="AH34" s="66"/>
      <c r="AI34" s="66"/>
    </row>
    <row r="35" spans="2:35" x14ac:dyDescent="0.3">
      <c r="C35" t="s">
        <v>91</v>
      </c>
      <c r="D35" s="76">
        <v>6</v>
      </c>
      <c r="E35" s="77"/>
      <c r="F35" s="78"/>
      <c r="G35" s="115"/>
    </row>
    <row r="36" spans="2:35" ht="15" thickBot="1" x14ac:dyDescent="0.35">
      <c r="C36" t="s">
        <v>122</v>
      </c>
      <c r="D36" s="82">
        <v>2.0833333333333332E-2</v>
      </c>
      <c r="E36" s="83"/>
      <c r="F36" s="84"/>
      <c r="G36" s="115"/>
    </row>
  </sheetData>
  <sheetProtection algorithmName="SHA-512" hashValue="EtkLMm8V41PfHV8UISg4GjFqot9/n4Kk+RQLw+DvHf5FSuKRKFme47kkKUlW+4nkwRXIeACG0M2ogEhmzuwUCQ==" saltValue="GuleaSAdM2zJK9CeOykzGQ==" spinCount="100000" sheet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2019-05-15T20:57:50Z</cp:lastPrinted>
  <dcterms:created xsi:type="dcterms:W3CDTF">2017-03-20T06:37:04Z</dcterms:created>
  <dcterms:modified xsi:type="dcterms:W3CDTF">2025-12-29T15:34:25Z</dcterms:modified>
</cp:coreProperties>
</file>