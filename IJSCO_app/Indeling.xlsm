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240" yWindow="75" windowWidth="15120" windowHeight="7995"/>
  </bookViews>
  <sheets>
    <sheet name="10" sheetId="3" r:id="rId1"/>
    <sheet name="8" sheetId="2" r:id="rId2"/>
    <sheet name="6" sheetId="29" r:id="rId3"/>
    <sheet name="4" sheetId="30" r:id="rId4"/>
  </sheets>
  <definedNames>
    <definedName name="_xlnm.Print_Area" localSheetId="0">'10'!$D$1:$M$140,'10'!$U$1:$AB$26,'10'!$AF$2:$AQ$13</definedName>
    <definedName name="_xlnm.Print_Area" localSheetId="3">'4'!$D$1:$M$84,'4'!$U$1:$AB$26,'4'!$AF$2:$AQ$13</definedName>
    <definedName name="_xlnm.Print_Area" localSheetId="2">'6'!$D$1:$M$84,'6'!$U$1:$AB$26,'6'!$AF$2:$AQ$13</definedName>
    <definedName name="_xlnm.Print_Area" localSheetId="1">'8'!$D$1:$M$112,'8'!$U$1:$AB$26,'8'!$AF$2:$AQ$13</definedName>
    <definedName name="Z_FB833ADC_445F_484C_BEA8_A10DC8342496_.wvu.PrintArea" localSheetId="0" hidden="1">'10'!$D$2:$M$140,'10'!$U$2:$AA$13,'10'!$AF$2:$AQ$13</definedName>
    <definedName name="Z_FB833ADC_445F_484C_BEA8_A10DC8342496_.wvu.PrintArea" localSheetId="3" hidden="1">'4'!$D$2:$M$140,'4'!$U$2:$AA$13,'4'!$AF$2:$AQ$13</definedName>
    <definedName name="Z_FB833ADC_445F_484C_BEA8_A10DC8342496_.wvu.PrintArea" localSheetId="2" hidden="1">'6'!$D$2:$M$140,'6'!$U$2:$AA$13,'6'!$AF$2:$AQ$13</definedName>
    <definedName name="Z_FB833ADC_445F_484C_BEA8_A10DC8342496_.wvu.PrintArea" localSheetId="1" hidden="1">'8'!$D$2:$M$140,'8'!$U$2:$AA$13,'8'!$AF$2:$AQ$13</definedName>
  </definedNames>
  <calcPr calcId="145621"/>
  <customWorkbookViews>
    <customWorkbookView name="Printen" guid="{FB833ADC-445F-484C-BEA8-A10DC8342496}" maximized="1" windowWidth="1362" windowHeight="543" activeSheetId="2"/>
  </customWorkbookViews>
</workbook>
</file>

<file path=xl/calcChain.xml><?xml version="1.0" encoding="utf-8"?>
<calcChain xmlns="http://schemas.openxmlformats.org/spreadsheetml/2006/main">
  <c r="S138" i="30" l="1"/>
  <c r="R138" i="30"/>
  <c r="O138" i="30"/>
  <c r="P138" i="30" s="1"/>
  <c r="N138" i="30"/>
  <c r="Q138" i="30" s="1"/>
  <c r="C138" i="30"/>
  <c r="S136" i="30"/>
  <c r="R136" i="30"/>
  <c r="O136" i="30"/>
  <c r="P136" i="30" s="1"/>
  <c r="N136" i="30"/>
  <c r="Q136" i="30" s="1"/>
  <c r="C136" i="30"/>
  <c r="S134" i="30"/>
  <c r="R134" i="30"/>
  <c r="O134" i="30"/>
  <c r="P134" i="30" s="1"/>
  <c r="N134" i="30"/>
  <c r="Q134" i="30" s="1"/>
  <c r="C134" i="30"/>
  <c r="S132" i="30"/>
  <c r="R132" i="30"/>
  <c r="O132" i="30"/>
  <c r="P132" i="30" s="1"/>
  <c r="N132" i="30"/>
  <c r="Q132" i="30" s="1"/>
  <c r="C132" i="30"/>
  <c r="S130" i="30"/>
  <c r="R130" i="30"/>
  <c r="O130" i="30"/>
  <c r="P130" i="30" s="1"/>
  <c r="N130" i="30"/>
  <c r="Q130" i="30" s="1"/>
  <c r="C130" i="30"/>
  <c r="H128" i="30"/>
  <c r="S124" i="30"/>
  <c r="R124" i="30"/>
  <c r="O124" i="30"/>
  <c r="P124" i="30" s="1"/>
  <c r="N124" i="30"/>
  <c r="Q124" i="30" s="1"/>
  <c r="C124" i="30"/>
  <c r="S122" i="30"/>
  <c r="R122" i="30"/>
  <c r="O122" i="30"/>
  <c r="P122" i="30" s="1"/>
  <c r="N122" i="30"/>
  <c r="Q122" i="30" s="1"/>
  <c r="C122" i="30"/>
  <c r="S120" i="30"/>
  <c r="R120" i="30"/>
  <c r="O120" i="30"/>
  <c r="P120" i="30" s="1"/>
  <c r="N120" i="30"/>
  <c r="Q120" i="30" s="1"/>
  <c r="C120" i="30"/>
  <c r="S118" i="30"/>
  <c r="R118" i="30"/>
  <c r="O118" i="30"/>
  <c r="P118" i="30" s="1"/>
  <c r="N118" i="30"/>
  <c r="Q118" i="30" s="1"/>
  <c r="C118" i="30"/>
  <c r="S116" i="30"/>
  <c r="R116" i="30"/>
  <c r="O116" i="30"/>
  <c r="P116" i="30" s="1"/>
  <c r="N116" i="30"/>
  <c r="Q116" i="30" s="1"/>
  <c r="C116" i="30"/>
  <c r="H114" i="30"/>
  <c r="S110" i="30"/>
  <c r="R110" i="30"/>
  <c r="O110" i="30"/>
  <c r="P110" i="30" s="1"/>
  <c r="N110" i="30"/>
  <c r="Q110" i="30" s="1"/>
  <c r="C110" i="30"/>
  <c r="S108" i="30"/>
  <c r="R108" i="30"/>
  <c r="O108" i="30"/>
  <c r="P108" i="30" s="1"/>
  <c r="N108" i="30"/>
  <c r="Q108" i="30" s="1"/>
  <c r="C108" i="30"/>
  <c r="S106" i="30"/>
  <c r="R106" i="30"/>
  <c r="O106" i="30"/>
  <c r="P106" i="30" s="1"/>
  <c r="N106" i="30"/>
  <c r="Q106" i="30" s="1"/>
  <c r="C106" i="30"/>
  <c r="S104" i="30"/>
  <c r="R104" i="30"/>
  <c r="O104" i="30"/>
  <c r="P104" i="30" s="1"/>
  <c r="N104" i="30"/>
  <c r="Q104" i="30" s="1"/>
  <c r="C104" i="30"/>
  <c r="S102" i="30"/>
  <c r="R102" i="30"/>
  <c r="O102" i="30"/>
  <c r="P102" i="30" s="1"/>
  <c r="N102" i="30"/>
  <c r="Q102" i="30" s="1"/>
  <c r="C102" i="30"/>
  <c r="H100" i="30"/>
  <c r="S96" i="30"/>
  <c r="R96" i="30"/>
  <c r="O96" i="30"/>
  <c r="P96" i="30" s="1"/>
  <c r="N96" i="30"/>
  <c r="Q96" i="30" s="1"/>
  <c r="C96" i="30"/>
  <c r="S94" i="30"/>
  <c r="R94" i="30"/>
  <c r="O94" i="30"/>
  <c r="P94" i="30" s="1"/>
  <c r="N94" i="30"/>
  <c r="Q94" i="30" s="1"/>
  <c r="C94" i="30"/>
  <c r="S92" i="30"/>
  <c r="R92" i="30"/>
  <c r="O92" i="30"/>
  <c r="P92" i="30" s="1"/>
  <c r="N92" i="30"/>
  <c r="Q92" i="30" s="1"/>
  <c r="C92" i="30"/>
  <c r="S90" i="30"/>
  <c r="R90" i="30"/>
  <c r="O90" i="30"/>
  <c r="P90" i="30" s="1"/>
  <c r="N90" i="30"/>
  <c r="Q90" i="30" s="1"/>
  <c r="C90" i="30"/>
  <c r="S88" i="30"/>
  <c r="R88" i="30"/>
  <c r="O88" i="30"/>
  <c r="P88" i="30" s="1"/>
  <c r="N88" i="30"/>
  <c r="Q88" i="30" s="1"/>
  <c r="C88" i="30"/>
  <c r="H86" i="30"/>
  <c r="S82" i="30"/>
  <c r="R82" i="30"/>
  <c r="O82" i="30"/>
  <c r="P82" i="30" s="1"/>
  <c r="N82" i="30"/>
  <c r="Q82" i="30" s="1"/>
  <c r="C82" i="30"/>
  <c r="S80" i="30"/>
  <c r="R80" i="30"/>
  <c r="O80" i="30"/>
  <c r="P80" i="30" s="1"/>
  <c r="N80" i="30"/>
  <c r="Q80" i="30" s="1"/>
  <c r="C80" i="30"/>
  <c r="S78" i="30"/>
  <c r="R78" i="30"/>
  <c r="C78" i="30"/>
  <c r="S76" i="30"/>
  <c r="R76" i="30"/>
  <c r="C76" i="30"/>
  <c r="S74" i="30"/>
  <c r="R74" i="30"/>
  <c r="C74" i="30"/>
  <c r="H72" i="30"/>
  <c r="S68" i="30"/>
  <c r="R68" i="30"/>
  <c r="O68" i="30"/>
  <c r="P68" i="30" s="1"/>
  <c r="N68" i="30"/>
  <c r="Q68" i="30" s="1"/>
  <c r="C68" i="30"/>
  <c r="S66" i="30"/>
  <c r="R66" i="30"/>
  <c r="O66" i="30"/>
  <c r="P66" i="30" s="1"/>
  <c r="N66" i="30"/>
  <c r="Q66" i="30" s="1"/>
  <c r="C66" i="30"/>
  <c r="S64" i="30"/>
  <c r="R64" i="30"/>
  <c r="C64" i="30"/>
  <c r="S62" i="30"/>
  <c r="R62" i="30"/>
  <c r="C62" i="30"/>
  <c r="S60" i="30"/>
  <c r="R60" i="30"/>
  <c r="C60" i="30"/>
  <c r="H58" i="30"/>
  <c r="S54" i="30"/>
  <c r="R54" i="30"/>
  <c r="O54" i="30"/>
  <c r="P54" i="30" s="1"/>
  <c r="N54" i="30"/>
  <c r="Q54" i="30" s="1"/>
  <c r="C54" i="30"/>
  <c r="S52" i="30"/>
  <c r="R52" i="30"/>
  <c r="O52" i="30"/>
  <c r="P52" i="30" s="1"/>
  <c r="N52" i="30"/>
  <c r="Q52" i="30" s="1"/>
  <c r="C52" i="30"/>
  <c r="S50" i="30"/>
  <c r="R50" i="30"/>
  <c r="C50" i="30"/>
  <c r="S48" i="30"/>
  <c r="R48" i="30"/>
  <c r="H48" i="30"/>
  <c r="F48" i="30"/>
  <c r="C48" i="30"/>
  <c r="S46" i="30"/>
  <c r="R46" i="30"/>
  <c r="H46" i="30"/>
  <c r="F46" i="30"/>
  <c r="C46" i="30"/>
  <c r="H44" i="30"/>
  <c r="S40" i="30"/>
  <c r="R40" i="30"/>
  <c r="O40" i="30"/>
  <c r="P40" i="30" s="1"/>
  <c r="N40" i="30"/>
  <c r="Q40" i="30" s="1"/>
  <c r="C40" i="30"/>
  <c r="S38" i="30"/>
  <c r="R38" i="30"/>
  <c r="O38" i="30"/>
  <c r="P38" i="30" s="1"/>
  <c r="N38" i="30"/>
  <c r="Q38" i="30" s="1"/>
  <c r="C38" i="30"/>
  <c r="S36" i="30"/>
  <c r="R36" i="30"/>
  <c r="C36" i="30"/>
  <c r="S34" i="30"/>
  <c r="R34" i="30"/>
  <c r="H34" i="30"/>
  <c r="F34" i="30"/>
  <c r="C34" i="30"/>
  <c r="S32" i="30"/>
  <c r="R32" i="30"/>
  <c r="H32" i="30"/>
  <c r="F32" i="30"/>
  <c r="C32" i="30"/>
  <c r="H30" i="30"/>
  <c r="S26" i="30"/>
  <c r="R26" i="30"/>
  <c r="Q26" i="30"/>
  <c r="P26" i="30"/>
  <c r="C26" i="30"/>
  <c r="S24" i="30"/>
  <c r="R24" i="30"/>
  <c r="Q24" i="30"/>
  <c r="P24" i="30"/>
  <c r="C24" i="30"/>
  <c r="S22" i="30"/>
  <c r="R22" i="30"/>
  <c r="Q22" i="30"/>
  <c r="P22" i="30"/>
  <c r="C22" i="30"/>
  <c r="S20" i="30"/>
  <c r="R20" i="30"/>
  <c r="Q20" i="30"/>
  <c r="P20" i="30"/>
  <c r="H20" i="30"/>
  <c r="F20" i="30"/>
  <c r="C20" i="30"/>
  <c r="S18" i="30"/>
  <c r="R18" i="30"/>
  <c r="Q18" i="30"/>
  <c r="P18" i="30"/>
  <c r="H18" i="30"/>
  <c r="F18" i="30"/>
  <c r="C18" i="30"/>
  <c r="H16" i="30"/>
  <c r="BK7" i="30"/>
  <c r="BI7" i="30"/>
  <c r="BG7" i="30"/>
  <c r="BE7" i="30"/>
  <c r="BC7" i="30"/>
  <c r="BA7" i="30"/>
  <c r="AY7" i="30"/>
  <c r="AW7" i="30"/>
  <c r="AU7" i="30"/>
  <c r="AV7" i="30" s="1"/>
  <c r="AF7" i="30"/>
  <c r="AB7" i="30"/>
  <c r="W7" i="30"/>
  <c r="BK6" i="30"/>
  <c r="BI6" i="30"/>
  <c r="BG6" i="30"/>
  <c r="BE6" i="30"/>
  <c r="BC6" i="30"/>
  <c r="BA6" i="30"/>
  <c r="AY6" i="30"/>
  <c r="AW6" i="30"/>
  <c r="AU6" i="30"/>
  <c r="AV6" i="30" s="1"/>
  <c r="AF6" i="30"/>
  <c r="AB4" i="30"/>
  <c r="W4" i="30"/>
  <c r="BK5" i="30"/>
  <c r="BI5" i="30"/>
  <c r="BG5" i="30"/>
  <c r="BE5" i="30"/>
  <c r="BC5" i="30"/>
  <c r="BA5" i="30"/>
  <c r="AY5" i="30"/>
  <c r="AW5" i="30"/>
  <c r="AU5" i="30"/>
  <c r="AV5" i="30" s="1"/>
  <c r="AF5" i="30"/>
  <c r="AB6" i="30"/>
  <c r="W6" i="30"/>
  <c r="BK4" i="30"/>
  <c r="BI4" i="30"/>
  <c r="BG4" i="30"/>
  <c r="BE4" i="30"/>
  <c r="BC4" i="30"/>
  <c r="BA4" i="30"/>
  <c r="AY4" i="30"/>
  <c r="AW4" i="30"/>
  <c r="AU4" i="30"/>
  <c r="AV4" i="30" s="1"/>
  <c r="AF4" i="30"/>
  <c r="AB5" i="30"/>
  <c r="W5" i="30"/>
  <c r="AF2" i="30"/>
  <c r="U1" i="30"/>
  <c r="S138" i="29"/>
  <c r="R138" i="29"/>
  <c r="O138" i="29"/>
  <c r="P138" i="29" s="1"/>
  <c r="N138" i="29"/>
  <c r="Q138" i="29" s="1"/>
  <c r="C138" i="29"/>
  <c r="S136" i="29"/>
  <c r="R136" i="29"/>
  <c r="O136" i="29"/>
  <c r="P136" i="29" s="1"/>
  <c r="N136" i="29"/>
  <c r="Q136" i="29" s="1"/>
  <c r="C136" i="29"/>
  <c r="S134" i="29"/>
  <c r="R134" i="29"/>
  <c r="O134" i="29"/>
  <c r="P134" i="29" s="1"/>
  <c r="N134" i="29"/>
  <c r="Q134" i="29" s="1"/>
  <c r="C134" i="29"/>
  <c r="S132" i="29"/>
  <c r="R132" i="29"/>
  <c r="O132" i="29"/>
  <c r="P132" i="29" s="1"/>
  <c r="N132" i="29"/>
  <c r="Q132" i="29" s="1"/>
  <c r="C132" i="29"/>
  <c r="S130" i="29"/>
  <c r="R130" i="29"/>
  <c r="O130" i="29"/>
  <c r="P130" i="29" s="1"/>
  <c r="N130" i="29"/>
  <c r="Q130" i="29" s="1"/>
  <c r="C130" i="29"/>
  <c r="H128" i="29"/>
  <c r="S124" i="29"/>
  <c r="R124" i="29"/>
  <c r="O124" i="29"/>
  <c r="P124" i="29" s="1"/>
  <c r="N124" i="29"/>
  <c r="Q124" i="29" s="1"/>
  <c r="C124" i="29"/>
  <c r="S122" i="29"/>
  <c r="R122" i="29"/>
  <c r="O122" i="29"/>
  <c r="P122" i="29" s="1"/>
  <c r="N122" i="29"/>
  <c r="Q122" i="29" s="1"/>
  <c r="C122" i="29"/>
  <c r="S120" i="29"/>
  <c r="R120" i="29"/>
  <c r="O120" i="29"/>
  <c r="P120" i="29" s="1"/>
  <c r="N120" i="29"/>
  <c r="Q120" i="29" s="1"/>
  <c r="C120" i="29"/>
  <c r="S118" i="29"/>
  <c r="R118" i="29"/>
  <c r="O118" i="29"/>
  <c r="P118" i="29" s="1"/>
  <c r="N118" i="29"/>
  <c r="Q118" i="29" s="1"/>
  <c r="C118" i="29"/>
  <c r="S116" i="29"/>
  <c r="R116" i="29"/>
  <c r="O116" i="29"/>
  <c r="P116" i="29" s="1"/>
  <c r="N116" i="29"/>
  <c r="Q116" i="29" s="1"/>
  <c r="C116" i="29"/>
  <c r="H114" i="29"/>
  <c r="S110" i="29"/>
  <c r="R110" i="29"/>
  <c r="O110" i="29"/>
  <c r="P110" i="29" s="1"/>
  <c r="N110" i="29"/>
  <c r="Q110" i="29" s="1"/>
  <c r="C110" i="29"/>
  <c r="S108" i="29"/>
  <c r="R108" i="29"/>
  <c r="C108" i="29"/>
  <c r="S106" i="29"/>
  <c r="R106" i="29"/>
  <c r="C106" i="29"/>
  <c r="S104" i="29"/>
  <c r="R104" i="29"/>
  <c r="C104" i="29"/>
  <c r="S102" i="29"/>
  <c r="R102" i="29"/>
  <c r="C102" i="29"/>
  <c r="H100" i="29"/>
  <c r="S96" i="29"/>
  <c r="R96" i="29"/>
  <c r="O96" i="29"/>
  <c r="P96" i="29" s="1"/>
  <c r="N96" i="29"/>
  <c r="Q96" i="29" s="1"/>
  <c r="C96" i="29"/>
  <c r="S94" i="29"/>
  <c r="R94" i="29"/>
  <c r="C94" i="29"/>
  <c r="S92" i="29"/>
  <c r="R92" i="29"/>
  <c r="C92" i="29"/>
  <c r="S90" i="29"/>
  <c r="R90" i="29"/>
  <c r="C90" i="29"/>
  <c r="S88" i="29"/>
  <c r="R88" i="29"/>
  <c r="C88" i="29"/>
  <c r="H86" i="29"/>
  <c r="S82" i="29"/>
  <c r="R82" i="29"/>
  <c r="O82" i="29"/>
  <c r="P82" i="29" s="1"/>
  <c r="N82" i="29"/>
  <c r="Q82" i="29" s="1"/>
  <c r="C82" i="29"/>
  <c r="S80" i="29"/>
  <c r="R80" i="29"/>
  <c r="C80" i="29"/>
  <c r="S78" i="29"/>
  <c r="R78" i="29"/>
  <c r="H78" i="29"/>
  <c r="F78" i="29"/>
  <c r="C78" i="29"/>
  <c r="S76" i="29"/>
  <c r="R76" i="29"/>
  <c r="H76" i="29"/>
  <c r="F76" i="29"/>
  <c r="C76" i="29"/>
  <c r="S74" i="29"/>
  <c r="R74" i="29"/>
  <c r="H74" i="29"/>
  <c r="F74" i="29"/>
  <c r="C74" i="29"/>
  <c r="H72" i="29"/>
  <c r="S68" i="29"/>
  <c r="R68" i="29"/>
  <c r="O68" i="29"/>
  <c r="P68" i="29" s="1"/>
  <c r="N68" i="29"/>
  <c r="Q68" i="29" s="1"/>
  <c r="C68" i="29"/>
  <c r="S66" i="29"/>
  <c r="R66" i="29"/>
  <c r="C66" i="29"/>
  <c r="S64" i="29"/>
  <c r="R64" i="29"/>
  <c r="H64" i="29"/>
  <c r="F64" i="29"/>
  <c r="C64" i="29"/>
  <c r="S62" i="29"/>
  <c r="R62" i="29"/>
  <c r="H62" i="29"/>
  <c r="F62" i="29"/>
  <c r="C62" i="29"/>
  <c r="S60" i="29"/>
  <c r="R60" i="29"/>
  <c r="H60" i="29"/>
  <c r="F60" i="29"/>
  <c r="C60" i="29"/>
  <c r="H58" i="29"/>
  <c r="S54" i="29"/>
  <c r="R54" i="29"/>
  <c r="O54" i="29"/>
  <c r="P54" i="29" s="1"/>
  <c r="N54" i="29"/>
  <c r="Q54" i="29" s="1"/>
  <c r="C54" i="29"/>
  <c r="S52" i="29"/>
  <c r="R52" i="29"/>
  <c r="C52" i="29"/>
  <c r="S50" i="29"/>
  <c r="R50" i="29"/>
  <c r="H50" i="29"/>
  <c r="F50" i="29"/>
  <c r="C50" i="29"/>
  <c r="S48" i="29"/>
  <c r="R48" i="29"/>
  <c r="H48" i="29"/>
  <c r="F48" i="29"/>
  <c r="C48" i="29"/>
  <c r="S46" i="29"/>
  <c r="R46" i="29"/>
  <c r="H46" i="29"/>
  <c r="F46" i="29"/>
  <c r="C46" i="29"/>
  <c r="H44" i="29"/>
  <c r="S40" i="29"/>
  <c r="R40" i="29"/>
  <c r="O40" i="29"/>
  <c r="P40" i="29" s="1"/>
  <c r="N40" i="29"/>
  <c r="Q40" i="29" s="1"/>
  <c r="C40" i="29"/>
  <c r="S38" i="29"/>
  <c r="R38" i="29"/>
  <c r="C38" i="29"/>
  <c r="S36" i="29"/>
  <c r="R36" i="29"/>
  <c r="H36" i="29"/>
  <c r="F36" i="29"/>
  <c r="C36" i="29"/>
  <c r="S34" i="29"/>
  <c r="R34" i="29"/>
  <c r="H34" i="29"/>
  <c r="F34" i="29"/>
  <c r="C34" i="29"/>
  <c r="S32" i="29"/>
  <c r="R32" i="29"/>
  <c r="H32" i="29"/>
  <c r="F32" i="29"/>
  <c r="C32" i="29"/>
  <c r="H30" i="29"/>
  <c r="S26" i="29"/>
  <c r="R26" i="29"/>
  <c r="Q26" i="29"/>
  <c r="P26" i="29"/>
  <c r="C26" i="29"/>
  <c r="S24" i="29"/>
  <c r="R24" i="29"/>
  <c r="Q24" i="29"/>
  <c r="P24" i="29"/>
  <c r="C24" i="29"/>
  <c r="S22" i="29"/>
  <c r="R22" i="29"/>
  <c r="Q22" i="29"/>
  <c r="P22" i="29"/>
  <c r="H22" i="29"/>
  <c r="F22" i="29"/>
  <c r="C22" i="29"/>
  <c r="S20" i="29"/>
  <c r="R20" i="29"/>
  <c r="Q20" i="29"/>
  <c r="P20" i="29"/>
  <c r="H20" i="29"/>
  <c r="F20" i="29"/>
  <c r="C20" i="29"/>
  <c r="S18" i="29"/>
  <c r="R18" i="29"/>
  <c r="Q18" i="29"/>
  <c r="P18" i="29"/>
  <c r="H18" i="29"/>
  <c r="F18" i="29"/>
  <c r="C18" i="29"/>
  <c r="H16" i="29"/>
  <c r="AB8" i="29"/>
  <c r="W8" i="29"/>
  <c r="BK9" i="29"/>
  <c r="BI9" i="29"/>
  <c r="BG9" i="29"/>
  <c r="BE9" i="29"/>
  <c r="BC9" i="29"/>
  <c r="BA9" i="29"/>
  <c r="AY9" i="29"/>
  <c r="AW9" i="29"/>
  <c r="AU9" i="29"/>
  <c r="AV9" i="29" s="1"/>
  <c r="AF9" i="29"/>
  <c r="BK8" i="29"/>
  <c r="BI8" i="29"/>
  <c r="BG8" i="29"/>
  <c r="BE8" i="29"/>
  <c r="BC8" i="29"/>
  <c r="BA8" i="29"/>
  <c r="AY8" i="29"/>
  <c r="AW8" i="29"/>
  <c r="AU8" i="29"/>
  <c r="AV8" i="29" s="1"/>
  <c r="AF8" i="29"/>
  <c r="AB9" i="29"/>
  <c r="W9" i="29"/>
  <c r="BK7" i="29"/>
  <c r="BI7" i="29"/>
  <c r="BG7" i="29"/>
  <c r="BE7" i="29"/>
  <c r="BC7" i="29"/>
  <c r="BA7" i="29"/>
  <c r="AY7" i="29"/>
  <c r="AW7" i="29"/>
  <c r="AU7" i="29"/>
  <c r="AV7" i="29" s="1"/>
  <c r="AF7" i="29"/>
  <c r="AB6" i="29"/>
  <c r="W6" i="29"/>
  <c r="BK6" i="29"/>
  <c r="BI6" i="29"/>
  <c r="BG6" i="29"/>
  <c r="BE6" i="29"/>
  <c r="BC6" i="29"/>
  <c r="BA6" i="29"/>
  <c r="AY6" i="29"/>
  <c r="AW6" i="29"/>
  <c r="AU6" i="29"/>
  <c r="AV6" i="29" s="1"/>
  <c r="O36" i="29" s="1"/>
  <c r="P36" i="29" s="1"/>
  <c r="AF6" i="29"/>
  <c r="AB7" i="29"/>
  <c r="W7" i="29"/>
  <c r="BK5" i="29"/>
  <c r="BI5" i="29"/>
  <c r="BG5" i="29"/>
  <c r="BE5" i="29"/>
  <c r="BC5" i="29"/>
  <c r="BA5" i="29"/>
  <c r="AY5" i="29"/>
  <c r="AW5" i="29"/>
  <c r="AU5" i="29"/>
  <c r="AV5" i="29" s="1"/>
  <c r="AF5" i="29"/>
  <c r="AB4" i="29"/>
  <c r="W4" i="29"/>
  <c r="BK4" i="29"/>
  <c r="BI4" i="29"/>
  <c r="BG4" i="29"/>
  <c r="BE4" i="29"/>
  <c r="BC4" i="29"/>
  <c r="BA4" i="29"/>
  <c r="AY4" i="29"/>
  <c r="AW4" i="29"/>
  <c r="AU4" i="29"/>
  <c r="AF4" i="29"/>
  <c r="AB5" i="29"/>
  <c r="W5" i="29"/>
  <c r="AF2" i="29"/>
  <c r="U1" i="29"/>
  <c r="BY7" i="30" l="1"/>
  <c r="AX4" i="30"/>
  <c r="O48" i="30" s="1"/>
  <c r="P48" i="30" s="1"/>
  <c r="BZ4" i="30"/>
  <c r="CA9" i="30"/>
  <c r="N32" i="30"/>
  <c r="Q32" i="30" s="1"/>
  <c r="BW11" i="30"/>
  <c r="CA5" i="30"/>
  <c r="CC12" i="30"/>
  <c r="BT4" i="30"/>
  <c r="AH4" i="30" s="1"/>
  <c r="BZ6" i="30"/>
  <c r="BW13" i="30"/>
  <c r="O50" i="30"/>
  <c r="P50" i="30" s="1"/>
  <c r="BT8" i="30"/>
  <c r="CC13" i="30"/>
  <c r="O32" i="30"/>
  <c r="P32" i="30" s="1"/>
  <c r="AX7" i="30"/>
  <c r="N50" i="30" s="1"/>
  <c r="Q50" i="30" s="1"/>
  <c r="CB4" i="30"/>
  <c r="BV6" i="30"/>
  <c r="AJ6" i="30" s="1"/>
  <c r="BU7" i="30"/>
  <c r="AI7" i="30" s="1"/>
  <c r="CB8" i="30"/>
  <c r="BY10" i="30"/>
  <c r="CA13" i="30"/>
  <c r="BW4" i="30"/>
  <c r="AK4" i="30" s="1"/>
  <c r="BW5" i="30"/>
  <c r="AK5" i="30" s="1"/>
  <c r="CC7" i="30"/>
  <c r="BU12" i="30"/>
  <c r="N36" i="30"/>
  <c r="Q36" i="30" s="1"/>
  <c r="AZ4" i="30"/>
  <c r="O36" i="30"/>
  <c r="AX5" i="30"/>
  <c r="O46" i="30"/>
  <c r="O34" i="30"/>
  <c r="BX4" i="30"/>
  <c r="BY5" i="30"/>
  <c r="AX6" i="30"/>
  <c r="N48" i="30" s="1"/>
  <c r="Q48" i="30" s="1"/>
  <c r="BX6" i="30"/>
  <c r="BW7" i="30"/>
  <c r="AK7" i="30" s="1"/>
  <c r="N34" i="30"/>
  <c r="Q34" i="30" s="1"/>
  <c r="BV8" i="30"/>
  <c r="BU9" i="30"/>
  <c r="CC9" i="30"/>
  <c r="CA10" i="30"/>
  <c r="BY11" i="30"/>
  <c r="BW12" i="30"/>
  <c r="BU13" i="30"/>
  <c r="BX8" i="30"/>
  <c r="BW9" i="30"/>
  <c r="BU10" i="30"/>
  <c r="CC10" i="30"/>
  <c r="CA11" i="30"/>
  <c r="BY12" i="30"/>
  <c r="AW14" i="30"/>
  <c r="BZ13" i="30"/>
  <c r="BV13" i="30"/>
  <c r="CB12" i="30"/>
  <c r="BX12" i="30"/>
  <c r="BT12" i="30"/>
  <c r="BZ11" i="30"/>
  <c r="BV11" i="30"/>
  <c r="CB10" i="30"/>
  <c r="BX10" i="30"/>
  <c r="BT10" i="30"/>
  <c r="BZ9" i="30"/>
  <c r="BV9" i="30"/>
  <c r="CA8" i="30"/>
  <c r="BW8" i="30"/>
  <c r="CB7" i="30"/>
  <c r="BX7" i="30"/>
  <c r="BT7" i="30"/>
  <c r="AH7" i="30" s="1"/>
  <c r="CC6" i="30"/>
  <c r="BY6" i="30"/>
  <c r="BU6" i="30"/>
  <c r="AI6" i="30" s="1"/>
  <c r="BZ5" i="30"/>
  <c r="BV5" i="30"/>
  <c r="AJ5" i="30" s="1"/>
  <c r="CB13" i="30"/>
  <c r="BX13" i="30"/>
  <c r="BT13" i="30"/>
  <c r="BZ12" i="30"/>
  <c r="BV12" i="30"/>
  <c r="CB11" i="30"/>
  <c r="BX11" i="30"/>
  <c r="BT11" i="30"/>
  <c r="BZ10" i="30"/>
  <c r="BV10" i="30"/>
  <c r="CB9" i="30"/>
  <c r="BX9" i="30"/>
  <c r="BT9" i="30"/>
  <c r="CC8" i="30"/>
  <c r="BY8" i="30"/>
  <c r="BU8" i="30"/>
  <c r="BZ7" i="30"/>
  <c r="BV7" i="30"/>
  <c r="AJ7" i="30" s="1"/>
  <c r="CA6" i="30"/>
  <c r="BW6" i="30"/>
  <c r="AK6" i="30" s="1"/>
  <c r="CB5" i="30"/>
  <c r="BX5" i="30"/>
  <c r="BT5" i="30"/>
  <c r="AH5" i="30" s="1"/>
  <c r="CC4" i="30"/>
  <c r="BY4" i="30"/>
  <c r="BU4" i="30"/>
  <c r="AI4" i="30" s="1"/>
  <c r="AU14" i="30"/>
  <c r="AY14" i="30"/>
  <c r="BV4" i="30"/>
  <c r="AJ4" i="30" s="1"/>
  <c r="CA4" i="30"/>
  <c r="BU5" i="30"/>
  <c r="AI5" i="30" s="1"/>
  <c r="CC5" i="30"/>
  <c r="BT6" i="30"/>
  <c r="AH6" i="30" s="1"/>
  <c r="CB6" i="30"/>
  <c r="CA7" i="30"/>
  <c r="BZ8" i="30"/>
  <c r="BY9" i="30"/>
  <c r="BW10" i="30"/>
  <c r="BU11" i="30"/>
  <c r="CC11" i="30"/>
  <c r="CA12" i="30"/>
  <c r="BY13" i="30"/>
  <c r="CA7" i="29"/>
  <c r="BA14" i="29"/>
  <c r="BV4" i="29"/>
  <c r="AJ4" i="29" s="1"/>
  <c r="AW14" i="29"/>
  <c r="BU10" i="29"/>
  <c r="BT12" i="29"/>
  <c r="AX8" i="29"/>
  <c r="N52" i="29" s="1"/>
  <c r="Q52" i="29" s="1"/>
  <c r="CC4" i="29"/>
  <c r="AX6" i="29"/>
  <c r="AZ6" i="29" s="1"/>
  <c r="BB6" i="29" s="1"/>
  <c r="BY9" i="29"/>
  <c r="AM9" i="29" s="1"/>
  <c r="BV5" i="29"/>
  <c r="AJ5" i="29" s="1"/>
  <c r="BU12" i="29"/>
  <c r="O38" i="29"/>
  <c r="AU14" i="29"/>
  <c r="AV4" i="29"/>
  <c r="N34" i="29"/>
  <c r="Q34" i="29" s="1"/>
  <c r="BW4" i="29"/>
  <c r="AK4" i="29" s="1"/>
  <c r="CA5" i="29"/>
  <c r="N48" i="29"/>
  <c r="Q48" i="29" s="1"/>
  <c r="BX6" i="29"/>
  <c r="AL6" i="29" s="1"/>
  <c r="AX9" i="29"/>
  <c r="CA9" i="29"/>
  <c r="N36" i="29"/>
  <c r="Q36" i="29" s="1"/>
  <c r="BZ13" i="29"/>
  <c r="BY12" i="29"/>
  <c r="BY11" i="29"/>
  <c r="BY10" i="29"/>
  <c r="BT9" i="29"/>
  <c r="AH9" i="29" s="1"/>
  <c r="CA8" i="29"/>
  <c r="BU7" i="29"/>
  <c r="AI7" i="29" s="1"/>
  <c r="CB6" i="29"/>
  <c r="BT6" i="29"/>
  <c r="AH6" i="29" s="1"/>
  <c r="BW5" i="29"/>
  <c r="AK5" i="29" s="1"/>
  <c r="BC14" i="29"/>
  <c r="BY4" i="29"/>
  <c r="AM4" i="29" s="1"/>
  <c r="CA6" i="29"/>
  <c r="BV8" i="29"/>
  <c r="AJ8" i="29" s="1"/>
  <c r="O50" i="29"/>
  <c r="BU13" i="29"/>
  <c r="BZ5" i="29"/>
  <c r="CA13" i="29"/>
  <c r="AY14" i="29"/>
  <c r="CA4" i="29"/>
  <c r="O34" i="29"/>
  <c r="AX7" i="29"/>
  <c r="BZ7" i="29"/>
  <c r="BZ8" i="29"/>
  <c r="BT10" i="29"/>
  <c r="N32" i="29"/>
  <c r="Q32" i="29" s="1"/>
  <c r="BU11" i="29"/>
  <c r="BV13" i="29"/>
  <c r="BU4" i="29"/>
  <c r="AI4" i="29" s="1"/>
  <c r="BZ4" i="29"/>
  <c r="AX5" i="29"/>
  <c r="N46" i="29" s="1"/>
  <c r="Q46" i="29" s="1"/>
  <c r="BW6" i="29"/>
  <c r="AK6" i="29" s="1"/>
  <c r="BV7" i="29"/>
  <c r="AJ7" i="29" s="1"/>
  <c r="O32" i="29"/>
  <c r="BT8" i="29"/>
  <c r="AH8" i="29" s="1"/>
  <c r="BU9" i="29"/>
  <c r="AI9" i="29" s="1"/>
  <c r="BZ10" i="29"/>
  <c r="BZ11" i="29"/>
  <c r="CA12" i="29"/>
  <c r="CC13" i="29"/>
  <c r="BW13" i="29"/>
  <c r="CB12" i="29"/>
  <c r="BW12" i="29"/>
  <c r="CA11" i="29"/>
  <c r="BV11" i="29"/>
  <c r="CB10" i="29"/>
  <c r="BV10" i="29"/>
  <c r="CB9" i="29"/>
  <c r="BW9" i="29"/>
  <c r="AK9" i="29" s="1"/>
  <c r="CB8" i="29"/>
  <c r="BW8" i="29"/>
  <c r="AK8" i="29" s="1"/>
  <c r="CC7" i="29"/>
  <c r="BW7" i="29"/>
  <c r="AK7" i="29" s="1"/>
  <c r="CC6" i="29"/>
  <c r="BY6" i="29"/>
  <c r="AM6" i="29" s="1"/>
  <c r="BU6" i="29"/>
  <c r="AI6" i="29" s="1"/>
  <c r="CB5" i="29"/>
  <c r="BX5" i="29"/>
  <c r="AL5" i="29" s="1"/>
  <c r="BT5" i="29"/>
  <c r="AH5" i="29" s="1"/>
  <c r="CB13" i="29"/>
  <c r="BX13" i="29"/>
  <c r="BT13" i="29"/>
  <c r="BZ12" i="29"/>
  <c r="BV12" i="29"/>
  <c r="CB11" i="29"/>
  <c r="BX11" i="29"/>
  <c r="BT11" i="29"/>
  <c r="CA10" i="29"/>
  <c r="BW10" i="29"/>
  <c r="BZ9" i="29"/>
  <c r="BV9" i="29"/>
  <c r="AJ9" i="29" s="1"/>
  <c r="CC8" i="29"/>
  <c r="BY8" i="29"/>
  <c r="AM8" i="29" s="1"/>
  <c r="BU8" i="29"/>
  <c r="AI8" i="29" s="1"/>
  <c r="CB7" i="29"/>
  <c r="BX7" i="29"/>
  <c r="AL7" i="29" s="1"/>
  <c r="BT7" i="29"/>
  <c r="AH7" i="29" s="1"/>
  <c r="BT4" i="29"/>
  <c r="AH4" i="29" s="1"/>
  <c r="BX4" i="29"/>
  <c r="AL4" i="29" s="1"/>
  <c r="CB4" i="29"/>
  <c r="BU5" i="29"/>
  <c r="AI5" i="29" s="1"/>
  <c r="BY5" i="29"/>
  <c r="AM5" i="29" s="1"/>
  <c r="CC5" i="29"/>
  <c r="BV6" i="29"/>
  <c r="AJ6" i="29" s="1"/>
  <c r="BZ6" i="29"/>
  <c r="BY7" i="29"/>
  <c r="AM7" i="29" s="1"/>
  <c r="BX8" i="29"/>
  <c r="AL8" i="29" s="1"/>
  <c r="BX9" i="29"/>
  <c r="AL9" i="29" s="1"/>
  <c r="CC9" i="29"/>
  <c r="BX10" i="29"/>
  <c r="CC10" i="29"/>
  <c r="BW11" i="29"/>
  <c r="CC11" i="29"/>
  <c r="BX12" i="29"/>
  <c r="CC12" i="29"/>
  <c r="BY13" i="29"/>
  <c r="S138" i="3"/>
  <c r="R138" i="3"/>
  <c r="H138" i="3"/>
  <c r="F138" i="3"/>
  <c r="C138" i="3"/>
  <c r="S136" i="3"/>
  <c r="R136" i="3"/>
  <c r="H136" i="3"/>
  <c r="F136" i="3"/>
  <c r="C136" i="3"/>
  <c r="S134" i="3"/>
  <c r="R134" i="3"/>
  <c r="H134" i="3"/>
  <c r="F134" i="3"/>
  <c r="C134" i="3"/>
  <c r="S132" i="3"/>
  <c r="R132" i="3"/>
  <c r="H132" i="3"/>
  <c r="F132" i="3"/>
  <c r="C132" i="3"/>
  <c r="S130" i="3"/>
  <c r="R130" i="3"/>
  <c r="H130" i="3"/>
  <c r="F130" i="3"/>
  <c r="C130" i="3"/>
  <c r="H128" i="3"/>
  <c r="S124" i="3"/>
  <c r="R124" i="3"/>
  <c r="H124" i="3"/>
  <c r="F124" i="3"/>
  <c r="C124" i="3"/>
  <c r="S122" i="3"/>
  <c r="R122" i="3"/>
  <c r="H122" i="3"/>
  <c r="F122" i="3"/>
  <c r="C122" i="3"/>
  <c r="S120" i="3"/>
  <c r="R120" i="3"/>
  <c r="H120" i="3"/>
  <c r="F120" i="3"/>
  <c r="C120" i="3"/>
  <c r="S118" i="3"/>
  <c r="R118" i="3"/>
  <c r="H118" i="3"/>
  <c r="F118" i="3"/>
  <c r="C118" i="3"/>
  <c r="S116" i="3"/>
  <c r="R116" i="3"/>
  <c r="H116" i="3"/>
  <c r="F116" i="3"/>
  <c r="C116" i="3"/>
  <c r="H114" i="3"/>
  <c r="S110" i="3"/>
  <c r="R110" i="3"/>
  <c r="H110" i="3"/>
  <c r="F110" i="3"/>
  <c r="C110" i="3"/>
  <c r="S108" i="3"/>
  <c r="R108" i="3"/>
  <c r="H108" i="3"/>
  <c r="F108" i="3"/>
  <c r="C108" i="3"/>
  <c r="S106" i="3"/>
  <c r="R106" i="3"/>
  <c r="H106" i="3"/>
  <c r="F106" i="3"/>
  <c r="C106" i="3"/>
  <c r="S104" i="3"/>
  <c r="R104" i="3"/>
  <c r="H104" i="3"/>
  <c r="F104" i="3"/>
  <c r="C104" i="3"/>
  <c r="S102" i="3"/>
  <c r="R102" i="3"/>
  <c r="H102" i="3"/>
  <c r="F102" i="3"/>
  <c r="C102" i="3"/>
  <c r="H100" i="3"/>
  <c r="S96" i="3"/>
  <c r="R96" i="3"/>
  <c r="H96" i="3"/>
  <c r="F96" i="3"/>
  <c r="C96" i="3"/>
  <c r="S94" i="3"/>
  <c r="R94" i="3"/>
  <c r="H94" i="3"/>
  <c r="F94" i="3"/>
  <c r="C94" i="3"/>
  <c r="S92" i="3"/>
  <c r="R92" i="3"/>
  <c r="H92" i="3"/>
  <c r="F92" i="3"/>
  <c r="C92" i="3"/>
  <c r="S90" i="3"/>
  <c r="R90" i="3"/>
  <c r="H90" i="3"/>
  <c r="F90" i="3"/>
  <c r="C90" i="3"/>
  <c r="S88" i="3"/>
  <c r="R88" i="3"/>
  <c r="H88" i="3"/>
  <c r="F88" i="3"/>
  <c r="C88" i="3"/>
  <c r="H86" i="3"/>
  <c r="S82" i="3"/>
  <c r="R82" i="3"/>
  <c r="H82" i="3"/>
  <c r="F82" i="3"/>
  <c r="C82" i="3"/>
  <c r="S80" i="3"/>
  <c r="R80" i="3"/>
  <c r="H80" i="3"/>
  <c r="F80" i="3"/>
  <c r="C80" i="3"/>
  <c r="S78" i="3"/>
  <c r="R78" i="3"/>
  <c r="H78" i="3"/>
  <c r="F78" i="3"/>
  <c r="C78" i="3"/>
  <c r="S76" i="3"/>
  <c r="R76" i="3"/>
  <c r="H76" i="3"/>
  <c r="F76" i="3"/>
  <c r="C76" i="3"/>
  <c r="S74" i="3"/>
  <c r="R74" i="3"/>
  <c r="H74" i="3"/>
  <c r="F74" i="3"/>
  <c r="C74" i="3"/>
  <c r="H72" i="3"/>
  <c r="S68" i="3"/>
  <c r="R68" i="3"/>
  <c r="H68" i="3"/>
  <c r="F68" i="3"/>
  <c r="C68" i="3"/>
  <c r="S66" i="3"/>
  <c r="R66" i="3"/>
  <c r="H66" i="3"/>
  <c r="F66" i="3"/>
  <c r="C66" i="3"/>
  <c r="S64" i="3"/>
  <c r="R64" i="3"/>
  <c r="H64" i="3"/>
  <c r="F64" i="3"/>
  <c r="C64" i="3"/>
  <c r="S62" i="3"/>
  <c r="R62" i="3"/>
  <c r="H62" i="3"/>
  <c r="F62" i="3"/>
  <c r="C62" i="3"/>
  <c r="S60" i="3"/>
  <c r="R60" i="3"/>
  <c r="H60" i="3"/>
  <c r="F60" i="3"/>
  <c r="C60" i="3"/>
  <c r="H58" i="3"/>
  <c r="S54" i="3"/>
  <c r="R54" i="3"/>
  <c r="H54" i="3"/>
  <c r="F54" i="3"/>
  <c r="C54" i="3"/>
  <c r="S52" i="3"/>
  <c r="R52" i="3"/>
  <c r="H52" i="3"/>
  <c r="F52" i="3"/>
  <c r="C52" i="3"/>
  <c r="S50" i="3"/>
  <c r="R50" i="3"/>
  <c r="BU11" i="3" s="1"/>
  <c r="AI11" i="3" s="1"/>
  <c r="H50" i="3"/>
  <c r="F50" i="3"/>
  <c r="C50" i="3"/>
  <c r="S48" i="3"/>
  <c r="R48" i="3"/>
  <c r="H48" i="3"/>
  <c r="F48" i="3"/>
  <c r="C48" i="3"/>
  <c r="S46" i="3"/>
  <c r="R46" i="3"/>
  <c r="H46" i="3"/>
  <c r="F46" i="3"/>
  <c r="C46" i="3"/>
  <c r="H44" i="3"/>
  <c r="S40" i="3"/>
  <c r="R40" i="3"/>
  <c r="H40" i="3"/>
  <c r="F40" i="3"/>
  <c r="C40" i="3"/>
  <c r="S38" i="3"/>
  <c r="R38" i="3"/>
  <c r="H38" i="3"/>
  <c r="F38" i="3"/>
  <c r="C38" i="3"/>
  <c r="S36" i="3"/>
  <c r="R36" i="3"/>
  <c r="H36" i="3"/>
  <c r="F36" i="3"/>
  <c r="C36" i="3"/>
  <c r="S34" i="3"/>
  <c r="R34" i="3"/>
  <c r="H34" i="3"/>
  <c r="F34" i="3"/>
  <c r="C34" i="3"/>
  <c r="S32" i="3"/>
  <c r="R32" i="3"/>
  <c r="H32" i="3"/>
  <c r="F32" i="3"/>
  <c r="C32" i="3"/>
  <c r="H30" i="3"/>
  <c r="S26" i="3"/>
  <c r="R26" i="3"/>
  <c r="Q26" i="3"/>
  <c r="P26" i="3"/>
  <c r="H26" i="3"/>
  <c r="F26" i="3"/>
  <c r="C26" i="3"/>
  <c r="S24" i="3"/>
  <c r="R24" i="3"/>
  <c r="Q24" i="3"/>
  <c r="P24" i="3"/>
  <c r="H24" i="3"/>
  <c r="F24" i="3"/>
  <c r="C24" i="3"/>
  <c r="S22" i="3"/>
  <c r="R22" i="3"/>
  <c r="Q22" i="3"/>
  <c r="P22" i="3"/>
  <c r="H22" i="3"/>
  <c r="F22" i="3"/>
  <c r="C22" i="3"/>
  <c r="S20" i="3"/>
  <c r="R20" i="3"/>
  <c r="Q20" i="3"/>
  <c r="P20" i="3"/>
  <c r="H20" i="3"/>
  <c r="F20" i="3"/>
  <c r="C20" i="3"/>
  <c r="S18" i="3"/>
  <c r="R18" i="3"/>
  <c r="Q18" i="3"/>
  <c r="P18" i="3"/>
  <c r="H18" i="3"/>
  <c r="F18" i="3"/>
  <c r="C18" i="3"/>
  <c r="H16" i="3"/>
  <c r="BK13" i="3"/>
  <c r="BI13" i="3"/>
  <c r="BG13" i="3"/>
  <c r="BE13" i="3"/>
  <c r="BC13" i="3"/>
  <c r="BA13" i="3"/>
  <c r="AY13" i="3"/>
  <c r="AW13" i="3"/>
  <c r="AV13" i="3"/>
  <c r="AU13" i="3"/>
  <c r="AF13" i="3"/>
  <c r="AB13" i="3"/>
  <c r="W13" i="3"/>
  <c r="BU12" i="3"/>
  <c r="AI12" i="3" s="1"/>
  <c r="BK12" i="3"/>
  <c r="BI12" i="3"/>
  <c r="BG12" i="3"/>
  <c r="BE12" i="3"/>
  <c r="BC12" i="3"/>
  <c r="BA12" i="3"/>
  <c r="AY12" i="3"/>
  <c r="AW12" i="3"/>
  <c r="AU12" i="3"/>
  <c r="AV12" i="3" s="1"/>
  <c r="AF12" i="3"/>
  <c r="AB12" i="3"/>
  <c r="W12" i="3"/>
  <c r="CC11" i="3"/>
  <c r="AQ11" i="3" s="1"/>
  <c r="BK11" i="3"/>
  <c r="BI11" i="3"/>
  <c r="BG11" i="3"/>
  <c r="BE11" i="3"/>
  <c r="BC11" i="3"/>
  <c r="BA11" i="3"/>
  <c r="AY11" i="3"/>
  <c r="AW11" i="3"/>
  <c r="AU11" i="3"/>
  <c r="AV11" i="3" s="1"/>
  <c r="AF11" i="3"/>
  <c r="AB11" i="3"/>
  <c r="W11" i="3"/>
  <c r="BK10" i="3"/>
  <c r="BI10" i="3"/>
  <c r="BG10" i="3"/>
  <c r="BE10" i="3"/>
  <c r="BC10" i="3"/>
  <c r="BA10" i="3"/>
  <c r="AY10" i="3"/>
  <c r="AW10" i="3"/>
  <c r="AV10" i="3"/>
  <c r="AU10" i="3"/>
  <c r="AF10" i="3"/>
  <c r="AB10" i="3"/>
  <c r="W10" i="3"/>
  <c r="CA9" i="3"/>
  <c r="AO9" i="3" s="1"/>
  <c r="BK9" i="3"/>
  <c r="BI9" i="3"/>
  <c r="BG9" i="3"/>
  <c r="BE9" i="3"/>
  <c r="BC9" i="3"/>
  <c r="BA9" i="3"/>
  <c r="AY9" i="3"/>
  <c r="AW9" i="3"/>
  <c r="AX9" i="3" s="1"/>
  <c r="N54" i="3" s="1"/>
  <c r="Q54" i="3" s="1"/>
  <c r="AV9" i="3"/>
  <c r="O32" i="3" s="1"/>
  <c r="AU9" i="3"/>
  <c r="AF9" i="3"/>
  <c r="AB9" i="3"/>
  <c r="W9" i="3"/>
  <c r="BX8" i="3"/>
  <c r="AL8" i="3" s="1"/>
  <c r="BK8" i="3"/>
  <c r="BI8" i="3"/>
  <c r="BG8" i="3"/>
  <c r="BE8" i="3"/>
  <c r="BC8" i="3"/>
  <c r="BA8" i="3"/>
  <c r="AY8" i="3"/>
  <c r="AW8" i="3"/>
  <c r="AX8" i="3" s="1"/>
  <c r="AV8" i="3"/>
  <c r="O34" i="3" s="1"/>
  <c r="AU8" i="3"/>
  <c r="AF8" i="3"/>
  <c r="AB8" i="3"/>
  <c r="W8" i="3"/>
  <c r="BY7" i="3"/>
  <c r="BK7" i="3"/>
  <c r="BI7" i="3"/>
  <c r="BG7" i="3"/>
  <c r="BE7" i="3"/>
  <c r="BC7" i="3"/>
  <c r="BA7" i="3"/>
  <c r="AY7" i="3"/>
  <c r="AX7" i="3"/>
  <c r="N50" i="3" s="1"/>
  <c r="Q50" i="3" s="1"/>
  <c r="AW7" i="3"/>
  <c r="AU7" i="3"/>
  <c r="AV7" i="3" s="1"/>
  <c r="AM7" i="3"/>
  <c r="AF7" i="3"/>
  <c r="AB7" i="3"/>
  <c r="W7" i="3"/>
  <c r="CA6" i="3"/>
  <c r="BK6" i="3"/>
  <c r="BI6" i="3"/>
  <c r="BG6" i="3"/>
  <c r="BE6" i="3"/>
  <c r="BC6" i="3"/>
  <c r="BA6" i="3"/>
  <c r="AY6" i="3"/>
  <c r="AW6" i="3"/>
  <c r="AU6" i="3"/>
  <c r="AV6" i="3" s="1"/>
  <c r="AO6" i="3"/>
  <c r="AF6" i="3"/>
  <c r="AB6" i="3"/>
  <c r="W6" i="3"/>
  <c r="BW5" i="3"/>
  <c r="AK5" i="3" s="1"/>
  <c r="BK5" i="3"/>
  <c r="BI5" i="3"/>
  <c r="BG5" i="3"/>
  <c r="BE5" i="3"/>
  <c r="BC5" i="3"/>
  <c r="BA5" i="3"/>
  <c r="AY5" i="3"/>
  <c r="AW5" i="3"/>
  <c r="AV5" i="3"/>
  <c r="O40" i="3" s="1"/>
  <c r="P40" i="3" s="1"/>
  <c r="AU5" i="3"/>
  <c r="AF5" i="3"/>
  <c r="AB5" i="3"/>
  <c r="W5" i="3"/>
  <c r="CC4" i="3"/>
  <c r="AQ4" i="3" s="1"/>
  <c r="BU4" i="3"/>
  <c r="AI4" i="3" s="1"/>
  <c r="BK4" i="3"/>
  <c r="BI4" i="3"/>
  <c r="BG4" i="3"/>
  <c r="BG14" i="3" s="1"/>
  <c r="BE4" i="3"/>
  <c r="BC4" i="3"/>
  <c r="BA4" i="3"/>
  <c r="AY4" i="3"/>
  <c r="AW4" i="3"/>
  <c r="AW14" i="3" s="1"/>
  <c r="AV4" i="3"/>
  <c r="AU4" i="3"/>
  <c r="AF4" i="3"/>
  <c r="AB4" i="3"/>
  <c r="W4" i="3"/>
  <c r="AF2" i="3"/>
  <c r="U1" i="3"/>
  <c r="AZ6" i="30" l="1"/>
  <c r="O64" i="30" s="1"/>
  <c r="P64" i="30" s="1"/>
  <c r="O60" i="30"/>
  <c r="P60" i="30" s="1"/>
  <c r="AZ7" i="30"/>
  <c r="BB7" i="30" s="1"/>
  <c r="P34" i="30"/>
  <c r="P46" i="30"/>
  <c r="N62" i="30"/>
  <c r="Q62" i="30" s="1"/>
  <c r="BB4" i="30"/>
  <c r="N46" i="30"/>
  <c r="Q46" i="30" s="1"/>
  <c r="AZ5" i="30"/>
  <c r="N60" i="30"/>
  <c r="Q60" i="30" s="1"/>
  <c r="P36" i="30"/>
  <c r="AZ8" i="29"/>
  <c r="O62" i="29" s="1"/>
  <c r="P62" i="29" s="1"/>
  <c r="BB8" i="29"/>
  <c r="N74" i="29"/>
  <c r="Q74" i="29" s="1"/>
  <c r="BD6" i="29"/>
  <c r="P34" i="29"/>
  <c r="P32" i="29"/>
  <c r="O46" i="29"/>
  <c r="P50" i="29"/>
  <c r="O66" i="29"/>
  <c r="P66" i="29" s="1"/>
  <c r="N38" i="29"/>
  <c r="Q38" i="29" s="1"/>
  <c r="AX4" i="29"/>
  <c r="P38" i="29"/>
  <c r="AZ7" i="29"/>
  <c r="N50" i="29"/>
  <c r="Q50" i="29" s="1"/>
  <c r="O52" i="29"/>
  <c r="AZ9" i="29"/>
  <c r="AZ5" i="29"/>
  <c r="BE14" i="3"/>
  <c r="AZ8" i="3"/>
  <c r="N52" i="3"/>
  <c r="Q52" i="3" s="1"/>
  <c r="AX6" i="3"/>
  <c r="N48" i="3" s="1"/>
  <c r="Q48" i="3" s="1"/>
  <c r="O38" i="3"/>
  <c r="BX4" i="3"/>
  <c r="AL4" i="3" s="1"/>
  <c r="CB9" i="3"/>
  <c r="AP9" i="3" s="1"/>
  <c r="AX10" i="3"/>
  <c r="N34" i="3"/>
  <c r="Q34" i="3" s="1"/>
  <c r="BW10" i="3"/>
  <c r="AK10" i="3" s="1"/>
  <c r="BW13" i="3"/>
  <c r="AK13" i="3" s="1"/>
  <c r="AX4" i="3"/>
  <c r="BT4" i="3"/>
  <c r="AH4" i="3" s="1"/>
  <c r="CB4" i="3"/>
  <c r="AP4" i="3" s="1"/>
  <c r="BT5" i="3"/>
  <c r="AH5" i="3" s="1"/>
  <c r="CB5" i="3"/>
  <c r="AP5" i="3" s="1"/>
  <c r="BZ6" i="3"/>
  <c r="AN6" i="3" s="1"/>
  <c r="O36" i="3"/>
  <c r="BV7" i="3"/>
  <c r="AJ7" i="3" s="1"/>
  <c r="BU8" i="3"/>
  <c r="AI8" i="3" s="1"/>
  <c r="CC8" i="3"/>
  <c r="AQ8" i="3" s="1"/>
  <c r="P32" i="3"/>
  <c r="BT9" i="3"/>
  <c r="AH9" i="3" s="1"/>
  <c r="N36" i="3"/>
  <c r="Q36" i="3" s="1"/>
  <c r="AX11" i="3"/>
  <c r="O52" i="3" s="1"/>
  <c r="BV11" i="3"/>
  <c r="AJ11" i="3" s="1"/>
  <c r="AX12" i="3"/>
  <c r="O50" i="3" s="1"/>
  <c r="CA4" i="3"/>
  <c r="AO4" i="3" s="1"/>
  <c r="BW4" i="3"/>
  <c r="AK4" i="3" s="1"/>
  <c r="BX13" i="3"/>
  <c r="AL13" i="3" s="1"/>
  <c r="BX12" i="3"/>
  <c r="AL12" i="3" s="1"/>
  <c r="N32" i="3"/>
  <c r="Q32" i="3" s="1"/>
  <c r="AX5" i="3"/>
  <c r="BX5" i="3"/>
  <c r="AL5" i="3" s="1"/>
  <c r="BV6" i="3"/>
  <c r="AJ6" i="3" s="1"/>
  <c r="BZ7" i="3"/>
  <c r="AN7" i="3" s="1"/>
  <c r="BY8" i="3"/>
  <c r="AM8" i="3" s="1"/>
  <c r="CC12" i="3"/>
  <c r="AQ12" i="3" s="1"/>
  <c r="N40" i="3"/>
  <c r="Q40" i="3" s="1"/>
  <c r="BA14" i="3"/>
  <c r="BI14" i="3"/>
  <c r="BY4" i="3"/>
  <c r="AM4" i="3" s="1"/>
  <c r="AY14" i="3"/>
  <c r="CA5" i="3"/>
  <c r="AO5" i="3" s="1"/>
  <c r="BW6" i="3"/>
  <c r="AK6" i="3" s="1"/>
  <c r="AZ7" i="3"/>
  <c r="BU7" i="3"/>
  <c r="AI7" i="3" s="1"/>
  <c r="CC7" i="3"/>
  <c r="AQ7" i="3" s="1"/>
  <c r="BT8" i="3"/>
  <c r="AH8" i="3" s="1"/>
  <c r="CB8" i="3"/>
  <c r="AP8" i="3" s="1"/>
  <c r="AZ9" i="3"/>
  <c r="O62" i="3" s="1"/>
  <c r="P62" i="3" s="1"/>
  <c r="BZ10" i="3"/>
  <c r="AN10" i="3" s="1"/>
  <c r="N38" i="3"/>
  <c r="Q38" i="3" s="1"/>
  <c r="AX13" i="3"/>
  <c r="BZ13" i="3"/>
  <c r="AN13" i="3" s="1"/>
  <c r="BV13" i="3"/>
  <c r="AJ13" i="3" s="1"/>
  <c r="CA12" i="3"/>
  <c r="AO12" i="3" s="1"/>
  <c r="BW12" i="3"/>
  <c r="AK12" i="3" s="1"/>
  <c r="CB11" i="3"/>
  <c r="AP11" i="3" s="1"/>
  <c r="BX11" i="3"/>
  <c r="AL11" i="3" s="1"/>
  <c r="BT11" i="3"/>
  <c r="AH11" i="3" s="1"/>
  <c r="CC10" i="3"/>
  <c r="AQ10" i="3" s="1"/>
  <c r="BY10" i="3"/>
  <c r="AM10" i="3" s="1"/>
  <c r="BU10" i="3"/>
  <c r="AI10" i="3" s="1"/>
  <c r="BZ9" i="3"/>
  <c r="AN9" i="3" s="1"/>
  <c r="BV9" i="3"/>
  <c r="AJ9" i="3" s="1"/>
  <c r="CC13" i="3"/>
  <c r="AQ13" i="3" s="1"/>
  <c r="BY13" i="3"/>
  <c r="AM13" i="3" s="1"/>
  <c r="BU13" i="3"/>
  <c r="AI13" i="3" s="1"/>
  <c r="BZ12" i="3"/>
  <c r="AN12" i="3" s="1"/>
  <c r="BV12" i="3"/>
  <c r="AJ12" i="3" s="1"/>
  <c r="CA11" i="3"/>
  <c r="AO11" i="3" s="1"/>
  <c r="BW11" i="3"/>
  <c r="AK11" i="3" s="1"/>
  <c r="CB10" i="3"/>
  <c r="AP10" i="3" s="1"/>
  <c r="BX10" i="3"/>
  <c r="AL10" i="3" s="1"/>
  <c r="BT10" i="3"/>
  <c r="AH10" i="3" s="1"/>
  <c r="CC9" i="3"/>
  <c r="AQ9" i="3" s="1"/>
  <c r="BY9" i="3"/>
  <c r="AM9" i="3" s="1"/>
  <c r="BU9" i="3"/>
  <c r="AI9" i="3" s="1"/>
  <c r="AU14" i="3"/>
  <c r="BC14" i="3"/>
  <c r="BK14" i="3"/>
  <c r="BV4" i="3"/>
  <c r="AJ4" i="3" s="1"/>
  <c r="BZ4" i="3"/>
  <c r="AN4" i="3" s="1"/>
  <c r="BU5" i="3"/>
  <c r="AI5" i="3" s="1"/>
  <c r="BY5" i="3"/>
  <c r="AM5" i="3" s="1"/>
  <c r="CC5" i="3"/>
  <c r="AQ5" i="3" s="1"/>
  <c r="BT6" i="3"/>
  <c r="AH6" i="3" s="1"/>
  <c r="BX6" i="3"/>
  <c r="AL6" i="3" s="1"/>
  <c r="CB6" i="3"/>
  <c r="AP6" i="3" s="1"/>
  <c r="BW7" i="3"/>
  <c r="AK7" i="3" s="1"/>
  <c r="CA7" i="3"/>
  <c r="AO7" i="3" s="1"/>
  <c r="BV8" i="3"/>
  <c r="AJ8" i="3" s="1"/>
  <c r="BZ8" i="3"/>
  <c r="AN8" i="3" s="1"/>
  <c r="BW9" i="3"/>
  <c r="AK9" i="3" s="1"/>
  <c r="CA10" i="3"/>
  <c r="AO10" i="3" s="1"/>
  <c r="BY11" i="3"/>
  <c r="AM11" i="3" s="1"/>
  <c r="BY12" i="3"/>
  <c r="AM12" i="3" s="1"/>
  <c r="CA13" i="3"/>
  <c r="AO13" i="3" s="1"/>
  <c r="BV5" i="3"/>
  <c r="AJ5" i="3" s="1"/>
  <c r="BZ5" i="3"/>
  <c r="AN5" i="3" s="1"/>
  <c r="BU6" i="3"/>
  <c r="AI6" i="3" s="1"/>
  <c r="BY6" i="3"/>
  <c r="AM6" i="3" s="1"/>
  <c r="CC6" i="3"/>
  <c r="AQ6" i="3" s="1"/>
  <c r="BT7" i="3"/>
  <c r="AH7" i="3" s="1"/>
  <c r="BX7" i="3"/>
  <c r="AL7" i="3" s="1"/>
  <c r="CB7" i="3"/>
  <c r="AP7" i="3" s="1"/>
  <c r="P34" i="3"/>
  <c r="BW8" i="3"/>
  <c r="AK8" i="3" s="1"/>
  <c r="CA8" i="3"/>
  <c r="AO8" i="3" s="1"/>
  <c r="BX9" i="3"/>
  <c r="AL9" i="3" s="1"/>
  <c r="BV10" i="3"/>
  <c r="AJ10" i="3" s="1"/>
  <c r="BZ11" i="3"/>
  <c r="AN11" i="3" s="1"/>
  <c r="AZ12" i="3"/>
  <c r="N64" i="3" s="1"/>
  <c r="Q64" i="3" s="1"/>
  <c r="BT12" i="3"/>
  <c r="AH12" i="3" s="1"/>
  <c r="CB12" i="3"/>
  <c r="AP12" i="3" s="1"/>
  <c r="BT13" i="3"/>
  <c r="AH13" i="3" s="1"/>
  <c r="CB13" i="3"/>
  <c r="AP13" i="3" s="1"/>
  <c r="N78" i="30" l="1"/>
  <c r="BB6" i="30"/>
  <c r="N74" i="30" s="1"/>
  <c r="Q74" i="30" s="1"/>
  <c r="O62" i="30"/>
  <c r="P62" i="30" s="1"/>
  <c r="N64" i="30"/>
  <c r="Q64" i="30" s="1"/>
  <c r="BB5" i="30"/>
  <c r="O78" i="30"/>
  <c r="BD4" i="30"/>
  <c r="BF4" i="30" s="1"/>
  <c r="BH4" i="30" s="1"/>
  <c r="BJ4" i="30" s="1"/>
  <c r="BL4" i="30" s="1"/>
  <c r="BM4" i="30" s="1"/>
  <c r="X5" i="30" s="1"/>
  <c r="O74" i="30"/>
  <c r="N76" i="30"/>
  <c r="BD7" i="30"/>
  <c r="BF7" i="30" s="1"/>
  <c r="BH7" i="30" s="1"/>
  <c r="BJ7" i="30" s="1"/>
  <c r="BL7" i="30" s="1"/>
  <c r="BM7" i="30" s="1"/>
  <c r="X7" i="30" s="1"/>
  <c r="N78" i="29"/>
  <c r="Q78" i="29" s="1"/>
  <c r="BD8" i="29"/>
  <c r="N94" i="29"/>
  <c r="Q94" i="29" s="1"/>
  <c r="BF6" i="29"/>
  <c r="N66" i="29"/>
  <c r="Q66" i="29" s="1"/>
  <c r="BB5" i="29"/>
  <c r="O60" i="29"/>
  <c r="BB9" i="29"/>
  <c r="O48" i="29"/>
  <c r="AZ4" i="29"/>
  <c r="P52" i="29"/>
  <c r="N62" i="29"/>
  <c r="Q62" i="29" s="1"/>
  <c r="N60" i="29"/>
  <c r="Q60" i="29" s="1"/>
  <c r="P46" i="29"/>
  <c r="BB7" i="29"/>
  <c r="O64" i="29"/>
  <c r="O48" i="3"/>
  <c r="AZ4" i="3"/>
  <c r="P36" i="3"/>
  <c r="P38" i="3"/>
  <c r="P50" i="3"/>
  <c r="AZ11" i="3"/>
  <c r="O54" i="3"/>
  <c r="AZ10" i="3"/>
  <c r="O64" i="3"/>
  <c r="P64" i="3" s="1"/>
  <c r="BB8" i="3"/>
  <c r="P52" i="3"/>
  <c r="BB9" i="3"/>
  <c r="O46" i="3"/>
  <c r="AZ13" i="3"/>
  <c r="O66" i="3"/>
  <c r="BB7" i="3"/>
  <c r="N46" i="3"/>
  <c r="Q46" i="3" s="1"/>
  <c r="AZ5" i="3"/>
  <c r="BB12" i="3"/>
  <c r="AZ6" i="3"/>
  <c r="BD6" i="30" l="1"/>
  <c r="BF6" i="30" s="1"/>
  <c r="BH6" i="30" s="1"/>
  <c r="BJ6" i="30" s="1"/>
  <c r="BL6" i="30" s="1"/>
  <c r="BM6" i="30" s="1"/>
  <c r="X6" i="30" s="1"/>
  <c r="BP7" i="30"/>
  <c r="AA7" i="30" s="1"/>
  <c r="P78" i="30"/>
  <c r="BP4" i="30"/>
  <c r="AA5" i="30" s="1"/>
  <c r="Q78" i="30"/>
  <c r="BO4" i="30" s="1"/>
  <c r="Z5" i="30" s="1"/>
  <c r="BN4" i="30"/>
  <c r="Y5" i="30" s="1"/>
  <c r="Q76" i="30"/>
  <c r="BO5" i="30" s="1"/>
  <c r="Z4" i="30" s="1"/>
  <c r="BN5" i="30"/>
  <c r="Y4" i="30" s="1"/>
  <c r="P74" i="30"/>
  <c r="BO6" i="30" s="1"/>
  <c r="Z6" i="30" s="1"/>
  <c r="BN6" i="30"/>
  <c r="Y6" i="30" s="1"/>
  <c r="O76" i="30"/>
  <c r="BD5" i="30"/>
  <c r="BF5" i="30" s="1"/>
  <c r="BH5" i="30" s="1"/>
  <c r="BJ5" i="30" s="1"/>
  <c r="BL5" i="30" s="1"/>
  <c r="BM5" i="30" s="1"/>
  <c r="X4" i="30" s="1"/>
  <c r="O92" i="29"/>
  <c r="P92" i="29" s="1"/>
  <c r="BF8" i="29"/>
  <c r="O74" i="29"/>
  <c r="P74" i="29" s="1"/>
  <c r="P48" i="29"/>
  <c r="P64" i="29"/>
  <c r="O80" i="29"/>
  <c r="P60" i="29"/>
  <c r="O104" i="29"/>
  <c r="P104" i="29" s="1"/>
  <c r="BH6" i="29"/>
  <c r="N76" i="29"/>
  <c r="BD7" i="29"/>
  <c r="N64" i="29"/>
  <c r="Q64" i="29" s="1"/>
  <c r="BB4" i="29"/>
  <c r="N80" i="29"/>
  <c r="Q80" i="29" s="1"/>
  <c r="BD9" i="29"/>
  <c r="O76" i="29"/>
  <c r="BD5" i="29"/>
  <c r="BB10" i="3"/>
  <c r="O60" i="3"/>
  <c r="N66" i="3"/>
  <c r="Q66" i="3" s="1"/>
  <c r="BB4" i="3"/>
  <c r="BD12" i="3"/>
  <c r="O80" i="3"/>
  <c r="P80" i="3" s="1"/>
  <c r="P46" i="3"/>
  <c r="BD8" i="3"/>
  <c r="N78" i="3"/>
  <c r="Q78" i="3" s="1"/>
  <c r="N62" i="3"/>
  <c r="Q62" i="3" s="1"/>
  <c r="BB11" i="3"/>
  <c r="N76" i="3"/>
  <c r="Q76" i="3" s="1"/>
  <c r="BD7" i="3"/>
  <c r="N80" i="3"/>
  <c r="Q80" i="3" s="1"/>
  <c r="BD9" i="3"/>
  <c r="P66" i="3"/>
  <c r="BB6" i="3"/>
  <c r="O68" i="3"/>
  <c r="P68" i="3" s="1"/>
  <c r="N68" i="3"/>
  <c r="Q68" i="3" s="1"/>
  <c r="BB5" i="3"/>
  <c r="N60" i="3"/>
  <c r="Q60" i="3" s="1"/>
  <c r="BB13" i="3"/>
  <c r="P54" i="3"/>
  <c r="P48" i="3"/>
  <c r="BP6" i="30" l="1"/>
  <c r="AA6" i="30" s="1"/>
  <c r="P76" i="30"/>
  <c r="BO7" i="30" s="1"/>
  <c r="Z7" i="30" s="1"/>
  <c r="BN7" i="30"/>
  <c r="Y7" i="30" s="1"/>
  <c r="BP5" i="30"/>
  <c r="AA4" i="30" s="1"/>
  <c r="N104" i="29"/>
  <c r="Q104" i="29" s="1"/>
  <c r="BH8" i="29"/>
  <c r="BJ8" i="29" s="1"/>
  <c r="BL8" i="29" s="1"/>
  <c r="BM8" i="29" s="1"/>
  <c r="X9" i="29" s="1"/>
  <c r="P76" i="29"/>
  <c r="O90" i="29"/>
  <c r="BF9" i="29"/>
  <c r="O94" i="29"/>
  <c r="BF7" i="29"/>
  <c r="O88" i="29"/>
  <c r="Q76" i="29"/>
  <c r="P80" i="29"/>
  <c r="N88" i="29"/>
  <c r="Q88" i="29" s="1"/>
  <c r="N92" i="29"/>
  <c r="Q92" i="29" s="1"/>
  <c r="BF5" i="29"/>
  <c r="O78" i="29"/>
  <c r="BD4" i="29"/>
  <c r="BJ6" i="29"/>
  <c r="BL6" i="29" s="1"/>
  <c r="BM6" i="29" s="1"/>
  <c r="X5" i="29" s="1"/>
  <c r="O78" i="3"/>
  <c r="BD4" i="3"/>
  <c r="P60" i="3"/>
  <c r="N74" i="3"/>
  <c r="Q74" i="3" s="1"/>
  <c r="BD6" i="3"/>
  <c r="O96" i="3"/>
  <c r="P96" i="3" s="1"/>
  <c r="BF7" i="3"/>
  <c r="O82" i="3"/>
  <c r="BD11" i="3"/>
  <c r="O94" i="3"/>
  <c r="BF8" i="3"/>
  <c r="O74" i="3"/>
  <c r="BD13" i="3"/>
  <c r="O92" i="3"/>
  <c r="BF9" i="3"/>
  <c r="N90" i="3"/>
  <c r="Q90" i="3" s="1"/>
  <c r="BF12" i="3"/>
  <c r="O76" i="3"/>
  <c r="BD5" i="3"/>
  <c r="N82" i="3"/>
  <c r="Q82" i="3" s="1"/>
  <c r="BD10" i="3"/>
  <c r="BP8" i="29" l="1"/>
  <c r="AA9" i="29" s="1"/>
  <c r="O106" i="29"/>
  <c r="BH5" i="29"/>
  <c r="BJ5" i="29" s="1"/>
  <c r="BL5" i="29" s="1"/>
  <c r="BM5" i="29" s="1"/>
  <c r="X6" i="29" s="1"/>
  <c r="N108" i="29"/>
  <c r="Q108" i="29" s="1"/>
  <c r="BH9" i="29"/>
  <c r="BJ9" i="29" s="1"/>
  <c r="BL9" i="29" s="1"/>
  <c r="BM9" i="29" s="1"/>
  <c r="X8" i="29" s="1"/>
  <c r="N106" i="29"/>
  <c r="N90" i="29"/>
  <c r="Q90" i="29" s="1"/>
  <c r="BF4" i="29"/>
  <c r="P88" i="29"/>
  <c r="P90" i="29"/>
  <c r="BN4" i="29"/>
  <c r="Y4" i="29" s="1"/>
  <c r="P78" i="29"/>
  <c r="BO8" i="29" s="1"/>
  <c r="Z9" i="29" s="1"/>
  <c r="BN8" i="29"/>
  <c r="Y9" i="29" s="1"/>
  <c r="BH7" i="29"/>
  <c r="N102" i="29"/>
  <c r="Q102" i="29" s="1"/>
  <c r="BP6" i="29"/>
  <c r="AA5" i="29" s="1"/>
  <c r="O102" i="29"/>
  <c r="P94" i="29"/>
  <c r="BO6" i="29" s="1"/>
  <c r="Z5" i="29" s="1"/>
  <c r="BN6" i="29"/>
  <c r="Y5" i="29" s="1"/>
  <c r="BF10" i="3"/>
  <c r="O90" i="3"/>
  <c r="P94" i="3"/>
  <c r="P76" i="3"/>
  <c r="N88" i="3"/>
  <c r="Q88" i="3" s="1"/>
  <c r="BF13" i="3"/>
  <c r="O88" i="3"/>
  <c r="BF11" i="3"/>
  <c r="BF6" i="3"/>
  <c r="N96" i="3"/>
  <c r="Q96" i="3" s="1"/>
  <c r="BH9" i="3"/>
  <c r="N106" i="3"/>
  <c r="Q106" i="3" s="1"/>
  <c r="P74" i="3"/>
  <c r="P82" i="3"/>
  <c r="N92" i="3"/>
  <c r="Q92" i="3" s="1"/>
  <c r="BF4" i="3"/>
  <c r="O110" i="3"/>
  <c r="BH12" i="3"/>
  <c r="P92" i="3"/>
  <c r="N104" i="3"/>
  <c r="Q104" i="3" s="1"/>
  <c r="BH8" i="3"/>
  <c r="N102" i="3"/>
  <c r="Q102" i="3" s="1"/>
  <c r="BH7" i="3"/>
  <c r="P78" i="3"/>
  <c r="N94" i="3"/>
  <c r="Q94" i="3" s="1"/>
  <c r="BF5" i="3"/>
  <c r="AB7" i="2"/>
  <c r="AB5" i="2"/>
  <c r="AB8" i="2"/>
  <c r="AB11" i="2"/>
  <c r="AB6" i="2"/>
  <c r="AB9" i="2"/>
  <c r="AB4" i="2"/>
  <c r="AB10" i="2"/>
  <c r="AF2" i="2"/>
  <c r="U1" i="2"/>
  <c r="H128" i="2"/>
  <c r="H114" i="2"/>
  <c r="H100" i="2"/>
  <c r="H86" i="2"/>
  <c r="H72" i="2"/>
  <c r="H58" i="2"/>
  <c r="H44" i="2"/>
  <c r="H30" i="2"/>
  <c r="H16" i="2"/>
  <c r="AF5" i="2"/>
  <c r="AF6" i="2"/>
  <c r="AF7" i="2"/>
  <c r="AF8" i="2"/>
  <c r="AF9" i="2"/>
  <c r="AF10" i="2"/>
  <c r="AF11" i="2"/>
  <c r="AF4" i="2"/>
  <c r="C138" i="2"/>
  <c r="C136" i="2"/>
  <c r="C134" i="2"/>
  <c r="C132" i="2"/>
  <c r="C130" i="2"/>
  <c r="C124" i="2"/>
  <c r="C122" i="2"/>
  <c r="C120" i="2"/>
  <c r="C118" i="2"/>
  <c r="C116" i="2"/>
  <c r="C110" i="2"/>
  <c r="C108" i="2"/>
  <c r="C106" i="2"/>
  <c r="C104" i="2"/>
  <c r="C102" i="2"/>
  <c r="C96" i="2"/>
  <c r="C94" i="2"/>
  <c r="C92" i="2"/>
  <c r="C90" i="2"/>
  <c r="C88" i="2"/>
  <c r="C82" i="2"/>
  <c r="C80" i="2"/>
  <c r="C78" i="2"/>
  <c r="C76" i="2"/>
  <c r="C74" i="2"/>
  <c r="C68" i="2"/>
  <c r="C66" i="2"/>
  <c r="C64" i="2"/>
  <c r="C62" i="2"/>
  <c r="C60" i="2"/>
  <c r="C54" i="2"/>
  <c r="C52" i="2"/>
  <c r="C50" i="2"/>
  <c r="C48" i="2"/>
  <c r="C46" i="2"/>
  <c r="C40" i="2"/>
  <c r="C38" i="2"/>
  <c r="C36" i="2"/>
  <c r="C34" i="2"/>
  <c r="C32" i="2"/>
  <c r="C22" i="2"/>
  <c r="C26" i="2"/>
  <c r="C24" i="2"/>
  <c r="C20" i="2"/>
  <c r="C18" i="2"/>
  <c r="S138" i="2"/>
  <c r="R138" i="2"/>
  <c r="S136" i="2"/>
  <c r="R136" i="2"/>
  <c r="S134" i="2"/>
  <c r="R134" i="2"/>
  <c r="S132" i="2"/>
  <c r="R132" i="2"/>
  <c r="S130" i="2"/>
  <c r="R130" i="2"/>
  <c r="S124" i="2"/>
  <c r="R124" i="2"/>
  <c r="S122" i="2"/>
  <c r="R122" i="2"/>
  <c r="S120" i="2"/>
  <c r="R120" i="2"/>
  <c r="S118" i="2"/>
  <c r="R118" i="2"/>
  <c r="S116" i="2"/>
  <c r="R116" i="2"/>
  <c r="S110" i="2"/>
  <c r="R110" i="2"/>
  <c r="S108" i="2"/>
  <c r="R108" i="2"/>
  <c r="S106" i="2"/>
  <c r="R106" i="2"/>
  <c r="S104" i="2"/>
  <c r="R104" i="2"/>
  <c r="S102" i="2"/>
  <c r="R102" i="2"/>
  <c r="S96" i="2"/>
  <c r="R96" i="2"/>
  <c r="S94" i="2"/>
  <c r="R94" i="2"/>
  <c r="S92" i="2"/>
  <c r="R92" i="2"/>
  <c r="S90" i="2"/>
  <c r="R90" i="2"/>
  <c r="S88" i="2"/>
  <c r="R88" i="2"/>
  <c r="S82" i="2"/>
  <c r="R82" i="2"/>
  <c r="S80" i="2"/>
  <c r="R80" i="2"/>
  <c r="S78" i="2"/>
  <c r="R78" i="2"/>
  <c r="S76" i="2"/>
  <c r="R76" i="2"/>
  <c r="S74" i="2"/>
  <c r="R74" i="2"/>
  <c r="S68" i="2"/>
  <c r="R68" i="2"/>
  <c r="S66" i="2"/>
  <c r="R66" i="2"/>
  <c r="S64" i="2"/>
  <c r="R64" i="2"/>
  <c r="S62" i="2"/>
  <c r="R62" i="2"/>
  <c r="S60" i="2"/>
  <c r="R60" i="2"/>
  <c r="S54" i="2"/>
  <c r="R54" i="2"/>
  <c r="S52" i="2"/>
  <c r="R52" i="2"/>
  <c r="S50" i="2"/>
  <c r="R50" i="2"/>
  <c r="S48" i="2"/>
  <c r="R48" i="2"/>
  <c r="S46" i="2"/>
  <c r="R46" i="2"/>
  <c r="S40" i="2"/>
  <c r="R40" i="2"/>
  <c r="S38" i="2"/>
  <c r="R38" i="2"/>
  <c r="S36" i="2"/>
  <c r="R36" i="2"/>
  <c r="S34" i="2"/>
  <c r="R34" i="2"/>
  <c r="S32" i="2"/>
  <c r="R32" i="2"/>
  <c r="S26" i="2"/>
  <c r="R26" i="2"/>
  <c r="S24" i="2"/>
  <c r="R24" i="2"/>
  <c r="S22" i="2"/>
  <c r="R22" i="2"/>
  <c r="S20" i="2"/>
  <c r="R20" i="2"/>
  <c r="S18" i="2"/>
  <c r="R18" i="2"/>
  <c r="W11" i="2"/>
  <c r="W9" i="2"/>
  <c r="W10" i="2"/>
  <c r="W8" i="2"/>
  <c r="W6" i="2"/>
  <c r="W4" i="2"/>
  <c r="W7" i="2"/>
  <c r="W5" i="2"/>
  <c r="Q26" i="2"/>
  <c r="P26" i="2"/>
  <c r="Q24" i="2"/>
  <c r="P24" i="2"/>
  <c r="Q22" i="2"/>
  <c r="P22" i="2"/>
  <c r="Q20" i="2"/>
  <c r="P20" i="2"/>
  <c r="Q18" i="2"/>
  <c r="P18" i="2"/>
  <c r="BK8" i="2"/>
  <c r="BK11" i="2"/>
  <c r="BK9" i="2"/>
  <c r="BK10" i="2"/>
  <c r="BK7" i="2"/>
  <c r="BK6" i="2"/>
  <c r="BK5" i="2"/>
  <c r="BK4" i="2"/>
  <c r="BI8" i="2"/>
  <c r="BI11" i="2"/>
  <c r="BI9" i="2"/>
  <c r="BI10" i="2"/>
  <c r="BI7" i="2"/>
  <c r="BI6" i="2"/>
  <c r="BI5" i="2"/>
  <c r="BI4" i="2"/>
  <c r="BG8" i="2"/>
  <c r="BG11" i="2"/>
  <c r="BG9" i="2"/>
  <c r="BG10" i="2"/>
  <c r="BG7" i="2"/>
  <c r="BG6" i="2"/>
  <c r="BG5" i="2"/>
  <c r="BG4" i="2"/>
  <c r="BE4" i="2"/>
  <c r="BE11" i="2"/>
  <c r="BE10" i="2"/>
  <c r="BE9" i="2"/>
  <c r="BE8" i="2"/>
  <c r="BE7" i="2"/>
  <c r="BE6" i="2"/>
  <c r="BE5" i="2"/>
  <c r="BC11" i="2"/>
  <c r="BC10" i="2"/>
  <c r="BC9" i="2"/>
  <c r="BC8" i="2"/>
  <c r="BC7" i="2"/>
  <c r="BC6" i="2"/>
  <c r="BC5" i="2"/>
  <c r="BC4" i="2"/>
  <c r="BA11" i="2"/>
  <c r="BA10" i="2"/>
  <c r="BA9" i="2"/>
  <c r="BA8" i="2"/>
  <c r="BA7" i="2"/>
  <c r="BA6" i="2"/>
  <c r="BA5" i="2"/>
  <c r="AY4" i="2"/>
  <c r="BA4" i="2"/>
  <c r="AY11" i="2"/>
  <c r="AY10" i="2"/>
  <c r="AY9" i="2"/>
  <c r="AY8" i="2"/>
  <c r="AY7" i="2"/>
  <c r="AY6" i="2"/>
  <c r="AY5" i="2"/>
  <c r="AW11" i="2"/>
  <c r="AW10" i="2"/>
  <c r="AW9" i="2"/>
  <c r="AW8" i="2"/>
  <c r="AW7" i="2"/>
  <c r="AW6" i="2"/>
  <c r="AW5" i="2"/>
  <c r="AW4" i="2"/>
  <c r="N32" i="2"/>
  <c r="Q32" i="2" s="1"/>
  <c r="AU11" i="2"/>
  <c r="AV11" i="2" s="1"/>
  <c r="AU10" i="2"/>
  <c r="AV10" i="2" s="1"/>
  <c r="N34" i="2" s="1"/>
  <c r="Q34" i="2" s="1"/>
  <c r="AU9" i="2"/>
  <c r="AV9" i="2" s="1"/>
  <c r="AU8" i="2"/>
  <c r="AV8" i="2" s="1"/>
  <c r="AU7" i="2"/>
  <c r="AV7" i="2" s="1"/>
  <c r="O36" i="2" s="1"/>
  <c r="P36" i="2" s="1"/>
  <c r="AU6" i="2"/>
  <c r="AV6" i="2" s="1"/>
  <c r="AU5" i="2"/>
  <c r="AV5" i="2" s="1"/>
  <c r="O40" i="2" s="1"/>
  <c r="P40" i="2" s="1"/>
  <c r="AU4" i="2"/>
  <c r="H108" i="2"/>
  <c r="F108" i="2"/>
  <c r="H106" i="2"/>
  <c r="F106" i="2"/>
  <c r="H104" i="2"/>
  <c r="F104" i="2"/>
  <c r="H102" i="2"/>
  <c r="F102" i="2"/>
  <c r="H94" i="2"/>
  <c r="F94" i="2"/>
  <c r="H92" i="2"/>
  <c r="F92" i="2"/>
  <c r="H90" i="2"/>
  <c r="F90" i="2"/>
  <c r="H88" i="2"/>
  <c r="F88" i="2"/>
  <c r="H80" i="2"/>
  <c r="F80" i="2"/>
  <c r="H78" i="2"/>
  <c r="F78" i="2"/>
  <c r="H76" i="2"/>
  <c r="F76" i="2"/>
  <c r="H74" i="2"/>
  <c r="F74" i="2"/>
  <c r="H66" i="2"/>
  <c r="F66" i="2"/>
  <c r="H64" i="2"/>
  <c r="F64" i="2"/>
  <c r="H62" i="2"/>
  <c r="F62" i="2"/>
  <c r="H60" i="2"/>
  <c r="F60" i="2"/>
  <c r="H52" i="2"/>
  <c r="F52" i="2"/>
  <c r="H50" i="2"/>
  <c r="F50" i="2"/>
  <c r="H48" i="2"/>
  <c r="F48" i="2"/>
  <c r="H46" i="2"/>
  <c r="F46" i="2"/>
  <c r="H38" i="2"/>
  <c r="F38" i="2"/>
  <c r="H36" i="2"/>
  <c r="F36" i="2"/>
  <c r="H34" i="2"/>
  <c r="F34" i="2"/>
  <c r="H32" i="2"/>
  <c r="F32" i="2"/>
  <c r="H24" i="2"/>
  <c r="H22" i="2"/>
  <c r="H20" i="2"/>
  <c r="H18" i="2"/>
  <c r="F20" i="2"/>
  <c r="F22" i="2"/>
  <c r="F24" i="2"/>
  <c r="F18" i="2"/>
  <c r="BG14" i="2"/>
  <c r="N36" i="2"/>
  <c r="Q36" i="2" s="1"/>
  <c r="BO4" i="29" l="1"/>
  <c r="Z4" i="29" s="1"/>
  <c r="BP5" i="29"/>
  <c r="AA6" i="29" s="1"/>
  <c r="P102" i="29"/>
  <c r="BN7" i="29"/>
  <c r="Y7" i="29" s="1"/>
  <c r="BJ7" i="29"/>
  <c r="BL7" i="29" s="1"/>
  <c r="BM7" i="29" s="1"/>
  <c r="X7" i="29" s="1"/>
  <c r="BP9" i="29"/>
  <c r="AA8" i="29" s="1"/>
  <c r="Q106" i="29"/>
  <c r="BO5" i="29" s="1"/>
  <c r="Z6" i="29" s="1"/>
  <c r="BN5" i="29"/>
  <c r="Y6" i="29" s="1"/>
  <c r="O108" i="29"/>
  <c r="BH4" i="29"/>
  <c r="P106" i="29"/>
  <c r="BO9" i="29" s="1"/>
  <c r="Z8" i="29" s="1"/>
  <c r="BN9" i="29"/>
  <c r="Y8" i="29" s="1"/>
  <c r="CB11" i="2"/>
  <c r="BZ7" i="2"/>
  <c r="AN7" i="2" s="1"/>
  <c r="BX9" i="2"/>
  <c r="AL9" i="2" s="1"/>
  <c r="AW14" i="2"/>
  <c r="CA6" i="2"/>
  <c r="AO6" i="2" s="1"/>
  <c r="BT9" i="2"/>
  <c r="AH9" i="2" s="1"/>
  <c r="BZ10" i="2"/>
  <c r="AN10" i="2" s="1"/>
  <c r="BY10" i="2"/>
  <c r="AM10" i="2" s="1"/>
  <c r="BT5" i="2"/>
  <c r="AH5" i="2" s="1"/>
  <c r="BW12" i="2"/>
  <c r="BU13" i="2"/>
  <c r="CA11" i="2"/>
  <c r="AO11" i="2" s="1"/>
  <c r="CB13" i="2"/>
  <c r="BT6" i="2"/>
  <c r="AH6" i="2" s="1"/>
  <c r="BY6" i="2"/>
  <c r="AM6" i="2" s="1"/>
  <c r="BT10" i="2"/>
  <c r="AH10" i="2" s="1"/>
  <c r="BU8" i="2"/>
  <c r="AI8" i="2" s="1"/>
  <c r="BW9" i="2"/>
  <c r="AK9" i="2" s="1"/>
  <c r="BV10" i="2"/>
  <c r="AJ10" i="2" s="1"/>
  <c r="BZ11" i="2"/>
  <c r="AN11" i="2" s="1"/>
  <c r="CA5" i="2"/>
  <c r="AO5" i="2" s="1"/>
  <c r="BU9" i="2"/>
  <c r="AI9" i="2" s="1"/>
  <c r="BV9" i="2"/>
  <c r="AJ9" i="2" s="1"/>
  <c r="BU4" i="2"/>
  <c r="AI4" i="2" s="1"/>
  <c r="BZ9" i="2"/>
  <c r="AN9" i="2" s="1"/>
  <c r="CB6" i="2"/>
  <c r="BX8" i="2"/>
  <c r="AL8" i="2" s="1"/>
  <c r="BY12" i="2"/>
  <c r="BV8" i="2"/>
  <c r="AJ8" i="2" s="1"/>
  <c r="BZ12" i="2"/>
  <c r="CA9" i="2"/>
  <c r="AO9" i="2" s="1"/>
  <c r="CA12" i="2"/>
  <c r="BV13" i="2"/>
  <c r="BY11" i="2"/>
  <c r="AM11" i="2" s="1"/>
  <c r="BZ4" i="2"/>
  <c r="AN4" i="2" s="1"/>
  <c r="BU5" i="2"/>
  <c r="AI5" i="2" s="1"/>
  <c r="BV6" i="2"/>
  <c r="AJ6" i="2" s="1"/>
  <c r="BX11" i="2"/>
  <c r="AL11" i="2" s="1"/>
  <c r="BY4" i="2"/>
  <c r="AM4" i="2" s="1"/>
  <c r="CA10" i="2"/>
  <c r="AO10" i="2" s="1"/>
  <c r="CA8" i="2"/>
  <c r="AO8" i="2" s="1"/>
  <c r="BT7" i="2"/>
  <c r="AH7" i="2" s="1"/>
  <c r="BX4" i="2"/>
  <c r="AL4" i="2" s="1"/>
  <c r="BZ8" i="2"/>
  <c r="AN8" i="2" s="1"/>
  <c r="BV11" i="2"/>
  <c r="AJ11" i="2" s="1"/>
  <c r="BZ6" i="2"/>
  <c r="AN6" i="2" s="1"/>
  <c r="CB7" i="2"/>
  <c r="BW10" i="2"/>
  <c r="AK10" i="2" s="1"/>
  <c r="BT12" i="2"/>
  <c r="BX10" i="2"/>
  <c r="AL10" i="2" s="1"/>
  <c r="CB12" i="2"/>
  <c r="BY5" i="2"/>
  <c r="AM5" i="2" s="1"/>
  <c r="BT4" i="2"/>
  <c r="AH4" i="2" s="1"/>
  <c r="BW11" i="2"/>
  <c r="AK11" i="2" s="1"/>
  <c r="BY8" i="2"/>
  <c r="AM8" i="2" s="1"/>
  <c r="BZ13" i="2"/>
  <c r="BZ5" i="2"/>
  <c r="AN5" i="2" s="1"/>
  <c r="BX5" i="2"/>
  <c r="AL5" i="2" s="1"/>
  <c r="BU6" i="2"/>
  <c r="AI6" i="2" s="1"/>
  <c r="BX13" i="2"/>
  <c r="BV4" i="2"/>
  <c r="AJ4" i="2" s="1"/>
  <c r="BU10" i="2"/>
  <c r="AI10" i="2" s="1"/>
  <c r="BY7" i="2"/>
  <c r="AM7" i="2" s="1"/>
  <c r="CA7" i="2"/>
  <c r="AO7" i="2" s="1"/>
  <c r="BW8" i="2"/>
  <c r="AK8" i="2" s="1"/>
  <c r="BV5" i="2"/>
  <c r="AJ5" i="2" s="1"/>
  <c r="CA4" i="2"/>
  <c r="AO4" i="2" s="1"/>
  <c r="CA13" i="2"/>
  <c r="BX7" i="2"/>
  <c r="AL7" i="2" s="1"/>
  <c r="BT13" i="2"/>
  <c r="CB9" i="2"/>
  <c r="CB4" i="2"/>
  <c r="BW7" i="2"/>
  <c r="AK7" i="2" s="1"/>
  <c r="BT11" i="2"/>
  <c r="AH11" i="2" s="1"/>
  <c r="BY9" i="2"/>
  <c r="AM9" i="2" s="1"/>
  <c r="BV12" i="2"/>
  <c r="BV7" i="2"/>
  <c r="AJ7" i="2" s="1"/>
  <c r="BW6" i="2"/>
  <c r="AK6" i="2" s="1"/>
  <c r="BU11" i="2"/>
  <c r="AI11" i="2" s="1"/>
  <c r="CB8" i="2"/>
  <c r="BW13" i="2"/>
  <c r="BY13" i="2"/>
  <c r="BX6" i="2"/>
  <c r="AL6" i="2" s="1"/>
  <c r="CB10" i="2"/>
  <c r="AX11" i="2"/>
  <c r="BU12" i="2"/>
  <c r="BX12" i="2"/>
  <c r="BU7" i="2"/>
  <c r="AI7" i="2" s="1"/>
  <c r="BW5" i="2"/>
  <c r="AK5" i="2" s="1"/>
  <c r="BT8" i="2"/>
  <c r="AH8" i="2" s="1"/>
  <c r="BC14" i="2"/>
  <c r="BW4" i="2"/>
  <c r="AK4" i="2" s="1"/>
  <c r="BA14" i="2"/>
  <c r="AY14" i="2"/>
  <c r="AX9" i="2"/>
  <c r="N54" i="2" s="1"/>
  <c r="Q54" i="2" s="1"/>
  <c r="BJ7" i="3"/>
  <c r="N124" i="3"/>
  <c r="Q124" i="3" s="1"/>
  <c r="BJ12" i="3"/>
  <c r="O116" i="3"/>
  <c r="P116" i="3" s="1"/>
  <c r="P90" i="3"/>
  <c r="O106" i="3"/>
  <c r="BH5" i="3"/>
  <c r="O124" i="3"/>
  <c r="P124" i="3" s="1"/>
  <c r="BJ8" i="3"/>
  <c r="O108" i="3"/>
  <c r="BH4" i="3"/>
  <c r="O122" i="3"/>
  <c r="BJ9" i="3"/>
  <c r="N110" i="3"/>
  <c r="Q110" i="3" s="1"/>
  <c r="BH11" i="3"/>
  <c r="P110" i="3"/>
  <c r="P88" i="3"/>
  <c r="O104" i="3"/>
  <c r="BH6" i="3"/>
  <c r="O102" i="3"/>
  <c r="BH13" i="3"/>
  <c r="N108" i="3"/>
  <c r="Q108" i="3" s="1"/>
  <c r="BH10" i="3"/>
  <c r="AX5" i="2"/>
  <c r="AX10" i="2"/>
  <c r="AZ10" i="2" s="1"/>
  <c r="BB10" i="2" s="1"/>
  <c r="BD10" i="2" s="1"/>
  <c r="CB5" i="2"/>
  <c r="AX8" i="2"/>
  <c r="O34" i="2"/>
  <c r="P34" i="2" s="1"/>
  <c r="O32" i="2"/>
  <c r="P32" i="2" s="1"/>
  <c r="AU14" i="2"/>
  <c r="AX6" i="2"/>
  <c r="O38" i="2"/>
  <c r="P38" i="2" s="1"/>
  <c r="N38" i="2"/>
  <c r="Q38" i="2" s="1"/>
  <c r="AX7" i="2"/>
  <c r="AV4" i="2"/>
  <c r="BE14" i="2"/>
  <c r="CC10" i="2"/>
  <c r="CC9" i="2"/>
  <c r="CC7" i="2"/>
  <c r="CC11" i="2"/>
  <c r="CC6" i="2"/>
  <c r="CC4" i="2"/>
  <c r="CC12" i="2"/>
  <c r="CC8" i="2"/>
  <c r="CC13" i="2"/>
  <c r="CC5" i="2"/>
  <c r="BP7" i="29" l="1"/>
  <c r="AA7" i="29" s="1"/>
  <c r="BJ4" i="29"/>
  <c r="BL4" i="29" s="1"/>
  <c r="BM4" i="29" s="1"/>
  <c r="X4" i="29" s="1"/>
  <c r="P108" i="29"/>
  <c r="O52" i="2"/>
  <c r="P52" i="2" s="1"/>
  <c r="N60" i="2"/>
  <c r="Q60" i="2" s="1"/>
  <c r="O46" i="2"/>
  <c r="P46" i="2" s="1"/>
  <c r="N82" i="2"/>
  <c r="Q82" i="2" s="1"/>
  <c r="AZ9" i="2"/>
  <c r="O62" i="2" s="1"/>
  <c r="P62" i="2" s="1"/>
  <c r="AZ11" i="2"/>
  <c r="O60" i="2"/>
  <c r="P60" i="2" s="1"/>
  <c r="O120" i="3"/>
  <c r="BJ10" i="3"/>
  <c r="P102" i="3"/>
  <c r="BL12" i="3"/>
  <c r="BM12" i="3" s="1"/>
  <c r="X8" i="3" s="1"/>
  <c r="N138" i="3"/>
  <c r="Q138" i="3" s="1"/>
  <c r="N122" i="3"/>
  <c r="Q122" i="3" s="1"/>
  <c r="BJ6" i="3"/>
  <c r="P104" i="3"/>
  <c r="P122" i="3"/>
  <c r="N130" i="3"/>
  <c r="BL8" i="3"/>
  <c r="BM8" i="3" s="1"/>
  <c r="X6" i="3" s="1"/>
  <c r="P106" i="3"/>
  <c r="O132" i="3"/>
  <c r="P132" i="3" s="1"/>
  <c r="BL7" i="3"/>
  <c r="P108" i="3"/>
  <c r="O118" i="3"/>
  <c r="BJ11" i="3"/>
  <c r="N132" i="3"/>
  <c r="Q132" i="3" s="1"/>
  <c r="BL9" i="3"/>
  <c r="BM9" i="3" s="1"/>
  <c r="X4" i="3" s="1"/>
  <c r="N120" i="3"/>
  <c r="Q120" i="3" s="1"/>
  <c r="BJ5" i="3"/>
  <c r="N116" i="3"/>
  <c r="Q116" i="3" s="1"/>
  <c r="BJ13" i="3"/>
  <c r="N118" i="3"/>
  <c r="Q118" i="3" s="1"/>
  <c r="BJ4" i="3"/>
  <c r="O54" i="2"/>
  <c r="P54" i="2" s="1"/>
  <c r="AZ5" i="2"/>
  <c r="N46" i="2"/>
  <c r="Q46" i="2" s="1"/>
  <c r="N52" i="2"/>
  <c r="Q52" i="2" s="1"/>
  <c r="AZ8" i="2"/>
  <c r="O90" i="2"/>
  <c r="P90" i="2" s="1"/>
  <c r="BF10" i="2"/>
  <c r="AX4" i="2"/>
  <c r="N40" i="2"/>
  <c r="Q40" i="2" s="1"/>
  <c r="O74" i="2"/>
  <c r="P74" i="2" s="1"/>
  <c r="O50" i="2"/>
  <c r="P50" i="2" s="1"/>
  <c r="N50" i="2"/>
  <c r="Q50" i="2" s="1"/>
  <c r="AZ7" i="2"/>
  <c r="N48" i="2"/>
  <c r="Q48" i="2" s="1"/>
  <c r="AZ6" i="2"/>
  <c r="BP4" i="29" l="1"/>
  <c r="AA4" i="29" s="1"/>
  <c r="BO7" i="29"/>
  <c r="Z7" i="29" s="1"/>
  <c r="BB9" i="2"/>
  <c r="N62" i="2"/>
  <c r="Q62" i="2" s="1"/>
  <c r="BB11" i="2"/>
  <c r="BP8" i="3"/>
  <c r="AA6" i="3" s="1"/>
  <c r="BO7" i="3"/>
  <c r="Z9" i="3" s="1"/>
  <c r="BP12" i="3"/>
  <c r="AA8" i="3" s="1"/>
  <c r="BP9" i="3"/>
  <c r="AA4" i="3" s="1"/>
  <c r="O136" i="3"/>
  <c r="BL5" i="3"/>
  <c r="BN9" i="3"/>
  <c r="Y4" i="3" s="1"/>
  <c r="Q130" i="3"/>
  <c r="BO13" i="3" s="1"/>
  <c r="Z13" i="3" s="1"/>
  <c r="BN13" i="3"/>
  <c r="Y13" i="3" s="1"/>
  <c r="O134" i="3"/>
  <c r="BL6" i="3"/>
  <c r="N134" i="3"/>
  <c r="BL10" i="3"/>
  <c r="N136" i="3"/>
  <c r="Q136" i="3" s="1"/>
  <c r="BL11" i="3"/>
  <c r="BM11" i="3" s="1"/>
  <c r="X7" i="3" s="1"/>
  <c r="BM7" i="3"/>
  <c r="X9" i="3" s="1"/>
  <c r="BP7" i="3"/>
  <c r="AA9" i="3" s="1"/>
  <c r="O138" i="3"/>
  <c r="BL4" i="3"/>
  <c r="P118" i="3"/>
  <c r="BN4" i="3"/>
  <c r="Y5" i="3" s="1"/>
  <c r="O130" i="3"/>
  <c r="BL13" i="3"/>
  <c r="BM13" i="3" s="1"/>
  <c r="X13" i="3" s="1"/>
  <c r="BO9" i="3"/>
  <c r="Z4" i="3" s="1"/>
  <c r="BN7" i="3"/>
  <c r="Y9" i="3" s="1"/>
  <c r="P120" i="3"/>
  <c r="N68" i="2"/>
  <c r="Q68" i="2" s="1"/>
  <c r="BB5" i="2"/>
  <c r="N80" i="2"/>
  <c r="Q80" i="2" s="1"/>
  <c r="BD9" i="2"/>
  <c r="BB8" i="2"/>
  <c r="O64" i="2"/>
  <c r="P64" i="2" s="1"/>
  <c r="BB6" i="2"/>
  <c r="O68" i="2"/>
  <c r="P68" i="2" s="1"/>
  <c r="N64" i="2"/>
  <c r="Q64" i="2" s="1"/>
  <c r="O48" i="2"/>
  <c r="AZ4" i="2"/>
  <c r="O66" i="2"/>
  <c r="P66" i="2" s="1"/>
  <c r="BB7" i="2"/>
  <c r="N88" i="2"/>
  <c r="Q88" i="2" s="1"/>
  <c r="BH10" i="2"/>
  <c r="N108" i="2"/>
  <c r="Q108" i="2" s="1"/>
  <c r="BD11" i="2" l="1"/>
  <c r="O82" i="2"/>
  <c r="P82" i="2" s="1"/>
  <c r="BN5" i="3"/>
  <c r="Y12" i="3" s="1"/>
  <c r="BP13" i="3"/>
  <c r="AA13" i="3" s="1"/>
  <c r="BP11" i="3"/>
  <c r="AA7" i="3" s="1"/>
  <c r="P138" i="3"/>
  <c r="BN12" i="3"/>
  <c r="Y8" i="3" s="1"/>
  <c r="BO5" i="3"/>
  <c r="Z12" i="3" s="1"/>
  <c r="BM10" i="3"/>
  <c r="X10" i="3" s="1"/>
  <c r="BP10" i="3"/>
  <c r="AA10" i="3" s="1"/>
  <c r="P136" i="3"/>
  <c r="BO11" i="3" s="1"/>
  <c r="Z7" i="3" s="1"/>
  <c r="BN11" i="3"/>
  <c r="Y7" i="3" s="1"/>
  <c r="Q134" i="3"/>
  <c r="BO6" i="3" s="1"/>
  <c r="Z11" i="3" s="1"/>
  <c r="BN6" i="3"/>
  <c r="Y11" i="3" s="1"/>
  <c r="P134" i="3"/>
  <c r="BN10" i="3"/>
  <c r="Y10" i="3" s="1"/>
  <c r="BM5" i="3"/>
  <c r="X12" i="3" s="1"/>
  <c r="BP5" i="3"/>
  <c r="AA12" i="3" s="1"/>
  <c r="P130" i="3"/>
  <c r="BN8" i="3"/>
  <c r="Y6" i="3" s="1"/>
  <c r="BM4" i="3"/>
  <c r="X5" i="3" s="1"/>
  <c r="BP4" i="3"/>
  <c r="AA5" i="3" s="1"/>
  <c r="BM6" i="3"/>
  <c r="X11" i="3" s="1"/>
  <c r="BP6" i="3"/>
  <c r="AA11" i="3" s="1"/>
  <c r="O76" i="2"/>
  <c r="P76" i="2" s="1"/>
  <c r="BD5" i="2"/>
  <c r="N78" i="2"/>
  <c r="Q78" i="2" s="1"/>
  <c r="BD8" i="2"/>
  <c r="O92" i="2"/>
  <c r="P92" i="2" s="1"/>
  <c r="BF9" i="2"/>
  <c r="N66" i="2"/>
  <c r="Q66" i="2" s="1"/>
  <c r="BB4" i="2"/>
  <c r="O120" i="2"/>
  <c r="P120" i="2" s="1"/>
  <c r="BJ10" i="2"/>
  <c r="O80" i="2"/>
  <c r="P80" i="2" s="1"/>
  <c r="N76" i="2"/>
  <c r="Q76" i="2" s="1"/>
  <c r="BD7" i="2"/>
  <c r="P48" i="2"/>
  <c r="BD6" i="2"/>
  <c r="N74" i="2"/>
  <c r="Q74" i="2" s="1"/>
  <c r="O88" i="2" l="1"/>
  <c r="P88" i="2" s="1"/>
  <c r="BF11" i="2"/>
  <c r="O102" i="2" s="1"/>
  <c r="P102" i="2" s="1"/>
  <c r="BO4" i="3"/>
  <c r="Z5" i="3" s="1"/>
  <c r="BO8" i="3"/>
  <c r="Z6" i="3" s="1"/>
  <c r="BO12" i="3"/>
  <c r="Z8" i="3" s="1"/>
  <c r="BO10" i="3"/>
  <c r="Z10" i="3" s="1"/>
  <c r="N94" i="2"/>
  <c r="Q94" i="2" s="1"/>
  <c r="BF5" i="2"/>
  <c r="O94" i="2"/>
  <c r="BF8" i="2"/>
  <c r="BH9" i="2"/>
  <c r="N106" i="2"/>
  <c r="Q106" i="2" s="1"/>
  <c r="O96" i="2"/>
  <c r="BF7" i="2"/>
  <c r="N90" i="2"/>
  <c r="Q90" i="2" s="1"/>
  <c r="BD4" i="2"/>
  <c r="O78" i="2"/>
  <c r="N134" i="2"/>
  <c r="Q134" i="2" s="1"/>
  <c r="BL10" i="2"/>
  <c r="N116" i="2"/>
  <c r="Q116" i="2" s="1"/>
  <c r="BF6" i="2"/>
  <c r="N96" i="2"/>
  <c r="Q96" i="2" s="1"/>
  <c r="BH11" i="2" l="1"/>
  <c r="N110" i="2"/>
  <c r="Q110" i="2" s="1"/>
  <c r="O106" i="2"/>
  <c r="P106" i="2" s="1"/>
  <c r="BH5" i="2"/>
  <c r="BJ9" i="2"/>
  <c r="O122" i="2"/>
  <c r="P122" i="2" s="1"/>
  <c r="N104" i="2"/>
  <c r="Q104" i="2" s="1"/>
  <c r="BH8" i="2"/>
  <c r="P94" i="2"/>
  <c r="P78" i="2"/>
  <c r="BH7" i="2"/>
  <c r="N102" i="2"/>
  <c r="Q102" i="2" s="1"/>
  <c r="BF4" i="2"/>
  <c r="N92" i="2"/>
  <c r="Q92" i="2" s="1"/>
  <c r="P96" i="2"/>
  <c r="BH6" i="2"/>
  <c r="O104" i="2"/>
  <c r="P104" i="2" s="1"/>
  <c r="O130" i="2"/>
  <c r="P130" i="2" s="1"/>
  <c r="BP10" i="2"/>
  <c r="AA9" i="2" s="1"/>
  <c r="BM10" i="2"/>
  <c r="X9" i="2" s="1"/>
  <c r="O110" i="2"/>
  <c r="O118" i="2" l="1"/>
  <c r="P118" i="2" s="1"/>
  <c r="BJ11" i="2"/>
  <c r="N120" i="2"/>
  <c r="Q120" i="2" s="1"/>
  <c r="BJ5" i="2"/>
  <c r="BN6" i="2"/>
  <c r="Y4" i="2" s="1"/>
  <c r="BO6" i="2"/>
  <c r="Z4" i="2" s="1"/>
  <c r="BJ8" i="2"/>
  <c r="O124" i="2"/>
  <c r="BL9" i="2"/>
  <c r="N132" i="2"/>
  <c r="Q132" i="2" s="1"/>
  <c r="N124" i="2"/>
  <c r="Q124" i="2" s="1"/>
  <c r="BO8" i="2" s="1"/>
  <c r="Z8" i="2" s="1"/>
  <c r="BJ7" i="2"/>
  <c r="P110" i="2"/>
  <c r="O116" i="2"/>
  <c r="N122" i="2"/>
  <c r="Q122" i="2" s="1"/>
  <c r="BJ6" i="2"/>
  <c r="O108" i="2"/>
  <c r="BH4" i="2"/>
  <c r="N136" i="2" l="1"/>
  <c r="BL11" i="2"/>
  <c r="O136" i="2"/>
  <c r="P136" i="2" s="1"/>
  <c r="BL5" i="2"/>
  <c r="BN8" i="2"/>
  <c r="Y8" i="2" s="1"/>
  <c r="BM9" i="2"/>
  <c r="X10" i="2" s="1"/>
  <c r="BP9" i="2"/>
  <c r="AA10" i="2" s="1"/>
  <c r="P124" i="2"/>
  <c r="BO7" i="2" s="1"/>
  <c r="Z6" i="2" s="1"/>
  <c r="BN7" i="2"/>
  <c r="Y6" i="2" s="1"/>
  <c r="N130" i="2"/>
  <c r="Q130" i="2" s="1"/>
  <c r="BL8" i="2"/>
  <c r="BJ4" i="2"/>
  <c r="N118" i="2"/>
  <c r="BL6" i="2"/>
  <c r="BM6" i="2" s="1"/>
  <c r="X4" i="2" s="1"/>
  <c r="O134" i="2"/>
  <c r="P134" i="2" s="1"/>
  <c r="N138" i="2"/>
  <c r="P116" i="2"/>
  <c r="P108" i="2"/>
  <c r="O132" i="2"/>
  <c r="BL7" i="2"/>
  <c r="BM7" i="2" s="1"/>
  <c r="X6" i="2" s="1"/>
  <c r="BM11" i="2" l="1"/>
  <c r="X11" i="2" s="1"/>
  <c r="BP11" i="2"/>
  <c r="AA11" i="2" s="1"/>
  <c r="Q136" i="2"/>
  <c r="BO5" i="2" s="1"/>
  <c r="Z7" i="2" s="1"/>
  <c r="BN5" i="2"/>
  <c r="Y7" i="2" s="1"/>
  <c r="BM5" i="2"/>
  <c r="X7" i="2" s="1"/>
  <c r="BP5" i="2"/>
  <c r="AA7" i="2" s="1"/>
  <c r="BO10" i="2"/>
  <c r="Z9" i="2" s="1"/>
  <c r="BM8" i="2"/>
  <c r="X8" i="2" s="1"/>
  <c r="BP8" i="2"/>
  <c r="AA8" i="2" s="1"/>
  <c r="BN10" i="2"/>
  <c r="Y9" i="2" s="1"/>
  <c r="Q118" i="2"/>
  <c r="BO11" i="2" s="1"/>
  <c r="Z11" i="2" s="1"/>
  <c r="BN11" i="2"/>
  <c r="Y11" i="2" s="1"/>
  <c r="Q138" i="2"/>
  <c r="BO4" i="2" s="1"/>
  <c r="Z5" i="2" s="1"/>
  <c r="BN4" i="2"/>
  <c r="Y5" i="2" s="1"/>
  <c r="BL4" i="2"/>
  <c r="BM4" i="2" s="1"/>
  <c r="X5" i="2" s="1"/>
  <c r="O138" i="2"/>
  <c r="BP7" i="2"/>
  <c r="AA6" i="2" s="1"/>
  <c r="P132" i="2"/>
  <c r="BO9" i="2" s="1"/>
  <c r="Z10" i="2" s="1"/>
  <c r="BN9" i="2"/>
  <c r="Y10" i="2" s="1"/>
  <c r="BP6" i="2"/>
  <c r="AA4" i="2" s="1"/>
  <c r="P138" i="2" l="1"/>
  <c r="BP4" i="2"/>
  <c r="AA5" i="2" s="1"/>
</calcChain>
</file>

<file path=xl/sharedStrings.xml><?xml version="1.0" encoding="utf-8"?>
<sst xmlns="http://schemas.openxmlformats.org/spreadsheetml/2006/main" count="418" uniqueCount="50">
  <si>
    <t>Speler</t>
  </si>
  <si>
    <t>-</t>
  </si>
  <si>
    <t>WP</t>
  </si>
  <si>
    <t>SB</t>
  </si>
  <si>
    <t>Punten</t>
  </si>
  <si>
    <t>Loting</t>
  </si>
  <si>
    <t>Naam</t>
  </si>
  <si>
    <t>Ronde</t>
  </si>
  <si>
    <t>Tafel</t>
  </si>
  <si>
    <t>Totaal</t>
  </si>
  <si>
    <t>Punt</t>
  </si>
  <si>
    <t>Cum</t>
  </si>
  <si>
    <t>W</t>
  </si>
  <si>
    <t>Z</t>
  </si>
  <si>
    <t>Pw</t>
  </si>
  <si>
    <t>Pz</t>
  </si>
  <si>
    <t>PP</t>
  </si>
  <si>
    <t>SBw</t>
  </si>
  <si>
    <t>SBz</t>
  </si>
  <si>
    <t>Tot</t>
  </si>
  <si>
    <t>Stand</t>
  </si>
  <si>
    <t>SB Punten</t>
  </si>
  <si>
    <t>Weerstands-punten</t>
  </si>
  <si>
    <t>Progressieve punten</t>
  </si>
  <si>
    <t>S</t>
  </si>
  <si>
    <t>Gespeeld matrix</t>
  </si>
  <si>
    <t>Govert van der Weijden</t>
  </si>
  <si>
    <t>Matthijs van Doodenweerd</t>
  </si>
  <si>
    <t>Floris van Capelleveen</t>
  </si>
  <si>
    <t>Katja Tangarife Ramirez</t>
  </si>
  <si>
    <t>Mike van Bergen van der Gijp</t>
  </si>
  <si>
    <t>Emmanuael Klein Goldendijk</t>
  </si>
  <si>
    <t>Olivier van der Wijden</t>
  </si>
  <si>
    <t>Niels van Wolfswinkel</t>
  </si>
  <si>
    <t>Luca Da Costa van den Werk</t>
  </si>
  <si>
    <t>Mike van der Gijp van Bergen</t>
  </si>
  <si>
    <t>KNSB nummer</t>
  </si>
  <si>
    <t>Rating</t>
  </si>
  <si>
    <t>Bepaling stand:</t>
  </si>
  <si>
    <t>1.</t>
  </si>
  <si>
    <t>2.</t>
  </si>
  <si>
    <t>Weerstandspunten</t>
  </si>
  <si>
    <t>3.</t>
  </si>
  <si>
    <t>Sonneborn-Bergerpunten</t>
  </si>
  <si>
    <t>4.</t>
  </si>
  <si>
    <t>Onderling resultaat</t>
  </si>
  <si>
    <t>5.</t>
  </si>
  <si>
    <t>Progressieve score</t>
  </si>
  <si>
    <t>6.</t>
  </si>
  <si>
    <t>GROEP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</si>
</sst>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8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quotePrefix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0" xfId="0" applyFill="1" applyBorder="1" applyAlignment="1">
      <alignment horizontal="center"/>
    </xf>
    <xf numFmtId="164" fontId="0" fillId="0" borderId="0" xfId="0" applyNumberFormat="1"/>
    <xf numFmtId="2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4" fillId="0" borderId="19" xfId="0" applyFont="1" applyBorder="1"/>
    <xf numFmtId="0" fontId="0" fillId="0" borderId="20" xfId="0" applyBorder="1"/>
    <xf numFmtId="0" fontId="4" fillId="0" borderId="11" xfId="0" applyFont="1" applyBorder="1"/>
    <xf numFmtId="0" fontId="0" fillId="0" borderId="21" xfId="0" applyBorder="1"/>
    <xf numFmtId="0" fontId="4" fillId="0" borderId="22" xfId="0" applyFont="1" applyBorder="1"/>
    <xf numFmtId="0" fontId="1" fillId="0" borderId="12" xfId="0" applyFont="1" applyBorder="1" applyAlignment="1">
      <alignment horizontal="right"/>
    </xf>
    <xf numFmtId="0" fontId="1" fillId="0" borderId="12" xfId="0" applyFont="1" applyBorder="1"/>
    <xf numFmtId="0" fontId="0" fillId="0" borderId="23" xfId="0" applyBorder="1"/>
    <xf numFmtId="0" fontId="0" fillId="2" borderId="24" xfId="0" applyFill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2" fontId="0" fillId="0" borderId="29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0" fillId="0" borderId="22" xfId="0" applyBorder="1"/>
    <xf numFmtId="0" fontId="0" fillId="2" borderId="33" xfId="0" applyFill="1" applyBorder="1" applyAlignment="1"/>
    <xf numFmtId="0" fontId="0" fillId="2" borderId="34" xfId="0" applyFill="1" applyBorder="1" applyAlignment="1"/>
    <xf numFmtId="0" fontId="0" fillId="0" borderId="1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7" fillId="0" borderId="0" xfId="0" applyFont="1" applyAlignment="1">
      <alignment horizontal="left"/>
    </xf>
    <xf numFmtId="164" fontId="0" fillId="0" borderId="19" xfId="0" applyNumberFormat="1" applyBorder="1"/>
    <xf numFmtId="164" fontId="0" fillId="0" borderId="11" xfId="0" applyNumberFormat="1" applyBorder="1"/>
    <xf numFmtId="164" fontId="0" fillId="0" borderId="22" xfId="0" applyNumberFormat="1" applyBorder="1"/>
    <xf numFmtId="0" fontId="1" fillId="0" borderId="0" xfId="0" applyFon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0" fillId="0" borderId="19" xfId="0" applyBorder="1" applyAlignment="1">
      <alignment horizontal="left"/>
    </xf>
    <xf numFmtId="0" fontId="0" fillId="0" borderId="42" xfId="0" applyBorder="1"/>
    <xf numFmtId="0" fontId="0" fillId="0" borderId="1" xfId="0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/>
    <xf numFmtId="164" fontId="0" fillId="0" borderId="1" xfId="0" applyNumberFormat="1" applyBorder="1"/>
    <xf numFmtId="164" fontId="0" fillId="0" borderId="42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0" fontId="0" fillId="0" borderId="45" xfId="0" applyBorder="1"/>
    <xf numFmtId="0" fontId="0" fillId="0" borderId="26" xfId="0" applyBorder="1"/>
    <xf numFmtId="0" fontId="4" fillId="0" borderId="26" xfId="0" applyFont="1" applyBorder="1"/>
    <xf numFmtId="164" fontId="0" fillId="0" borderId="26" xfId="0" applyNumberFormat="1" applyBorder="1"/>
    <xf numFmtId="164" fontId="0" fillId="0" borderId="26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4" fillId="0" borderId="0" xfId="0" applyFont="1" applyBorder="1"/>
    <xf numFmtId="164" fontId="0" fillId="0" borderId="0" xfId="0" applyNumberForma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6" xfId="0" applyBorder="1" applyAlignment="1">
      <alignment horizontal="left"/>
    </xf>
    <xf numFmtId="0" fontId="0" fillId="0" borderId="2" xfId="0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6" fillId="3" borderId="11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" fillId="0" borderId="0" xfId="0" applyFont="1" applyBorder="1" applyAlignment="1"/>
    <xf numFmtId="0" fontId="7" fillId="0" borderId="0" xfId="0" applyFont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6" xfId="0" applyFill="1" applyBorder="1" applyAlignment="1">
      <alignment horizontal="center" wrapText="1"/>
    </xf>
    <xf numFmtId="0" fontId="0" fillId="2" borderId="28" xfId="0" applyFill="1" applyBorder="1" applyAlignment="1">
      <alignment horizontal="center" wrapText="1"/>
    </xf>
    <xf numFmtId="0" fontId="3" fillId="2" borderId="25" xfId="0" applyFont="1" applyFill="1" applyBorder="1" applyAlignment="1">
      <alignment horizontal="center" wrapText="1"/>
    </xf>
    <xf numFmtId="0" fontId="3" fillId="2" borderId="27" xfId="0" applyFont="1" applyFill="1" applyBorder="1" applyAlignment="1">
      <alignment horizontal="center" wrapText="1"/>
    </xf>
    <xf numFmtId="0" fontId="3" fillId="2" borderId="26" xfId="0" applyFont="1" applyFill="1" applyBorder="1" applyAlignment="1">
      <alignment horizontal="center" wrapText="1"/>
    </xf>
    <xf numFmtId="0" fontId="3" fillId="2" borderId="28" xfId="0" applyFont="1" applyFill="1" applyBorder="1" applyAlignment="1">
      <alignment horizontal="center" wrapText="1"/>
    </xf>
    <xf numFmtId="0" fontId="0" fillId="2" borderId="33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1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0" fontId="0" fillId="0" borderId="11" xfId="0" applyFill="1" applyBorder="1" applyAlignment="1">
      <alignment horizontal="right"/>
    </xf>
    <xf numFmtId="0" fontId="0" fillId="0" borderId="12" xfId="0" applyFill="1" applyBorder="1" applyAlignment="1">
      <alignment horizontal="right"/>
    </xf>
    <xf numFmtId="0" fontId="0" fillId="0" borderId="37" xfId="0" applyFill="1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0" borderId="38" xfId="0" applyFill="1" applyBorder="1" applyAlignment="1">
      <alignment horizontal="right"/>
    </xf>
    <xf numFmtId="0" fontId="0" fillId="0" borderId="39" xfId="0" applyFill="1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0" borderId="40" xfId="0" applyFill="1" applyBorder="1" applyAlignment="1">
      <alignment horizontal="right"/>
    </xf>
    <xf numFmtId="0" fontId="0" fillId="0" borderId="4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43" xfId="0" applyFill="1" applyBorder="1" applyAlignment="1">
      <alignment horizontal="right"/>
    </xf>
  </cellXfs>
  <cellStyles count="1">
    <cellStyle name="Standaard" xfId="0" builtinId="0"/>
  </cellStyles>
  <dxfs count="8"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38100</xdr:colOff>
      <xdr:row>1</xdr:row>
      <xdr:rowOff>142875</xdr:rowOff>
    </xdr:from>
    <xdr:to>
      <xdr:col>30</xdr:col>
      <xdr:colOff>38100</xdr:colOff>
      <xdr:row>12</xdr:row>
      <xdr:rowOff>156482</xdr:rowOff>
    </xdr:to>
    <xdr:sp macro="[0]!Sorteer10" textlink="">
      <xdr:nvSpPr>
        <xdr:cNvPr id="3" name="PIJL-OMHOOG en -OMLAAG 2"/>
        <xdr:cNvSpPr/>
      </xdr:nvSpPr>
      <xdr:spPr>
        <a:xfrm>
          <a:off x="14106525" y="342900"/>
          <a:ext cx="285750" cy="2137682"/>
        </a:xfrm>
        <a:prstGeom prst="upDown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47625</xdr:colOff>
      <xdr:row>1</xdr:row>
      <xdr:rowOff>180975</xdr:rowOff>
    </xdr:from>
    <xdr:to>
      <xdr:col>30</xdr:col>
      <xdr:colOff>47625</xdr:colOff>
      <xdr:row>12</xdr:row>
      <xdr:rowOff>194582</xdr:rowOff>
    </xdr:to>
    <xdr:sp macro="[0]!Sorteer8" textlink="">
      <xdr:nvSpPr>
        <xdr:cNvPr id="3" name="PIJL-OMHOOG en -OMLAAG 2"/>
        <xdr:cNvSpPr/>
      </xdr:nvSpPr>
      <xdr:spPr>
        <a:xfrm>
          <a:off x="14116050" y="381000"/>
          <a:ext cx="285750" cy="2137682"/>
        </a:xfrm>
        <a:prstGeom prst="upDown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47625</xdr:colOff>
      <xdr:row>1</xdr:row>
      <xdr:rowOff>180975</xdr:rowOff>
    </xdr:from>
    <xdr:to>
      <xdr:col>30</xdr:col>
      <xdr:colOff>47625</xdr:colOff>
      <xdr:row>12</xdr:row>
      <xdr:rowOff>194582</xdr:rowOff>
    </xdr:to>
    <xdr:sp macro="[0]!Sorteer6" textlink="">
      <xdr:nvSpPr>
        <xdr:cNvPr id="2" name="PIJL-OMHOOG en -OMLAAG 1"/>
        <xdr:cNvSpPr/>
      </xdr:nvSpPr>
      <xdr:spPr>
        <a:xfrm>
          <a:off x="14316075" y="381000"/>
          <a:ext cx="285750" cy="2156732"/>
        </a:xfrm>
        <a:prstGeom prst="upDown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47625</xdr:colOff>
      <xdr:row>1</xdr:row>
      <xdr:rowOff>180975</xdr:rowOff>
    </xdr:from>
    <xdr:to>
      <xdr:col>30</xdr:col>
      <xdr:colOff>47625</xdr:colOff>
      <xdr:row>7</xdr:row>
      <xdr:rowOff>42333</xdr:rowOff>
    </xdr:to>
    <xdr:sp macro="[0]!Sorteer4" textlink="">
      <xdr:nvSpPr>
        <xdr:cNvPr id="2" name="PIJL-OMHOOG en -OMLAAG 1"/>
        <xdr:cNvSpPr/>
      </xdr:nvSpPr>
      <xdr:spPr>
        <a:xfrm>
          <a:off x="14345708" y="382058"/>
          <a:ext cx="285750" cy="1046692"/>
        </a:xfrm>
        <a:prstGeom prst="upDown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CC139"/>
  <sheetViews>
    <sheetView tabSelected="1" view="pageBreakPreview" zoomScale="80" zoomScaleNormal="100" zoomScaleSheetLayoutView="80" workbookViewId="0">
      <selection activeCell="U4" sqref="U4"/>
    </sheetView>
  </sheetViews>
  <sheetFormatPr defaultRowHeight="15" x14ac:dyDescent="0.25"/>
  <cols>
    <col min="1" max="1" width="4.42578125" style="54" customWidth="1"/>
    <col min="2" max="2" width="2.85546875" style="54" customWidth="1"/>
    <col min="3" max="3" width="2" style="55" customWidth="1"/>
    <col min="4" max="4" width="4.28515625" customWidth="1"/>
    <col min="5" max="5" width="3" bestFit="1" customWidth="1"/>
    <col min="6" max="6" width="27.28515625" bestFit="1" customWidth="1"/>
    <col min="7" max="7" width="2" bestFit="1" customWidth="1"/>
    <col min="8" max="8" width="27.28515625" bestFit="1" customWidth="1"/>
    <col min="9" max="9" width="4.7109375" customWidth="1"/>
    <col min="10" max="10" width="4.7109375" style="24" customWidth="1"/>
    <col min="11" max="11" width="1.7109375" style="24" customWidth="1"/>
    <col min="12" max="12" width="4.7109375" style="24" customWidth="1"/>
    <col min="13" max="13" width="1.5703125" customWidth="1"/>
    <col min="14" max="14" width="4.85546875" style="54" customWidth="1"/>
    <col min="15" max="17" width="4.28515625" style="54" customWidth="1"/>
    <col min="18" max="19" width="5" style="54" bestFit="1" customWidth="1"/>
    <col min="20" max="20" width="4.28515625" style="24" customWidth="1"/>
    <col min="21" max="21" width="7.140625" style="24" bestFit="1" customWidth="1"/>
    <col min="22" max="22" width="3.85546875" style="24" bestFit="1" customWidth="1"/>
    <col min="23" max="23" width="30.28515625" style="24" bestFit="1" customWidth="1"/>
    <col min="24" max="28" width="9.7109375" style="24" customWidth="1"/>
    <col min="29" max="29" width="1.5703125" style="24" customWidth="1"/>
    <col min="30" max="31" width="4.28515625" style="24" customWidth="1"/>
    <col min="32" max="32" width="27.28515625" style="24" bestFit="1" customWidth="1"/>
    <col min="33" max="45" width="4.28515625" style="24" customWidth="1"/>
    <col min="46" max="46" width="2.85546875" customWidth="1"/>
    <col min="47" max="64" width="3.7109375" customWidth="1"/>
    <col min="65" max="65" width="5.28515625" customWidth="1"/>
    <col min="66" max="69" width="7" customWidth="1"/>
    <col min="71" max="85" width="4.7109375" customWidth="1"/>
  </cols>
  <sheetData>
    <row r="1" spans="1:81" ht="15.75" thickBot="1" x14ac:dyDescent="0.3">
      <c r="E1" s="113" t="s">
        <v>49</v>
      </c>
      <c r="F1" s="113"/>
      <c r="G1" s="113"/>
      <c r="H1" s="113"/>
      <c r="I1" s="113"/>
      <c r="J1" s="113"/>
      <c r="K1" s="113"/>
      <c r="L1" s="113"/>
      <c r="U1" s="114" t="str">
        <f>$E$1</f>
        <v>GROEP A</v>
      </c>
      <c r="V1" s="114"/>
      <c r="W1" s="114"/>
      <c r="X1" s="114"/>
      <c r="Y1" s="115"/>
      <c r="Z1" s="115"/>
      <c r="AA1" s="115"/>
      <c r="AB1" s="74"/>
    </row>
    <row r="2" spans="1:81" ht="15" customHeight="1" thickTop="1" thickBot="1" x14ac:dyDescent="0.3">
      <c r="U2" s="116" t="s">
        <v>20</v>
      </c>
      <c r="V2" s="118"/>
      <c r="W2" s="120" t="s">
        <v>6</v>
      </c>
      <c r="X2" s="122" t="s">
        <v>4</v>
      </c>
      <c r="Y2" s="124" t="s">
        <v>22</v>
      </c>
      <c r="Z2" s="126" t="s">
        <v>21</v>
      </c>
      <c r="AA2" s="126" t="s">
        <v>23</v>
      </c>
      <c r="AB2" s="132" t="s">
        <v>37</v>
      </c>
      <c r="AF2" s="134" t="str">
        <f>CONCATENATE("Resultaatmatrix ",$E$1)</f>
        <v>Resultaatmatrix GROEP A</v>
      </c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20"/>
      <c r="AS2" s="20"/>
      <c r="AT2" t="s">
        <v>0</v>
      </c>
      <c r="AU2" s="135">
        <v>1</v>
      </c>
      <c r="AV2" s="135"/>
      <c r="AW2" s="135">
        <v>2</v>
      </c>
      <c r="AX2" s="135"/>
      <c r="AY2" s="135">
        <v>3</v>
      </c>
      <c r="AZ2" s="135"/>
      <c r="BA2" s="135">
        <v>4</v>
      </c>
      <c r="BB2" s="135"/>
      <c r="BC2" s="135">
        <v>5</v>
      </c>
      <c r="BD2" s="135"/>
      <c r="BE2" s="135">
        <v>6</v>
      </c>
      <c r="BF2" s="135"/>
      <c r="BG2" s="135">
        <v>7</v>
      </c>
      <c r="BH2" s="135"/>
      <c r="BI2" s="135">
        <v>8</v>
      </c>
      <c r="BJ2" s="135"/>
      <c r="BK2" s="135">
        <v>9</v>
      </c>
      <c r="BL2" s="135"/>
      <c r="BM2" t="s">
        <v>19</v>
      </c>
      <c r="BN2" t="s">
        <v>2</v>
      </c>
      <c r="BO2" t="s">
        <v>3</v>
      </c>
      <c r="BP2" t="s">
        <v>16</v>
      </c>
      <c r="BS2" s="131" t="s">
        <v>25</v>
      </c>
      <c r="BT2" s="131"/>
      <c r="BU2" s="131"/>
      <c r="BV2" s="131"/>
      <c r="BW2" s="131"/>
      <c r="BX2" s="131"/>
      <c r="BY2" s="131"/>
      <c r="BZ2" s="131"/>
      <c r="CA2" s="131"/>
      <c r="CB2" s="131"/>
      <c r="CC2" s="131"/>
    </row>
    <row r="3" spans="1:81" ht="16.5" thickTop="1" thickBot="1" x14ac:dyDescent="0.3">
      <c r="E3" s="44"/>
      <c r="F3" s="63" t="s">
        <v>6</v>
      </c>
      <c r="G3" s="64"/>
      <c r="H3" s="63" t="s">
        <v>36</v>
      </c>
      <c r="I3" s="128" t="s">
        <v>37</v>
      </c>
      <c r="J3" s="129"/>
      <c r="K3" s="129"/>
      <c r="L3" s="130"/>
      <c r="U3" s="117"/>
      <c r="V3" s="119"/>
      <c r="W3" s="121"/>
      <c r="X3" s="123"/>
      <c r="Y3" s="125"/>
      <c r="Z3" s="127"/>
      <c r="AA3" s="127"/>
      <c r="AB3" s="133"/>
      <c r="AF3" s="57"/>
      <c r="AG3" s="57"/>
      <c r="AH3" s="57">
        <v>1</v>
      </c>
      <c r="AI3" s="57">
        <v>2</v>
      </c>
      <c r="AJ3" s="57">
        <v>3</v>
      </c>
      <c r="AK3" s="57">
        <v>4</v>
      </c>
      <c r="AL3" s="57">
        <v>5</v>
      </c>
      <c r="AM3" s="57">
        <v>6</v>
      </c>
      <c r="AN3" s="57">
        <v>7</v>
      </c>
      <c r="AO3" s="57">
        <v>8</v>
      </c>
      <c r="AP3" s="57">
        <v>9</v>
      </c>
      <c r="AQ3" s="57">
        <v>10</v>
      </c>
      <c r="AR3" s="74"/>
      <c r="AS3" s="74"/>
      <c r="AU3" s="26" t="s">
        <v>10</v>
      </c>
      <c r="AV3" s="26" t="s">
        <v>11</v>
      </c>
      <c r="AW3" s="26" t="s">
        <v>10</v>
      </c>
      <c r="AX3" s="26" t="s">
        <v>11</v>
      </c>
      <c r="AY3" s="26" t="s">
        <v>10</v>
      </c>
      <c r="AZ3" s="26" t="s">
        <v>11</v>
      </c>
      <c r="BA3" s="26" t="s">
        <v>10</v>
      </c>
      <c r="BB3" s="26" t="s">
        <v>11</v>
      </c>
      <c r="BC3" s="26" t="s">
        <v>10</v>
      </c>
      <c r="BD3" s="26" t="s">
        <v>11</v>
      </c>
      <c r="BE3" s="26" t="s">
        <v>10</v>
      </c>
      <c r="BF3" s="26" t="s">
        <v>11</v>
      </c>
      <c r="BG3" s="26" t="s">
        <v>10</v>
      </c>
      <c r="BH3" s="26" t="s">
        <v>11</v>
      </c>
      <c r="BI3" s="26" t="s">
        <v>10</v>
      </c>
      <c r="BJ3" s="26" t="s">
        <v>11</v>
      </c>
      <c r="BK3" s="26" t="s">
        <v>10</v>
      </c>
      <c r="BL3" s="26" t="s">
        <v>11</v>
      </c>
      <c r="BM3" s="26" t="s">
        <v>9</v>
      </c>
      <c r="BS3" s="57"/>
      <c r="BT3" s="57">
        <v>1</v>
      </c>
      <c r="BU3" s="57">
        <v>2</v>
      </c>
      <c r="BV3" s="57">
        <v>3</v>
      </c>
      <c r="BW3" s="57">
        <v>4</v>
      </c>
      <c r="BX3" s="57">
        <v>5</v>
      </c>
      <c r="BY3" s="57">
        <v>6</v>
      </c>
      <c r="BZ3" s="57">
        <v>7</v>
      </c>
      <c r="CA3" s="57">
        <v>8</v>
      </c>
      <c r="CB3" s="57">
        <v>9</v>
      </c>
      <c r="CC3" s="57">
        <v>10</v>
      </c>
    </row>
    <row r="4" spans="1:81" ht="15.75" thickTop="1" x14ac:dyDescent="0.25">
      <c r="E4" s="43">
        <v>1</v>
      </c>
      <c r="F4" s="9" t="s">
        <v>26</v>
      </c>
      <c r="G4" s="11"/>
      <c r="H4" s="67">
        <v>85679456</v>
      </c>
      <c r="I4" s="138">
        <v>1800</v>
      </c>
      <c r="J4" s="139"/>
      <c r="K4" s="139"/>
      <c r="L4" s="140"/>
      <c r="U4" s="35">
        <v>1</v>
      </c>
      <c r="V4" s="36">
        <v>6</v>
      </c>
      <c r="W4" s="30" t="str">
        <f t="shared" ref="W4:W13" si="0">VLOOKUP(V4,$E$4:$F$13,2,FALSE)</f>
        <v>Katja Tangarife Ramirez</v>
      </c>
      <c r="X4" s="71">
        <f t="shared" ref="X4:X13" ca="1" si="1">VLOOKUP($V4,$AT$4:$BP$13,20,FALSE)</f>
        <v>6</v>
      </c>
      <c r="Y4" s="75">
        <f t="shared" ref="Y4:Y13" ca="1" si="2">VLOOKUP($V4,$AT$4:$BP$13,21,FALSE)</f>
        <v>19</v>
      </c>
      <c r="Z4" s="48">
        <f t="shared" ref="Z4:Z13" ca="1" si="3">VLOOKUP($V4,$AT$4:$BP$13,22,FALSE)</f>
        <v>11</v>
      </c>
      <c r="AA4" s="49">
        <f t="shared" ref="AA4:AA13" ca="1" si="4">VLOOKUP($V4,$AT$4:$BP$13,23,FALSE)</f>
        <v>33</v>
      </c>
      <c r="AB4" s="31">
        <f t="shared" ref="AB4:AB13" si="5">VLOOKUP(V4,$E$4:$L$13,5,FALSE)</f>
        <v>2333</v>
      </c>
      <c r="AF4" s="60" t="str">
        <f t="shared" ref="AF4:AF13" si="6">F4</f>
        <v>Govert van der Weijden</v>
      </c>
      <c r="AG4" s="57">
        <v>1</v>
      </c>
      <c r="AH4" s="58" t="str">
        <f t="shared" ref="AH4:AQ13" si="7">IF(BT4=1,SUMIF($R$18:$R$139,$AG4*100+AH$3,$J$18:$J$139)+SUMIF($R$18:$R$139,$AG4+AH$3*100,$L$18:$L$139),"")</f>
        <v/>
      </c>
      <c r="AI4" s="14">
        <f t="shared" si="7"/>
        <v>1</v>
      </c>
      <c r="AJ4" s="14">
        <f t="shared" si="7"/>
        <v>0</v>
      </c>
      <c r="AK4" s="14">
        <f t="shared" si="7"/>
        <v>1</v>
      </c>
      <c r="AL4" s="14">
        <f t="shared" si="7"/>
        <v>0</v>
      </c>
      <c r="AM4" s="14">
        <f t="shared" si="7"/>
        <v>1</v>
      </c>
      <c r="AN4" s="14">
        <f t="shared" si="7"/>
        <v>0</v>
      </c>
      <c r="AO4" s="14">
        <f t="shared" si="7"/>
        <v>1</v>
      </c>
      <c r="AP4" s="14">
        <f t="shared" si="7"/>
        <v>0.5</v>
      </c>
      <c r="AQ4" s="14">
        <f t="shared" si="7"/>
        <v>1</v>
      </c>
      <c r="AR4" s="20"/>
      <c r="AS4" s="20"/>
      <c r="AT4">
        <v>1</v>
      </c>
      <c r="AU4">
        <f t="shared" ref="AU4:AU13" si="8">SUMIF($A$16:$A$27,$AT4,$J$16:$J$27)+SUMIF($B$16:$B$27,$AT4,$L$16:$L$27)</f>
        <v>1</v>
      </c>
      <c r="AV4" s="25">
        <f t="shared" ref="AV4:AV13" si="9">AU4</f>
        <v>1</v>
      </c>
      <c r="AW4">
        <f t="shared" ref="AW4:AW13" si="10">SUMIF($A$30:$A$41,$AT4,$J$30:$J$41)+SUMIF($B$30:$B$41,$AT4,$L$30:$L$41)</f>
        <v>1</v>
      </c>
      <c r="AX4" s="25">
        <f t="shared" ref="AX4:AX13" si="11">AW4+AV4</f>
        <v>2</v>
      </c>
      <c r="AY4">
        <f t="shared" ref="AY4:AY13" si="12">SUMIF($A$44:$A$55,$AT4,$J$44:$J$55)+SUMIF($B$44:$B$55,$AT4,$L$44:$L$55)</f>
        <v>0</v>
      </c>
      <c r="AZ4" s="25">
        <f t="shared" ref="AZ4:AZ13" si="13">AY4+AX4</f>
        <v>2</v>
      </c>
      <c r="BA4">
        <f t="shared" ref="BA4:BA13" si="14">SUMIF($A$58:$A$69,$AT4,$J$58:$J$69)+SUMIF($B$58:$B$69,$AT4,$L$58:$L$69)</f>
        <v>1</v>
      </c>
      <c r="BB4" s="25">
        <f t="shared" ref="BB4:BB13" si="15">BA4+AZ4</f>
        <v>3</v>
      </c>
      <c r="BC4">
        <f t="shared" ref="BC4:BC13" si="16">SUMIF($A$72:$A$83,$AT4,$J$72:$J$83)+SUMIF($B$72:$B$83,$AT4,$L$72:$L$83)</f>
        <v>0</v>
      </c>
      <c r="BD4" s="25">
        <f t="shared" ref="BD4:BD13" si="17">BC4+BB4</f>
        <v>3</v>
      </c>
      <c r="BE4">
        <f>SUMIF($A$86:$A$97,$AT4,$J$86:$J$97)+SUMIF($B$86:$B$97,$AT4,$L$86:$L$97)</f>
        <v>1</v>
      </c>
      <c r="BF4" s="25">
        <f t="shared" ref="BF4:BF13" si="18">BE4+BD4</f>
        <v>4</v>
      </c>
      <c r="BG4">
        <f t="shared" ref="BG4:BG13" si="19">SUMIF($A$100:$A$111,$AT4,$J$100:$J$111)+SUMIF($B$100:$B$111,$AT4,$L$100:$L$111)</f>
        <v>0</v>
      </c>
      <c r="BH4" s="25">
        <f t="shared" ref="BH4:BH13" si="20">BG4+BF4</f>
        <v>4</v>
      </c>
      <c r="BI4">
        <f t="shared" ref="BI4:BI13" si="21">SUMIF($A$114:$A$125,$AT4,$J$114:$J$125)+SUMIF($B$114:$B$125,$AT4,$L$114:$L$125)</f>
        <v>1</v>
      </c>
      <c r="BJ4" s="25">
        <f t="shared" ref="BJ4:BJ13" si="22">BI4+BH4</f>
        <v>5</v>
      </c>
      <c r="BK4">
        <f t="shared" ref="BK4:BK13" si="23">SUMIF($A$128:$A$139,$AT4,$J$128:$J$139)+SUMIF($B$128:$B$139,$AT4,$L$128:$L$139)</f>
        <v>0.5</v>
      </c>
      <c r="BL4" s="25">
        <f t="shared" ref="BL4:BL13" si="24">BK4+BJ4</f>
        <v>5.5</v>
      </c>
      <c r="BM4" s="24">
        <f t="shared" ref="BM4:BM13" si="25">BL4</f>
        <v>5.5</v>
      </c>
      <c r="BN4" s="28">
        <f t="shared" ref="BN4:BN13" ca="1" si="26">SUMIF($A$16:$A$139,$AT4,$O$16:$O$139)+SUMIF($B$16:$B$139,$AT4,$N$16:$N$139)</f>
        <v>17</v>
      </c>
      <c r="BO4" s="29">
        <f t="shared" ref="BO4:BO13" ca="1" si="27">SUMIF($A$16:$A$139,$AT4,$P$16:$P$139)+SUMIF($B$16:$B$139,$AT4,$Q$16:$Q$139)</f>
        <v>11</v>
      </c>
      <c r="BP4" s="28">
        <f>AV4+AX4+AZ4+BB4+BD4+BF4+BH4+BJ4+BL4</f>
        <v>29.5</v>
      </c>
      <c r="BS4" s="57">
        <v>1</v>
      </c>
      <c r="BT4" s="58">
        <f t="shared" ref="BT4:CC13" si="28">SUMIF($R$18:$R$139,$AG4*100+BT$3,$C$18:$C$139)+SUMIF($R$18:$R$139,$AG4+BT$3*100,$C$18:$C$139)</f>
        <v>0</v>
      </c>
      <c r="BU4" s="14">
        <f t="shared" si="28"/>
        <v>1</v>
      </c>
      <c r="BV4" s="14">
        <f t="shared" si="28"/>
        <v>1</v>
      </c>
      <c r="BW4" s="14">
        <f t="shared" si="28"/>
        <v>1</v>
      </c>
      <c r="BX4" s="14">
        <f t="shared" si="28"/>
        <v>1</v>
      </c>
      <c r="BY4" s="14">
        <f t="shared" si="28"/>
        <v>1</v>
      </c>
      <c r="BZ4" s="14">
        <f t="shared" si="28"/>
        <v>1</v>
      </c>
      <c r="CA4" s="14">
        <f t="shared" si="28"/>
        <v>1</v>
      </c>
      <c r="CB4" s="14">
        <f t="shared" si="28"/>
        <v>1</v>
      </c>
      <c r="CC4" s="14">
        <f t="shared" si="28"/>
        <v>1</v>
      </c>
    </row>
    <row r="5" spans="1:81" x14ac:dyDescent="0.25">
      <c r="E5" s="37">
        <v>2</v>
      </c>
      <c r="F5" s="21" t="s">
        <v>35</v>
      </c>
      <c r="G5" s="17"/>
      <c r="H5" s="65">
        <v>87849324</v>
      </c>
      <c r="I5" s="141">
        <v>1200</v>
      </c>
      <c r="J5" s="142"/>
      <c r="K5" s="142"/>
      <c r="L5" s="143"/>
      <c r="U5" s="37">
        <v>2</v>
      </c>
      <c r="V5" s="38">
        <v>1</v>
      </c>
      <c r="W5" s="17" t="str">
        <f t="shared" si="0"/>
        <v>Govert van der Weijden</v>
      </c>
      <c r="X5" s="72">
        <f t="shared" si="1"/>
        <v>5.5</v>
      </c>
      <c r="Y5" s="76">
        <f t="shared" ca="1" si="2"/>
        <v>17</v>
      </c>
      <c r="Z5" s="50">
        <f t="shared" ca="1" si="3"/>
        <v>11</v>
      </c>
      <c r="AA5" s="51">
        <f t="shared" si="4"/>
        <v>29.5</v>
      </c>
      <c r="AB5" s="32">
        <f t="shared" si="5"/>
        <v>1800</v>
      </c>
      <c r="AF5" s="60" t="str">
        <f t="shared" si="6"/>
        <v>Mike van der Gijp van Bergen</v>
      </c>
      <c r="AG5" s="57">
        <v>2</v>
      </c>
      <c r="AH5" s="14">
        <f t="shared" si="7"/>
        <v>0</v>
      </c>
      <c r="AI5" s="58" t="str">
        <f t="shared" si="7"/>
        <v/>
      </c>
      <c r="AJ5" s="14">
        <f t="shared" si="7"/>
        <v>1</v>
      </c>
      <c r="AK5" s="14">
        <f t="shared" si="7"/>
        <v>0</v>
      </c>
      <c r="AL5" s="14">
        <f t="shared" si="7"/>
        <v>1</v>
      </c>
      <c r="AM5" s="14">
        <f t="shared" si="7"/>
        <v>0</v>
      </c>
      <c r="AN5" s="14">
        <f t="shared" si="7"/>
        <v>1</v>
      </c>
      <c r="AO5" s="14">
        <f t="shared" si="7"/>
        <v>0</v>
      </c>
      <c r="AP5" s="14">
        <f t="shared" si="7"/>
        <v>0</v>
      </c>
      <c r="AQ5" s="14">
        <f t="shared" si="7"/>
        <v>1</v>
      </c>
      <c r="AR5" s="20"/>
      <c r="AS5" s="20"/>
      <c r="AT5">
        <v>2</v>
      </c>
      <c r="AU5">
        <f t="shared" si="8"/>
        <v>0</v>
      </c>
      <c r="AV5" s="25">
        <f t="shared" si="9"/>
        <v>0</v>
      </c>
      <c r="AW5">
        <f t="shared" si="10"/>
        <v>0</v>
      </c>
      <c r="AX5" s="25">
        <f t="shared" si="11"/>
        <v>0</v>
      </c>
      <c r="AY5">
        <f t="shared" si="12"/>
        <v>1</v>
      </c>
      <c r="AZ5" s="25">
        <f t="shared" si="13"/>
        <v>1</v>
      </c>
      <c r="BA5">
        <f t="shared" si="14"/>
        <v>1</v>
      </c>
      <c r="BB5" s="25">
        <f t="shared" si="15"/>
        <v>2</v>
      </c>
      <c r="BC5">
        <f t="shared" si="16"/>
        <v>0</v>
      </c>
      <c r="BD5" s="25">
        <f t="shared" si="17"/>
        <v>2</v>
      </c>
      <c r="BE5">
        <f t="shared" ref="BE5:BE13" ca="1" si="29">SUMIF($A$86:$A$97,$AT5,$J$86:$J$87)+SUMIF($B$86:$B$97,$AT5,$L$86:$L$97)</f>
        <v>1</v>
      </c>
      <c r="BF5" s="25">
        <f t="shared" ca="1" si="18"/>
        <v>3</v>
      </c>
      <c r="BG5">
        <f t="shared" si="19"/>
        <v>0</v>
      </c>
      <c r="BH5" s="25">
        <f t="shared" ca="1" si="20"/>
        <v>3</v>
      </c>
      <c r="BI5">
        <f t="shared" si="21"/>
        <v>1</v>
      </c>
      <c r="BJ5" s="25">
        <f t="shared" ca="1" si="22"/>
        <v>4</v>
      </c>
      <c r="BK5">
        <f t="shared" si="23"/>
        <v>0</v>
      </c>
      <c r="BL5" s="25">
        <f t="shared" ca="1" si="24"/>
        <v>4</v>
      </c>
      <c r="BM5" s="24">
        <f t="shared" ca="1" si="25"/>
        <v>4</v>
      </c>
      <c r="BN5" s="28">
        <f t="shared" ca="1" si="26"/>
        <v>17</v>
      </c>
      <c r="BO5" s="29">
        <f t="shared" ca="1" si="27"/>
        <v>7</v>
      </c>
      <c r="BP5" s="28">
        <f t="shared" ref="BP5:BP13" ca="1" si="30">AV5+AX5+AZ5+BB5+BD5+BF5+BH5+BJ5+BL5</f>
        <v>19</v>
      </c>
      <c r="BS5" s="57">
        <v>2</v>
      </c>
      <c r="BT5" s="14">
        <f t="shared" si="28"/>
        <v>1</v>
      </c>
      <c r="BU5" s="58">
        <f t="shared" si="28"/>
        <v>0</v>
      </c>
      <c r="BV5" s="14">
        <f t="shared" si="28"/>
        <v>1</v>
      </c>
      <c r="BW5" s="14">
        <f t="shared" si="28"/>
        <v>1</v>
      </c>
      <c r="BX5" s="14">
        <f t="shared" si="28"/>
        <v>1</v>
      </c>
      <c r="BY5" s="14">
        <f t="shared" si="28"/>
        <v>1</v>
      </c>
      <c r="BZ5" s="14">
        <f t="shared" si="28"/>
        <v>1</v>
      </c>
      <c r="CA5" s="14">
        <f t="shared" si="28"/>
        <v>1</v>
      </c>
      <c r="CB5" s="14">
        <f t="shared" si="28"/>
        <v>1</v>
      </c>
      <c r="CC5" s="14">
        <f t="shared" si="28"/>
        <v>1</v>
      </c>
    </row>
    <row r="6" spans="1:81" x14ac:dyDescent="0.25">
      <c r="E6" s="37">
        <v>3</v>
      </c>
      <c r="F6" s="21" t="s">
        <v>27</v>
      </c>
      <c r="G6" s="17"/>
      <c r="H6" s="65">
        <v>84521464</v>
      </c>
      <c r="I6" s="141">
        <v>300</v>
      </c>
      <c r="J6" s="142"/>
      <c r="K6" s="142"/>
      <c r="L6" s="143"/>
      <c r="U6" s="37">
        <v>3</v>
      </c>
      <c r="V6" s="38">
        <v>5</v>
      </c>
      <c r="W6" s="17" t="str">
        <f t="shared" si="0"/>
        <v>Luca Da Costa van den Werk</v>
      </c>
      <c r="X6" s="72">
        <f t="shared" ca="1" si="1"/>
        <v>5</v>
      </c>
      <c r="Y6" s="76">
        <f t="shared" ca="1" si="2"/>
        <v>19</v>
      </c>
      <c r="Z6" s="50">
        <f t="shared" ca="1" si="3"/>
        <v>12</v>
      </c>
      <c r="AA6" s="51">
        <f t="shared" ca="1" si="4"/>
        <v>24</v>
      </c>
      <c r="AB6" s="32">
        <f t="shared" si="5"/>
        <v>345</v>
      </c>
      <c r="AF6" s="60" t="str">
        <f t="shared" si="6"/>
        <v>Matthijs van Doodenweerd</v>
      </c>
      <c r="AG6" s="57">
        <v>3</v>
      </c>
      <c r="AH6" s="14">
        <f t="shared" si="7"/>
        <v>1</v>
      </c>
      <c r="AI6" s="14">
        <f t="shared" si="7"/>
        <v>0</v>
      </c>
      <c r="AJ6" s="58" t="str">
        <f t="shared" si="7"/>
        <v/>
      </c>
      <c r="AK6" s="14">
        <f t="shared" si="7"/>
        <v>1</v>
      </c>
      <c r="AL6" s="14">
        <f t="shared" si="7"/>
        <v>0</v>
      </c>
      <c r="AM6" s="14">
        <f t="shared" si="7"/>
        <v>1</v>
      </c>
      <c r="AN6" s="14">
        <f t="shared" si="7"/>
        <v>0</v>
      </c>
      <c r="AO6" s="14">
        <f t="shared" si="7"/>
        <v>0</v>
      </c>
      <c r="AP6" s="14">
        <f t="shared" si="7"/>
        <v>0</v>
      </c>
      <c r="AQ6" s="14">
        <f t="shared" si="7"/>
        <v>1</v>
      </c>
      <c r="AR6" s="20"/>
      <c r="AS6" s="20"/>
      <c r="AT6">
        <v>3</v>
      </c>
      <c r="AU6">
        <f t="shared" si="8"/>
        <v>0</v>
      </c>
      <c r="AV6" s="25">
        <f t="shared" si="9"/>
        <v>0</v>
      </c>
      <c r="AW6">
        <f t="shared" si="10"/>
        <v>0</v>
      </c>
      <c r="AX6" s="25">
        <f t="shared" si="11"/>
        <v>0</v>
      </c>
      <c r="AY6">
        <f t="shared" si="12"/>
        <v>1</v>
      </c>
      <c r="AZ6" s="25">
        <f t="shared" si="13"/>
        <v>1</v>
      </c>
      <c r="BA6">
        <f t="shared" si="14"/>
        <v>0</v>
      </c>
      <c r="BB6" s="25">
        <f t="shared" si="15"/>
        <v>1</v>
      </c>
      <c r="BC6">
        <f t="shared" si="16"/>
        <v>1</v>
      </c>
      <c r="BD6" s="25">
        <f t="shared" si="17"/>
        <v>2</v>
      </c>
      <c r="BE6">
        <f t="shared" ca="1" si="29"/>
        <v>1</v>
      </c>
      <c r="BF6" s="25">
        <f t="shared" ca="1" si="18"/>
        <v>3</v>
      </c>
      <c r="BG6">
        <f t="shared" si="19"/>
        <v>0</v>
      </c>
      <c r="BH6" s="25">
        <f t="shared" ca="1" si="20"/>
        <v>3</v>
      </c>
      <c r="BI6">
        <f t="shared" si="21"/>
        <v>1</v>
      </c>
      <c r="BJ6" s="25">
        <f t="shared" ca="1" si="22"/>
        <v>4</v>
      </c>
      <c r="BK6">
        <f t="shared" si="23"/>
        <v>0</v>
      </c>
      <c r="BL6" s="25">
        <f t="shared" ca="1" si="24"/>
        <v>4</v>
      </c>
      <c r="BM6" s="24">
        <f t="shared" ca="1" si="25"/>
        <v>4</v>
      </c>
      <c r="BN6" s="28">
        <f t="shared" ca="1" si="26"/>
        <v>18</v>
      </c>
      <c r="BO6" s="29">
        <f t="shared" ca="1" si="27"/>
        <v>10</v>
      </c>
      <c r="BP6" s="28">
        <f t="shared" ca="1" si="30"/>
        <v>18</v>
      </c>
      <c r="BS6" s="57">
        <v>3</v>
      </c>
      <c r="BT6" s="14">
        <f t="shared" si="28"/>
        <v>1</v>
      </c>
      <c r="BU6" s="14">
        <f t="shared" si="28"/>
        <v>1</v>
      </c>
      <c r="BV6" s="58">
        <f t="shared" si="28"/>
        <v>0</v>
      </c>
      <c r="BW6" s="14">
        <f t="shared" si="28"/>
        <v>1</v>
      </c>
      <c r="BX6" s="14">
        <f t="shared" si="28"/>
        <v>1</v>
      </c>
      <c r="BY6" s="14">
        <f t="shared" si="28"/>
        <v>1</v>
      </c>
      <c r="BZ6" s="14">
        <f t="shared" si="28"/>
        <v>1</v>
      </c>
      <c r="CA6" s="14">
        <f t="shared" si="28"/>
        <v>1</v>
      </c>
      <c r="CB6" s="14">
        <f t="shared" si="28"/>
        <v>1</v>
      </c>
      <c r="CC6" s="14">
        <f t="shared" si="28"/>
        <v>1</v>
      </c>
    </row>
    <row r="7" spans="1:81" x14ac:dyDescent="0.25">
      <c r="E7" s="37">
        <v>4</v>
      </c>
      <c r="F7" s="21" t="s">
        <v>28</v>
      </c>
      <c r="G7" s="17"/>
      <c r="H7" s="65">
        <v>82637457</v>
      </c>
      <c r="I7" s="141">
        <v>400</v>
      </c>
      <c r="J7" s="142"/>
      <c r="K7" s="142"/>
      <c r="L7" s="143"/>
      <c r="U7" s="37">
        <v>4</v>
      </c>
      <c r="V7" s="38">
        <v>8</v>
      </c>
      <c r="W7" s="17" t="str">
        <f t="shared" si="0"/>
        <v>Emmanuael Klein Goldendijk</v>
      </c>
      <c r="X7" s="72">
        <f t="shared" ca="1" si="1"/>
        <v>5</v>
      </c>
      <c r="Y7" s="76">
        <f t="shared" ca="1" si="2"/>
        <v>18</v>
      </c>
      <c r="Z7" s="50">
        <f t="shared" ca="1" si="3"/>
        <v>11</v>
      </c>
      <c r="AA7" s="51">
        <f t="shared" ca="1" si="4"/>
        <v>27</v>
      </c>
      <c r="AB7" s="32">
        <f t="shared" si="5"/>
        <v>1543</v>
      </c>
      <c r="AF7" s="60" t="str">
        <f t="shared" si="6"/>
        <v>Floris van Capelleveen</v>
      </c>
      <c r="AG7" s="57">
        <v>4</v>
      </c>
      <c r="AH7" s="14">
        <f t="shared" si="7"/>
        <v>0</v>
      </c>
      <c r="AI7" s="14">
        <f t="shared" si="7"/>
        <v>1</v>
      </c>
      <c r="AJ7" s="14">
        <f t="shared" si="7"/>
        <v>0</v>
      </c>
      <c r="AK7" s="58" t="str">
        <f t="shared" si="7"/>
        <v/>
      </c>
      <c r="AL7" s="14">
        <f t="shared" si="7"/>
        <v>1</v>
      </c>
      <c r="AM7" s="14">
        <f t="shared" si="7"/>
        <v>0</v>
      </c>
      <c r="AN7" s="14">
        <f t="shared" si="7"/>
        <v>0</v>
      </c>
      <c r="AO7" s="14">
        <f t="shared" si="7"/>
        <v>0</v>
      </c>
      <c r="AP7" s="14">
        <f t="shared" si="7"/>
        <v>1</v>
      </c>
      <c r="AQ7" s="14">
        <f t="shared" si="7"/>
        <v>1</v>
      </c>
      <c r="AR7" s="20"/>
      <c r="AS7" s="20"/>
      <c r="AT7">
        <v>4</v>
      </c>
      <c r="AU7">
        <f t="shared" si="8"/>
        <v>0</v>
      </c>
      <c r="AV7" s="25">
        <f t="shared" si="9"/>
        <v>0</v>
      </c>
      <c r="AW7">
        <f t="shared" si="10"/>
        <v>0</v>
      </c>
      <c r="AX7" s="25">
        <f t="shared" si="11"/>
        <v>0</v>
      </c>
      <c r="AY7">
        <f t="shared" si="12"/>
        <v>1</v>
      </c>
      <c r="AZ7" s="25">
        <f t="shared" si="13"/>
        <v>1</v>
      </c>
      <c r="BA7">
        <f t="shared" si="14"/>
        <v>0</v>
      </c>
      <c r="BB7" s="25">
        <f t="shared" si="15"/>
        <v>1</v>
      </c>
      <c r="BC7">
        <f t="shared" si="16"/>
        <v>1</v>
      </c>
      <c r="BD7" s="25">
        <f t="shared" si="17"/>
        <v>2</v>
      </c>
      <c r="BE7">
        <f t="shared" ca="1" si="29"/>
        <v>0</v>
      </c>
      <c r="BF7" s="25">
        <f t="shared" ca="1" si="18"/>
        <v>2</v>
      </c>
      <c r="BG7">
        <f t="shared" si="19"/>
        <v>1</v>
      </c>
      <c r="BH7" s="25">
        <f t="shared" ca="1" si="20"/>
        <v>3</v>
      </c>
      <c r="BI7">
        <f t="shared" si="21"/>
        <v>1</v>
      </c>
      <c r="BJ7" s="25">
        <f t="shared" ca="1" si="22"/>
        <v>4</v>
      </c>
      <c r="BK7">
        <f t="shared" si="23"/>
        <v>0</v>
      </c>
      <c r="BL7" s="25">
        <f t="shared" ca="1" si="24"/>
        <v>4</v>
      </c>
      <c r="BM7" s="24">
        <f t="shared" ca="1" si="25"/>
        <v>4</v>
      </c>
      <c r="BN7" s="28">
        <f t="shared" ca="1" si="26"/>
        <v>20</v>
      </c>
      <c r="BO7" s="29">
        <f t="shared" ca="1" si="27"/>
        <v>10</v>
      </c>
      <c r="BP7" s="28">
        <f t="shared" ca="1" si="30"/>
        <v>17</v>
      </c>
      <c r="BS7" s="57">
        <v>4</v>
      </c>
      <c r="BT7" s="14">
        <f t="shared" si="28"/>
        <v>1</v>
      </c>
      <c r="BU7" s="14">
        <f t="shared" si="28"/>
        <v>1</v>
      </c>
      <c r="BV7" s="14">
        <f t="shared" si="28"/>
        <v>1</v>
      </c>
      <c r="BW7" s="58">
        <f t="shared" si="28"/>
        <v>0</v>
      </c>
      <c r="BX7" s="14">
        <f t="shared" si="28"/>
        <v>1</v>
      </c>
      <c r="BY7" s="14">
        <f t="shared" si="28"/>
        <v>1</v>
      </c>
      <c r="BZ7" s="14">
        <f t="shared" si="28"/>
        <v>1</v>
      </c>
      <c r="CA7" s="14">
        <f t="shared" si="28"/>
        <v>1</v>
      </c>
      <c r="CB7" s="14">
        <f t="shared" si="28"/>
        <v>1</v>
      </c>
      <c r="CC7" s="14">
        <f t="shared" si="28"/>
        <v>1</v>
      </c>
    </row>
    <row r="8" spans="1:81" x14ac:dyDescent="0.25">
      <c r="E8" s="37">
        <v>5</v>
      </c>
      <c r="F8" s="21" t="s">
        <v>34</v>
      </c>
      <c r="G8" s="17"/>
      <c r="H8" s="65">
        <v>83429006</v>
      </c>
      <c r="I8" s="141">
        <v>345</v>
      </c>
      <c r="J8" s="142"/>
      <c r="K8" s="142"/>
      <c r="L8" s="143"/>
      <c r="U8" s="37">
        <v>5</v>
      </c>
      <c r="V8" s="38">
        <v>9</v>
      </c>
      <c r="W8" s="17" t="str">
        <f t="shared" si="0"/>
        <v>Olivier van der Wijden</v>
      </c>
      <c r="X8" s="72">
        <f t="shared" ca="1" si="1"/>
        <v>4.5</v>
      </c>
      <c r="Y8" s="76">
        <f t="shared" ca="1" si="2"/>
        <v>17</v>
      </c>
      <c r="Z8" s="50">
        <f t="shared" ca="1" si="3"/>
        <v>6.5</v>
      </c>
      <c r="AA8" s="51">
        <f t="shared" ca="1" si="4"/>
        <v>27.5</v>
      </c>
      <c r="AB8" s="32">
        <f t="shared" si="5"/>
        <v>254</v>
      </c>
      <c r="AF8" s="60" t="str">
        <f t="shared" si="6"/>
        <v>Luca Da Costa van den Werk</v>
      </c>
      <c r="AG8" s="57">
        <v>5</v>
      </c>
      <c r="AH8" s="14">
        <f t="shared" si="7"/>
        <v>1</v>
      </c>
      <c r="AI8" s="14">
        <f t="shared" si="7"/>
        <v>0</v>
      </c>
      <c r="AJ8" s="14">
        <f t="shared" si="7"/>
        <v>1</v>
      </c>
      <c r="AK8" s="14">
        <f t="shared" si="7"/>
        <v>0</v>
      </c>
      <c r="AL8" s="58" t="str">
        <f t="shared" si="7"/>
        <v/>
      </c>
      <c r="AM8" s="14">
        <f t="shared" si="7"/>
        <v>0</v>
      </c>
      <c r="AN8" s="14">
        <f t="shared" si="7"/>
        <v>1</v>
      </c>
      <c r="AO8" s="14">
        <f t="shared" si="7"/>
        <v>1</v>
      </c>
      <c r="AP8" s="14">
        <f t="shared" si="7"/>
        <v>0</v>
      </c>
      <c r="AQ8" s="14">
        <f t="shared" si="7"/>
        <v>1</v>
      </c>
      <c r="AR8" s="20"/>
      <c r="AS8" s="20"/>
      <c r="AT8">
        <v>5</v>
      </c>
      <c r="AU8">
        <f t="shared" si="8"/>
        <v>0</v>
      </c>
      <c r="AV8" s="25">
        <f t="shared" si="9"/>
        <v>0</v>
      </c>
      <c r="AW8">
        <f t="shared" si="10"/>
        <v>1</v>
      </c>
      <c r="AX8" s="25">
        <f t="shared" si="11"/>
        <v>1</v>
      </c>
      <c r="AY8">
        <f t="shared" si="12"/>
        <v>1</v>
      </c>
      <c r="AZ8" s="25">
        <f t="shared" si="13"/>
        <v>2</v>
      </c>
      <c r="BA8">
        <f t="shared" si="14"/>
        <v>0</v>
      </c>
      <c r="BB8" s="25">
        <f t="shared" si="15"/>
        <v>2</v>
      </c>
      <c r="BC8">
        <f t="shared" si="16"/>
        <v>1</v>
      </c>
      <c r="BD8" s="25">
        <f t="shared" si="17"/>
        <v>3</v>
      </c>
      <c r="BE8">
        <f t="shared" ca="1" si="29"/>
        <v>0</v>
      </c>
      <c r="BF8" s="25">
        <f t="shared" ca="1" si="18"/>
        <v>3</v>
      </c>
      <c r="BG8">
        <f t="shared" si="19"/>
        <v>1</v>
      </c>
      <c r="BH8" s="25">
        <f t="shared" ca="1" si="20"/>
        <v>4</v>
      </c>
      <c r="BI8">
        <f t="shared" si="21"/>
        <v>0</v>
      </c>
      <c r="BJ8" s="25">
        <f t="shared" ca="1" si="22"/>
        <v>4</v>
      </c>
      <c r="BK8">
        <f t="shared" si="23"/>
        <v>1</v>
      </c>
      <c r="BL8" s="25">
        <f t="shared" ca="1" si="24"/>
        <v>5</v>
      </c>
      <c r="BM8" s="24">
        <f t="shared" ca="1" si="25"/>
        <v>5</v>
      </c>
      <c r="BN8" s="28">
        <f t="shared" ca="1" si="26"/>
        <v>19</v>
      </c>
      <c r="BO8" s="29">
        <f t="shared" ca="1" si="27"/>
        <v>12</v>
      </c>
      <c r="BP8" s="28">
        <f t="shared" ca="1" si="30"/>
        <v>24</v>
      </c>
      <c r="BS8" s="57">
        <v>5</v>
      </c>
      <c r="BT8" s="14">
        <f t="shared" si="28"/>
        <v>1</v>
      </c>
      <c r="BU8" s="14">
        <f t="shared" si="28"/>
        <v>1</v>
      </c>
      <c r="BV8" s="14">
        <f t="shared" si="28"/>
        <v>1</v>
      </c>
      <c r="BW8" s="14">
        <f t="shared" si="28"/>
        <v>1</v>
      </c>
      <c r="BX8" s="58">
        <f t="shared" si="28"/>
        <v>0</v>
      </c>
      <c r="BY8" s="14">
        <f t="shared" si="28"/>
        <v>1</v>
      </c>
      <c r="BZ8" s="14">
        <f t="shared" si="28"/>
        <v>1</v>
      </c>
      <c r="CA8" s="14">
        <f t="shared" si="28"/>
        <v>1</v>
      </c>
      <c r="CB8" s="14">
        <f t="shared" si="28"/>
        <v>1</v>
      </c>
      <c r="CC8" s="14">
        <f t="shared" si="28"/>
        <v>1</v>
      </c>
    </row>
    <row r="9" spans="1:81" x14ac:dyDescent="0.25">
      <c r="E9" s="37">
        <v>6</v>
      </c>
      <c r="F9" s="21" t="s">
        <v>29</v>
      </c>
      <c r="G9" s="17"/>
      <c r="H9" s="65">
        <v>88903465</v>
      </c>
      <c r="I9" s="141">
        <v>2333</v>
      </c>
      <c r="J9" s="142"/>
      <c r="K9" s="142"/>
      <c r="L9" s="143"/>
      <c r="U9" s="37">
        <v>6</v>
      </c>
      <c r="V9" s="38">
        <v>4</v>
      </c>
      <c r="W9" s="17" t="str">
        <f t="shared" si="0"/>
        <v>Floris van Capelleveen</v>
      </c>
      <c r="X9" s="72">
        <f t="shared" ca="1" si="1"/>
        <v>4</v>
      </c>
      <c r="Y9" s="76">
        <f t="shared" ca="1" si="2"/>
        <v>20</v>
      </c>
      <c r="Z9" s="50">
        <f t="shared" ca="1" si="3"/>
        <v>10</v>
      </c>
      <c r="AA9" s="51">
        <f t="shared" ca="1" si="4"/>
        <v>17</v>
      </c>
      <c r="AB9" s="32">
        <f t="shared" si="5"/>
        <v>400</v>
      </c>
      <c r="AF9" s="60" t="str">
        <f t="shared" si="6"/>
        <v>Katja Tangarife Ramirez</v>
      </c>
      <c r="AG9" s="57">
        <v>6</v>
      </c>
      <c r="AH9" s="14">
        <f t="shared" si="7"/>
        <v>0</v>
      </c>
      <c r="AI9" s="14">
        <f t="shared" si="7"/>
        <v>1</v>
      </c>
      <c r="AJ9" s="14">
        <f t="shared" si="7"/>
        <v>0</v>
      </c>
      <c r="AK9" s="14">
        <f t="shared" si="7"/>
        <v>1</v>
      </c>
      <c r="AL9" s="14">
        <f t="shared" si="7"/>
        <v>1</v>
      </c>
      <c r="AM9" s="58" t="str">
        <f t="shared" si="7"/>
        <v/>
      </c>
      <c r="AN9" s="14">
        <f t="shared" si="7"/>
        <v>1</v>
      </c>
      <c r="AO9" s="14">
        <f t="shared" si="7"/>
        <v>0</v>
      </c>
      <c r="AP9" s="14">
        <f t="shared" si="7"/>
        <v>1</v>
      </c>
      <c r="AQ9" s="14">
        <f t="shared" si="7"/>
        <v>1</v>
      </c>
      <c r="AR9" s="20"/>
      <c r="AS9" s="20"/>
      <c r="AT9">
        <v>6</v>
      </c>
      <c r="AU9">
        <f t="shared" si="8"/>
        <v>1</v>
      </c>
      <c r="AV9" s="25">
        <f t="shared" si="9"/>
        <v>1</v>
      </c>
      <c r="AW9">
        <f t="shared" si="10"/>
        <v>1</v>
      </c>
      <c r="AX9" s="25">
        <f t="shared" si="11"/>
        <v>2</v>
      </c>
      <c r="AY9">
        <f t="shared" si="12"/>
        <v>1</v>
      </c>
      <c r="AZ9" s="25">
        <f t="shared" si="13"/>
        <v>3</v>
      </c>
      <c r="BA9">
        <f t="shared" si="14"/>
        <v>0</v>
      </c>
      <c r="BB9" s="25">
        <f t="shared" si="15"/>
        <v>3</v>
      </c>
      <c r="BC9">
        <f t="shared" si="16"/>
        <v>1</v>
      </c>
      <c r="BD9" s="25">
        <f t="shared" si="17"/>
        <v>4</v>
      </c>
      <c r="BE9">
        <f t="shared" ca="1" si="29"/>
        <v>0</v>
      </c>
      <c r="BF9" s="25">
        <f t="shared" ca="1" si="18"/>
        <v>4</v>
      </c>
      <c r="BG9">
        <f t="shared" si="19"/>
        <v>1</v>
      </c>
      <c r="BH9" s="25">
        <f t="shared" ca="1" si="20"/>
        <v>5</v>
      </c>
      <c r="BI9">
        <f t="shared" si="21"/>
        <v>0</v>
      </c>
      <c r="BJ9" s="25">
        <f t="shared" ca="1" si="22"/>
        <v>5</v>
      </c>
      <c r="BK9">
        <f t="shared" si="23"/>
        <v>1</v>
      </c>
      <c r="BL9" s="25">
        <f t="shared" ca="1" si="24"/>
        <v>6</v>
      </c>
      <c r="BM9" s="24">
        <f t="shared" ca="1" si="25"/>
        <v>6</v>
      </c>
      <c r="BN9" s="28">
        <f t="shared" ca="1" si="26"/>
        <v>19</v>
      </c>
      <c r="BO9" s="29">
        <f t="shared" ca="1" si="27"/>
        <v>11</v>
      </c>
      <c r="BP9" s="28">
        <f t="shared" ca="1" si="30"/>
        <v>33</v>
      </c>
      <c r="BS9" s="57">
        <v>6</v>
      </c>
      <c r="BT9" s="14">
        <f t="shared" si="28"/>
        <v>1</v>
      </c>
      <c r="BU9" s="14">
        <f t="shared" si="28"/>
        <v>1</v>
      </c>
      <c r="BV9" s="14">
        <f t="shared" si="28"/>
        <v>1</v>
      </c>
      <c r="BW9" s="14">
        <f t="shared" si="28"/>
        <v>1</v>
      </c>
      <c r="BX9" s="14">
        <f t="shared" si="28"/>
        <v>1</v>
      </c>
      <c r="BY9" s="58">
        <f t="shared" si="28"/>
        <v>0</v>
      </c>
      <c r="BZ9" s="14">
        <f t="shared" si="28"/>
        <v>1</v>
      </c>
      <c r="CA9" s="14">
        <f t="shared" si="28"/>
        <v>1</v>
      </c>
      <c r="CB9" s="14">
        <f t="shared" si="28"/>
        <v>1</v>
      </c>
      <c r="CC9" s="14">
        <f t="shared" si="28"/>
        <v>1</v>
      </c>
    </row>
    <row r="10" spans="1:81" x14ac:dyDescent="0.25">
      <c r="E10" s="37">
        <v>7</v>
      </c>
      <c r="F10" s="21" t="s">
        <v>30</v>
      </c>
      <c r="G10" s="17"/>
      <c r="H10" s="65">
        <v>87865356</v>
      </c>
      <c r="I10" s="141">
        <v>342</v>
      </c>
      <c r="J10" s="142"/>
      <c r="K10" s="142"/>
      <c r="L10" s="143"/>
      <c r="U10" s="37">
        <v>7</v>
      </c>
      <c r="V10" s="38">
        <v>7</v>
      </c>
      <c r="W10" s="17" t="str">
        <f t="shared" si="0"/>
        <v>Mike van Bergen van der Gijp</v>
      </c>
      <c r="X10" s="72">
        <f t="shared" ca="1" si="1"/>
        <v>4</v>
      </c>
      <c r="Y10" s="76">
        <f t="shared" ca="1" si="2"/>
        <v>19</v>
      </c>
      <c r="Z10" s="50">
        <f t="shared" ca="1" si="3"/>
        <v>11</v>
      </c>
      <c r="AA10" s="51">
        <f t="shared" ca="1" si="4"/>
        <v>18</v>
      </c>
      <c r="AB10" s="32">
        <f t="shared" si="5"/>
        <v>342</v>
      </c>
      <c r="AF10" s="60" t="str">
        <f t="shared" si="6"/>
        <v>Mike van Bergen van der Gijp</v>
      </c>
      <c r="AG10" s="57">
        <v>7</v>
      </c>
      <c r="AH10" s="14">
        <f t="shared" si="7"/>
        <v>1</v>
      </c>
      <c r="AI10" s="14">
        <f t="shared" si="7"/>
        <v>0</v>
      </c>
      <c r="AJ10" s="14">
        <f t="shared" si="7"/>
        <v>1</v>
      </c>
      <c r="AK10" s="14">
        <f t="shared" si="7"/>
        <v>1</v>
      </c>
      <c r="AL10" s="14">
        <f t="shared" si="7"/>
        <v>0</v>
      </c>
      <c r="AM10" s="14">
        <f t="shared" si="7"/>
        <v>0</v>
      </c>
      <c r="AN10" s="58" t="str">
        <f t="shared" si="7"/>
        <v/>
      </c>
      <c r="AO10" s="14">
        <f t="shared" si="7"/>
        <v>1</v>
      </c>
      <c r="AP10" s="14">
        <f t="shared" si="7"/>
        <v>0</v>
      </c>
      <c r="AQ10" s="14">
        <f t="shared" si="7"/>
        <v>0</v>
      </c>
      <c r="AR10" s="20"/>
      <c r="AS10" s="20"/>
      <c r="AT10">
        <v>7</v>
      </c>
      <c r="AU10">
        <f t="shared" si="8"/>
        <v>1</v>
      </c>
      <c r="AV10" s="25">
        <f t="shared" si="9"/>
        <v>1</v>
      </c>
      <c r="AW10">
        <f t="shared" si="10"/>
        <v>0</v>
      </c>
      <c r="AX10" s="25">
        <f t="shared" si="11"/>
        <v>1</v>
      </c>
      <c r="AY10">
        <f t="shared" si="12"/>
        <v>0</v>
      </c>
      <c r="AZ10" s="25">
        <f t="shared" si="13"/>
        <v>1</v>
      </c>
      <c r="BA10">
        <f t="shared" si="14"/>
        <v>0</v>
      </c>
      <c r="BB10" s="25">
        <f t="shared" si="15"/>
        <v>1</v>
      </c>
      <c r="BC10">
        <f t="shared" si="16"/>
        <v>1</v>
      </c>
      <c r="BD10" s="25">
        <f t="shared" si="17"/>
        <v>2</v>
      </c>
      <c r="BE10">
        <f t="shared" ca="1" si="29"/>
        <v>0</v>
      </c>
      <c r="BF10" s="25">
        <f t="shared" ca="1" si="18"/>
        <v>2</v>
      </c>
      <c r="BG10">
        <f t="shared" si="19"/>
        <v>1</v>
      </c>
      <c r="BH10" s="25">
        <f t="shared" ca="1" si="20"/>
        <v>3</v>
      </c>
      <c r="BI10">
        <f t="shared" si="21"/>
        <v>0</v>
      </c>
      <c r="BJ10" s="25">
        <f t="shared" ca="1" si="22"/>
        <v>3</v>
      </c>
      <c r="BK10">
        <f t="shared" si="23"/>
        <v>1</v>
      </c>
      <c r="BL10" s="25">
        <f t="shared" ca="1" si="24"/>
        <v>4</v>
      </c>
      <c r="BM10" s="24">
        <f t="shared" ca="1" si="25"/>
        <v>4</v>
      </c>
      <c r="BN10" s="28">
        <f t="shared" ca="1" si="26"/>
        <v>19</v>
      </c>
      <c r="BO10" s="29">
        <f t="shared" ca="1" si="27"/>
        <v>11</v>
      </c>
      <c r="BP10" s="28">
        <f t="shared" ca="1" si="30"/>
        <v>18</v>
      </c>
      <c r="BS10" s="57">
        <v>7</v>
      </c>
      <c r="BT10" s="14">
        <f t="shared" si="28"/>
        <v>1</v>
      </c>
      <c r="BU10" s="14">
        <f t="shared" si="28"/>
        <v>1</v>
      </c>
      <c r="BV10" s="14">
        <f t="shared" si="28"/>
        <v>1</v>
      </c>
      <c r="BW10" s="14">
        <f t="shared" si="28"/>
        <v>1</v>
      </c>
      <c r="BX10" s="14">
        <f t="shared" si="28"/>
        <v>1</v>
      </c>
      <c r="BY10" s="14">
        <f t="shared" si="28"/>
        <v>1</v>
      </c>
      <c r="BZ10" s="58">
        <f t="shared" si="28"/>
        <v>0</v>
      </c>
      <c r="CA10" s="14">
        <f t="shared" si="28"/>
        <v>1</v>
      </c>
      <c r="CB10" s="14">
        <f t="shared" si="28"/>
        <v>1</v>
      </c>
      <c r="CC10" s="14">
        <f t="shared" si="28"/>
        <v>1</v>
      </c>
    </row>
    <row r="11" spans="1:81" x14ac:dyDescent="0.25">
      <c r="E11" s="37">
        <v>8</v>
      </c>
      <c r="F11" s="21" t="s">
        <v>31</v>
      </c>
      <c r="G11" s="17"/>
      <c r="H11" s="65">
        <v>86764323</v>
      </c>
      <c r="I11" s="141">
        <v>1543</v>
      </c>
      <c r="J11" s="142"/>
      <c r="K11" s="142"/>
      <c r="L11" s="143"/>
      <c r="U11" s="37">
        <v>8</v>
      </c>
      <c r="V11" s="38">
        <v>3</v>
      </c>
      <c r="W11" s="17" t="str">
        <f t="shared" si="0"/>
        <v>Matthijs van Doodenweerd</v>
      </c>
      <c r="X11" s="72">
        <f t="shared" ca="1" si="1"/>
        <v>4</v>
      </c>
      <c r="Y11" s="76">
        <f t="shared" ca="1" si="2"/>
        <v>18</v>
      </c>
      <c r="Z11" s="50">
        <f t="shared" ca="1" si="3"/>
        <v>10</v>
      </c>
      <c r="AA11" s="51">
        <f t="shared" ca="1" si="4"/>
        <v>18</v>
      </c>
      <c r="AB11" s="32">
        <f t="shared" si="5"/>
        <v>300</v>
      </c>
      <c r="AF11" s="60" t="str">
        <f t="shared" si="6"/>
        <v>Emmanuael Klein Goldendijk</v>
      </c>
      <c r="AG11" s="57">
        <v>8</v>
      </c>
      <c r="AH11" s="14">
        <f t="shared" si="7"/>
        <v>0</v>
      </c>
      <c r="AI11" s="14">
        <f t="shared" si="7"/>
        <v>1</v>
      </c>
      <c r="AJ11" s="14">
        <f t="shared" si="7"/>
        <v>1</v>
      </c>
      <c r="AK11" s="14">
        <f t="shared" si="7"/>
        <v>1</v>
      </c>
      <c r="AL11" s="14">
        <f t="shared" si="7"/>
        <v>0</v>
      </c>
      <c r="AM11" s="14">
        <f t="shared" si="7"/>
        <v>1</v>
      </c>
      <c r="AN11" s="14">
        <f t="shared" si="7"/>
        <v>0</v>
      </c>
      <c r="AO11" s="58" t="str">
        <f t="shared" si="7"/>
        <v/>
      </c>
      <c r="AP11" s="14">
        <f t="shared" si="7"/>
        <v>1</v>
      </c>
      <c r="AQ11" s="14">
        <f t="shared" si="7"/>
        <v>0</v>
      </c>
      <c r="AR11" s="20"/>
      <c r="AS11" s="20"/>
      <c r="AT11">
        <v>8</v>
      </c>
      <c r="AU11">
        <f t="shared" si="8"/>
        <v>1</v>
      </c>
      <c r="AV11" s="25">
        <f t="shared" si="9"/>
        <v>1</v>
      </c>
      <c r="AW11">
        <f t="shared" si="10"/>
        <v>1</v>
      </c>
      <c r="AX11" s="25">
        <f t="shared" si="11"/>
        <v>2</v>
      </c>
      <c r="AY11">
        <f t="shared" si="12"/>
        <v>0</v>
      </c>
      <c r="AZ11" s="25">
        <f t="shared" si="13"/>
        <v>2</v>
      </c>
      <c r="BA11">
        <f t="shared" si="14"/>
        <v>1</v>
      </c>
      <c r="BB11" s="25">
        <f t="shared" si="15"/>
        <v>3</v>
      </c>
      <c r="BC11">
        <f t="shared" si="16"/>
        <v>0</v>
      </c>
      <c r="BD11" s="25">
        <f t="shared" si="17"/>
        <v>3</v>
      </c>
      <c r="BE11">
        <f t="shared" ca="1" si="29"/>
        <v>0</v>
      </c>
      <c r="BF11" s="25">
        <f t="shared" ca="1" si="18"/>
        <v>3</v>
      </c>
      <c r="BG11">
        <f t="shared" si="19"/>
        <v>1</v>
      </c>
      <c r="BH11" s="25">
        <f t="shared" ca="1" si="20"/>
        <v>4</v>
      </c>
      <c r="BI11">
        <f t="shared" si="21"/>
        <v>0</v>
      </c>
      <c r="BJ11" s="25">
        <f t="shared" ca="1" si="22"/>
        <v>4</v>
      </c>
      <c r="BK11">
        <f t="shared" si="23"/>
        <v>1</v>
      </c>
      <c r="BL11" s="25">
        <f t="shared" ca="1" si="24"/>
        <v>5</v>
      </c>
      <c r="BM11" s="24">
        <f t="shared" ca="1" si="25"/>
        <v>5</v>
      </c>
      <c r="BN11" s="28">
        <f t="shared" ca="1" si="26"/>
        <v>18</v>
      </c>
      <c r="BO11" s="29">
        <f t="shared" ca="1" si="27"/>
        <v>11</v>
      </c>
      <c r="BP11" s="28">
        <f t="shared" ca="1" si="30"/>
        <v>27</v>
      </c>
      <c r="BS11" s="57">
        <v>8</v>
      </c>
      <c r="BT11" s="14">
        <f t="shared" si="28"/>
        <v>1</v>
      </c>
      <c r="BU11" s="14">
        <f t="shared" si="28"/>
        <v>1</v>
      </c>
      <c r="BV11" s="14">
        <f t="shared" si="28"/>
        <v>1</v>
      </c>
      <c r="BW11" s="14">
        <f t="shared" si="28"/>
        <v>1</v>
      </c>
      <c r="BX11" s="14">
        <f t="shared" si="28"/>
        <v>1</v>
      </c>
      <c r="BY11" s="14">
        <f t="shared" si="28"/>
        <v>1</v>
      </c>
      <c r="BZ11" s="14">
        <f t="shared" si="28"/>
        <v>1</v>
      </c>
      <c r="CA11" s="58">
        <f t="shared" si="28"/>
        <v>0</v>
      </c>
      <c r="CB11" s="14">
        <f t="shared" si="28"/>
        <v>1</v>
      </c>
      <c r="CC11" s="14">
        <f t="shared" si="28"/>
        <v>1</v>
      </c>
    </row>
    <row r="12" spans="1:81" x14ac:dyDescent="0.25">
      <c r="E12" s="37">
        <v>9</v>
      </c>
      <c r="F12" s="21" t="s">
        <v>32</v>
      </c>
      <c r="G12" s="17"/>
      <c r="H12" s="65">
        <v>84664564</v>
      </c>
      <c r="I12" s="141">
        <v>254</v>
      </c>
      <c r="J12" s="142"/>
      <c r="K12" s="142"/>
      <c r="L12" s="143"/>
      <c r="U12" s="37">
        <v>9</v>
      </c>
      <c r="V12" s="38">
        <v>2</v>
      </c>
      <c r="W12" s="17" t="str">
        <f t="shared" si="0"/>
        <v>Mike van der Gijp van Bergen</v>
      </c>
      <c r="X12" s="72">
        <f t="shared" ca="1" si="1"/>
        <v>4</v>
      </c>
      <c r="Y12" s="76">
        <f t="shared" ca="1" si="2"/>
        <v>17</v>
      </c>
      <c r="Z12" s="50">
        <f t="shared" ca="1" si="3"/>
        <v>7</v>
      </c>
      <c r="AA12" s="51">
        <f t="shared" ca="1" si="4"/>
        <v>19</v>
      </c>
      <c r="AB12" s="32">
        <f t="shared" si="5"/>
        <v>1200</v>
      </c>
      <c r="AF12" s="60" t="str">
        <f t="shared" si="6"/>
        <v>Olivier van der Wijden</v>
      </c>
      <c r="AG12" s="57">
        <v>9</v>
      </c>
      <c r="AH12" s="14">
        <f t="shared" si="7"/>
        <v>0.5</v>
      </c>
      <c r="AI12" s="14">
        <f t="shared" si="7"/>
        <v>1</v>
      </c>
      <c r="AJ12" s="14">
        <f t="shared" si="7"/>
        <v>1</v>
      </c>
      <c r="AK12" s="14">
        <f t="shared" si="7"/>
        <v>0</v>
      </c>
      <c r="AL12" s="14">
        <f t="shared" si="7"/>
        <v>1</v>
      </c>
      <c r="AM12" s="14">
        <f t="shared" si="7"/>
        <v>0</v>
      </c>
      <c r="AN12" s="14">
        <f t="shared" si="7"/>
        <v>1</v>
      </c>
      <c r="AO12" s="14">
        <f t="shared" si="7"/>
        <v>0</v>
      </c>
      <c r="AP12" s="58" t="str">
        <f t="shared" si="7"/>
        <v/>
      </c>
      <c r="AQ12" s="14">
        <f t="shared" si="7"/>
        <v>0</v>
      </c>
      <c r="AR12" s="20"/>
      <c r="AS12" s="20"/>
      <c r="AT12">
        <v>9</v>
      </c>
      <c r="AU12">
        <f t="shared" si="8"/>
        <v>1</v>
      </c>
      <c r="AV12" s="25">
        <f t="shared" si="9"/>
        <v>1</v>
      </c>
      <c r="AW12">
        <f t="shared" si="10"/>
        <v>1</v>
      </c>
      <c r="AX12" s="25">
        <f t="shared" si="11"/>
        <v>2</v>
      </c>
      <c r="AY12">
        <f t="shared" si="12"/>
        <v>0</v>
      </c>
      <c r="AZ12" s="25">
        <f t="shared" si="13"/>
        <v>2</v>
      </c>
      <c r="BA12">
        <f t="shared" si="14"/>
        <v>1</v>
      </c>
      <c r="BB12" s="25">
        <f t="shared" si="15"/>
        <v>3</v>
      </c>
      <c r="BC12">
        <f t="shared" si="16"/>
        <v>0</v>
      </c>
      <c r="BD12" s="25">
        <f t="shared" si="17"/>
        <v>3</v>
      </c>
      <c r="BE12">
        <f t="shared" ca="1" si="29"/>
        <v>1</v>
      </c>
      <c r="BF12" s="25">
        <f t="shared" ca="1" si="18"/>
        <v>4</v>
      </c>
      <c r="BG12">
        <f t="shared" si="19"/>
        <v>0</v>
      </c>
      <c r="BH12" s="25">
        <f t="shared" ca="1" si="20"/>
        <v>4</v>
      </c>
      <c r="BI12">
        <f t="shared" si="21"/>
        <v>0</v>
      </c>
      <c r="BJ12" s="25">
        <f t="shared" ca="1" si="22"/>
        <v>4</v>
      </c>
      <c r="BK12">
        <f t="shared" si="23"/>
        <v>0.5</v>
      </c>
      <c r="BL12" s="25">
        <f t="shared" ca="1" si="24"/>
        <v>4.5</v>
      </c>
      <c r="BM12" s="24">
        <f t="shared" ca="1" si="25"/>
        <v>4.5</v>
      </c>
      <c r="BN12" s="28">
        <f t="shared" ca="1" si="26"/>
        <v>17</v>
      </c>
      <c r="BO12" s="29">
        <f t="shared" ca="1" si="27"/>
        <v>6.5</v>
      </c>
      <c r="BP12" s="28">
        <f t="shared" ca="1" si="30"/>
        <v>27.5</v>
      </c>
      <c r="BS12" s="57">
        <v>9</v>
      </c>
      <c r="BT12" s="14">
        <f t="shared" si="28"/>
        <v>1</v>
      </c>
      <c r="BU12" s="14">
        <f t="shared" si="28"/>
        <v>1</v>
      </c>
      <c r="BV12" s="14">
        <f t="shared" si="28"/>
        <v>1</v>
      </c>
      <c r="BW12" s="14">
        <f t="shared" si="28"/>
        <v>1</v>
      </c>
      <c r="BX12" s="14">
        <f t="shared" si="28"/>
        <v>1</v>
      </c>
      <c r="BY12" s="14">
        <f t="shared" si="28"/>
        <v>1</v>
      </c>
      <c r="BZ12" s="14">
        <f t="shared" si="28"/>
        <v>1</v>
      </c>
      <c r="CA12" s="14">
        <f t="shared" si="28"/>
        <v>1</v>
      </c>
      <c r="CB12" s="58">
        <f t="shared" si="28"/>
        <v>0</v>
      </c>
      <c r="CC12" s="14">
        <f t="shared" si="28"/>
        <v>1</v>
      </c>
    </row>
    <row r="13" spans="1:81" ht="15.75" thickBot="1" x14ac:dyDescent="0.3">
      <c r="E13" s="39">
        <v>10</v>
      </c>
      <c r="F13" s="62" t="s">
        <v>33</v>
      </c>
      <c r="G13" s="33"/>
      <c r="H13" s="66">
        <v>86676546</v>
      </c>
      <c r="I13" s="144">
        <v>764</v>
      </c>
      <c r="J13" s="145"/>
      <c r="K13" s="145"/>
      <c r="L13" s="146"/>
      <c r="U13" s="39">
        <v>10</v>
      </c>
      <c r="V13" s="40">
        <v>10</v>
      </c>
      <c r="W13" s="33" t="str">
        <f t="shared" si="0"/>
        <v>Niels van Wolfswinkel</v>
      </c>
      <c r="X13" s="73">
        <f t="shared" ca="1" si="1"/>
        <v>3</v>
      </c>
      <c r="Y13" s="77">
        <f t="shared" ca="1" si="2"/>
        <v>16</v>
      </c>
      <c r="Z13" s="52">
        <f t="shared" ca="1" si="3"/>
        <v>8</v>
      </c>
      <c r="AA13" s="53">
        <f t="shared" ca="1" si="4"/>
        <v>12</v>
      </c>
      <c r="AB13" s="34">
        <f t="shared" si="5"/>
        <v>764</v>
      </c>
      <c r="AF13" s="60" t="str">
        <f t="shared" si="6"/>
        <v>Niels van Wolfswinkel</v>
      </c>
      <c r="AG13" s="57">
        <v>10</v>
      </c>
      <c r="AH13" s="14">
        <f t="shared" si="7"/>
        <v>0</v>
      </c>
      <c r="AI13" s="14">
        <f t="shared" si="7"/>
        <v>0</v>
      </c>
      <c r="AJ13" s="14">
        <f t="shared" si="7"/>
        <v>0</v>
      </c>
      <c r="AK13" s="14">
        <f t="shared" si="7"/>
        <v>0</v>
      </c>
      <c r="AL13" s="14">
        <f t="shared" si="7"/>
        <v>0</v>
      </c>
      <c r="AM13" s="14">
        <f t="shared" si="7"/>
        <v>0</v>
      </c>
      <c r="AN13" s="14">
        <f t="shared" si="7"/>
        <v>1</v>
      </c>
      <c r="AO13" s="14">
        <f t="shared" si="7"/>
        <v>1</v>
      </c>
      <c r="AP13" s="14">
        <f t="shared" si="7"/>
        <v>1</v>
      </c>
      <c r="AQ13" s="58" t="str">
        <f t="shared" si="7"/>
        <v/>
      </c>
      <c r="AR13" s="56"/>
      <c r="AS13" s="56"/>
      <c r="AT13">
        <v>10</v>
      </c>
      <c r="AU13">
        <f t="shared" si="8"/>
        <v>0</v>
      </c>
      <c r="AV13" s="25">
        <f t="shared" si="9"/>
        <v>0</v>
      </c>
      <c r="AW13">
        <f t="shared" si="10"/>
        <v>0</v>
      </c>
      <c r="AX13" s="25">
        <f t="shared" si="11"/>
        <v>0</v>
      </c>
      <c r="AY13">
        <f t="shared" si="12"/>
        <v>0</v>
      </c>
      <c r="AZ13" s="25">
        <f t="shared" si="13"/>
        <v>0</v>
      </c>
      <c r="BA13">
        <f t="shared" si="14"/>
        <v>1</v>
      </c>
      <c r="BB13" s="25">
        <f t="shared" si="15"/>
        <v>1</v>
      </c>
      <c r="BC13">
        <f t="shared" si="16"/>
        <v>0</v>
      </c>
      <c r="BD13" s="25">
        <f t="shared" si="17"/>
        <v>1</v>
      </c>
      <c r="BE13">
        <f t="shared" ca="1" si="29"/>
        <v>1</v>
      </c>
      <c r="BF13" s="25">
        <f t="shared" ca="1" si="18"/>
        <v>2</v>
      </c>
      <c r="BG13">
        <f t="shared" si="19"/>
        <v>0</v>
      </c>
      <c r="BH13" s="25">
        <f t="shared" ca="1" si="20"/>
        <v>2</v>
      </c>
      <c r="BI13">
        <f t="shared" si="21"/>
        <v>1</v>
      </c>
      <c r="BJ13" s="25">
        <f t="shared" ca="1" si="22"/>
        <v>3</v>
      </c>
      <c r="BK13">
        <f t="shared" si="23"/>
        <v>0</v>
      </c>
      <c r="BL13" s="25">
        <f t="shared" ca="1" si="24"/>
        <v>3</v>
      </c>
      <c r="BM13" s="24">
        <f t="shared" ca="1" si="25"/>
        <v>3</v>
      </c>
      <c r="BN13" s="28">
        <f t="shared" ca="1" si="26"/>
        <v>16</v>
      </c>
      <c r="BO13" s="29">
        <f t="shared" ca="1" si="27"/>
        <v>8</v>
      </c>
      <c r="BP13" s="28">
        <f t="shared" ca="1" si="30"/>
        <v>12</v>
      </c>
      <c r="BS13" s="57">
        <v>10</v>
      </c>
      <c r="BT13" s="14">
        <f t="shared" si="28"/>
        <v>1</v>
      </c>
      <c r="BU13" s="14">
        <f t="shared" si="28"/>
        <v>1</v>
      </c>
      <c r="BV13" s="14">
        <f t="shared" si="28"/>
        <v>1</v>
      </c>
      <c r="BW13" s="14">
        <f t="shared" si="28"/>
        <v>1</v>
      </c>
      <c r="BX13" s="14">
        <f t="shared" si="28"/>
        <v>1</v>
      </c>
      <c r="BY13" s="14">
        <f t="shared" si="28"/>
        <v>1</v>
      </c>
      <c r="BZ13" s="14">
        <f t="shared" si="28"/>
        <v>1</v>
      </c>
      <c r="CA13" s="14">
        <f t="shared" si="28"/>
        <v>1</v>
      </c>
      <c r="CB13" s="14">
        <f t="shared" si="28"/>
        <v>1</v>
      </c>
      <c r="CC13" s="58">
        <f t="shared" si="28"/>
        <v>0</v>
      </c>
    </row>
    <row r="14" spans="1:81" ht="15.75" thickTop="1" x14ac:dyDescent="0.25">
      <c r="AT14" s="46"/>
      <c r="AU14" s="46" t="str">
        <f>IF(((SUM(AU4:AU13)*2)=MAX($AT4:$AT13)),"OK","NOK")</f>
        <v>OK</v>
      </c>
      <c r="AV14" s="47"/>
      <c r="AW14" s="46" t="str">
        <f>IF(((SUM(AW4:AW13)*2)=MAX($AT4:$AT13)),"OK","NOK")</f>
        <v>OK</v>
      </c>
      <c r="AX14" s="46"/>
      <c r="AY14" s="46" t="str">
        <f>IF(((SUM(AY4:AY13)*2)=MAX($AT4:$AT13)),"OK","NOK")</f>
        <v>OK</v>
      </c>
      <c r="AZ14" s="46"/>
      <c r="BA14" s="46" t="str">
        <f>IF(((SUM(BA4:BA13)*2)=MAX($AT4:$AT13)),"OK","NOK")</f>
        <v>OK</v>
      </c>
      <c r="BB14" s="46"/>
      <c r="BC14" s="46" t="str">
        <f>IF(((SUM(BC4:BC13)*2)=MAX($AT4:$AT13)),"OK","NOK")</f>
        <v>OK</v>
      </c>
      <c r="BD14" s="46"/>
      <c r="BE14" s="46" t="str">
        <f ca="1">IF(((SUM(BE4:BE13)*2)=MAX($AT4:$AT13)),"OK","NOK")</f>
        <v>OK</v>
      </c>
      <c r="BF14" s="46"/>
      <c r="BG14" s="46" t="str">
        <f>IF(((SUM(BG4:BG13)*2)=MAX($AT4:$AT13)),"OK","NOK")</f>
        <v>OK</v>
      </c>
      <c r="BH14" s="46"/>
      <c r="BI14" s="46" t="str">
        <f>IF(((SUM(BI4:BI13)*2)=MAX($AT4:$AT13)),"OK","NOK")</f>
        <v>OK</v>
      </c>
      <c r="BJ14" s="46"/>
      <c r="BK14" s="46" t="str">
        <f>IF(((SUM(BK4:BK13)*2)=MAX($AT4:$AT13)),"OK","NOK")</f>
        <v>OK</v>
      </c>
      <c r="BL14" s="46"/>
      <c r="BM14" s="46"/>
      <c r="BN14" s="45"/>
      <c r="BO14" s="45"/>
      <c r="BP14" s="45"/>
    </row>
    <row r="15" spans="1:81" x14ac:dyDescent="0.25">
      <c r="W15" s="70" t="s">
        <v>38</v>
      </c>
    </row>
    <row r="16" spans="1:81" x14ac:dyDescent="0.25">
      <c r="A16" s="54" t="s">
        <v>12</v>
      </c>
      <c r="B16" s="54" t="s">
        <v>13</v>
      </c>
      <c r="C16" s="55" t="s">
        <v>24</v>
      </c>
      <c r="D16" s="21" t="s">
        <v>8</v>
      </c>
      <c r="E16" s="22"/>
      <c r="F16" s="41" t="s">
        <v>7</v>
      </c>
      <c r="G16" s="42">
        <v>1</v>
      </c>
      <c r="H16" s="23" t="str">
        <f>$E$1</f>
        <v>GROEP A</v>
      </c>
      <c r="I16" s="22"/>
      <c r="J16" s="23"/>
      <c r="K16" s="23"/>
      <c r="L16" s="23"/>
      <c r="M16" s="17"/>
      <c r="N16" s="54" t="s">
        <v>14</v>
      </c>
      <c r="O16" s="54" t="s">
        <v>15</v>
      </c>
      <c r="P16" s="55" t="s">
        <v>17</v>
      </c>
      <c r="Q16" s="56" t="s">
        <v>18</v>
      </c>
      <c r="R16" s="56"/>
      <c r="S16" s="56"/>
      <c r="T16" s="27"/>
      <c r="U16" s="27"/>
      <c r="V16" s="69" t="s">
        <v>39</v>
      </c>
      <c r="W16" s="68" t="s">
        <v>4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</row>
    <row r="17" spans="1:45" ht="6.95" customHeight="1" x14ac:dyDescent="0.25">
      <c r="D17" s="3"/>
      <c r="E17" s="4"/>
      <c r="F17" s="4"/>
      <c r="G17" s="4"/>
      <c r="H17" s="4"/>
      <c r="I17" s="4"/>
      <c r="J17" s="13"/>
      <c r="K17" s="13"/>
      <c r="L17" s="13"/>
      <c r="M17" s="5"/>
      <c r="P17" s="55"/>
      <c r="Q17" s="55"/>
      <c r="R17" s="55"/>
      <c r="S17" s="55"/>
      <c r="T17"/>
      <c r="U17"/>
      <c r="V17" s="1"/>
      <c r="W17" s="1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x14ac:dyDescent="0.25">
      <c r="A18" s="54">
        <v>1</v>
      </c>
      <c r="B18" s="54">
        <v>10</v>
      </c>
      <c r="C18" s="55">
        <f>IF(AND(ISNUMBER(J18),ISNUMBER(L18)),1,0)</f>
        <v>1</v>
      </c>
      <c r="D18" s="136">
        <v>1</v>
      </c>
      <c r="E18" s="137"/>
      <c r="F18" s="2" t="str">
        <f>VLOOKUP(A18,$E$4:$F$13,2,FALSE)</f>
        <v>Govert van der Weijden</v>
      </c>
      <c r="G18" s="7" t="s">
        <v>1</v>
      </c>
      <c r="H18" s="2" t="str">
        <f>VLOOKUP(B18,$E$4:$F$13,2,FALSE)</f>
        <v>Niels van Wolfswinkel</v>
      </c>
      <c r="I18" s="2"/>
      <c r="J18" s="14">
        <v>1</v>
      </c>
      <c r="K18" s="20"/>
      <c r="L18" s="14">
        <v>0</v>
      </c>
      <c r="M18" s="8"/>
      <c r="N18" s="54">
        <v>0</v>
      </c>
      <c r="O18" s="54">
        <v>0</v>
      </c>
      <c r="P18" s="55">
        <f>J18*O18</f>
        <v>0</v>
      </c>
      <c r="Q18" s="55">
        <f>L18*N18</f>
        <v>0</v>
      </c>
      <c r="R18" s="55">
        <f>A18*100+B18</f>
        <v>110</v>
      </c>
      <c r="S18" s="55">
        <f>B18*100+A18</f>
        <v>1001</v>
      </c>
      <c r="T18"/>
      <c r="U18"/>
      <c r="V18" s="1" t="s">
        <v>40</v>
      </c>
      <c r="W18" s="18" t="s">
        <v>41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ht="6.95" customHeight="1" x14ac:dyDescent="0.25">
      <c r="D19" s="6"/>
      <c r="E19" s="19"/>
      <c r="F19" s="2"/>
      <c r="G19" s="7"/>
      <c r="H19" s="2"/>
      <c r="I19" s="2"/>
      <c r="J19" s="20"/>
      <c r="K19" s="20"/>
      <c r="L19" s="20"/>
      <c r="M19" s="8"/>
      <c r="P19" s="55"/>
      <c r="Q19" s="55"/>
      <c r="R19" s="55"/>
      <c r="S19" s="55"/>
      <c r="T19"/>
      <c r="U19"/>
      <c r="V19" s="1"/>
      <c r="W19" s="1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25">
      <c r="A20" s="54">
        <v>2</v>
      </c>
      <c r="B20" s="54">
        <v>9</v>
      </c>
      <c r="C20" s="55">
        <f>IF(AND(ISNUMBER(J20),ISNUMBER(L20)),1,0)</f>
        <v>1</v>
      </c>
      <c r="D20" s="136">
        <v>2</v>
      </c>
      <c r="E20" s="137"/>
      <c r="F20" s="2" t="str">
        <f t="shared" ref="F20:F26" si="31">VLOOKUP(A20,$E$4:$F$13,2,FALSE)</f>
        <v>Mike van der Gijp van Bergen</v>
      </c>
      <c r="G20" s="7" t="s">
        <v>1</v>
      </c>
      <c r="H20" s="2" t="str">
        <f t="shared" ref="H20:H26" si="32">VLOOKUP(B20,$E$4:$F$13,2,FALSE)</f>
        <v>Olivier van der Wijden</v>
      </c>
      <c r="I20" s="2"/>
      <c r="J20" s="14">
        <v>0</v>
      </c>
      <c r="K20" s="20"/>
      <c r="L20" s="14">
        <v>1</v>
      </c>
      <c r="M20" s="8"/>
      <c r="N20" s="54">
        <v>0</v>
      </c>
      <c r="O20" s="54">
        <v>0</v>
      </c>
      <c r="P20" s="55">
        <f>J20*O20</f>
        <v>0</v>
      </c>
      <c r="Q20" s="55">
        <f>L20*N20</f>
        <v>0</v>
      </c>
      <c r="R20" s="55">
        <f>A20*100+B20</f>
        <v>209</v>
      </c>
      <c r="S20" s="55">
        <f>B20*100+A20</f>
        <v>902</v>
      </c>
      <c r="T20"/>
      <c r="U20"/>
      <c r="V20" s="1" t="s">
        <v>42</v>
      </c>
      <c r="W20" s="18" t="s">
        <v>43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ht="6.95" customHeight="1" x14ac:dyDescent="0.25">
      <c r="D21" s="6"/>
      <c r="E21" s="19"/>
      <c r="F21" s="2"/>
      <c r="G21" s="7"/>
      <c r="H21" s="2"/>
      <c r="I21" s="2"/>
      <c r="J21" s="20"/>
      <c r="K21" s="20"/>
      <c r="L21" s="20"/>
      <c r="M21" s="8"/>
      <c r="P21" s="55"/>
      <c r="Q21" s="55"/>
      <c r="R21" s="55"/>
      <c r="S21" s="55"/>
      <c r="T21"/>
      <c r="U21"/>
      <c r="V21" s="1"/>
      <c r="W21" s="18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25">
      <c r="A22" s="54">
        <v>3</v>
      </c>
      <c r="B22" s="54">
        <v>8</v>
      </c>
      <c r="C22" s="55">
        <f>IF(AND(ISNUMBER(J22),ISNUMBER(L22)),1,0)</f>
        <v>1</v>
      </c>
      <c r="D22" s="136">
        <v>3</v>
      </c>
      <c r="E22" s="137"/>
      <c r="F22" s="2" t="str">
        <f t="shared" si="31"/>
        <v>Matthijs van Doodenweerd</v>
      </c>
      <c r="G22" s="7" t="s">
        <v>1</v>
      </c>
      <c r="H22" s="2" t="str">
        <f t="shared" si="32"/>
        <v>Emmanuael Klein Goldendijk</v>
      </c>
      <c r="I22" s="2"/>
      <c r="J22" s="14">
        <v>0</v>
      </c>
      <c r="K22" s="20"/>
      <c r="L22" s="14">
        <v>1</v>
      </c>
      <c r="M22" s="8"/>
      <c r="N22" s="54">
        <v>0</v>
      </c>
      <c r="O22" s="54">
        <v>0</v>
      </c>
      <c r="P22" s="55">
        <f>J22*O22</f>
        <v>0</v>
      </c>
      <c r="Q22" s="55">
        <f>L22*N22</f>
        <v>0</v>
      </c>
      <c r="R22" s="55">
        <f>A22*100+B22</f>
        <v>308</v>
      </c>
      <c r="S22" s="55">
        <f>B22*100+A22</f>
        <v>803</v>
      </c>
      <c r="T22"/>
      <c r="U22"/>
      <c r="V22" s="1" t="s">
        <v>44</v>
      </c>
      <c r="W22" s="18" t="s">
        <v>45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ht="6.95" customHeight="1" x14ac:dyDescent="0.25">
      <c r="D23" s="6"/>
      <c r="E23" s="19"/>
      <c r="F23" s="2"/>
      <c r="G23" s="7"/>
      <c r="H23" s="2"/>
      <c r="I23" s="2"/>
      <c r="J23" s="20"/>
      <c r="K23" s="20"/>
      <c r="L23" s="20"/>
      <c r="M23" s="8"/>
      <c r="P23" s="55"/>
      <c r="Q23" s="55"/>
      <c r="R23" s="55"/>
      <c r="S23" s="55"/>
      <c r="T23"/>
      <c r="U23"/>
      <c r="V23" s="1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25">
      <c r="A24" s="54">
        <v>4</v>
      </c>
      <c r="B24" s="54">
        <v>7</v>
      </c>
      <c r="C24" s="55">
        <f>IF(AND(ISNUMBER(J24),ISNUMBER(L24)),1,0)</f>
        <v>1</v>
      </c>
      <c r="D24" s="136">
        <v>4</v>
      </c>
      <c r="E24" s="137"/>
      <c r="F24" s="2" t="str">
        <f t="shared" si="31"/>
        <v>Floris van Capelleveen</v>
      </c>
      <c r="G24" s="7" t="s">
        <v>1</v>
      </c>
      <c r="H24" s="2" t="str">
        <f t="shared" si="32"/>
        <v>Mike van Bergen van der Gijp</v>
      </c>
      <c r="I24" s="2"/>
      <c r="J24" s="14">
        <v>0</v>
      </c>
      <c r="K24" s="20"/>
      <c r="L24" s="14">
        <v>1</v>
      </c>
      <c r="M24" s="8"/>
      <c r="N24" s="54">
        <v>0</v>
      </c>
      <c r="O24" s="54">
        <v>0</v>
      </c>
      <c r="P24" s="55">
        <f>J24*O24</f>
        <v>0</v>
      </c>
      <c r="Q24" s="55">
        <f>L24*N24</f>
        <v>0</v>
      </c>
      <c r="R24" s="55">
        <f>A24*100+B24</f>
        <v>407</v>
      </c>
      <c r="S24" s="55">
        <f>B24*100+A24</f>
        <v>704</v>
      </c>
      <c r="T24"/>
      <c r="U24"/>
      <c r="V24" s="1" t="s">
        <v>46</v>
      </c>
      <c r="W24" t="s">
        <v>47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ht="6.95" customHeight="1" x14ac:dyDescent="0.25">
      <c r="D25" s="6"/>
      <c r="E25" s="19"/>
      <c r="F25" s="2"/>
      <c r="G25" s="7"/>
      <c r="H25" s="2"/>
      <c r="I25" s="2"/>
      <c r="J25" s="20"/>
      <c r="K25" s="20"/>
      <c r="L25" s="20"/>
      <c r="M25" s="8"/>
      <c r="P25" s="55"/>
      <c r="Q25" s="55"/>
      <c r="R25" s="55"/>
      <c r="S25" s="55"/>
      <c r="T25"/>
      <c r="U25"/>
      <c r="V25" s="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25">
      <c r="A26" s="54">
        <v>5</v>
      </c>
      <c r="B26" s="54">
        <v>6</v>
      </c>
      <c r="C26" s="55">
        <f>IF(AND(ISNUMBER(J26),ISNUMBER(L26)),1,0)</f>
        <v>1</v>
      </c>
      <c r="D26" s="136">
        <v>5</v>
      </c>
      <c r="E26" s="137"/>
      <c r="F26" s="2" t="str">
        <f t="shared" si="31"/>
        <v>Luca Da Costa van den Werk</v>
      </c>
      <c r="G26" s="7" t="s">
        <v>1</v>
      </c>
      <c r="H26" s="2" t="str">
        <f t="shared" si="32"/>
        <v>Katja Tangarife Ramirez</v>
      </c>
      <c r="I26" s="2"/>
      <c r="J26" s="14">
        <v>0</v>
      </c>
      <c r="K26" s="20"/>
      <c r="L26" s="14">
        <v>1</v>
      </c>
      <c r="M26" s="8"/>
      <c r="N26" s="54">
        <v>0</v>
      </c>
      <c r="O26" s="54">
        <v>0</v>
      </c>
      <c r="P26" s="55">
        <f>J26*O26</f>
        <v>0</v>
      </c>
      <c r="Q26" s="55">
        <f>L26*N26</f>
        <v>0</v>
      </c>
      <c r="R26" s="55">
        <f>A26*100+B26</f>
        <v>506</v>
      </c>
      <c r="S26" s="55">
        <f>B26*100+A26</f>
        <v>605</v>
      </c>
      <c r="T26"/>
      <c r="U26"/>
      <c r="V26" s="1" t="s">
        <v>48</v>
      </c>
      <c r="W26" t="s">
        <v>5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ht="6.95" customHeight="1" x14ac:dyDescent="0.25">
      <c r="D27" s="9"/>
      <c r="E27" s="10"/>
      <c r="F27" s="10"/>
      <c r="G27" s="10"/>
      <c r="H27" s="10"/>
      <c r="I27" s="10"/>
      <c r="J27" s="59"/>
      <c r="K27" s="59"/>
      <c r="L27" s="59"/>
      <c r="M27" s="11"/>
      <c r="P27" s="55"/>
      <c r="Q27" s="55"/>
      <c r="R27" s="55"/>
      <c r="S27" s="55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ht="24.95" customHeight="1" x14ac:dyDescent="0.25">
      <c r="P28" s="55"/>
      <c r="Q28" s="55"/>
      <c r="R28" s="55"/>
      <c r="S28" s="55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ht="24.95" customHeight="1" x14ac:dyDescent="0.25">
      <c r="P29" s="55"/>
      <c r="Q29" s="55"/>
      <c r="R29" s="55"/>
      <c r="S29" s="55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25">
      <c r="D30" s="21" t="s">
        <v>8</v>
      </c>
      <c r="E30" s="22"/>
      <c r="F30" s="41" t="s">
        <v>7</v>
      </c>
      <c r="G30" s="42">
        <v>2</v>
      </c>
      <c r="H30" s="23" t="str">
        <f>$E$1</f>
        <v>GROEP A</v>
      </c>
      <c r="I30" s="22"/>
      <c r="J30" s="23"/>
      <c r="K30" s="23"/>
      <c r="L30" s="23"/>
      <c r="M30" s="17"/>
      <c r="P30" s="55"/>
      <c r="Q30" s="55"/>
      <c r="R30" s="55"/>
      <c r="S30" s="55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ht="6.95" customHeight="1" x14ac:dyDescent="0.25">
      <c r="D31" s="3"/>
      <c r="E31" s="4"/>
      <c r="F31" s="4"/>
      <c r="G31" s="4"/>
      <c r="H31" s="4"/>
      <c r="I31" s="4"/>
      <c r="J31" s="13"/>
      <c r="K31" s="13"/>
      <c r="L31" s="13"/>
      <c r="M31" s="5"/>
      <c r="P31" s="55"/>
      <c r="Q31" s="55"/>
      <c r="R31" s="55"/>
      <c r="S31" s="55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25">
      <c r="A32" s="54">
        <v>10</v>
      </c>
      <c r="B32" s="54">
        <v>6</v>
      </c>
      <c r="C32" s="55">
        <f>IF(AND(ISNUMBER(J32),ISNUMBER(L32)),1,0)</f>
        <v>1</v>
      </c>
      <c r="D32" s="136">
        <v>1</v>
      </c>
      <c r="E32" s="137"/>
      <c r="F32" s="2" t="str">
        <f>VLOOKUP(A32,$E$4:$F$13,2,FALSE)</f>
        <v>Niels van Wolfswinkel</v>
      </c>
      <c r="G32" s="7" t="s">
        <v>1</v>
      </c>
      <c r="H32" s="2" t="str">
        <f>VLOOKUP(B32,$E$4:$F$13,2,FALSE)</f>
        <v>Katja Tangarife Ramirez</v>
      </c>
      <c r="I32" s="2"/>
      <c r="J32" s="14">
        <v>0</v>
      </c>
      <c r="K32" s="20"/>
      <c r="L32" s="14">
        <v>1</v>
      </c>
      <c r="M32" s="8"/>
      <c r="N32" s="54">
        <f>VLOOKUP(A32,$AT$4:$BM$13,3,FALSE)</f>
        <v>0</v>
      </c>
      <c r="O32" s="54">
        <f>VLOOKUP(B32,$AT$4:$BM$13,3,FALSE)</f>
        <v>1</v>
      </c>
      <c r="P32" s="55">
        <f>J32*O32</f>
        <v>0</v>
      </c>
      <c r="Q32" s="55">
        <f>L32*N32</f>
        <v>0</v>
      </c>
      <c r="R32" s="55">
        <f>A32*100+B32</f>
        <v>1006</v>
      </c>
      <c r="S32" s="55">
        <f>B32*100+A32</f>
        <v>610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1:45" ht="6.95" customHeight="1" x14ac:dyDescent="0.25">
      <c r="D33" s="6"/>
      <c r="E33" s="19"/>
      <c r="F33" s="2"/>
      <c r="G33" s="7"/>
      <c r="H33" s="2"/>
      <c r="I33" s="2"/>
      <c r="J33" s="20"/>
      <c r="K33" s="20"/>
      <c r="L33" s="20"/>
      <c r="M33" s="8"/>
      <c r="P33" s="55"/>
      <c r="Q33" s="55"/>
      <c r="R33" s="55"/>
      <c r="S33" s="55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1:45" x14ac:dyDescent="0.25">
      <c r="A34" s="54">
        <v>7</v>
      </c>
      <c r="B34" s="54">
        <v>5</v>
      </c>
      <c r="C34" s="55">
        <f>IF(AND(ISNUMBER(J34),ISNUMBER(L34)),1,0)</f>
        <v>1</v>
      </c>
      <c r="D34" s="136">
        <v>2</v>
      </c>
      <c r="E34" s="137"/>
      <c r="F34" s="2" t="str">
        <f>VLOOKUP(A34,$E$4:$F$13,2,FALSE)</f>
        <v>Mike van Bergen van der Gijp</v>
      </c>
      <c r="G34" s="7" t="s">
        <v>1</v>
      </c>
      <c r="H34" s="2" t="str">
        <f>VLOOKUP(B34,$E$4:$F$13,2,FALSE)</f>
        <v>Luca Da Costa van den Werk</v>
      </c>
      <c r="I34" s="2"/>
      <c r="J34" s="14">
        <v>0</v>
      </c>
      <c r="K34" s="20"/>
      <c r="L34" s="14">
        <v>1</v>
      </c>
      <c r="M34" s="8"/>
      <c r="N34" s="54">
        <f>VLOOKUP(A34,$AT$4:$BM$13,3,FALSE)</f>
        <v>1</v>
      </c>
      <c r="O34" s="54">
        <f>VLOOKUP(B34,$AT$4:$BM$13,3,FALSE)</f>
        <v>0</v>
      </c>
      <c r="P34" s="55">
        <f>J34*O34</f>
        <v>0</v>
      </c>
      <c r="Q34" s="55">
        <f>L34*N34</f>
        <v>1</v>
      </c>
      <c r="R34" s="55">
        <f>A34*100+B34</f>
        <v>705</v>
      </c>
      <c r="S34" s="55">
        <f>B34*100+A34</f>
        <v>507</v>
      </c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45" ht="6.95" customHeight="1" x14ac:dyDescent="0.25">
      <c r="D35" s="6"/>
      <c r="E35" s="19"/>
      <c r="F35" s="2"/>
      <c r="G35" s="7"/>
      <c r="H35" s="2"/>
      <c r="I35" s="2"/>
      <c r="J35" s="20"/>
      <c r="K35" s="20"/>
      <c r="L35" s="20"/>
      <c r="M35" s="8"/>
      <c r="P35" s="55"/>
      <c r="Q35" s="55"/>
      <c r="R35" s="55"/>
      <c r="S35" s="5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x14ac:dyDescent="0.25">
      <c r="A36" s="54">
        <v>8</v>
      </c>
      <c r="B36" s="54">
        <v>4</v>
      </c>
      <c r="C36" s="55">
        <f>IF(AND(ISNUMBER(J36),ISNUMBER(L36)),1,0)</f>
        <v>1</v>
      </c>
      <c r="D36" s="136">
        <v>3</v>
      </c>
      <c r="E36" s="137"/>
      <c r="F36" s="2" t="str">
        <f>VLOOKUP(A36,$E$4:$F$13,2,FALSE)</f>
        <v>Emmanuael Klein Goldendijk</v>
      </c>
      <c r="G36" s="7" t="s">
        <v>1</v>
      </c>
      <c r="H36" s="2" t="str">
        <f>VLOOKUP(B36,$E$4:$F$13,2,FALSE)</f>
        <v>Floris van Capelleveen</v>
      </c>
      <c r="I36" s="2"/>
      <c r="J36" s="14">
        <v>1</v>
      </c>
      <c r="K36" s="20"/>
      <c r="L36" s="14">
        <v>0</v>
      </c>
      <c r="M36" s="8"/>
      <c r="N36" s="54">
        <f>VLOOKUP(A36,$AT$4:$BM$13,3,FALSE)</f>
        <v>1</v>
      </c>
      <c r="O36" s="54">
        <f>VLOOKUP(B36,$AT$4:$BM$13,3,FALSE)</f>
        <v>0</v>
      </c>
      <c r="P36" s="55">
        <f>J36*O36</f>
        <v>0</v>
      </c>
      <c r="Q36" s="55">
        <f>L36*N36</f>
        <v>0</v>
      </c>
      <c r="R36" s="55">
        <f>A36*100+B36</f>
        <v>804</v>
      </c>
      <c r="S36" s="55">
        <f>B36*100+A36</f>
        <v>408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1:45" ht="6.95" customHeight="1" x14ac:dyDescent="0.25">
      <c r="D37" s="6"/>
      <c r="E37" s="19"/>
      <c r="F37" s="2"/>
      <c r="G37" s="7"/>
      <c r="H37" s="2"/>
      <c r="I37" s="2"/>
      <c r="J37" s="20"/>
      <c r="K37" s="20"/>
      <c r="L37" s="20"/>
      <c r="M37" s="8"/>
      <c r="P37" s="55"/>
      <c r="Q37" s="55"/>
      <c r="R37" s="55"/>
      <c r="S37" s="55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45" x14ac:dyDescent="0.25">
      <c r="A38" s="54">
        <v>9</v>
      </c>
      <c r="B38" s="54">
        <v>3</v>
      </c>
      <c r="C38" s="55">
        <f>IF(AND(ISNUMBER(J38),ISNUMBER(L38)),1,0)</f>
        <v>1</v>
      </c>
      <c r="D38" s="136">
        <v>4</v>
      </c>
      <c r="E38" s="137"/>
      <c r="F38" s="2" t="str">
        <f>VLOOKUP(A38,$E$4:$F$13,2,FALSE)</f>
        <v>Olivier van der Wijden</v>
      </c>
      <c r="G38" s="7" t="s">
        <v>1</v>
      </c>
      <c r="H38" s="2" t="str">
        <f>VLOOKUP(B38,$E$4:$F$13,2,FALSE)</f>
        <v>Matthijs van Doodenweerd</v>
      </c>
      <c r="I38" s="2"/>
      <c r="J38" s="14">
        <v>1</v>
      </c>
      <c r="K38" s="20"/>
      <c r="L38" s="14">
        <v>0</v>
      </c>
      <c r="M38" s="8"/>
      <c r="N38" s="54">
        <f>VLOOKUP(A38,$AT$4:$BM$13,3,FALSE)</f>
        <v>1</v>
      </c>
      <c r="O38" s="54">
        <f>VLOOKUP(B38,$AT$4:$BM$13,3,FALSE)</f>
        <v>0</v>
      </c>
      <c r="P38" s="55">
        <f>J38*O38</f>
        <v>0</v>
      </c>
      <c r="Q38" s="55">
        <f>L38*N38</f>
        <v>0</v>
      </c>
      <c r="R38" s="55">
        <f>A38*100+B38</f>
        <v>903</v>
      </c>
      <c r="S38" s="55">
        <f>B38*100+A38</f>
        <v>309</v>
      </c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45" ht="6.95" customHeight="1" x14ac:dyDescent="0.25">
      <c r="D39" s="6"/>
      <c r="E39" s="19"/>
      <c r="F39" s="2"/>
      <c r="G39" s="7"/>
      <c r="H39" s="2"/>
      <c r="I39" s="2"/>
      <c r="J39" s="20"/>
      <c r="K39" s="20"/>
      <c r="L39" s="20"/>
      <c r="M39" s="8"/>
      <c r="P39" s="55"/>
      <c r="Q39" s="55"/>
      <c r="R39" s="55"/>
      <c r="S39" s="55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45" x14ac:dyDescent="0.25">
      <c r="A40" s="54">
        <v>1</v>
      </c>
      <c r="B40" s="54">
        <v>2</v>
      </c>
      <c r="C40" s="55">
        <f>IF(AND(ISNUMBER(J40),ISNUMBER(L40)),1,0)</f>
        <v>1</v>
      </c>
      <c r="D40" s="136">
        <v>5</v>
      </c>
      <c r="E40" s="137"/>
      <c r="F40" s="2" t="str">
        <f>VLOOKUP(A40,$E$4:$F$13,2,FALSE)</f>
        <v>Govert van der Weijden</v>
      </c>
      <c r="G40" s="7" t="s">
        <v>1</v>
      </c>
      <c r="H40" s="2" t="str">
        <f>VLOOKUP(B40,$E$4:$F$13,2,FALSE)</f>
        <v>Mike van der Gijp van Bergen</v>
      </c>
      <c r="I40" s="2"/>
      <c r="J40" s="14">
        <v>1</v>
      </c>
      <c r="K40" s="20"/>
      <c r="L40" s="14">
        <v>0</v>
      </c>
      <c r="M40" s="8"/>
      <c r="N40" s="54">
        <f>VLOOKUP(A40,$AT$4:$BM$13,3,FALSE)</f>
        <v>1</v>
      </c>
      <c r="O40" s="54">
        <f>VLOOKUP(B40,$AT$4:$BM$13,3,FALSE)</f>
        <v>0</v>
      </c>
      <c r="P40" s="55">
        <f>J40*O40</f>
        <v>0</v>
      </c>
      <c r="Q40" s="55">
        <f>L40*N40</f>
        <v>0</v>
      </c>
      <c r="R40" s="55">
        <f>A40*100+B40</f>
        <v>102</v>
      </c>
      <c r="S40" s="55">
        <f>B40*100+A40</f>
        <v>201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45" ht="6.95" customHeight="1" x14ac:dyDescent="0.25">
      <c r="D41" s="9"/>
      <c r="E41" s="10"/>
      <c r="F41" s="10"/>
      <c r="G41" s="10"/>
      <c r="H41" s="10"/>
      <c r="I41" s="10"/>
      <c r="J41" s="59"/>
      <c r="K41" s="59"/>
      <c r="L41" s="59"/>
      <c r="M41" s="11"/>
      <c r="P41" s="55"/>
      <c r="Q41" s="55"/>
      <c r="R41" s="55"/>
      <c r="S41" s="55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1:45" ht="24.95" customHeight="1" x14ac:dyDescent="0.25">
      <c r="P42" s="55"/>
      <c r="Q42" s="55"/>
      <c r="R42" s="55"/>
      <c r="S42" s="55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1:45" ht="24.95" customHeight="1" x14ac:dyDescent="0.25">
      <c r="P43" s="55"/>
      <c r="Q43" s="55"/>
      <c r="R43" s="55"/>
      <c r="S43" s="55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45" x14ac:dyDescent="0.25">
      <c r="D44" s="21" t="s">
        <v>8</v>
      </c>
      <c r="E44" s="22"/>
      <c r="F44" s="41" t="s">
        <v>7</v>
      </c>
      <c r="G44" s="42">
        <v>3</v>
      </c>
      <c r="H44" s="23" t="str">
        <f>$E$1</f>
        <v>GROEP A</v>
      </c>
      <c r="I44" s="22"/>
      <c r="J44" s="23"/>
      <c r="K44" s="23"/>
      <c r="L44" s="23"/>
      <c r="M44" s="17"/>
      <c r="P44" s="55"/>
      <c r="Q44" s="55"/>
      <c r="R44" s="55"/>
      <c r="S44" s="55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1:45" ht="6.95" customHeight="1" x14ac:dyDescent="0.25">
      <c r="D45" s="3"/>
      <c r="E45" s="4"/>
      <c r="F45" s="4"/>
      <c r="G45" s="4"/>
      <c r="H45" s="4"/>
      <c r="I45" s="4"/>
      <c r="J45" s="13"/>
      <c r="K45" s="13"/>
      <c r="L45" s="13"/>
      <c r="M45" s="5"/>
      <c r="P45" s="55"/>
      <c r="Q45" s="55"/>
      <c r="R45" s="55"/>
      <c r="S45" s="5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 x14ac:dyDescent="0.25">
      <c r="A46" s="54">
        <v>2</v>
      </c>
      <c r="B46" s="54">
        <v>10</v>
      </c>
      <c r="C46" s="55">
        <f>IF(AND(ISNUMBER(J46),ISNUMBER(L46)),1,0)</f>
        <v>1</v>
      </c>
      <c r="D46" s="136">
        <v>1</v>
      </c>
      <c r="E46" s="137"/>
      <c r="F46" s="2" t="str">
        <f>VLOOKUP(A46,$E$4:$F$13,2,FALSE)</f>
        <v>Mike van der Gijp van Bergen</v>
      </c>
      <c r="G46" s="7" t="s">
        <v>1</v>
      </c>
      <c r="H46" s="2" t="str">
        <f>VLOOKUP(B46,$E$4:$F$13,2,FALSE)</f>
        <v>Niels van Wolfswinkel</v>
      </c>
      <c r="I46" s="2"/>
      <c r="J46" s="14">
        <v>1</v>
      </c>
      <c r="K46" s="20"/>
      <c r="L46" s="14">
        <v>0</v>
      </c>
      <c r="M46" s="8"/>
      <c r="N46" s="54">
        <f>VLOOKUP(A46,$AT$4:$BM$13,5,FALSE)</f>
        <v>0</v>
      </c>
      <c r="O46" s="54">
        <f>VLOOKUP(B46,$AT$4:$BM$13,5,FALSE)</f>
        <v>0</v>
      </c>
      <c r="P46" s="55">
        <f>J46*O46</f>
        <v>0</v>
      </c>
      <c r="Q46" s="55">
        <f>L46*N46</f>
        <v>0</v>
      </c>
      <c r="R46" s="55">
        <f>A46*100+B46</f>
        <v>210</v>
      </c>
      <c r="S46" s="55">
        <f>B46*100+A46</f>
        <v>1002</v>
      </c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 ht="6.95" customHeight="1" x14ac:dyDescent="0.25">
      <c r="D47" s="6"/>
      <c r="E47" s="19"/>
      <c r="F47" s="2"/>
      <c r="G47" s="7"/>
      <c r="H47" s="2"/>
      <c r="I47" s="2"/>
      <c r="J47" s="20"/>
      <c r="K47" s="20"/>
      <c r="L47" s="20"/>
      <c r="M47" s="8"/>
      <c r="P47" s="55"/>
      <c r="Q47" s="55"/>
      <c r="R47" s="55"/>
      <c r="S47" s="55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 x14ac:dyDescent="0.25">
      <c r="A48" s="54">
        <v>3</v>
      </c>
      <c r="B48" s="54">
        <v>1</v>
      </c>
      <c r="C48" s="55">
        <f>IF(AND(ISNUMBER(J48),ISNUMBER(L48)),1,0)</f>
        <v>1</v>
      </c>
      <c r="D48" s="136">
        <v>2</v>
      </c>
      <c r="E48" s="137"/>
      <c r="F48" s="2" t="str">
        <f>VLOOKUP(A48,$E$4:$F$13,2,FALSE)</f>
        <v>Matthijs van Doodenweerd</v>
      </c>
      <c r="G48" s="7" t="s">
        <v>1</v>
      </c>
      <c r="H48" s="2" t="str">
        <f>VLOOKUP(B48,$E$4:$F$13,2,FALSE)</f>
        <v>Govert van der Weijden</v>
      </c>
      <c r="I48" s="2"/>
      <c r="J48" s="14">
        <v>1</v>
      </c>
      <c r="K48" s="20"/>
      <c r="L48" s="14">
        <v>0</v>
      </c>
      <c r="M48" s="8"/>
      <c r="N48" s="54">
        <f>VLOOKUP(A48,$AT$4:$BM$13,5,FALSE)</f>
        <v>0</v>
      </c>
      <c r="O48" s="54">
        <f>VLOOKUP(B48,$AT$4:$BM$13,5,FALSE)</f>
        <v>2</v>
      </c>
      <c r="P48" s="55">
        <f>J48*O48</f>
        <v>2</v>
      </c>
      <c r="Q48" s="55">
        <f>L48*N48</f>
        <v>0</v>
      </c>
      <c r="R48" s="55">
        <f>A48*100+B48</f>
        <v>301</v>
      </c>
      <c r="S48" s="55">
        <f>B48*100+A48</f>
        <v>103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ht="6.95" customHeight="1" x14ac:dyDescent="0.25">
      <c r="D49" s="6"/>
      <c r="E49" s="19"/>
      <c r="F49" s="2"/>
      <c r="G49" s="7"/>
      <c r="H49" s="2"/>
      <c r="I49" s="2"/>
      <c r="J49" s="20"/>
      <c r="K49" s="20"/>
      <c r="L49" s="20"/>
      <c r="M49" s="8"/>
      <c r="P49" s="55"/>
      <c r="Q49" s="55"/>
      <c r="R49" s="55"/>
      <c r="S49" s="55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 s="54">
        <v>4</v>
      </c>
      <c r="B50" s="54">
        <v>9</v>
      </c>
      <c r="C50" s="55">
        <f>IF(AND(ISNUMBER(J50),ISNUMBER(L50)),1,0)</f>
        <v>1</v>
      </c>
      <c r="D50" s="136">
        <v>3</v>
      </c>
      <c r="E50" s="137"/>
      <c r="F50" s="2" t="str">
        <f>VLOOKUP(A50,$E$4:$F$13,2,FALSE)</f>
        <v>Floris van Capelleveen</v>
      </c>
      <c r="G50" s="7" t="s">
        <v>1</v>
      </c>
      <c r="H50" s="2" t="str">
        <f>VLOOKUP(B50,$E$4:$F$13,2,FALSE)</f>
        <v>Olivier van der Wijden</v>
      </c>
      <c r="I50" s="2"/>
      <c r="J50" s="14">
        <v>1</v>
      </c>
      <c r="K50" s="20"/>
      <c r="L50" s="14">
        <v>0</v>
      </c>
      <c r="M50" s="8"/>
      <c r="N50" s="54">
        <f>VLOOKUP(A50,$AT$4:$BM$13,5,FALSE)</f>
        <v>0</v>
      </c>
      <c r="O50" s="54">
        <f>VLOOKUP(B50,$AT$4:$BM$13,5,FALSE)</f>
        <v>2</v>
      </c>
      <c r="P50" s="55">
        <f>J50*O50</f>
        <v>2</v>
      </c>
      <c r="Q50" s="55">
        <f>L50*N50</f>
        <v>0</v>
      </c>
      <c r="R50" s="55">
        <f>A50*100+B50</f>
        <v>409</v>
      </c>
      <c r="S50" s="55">
        <f>B50*100+A50</f>
        <v>904</v>
      </c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ht="6.95" customHeight="1" x14ac:dyDescent="0.25">
      <c r="D51" s="6"/>
      <c r="E51" s="19"/>
      <c r="F51" s="2"/>
      <c r="G51" s="7"/>
      <c r="H51" s="2"/>
      <c r="I51" s="2"/>
      <c r="J51" s="20"/>
      <c r="K51" s="20"/>
      <c r="L51" s="20"/>
      <c r="M51" s="8"/>
      <c r="P51" s="55"/>
      <c r="Q51" s="55"/>
      <c r="R51" s="55"/>
      <c r="S51" s="55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 s="54">
        <v>5</v>
      </c>
      <c r="B52" s="54">
        <v>8</v>
      </c>
      <c r="C52" s="55">
        <f>IF(AND(ISNUMBER(J52),ISNUMBER(L52)),1,0)</f>
        <v>1</v>
      </c>
      <c r="D52" s="136">
        <v>4</v>
      </c>
      <c r="E52" s="137"/>
      <c r="F52" s="2" t="str">
        <f>VLOOKUP(A52,$E$4:$F$13,2,FALSE)</f>
        <v>Luca Da Costa van den Werk</v>
      </c>
      <c r="G52" s="7" t="s">
        <v>1</v>
      </c>
      <c r="H52" s="2" t="str">
        <f>VLOOKUP(B52,$E$4:$F$13,2,FALSE)</f>
        <v>Emmanuael Klein Goldendijk</v>
      </c>
      <c r="I52" s="2"/>
      <c r="J52" s="14">
        <v>1</v>
      </c>
      <c r="K52" s="20"/>
      <c r="L52" s="14">
        <v>0</v>
      </c>
      <c r="M52" s="8"/>
      <c r="N52" s="54">
        <f>VLOOKUP(A52,$AT$4:$BM$13,5,FALSE)</f>
        <v>1</v>
      </c>
      <c r="O52" s="54">
        <f>VLOOKUP(B52,$AT$4:$BM$13,5,FALSE)</f>
        <v>2</v>
      </c>
      <c r="P52" s="55">
        <f>J52*O52</f>
        <v>2</v>
      </c>
      <c r="Q52" s="55">
        <f>L52*N52</f>
        <v>0</v>
      </c>
      <c r="R52" s="55">
        <f>A52*100+B52</f>
        <v>508</v>
      </c>
      <c r="S52" s="55">
        <f>B52*100+A52</f>
        <v>805</v>
      </c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ht="6.95" customHeight="1" x14ac:dyDescent="0.25">
      <c r="D53" s="6"/>
      <c r="E53" s="19"/>
      <c r="F53" s="2"/>
      <c r="G53" s="7"/>
      <c r="H53" s="2"/>
      <c r="I53" s="2"/>
      <c r="J53" s="20"/>
      <c r="K53" s="20"/>
      <c r="L53" s="20"/>
      <c r="M53" s="8"/>
      <c r="P53" s="55"/>
      <c r="Q53" s="55"/>
      <c r="R53" s="55"/>
      <c r="S53" s="55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 s="54">
        <v>6</v>
      </c>
      <c r="B54" s="54">
        <v>7</v>
      </c>
      <c r="C54" s="55">
        <f>IF(AND(ISNUMBER(J54),ISNUMBER(L54)),1,0)</f>
        <v>1</v>
      </c>
      <c r="D54" s="136">
        <v>5</v>
      </c>
      <c r="E54" s="137"/>
      <c r="F54" s="2" t="str">
        <f>VLOOKUP(A54,$E$4:$F$13,2,FALSE)</f>
        <v>Katja Tangarife Ramirez</v>
      </c>
      <c r="G54" s="7" t="s">
        <v>1</v>
      </c>
      <c r="H54" s="2" t="str">
        <f>VLOOKUP(B54,$E$4:$F$13,2,FALSE)</f>
        <v>Mike van Bergen van der Gijp</v>
      </c>
      <c r="I54" s="2"/>
      <c r="J54" s="14">
        <v>1</v>
      </c>
      <c r="K54" s="20"/>
      <c r="L54" s="14">
        <v>0</v>
      </c>
      <c r="M54" s="8"/>
      <c r="N54" s="54">
        <f>VLOOKUP(A54,$AT$4:$BM$13,5,FALSE)</f>
        <v>2</v>
      </c>
      <c r="O54" s="54">
        <f>VLOOKUP(B54,$AT$4:$BM$13,5,FALSE)</f>
        <v>1</v>
      </c>
      <c r="P54" s="55">
        <f>J54*O54</f>
        <v>1</v>
      </c>
      <c r="Q54" s="55">
        <f>L54*N54</f>
        <v>0</v>
      </c>
      <c r="R54" s="55">
        <f>A54*100+B54</f>
        <v>607</v>
      </c>
      <c r="S54" s="55">
        <f>B54*100+A54</f>
        <v>706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ht="6.95" customHeight="1" x14ac:dyDescent="0.25">
      <c r="D55" s="9"/>
      <c r="E55" s="10"/>
      <c r="F55" s="10"/>
      <c r="G55" s="10"/>
      <c r="H55" s="10"/>
      <c r="I55" s="10"/>
      <c r="J55" s="59"/>
      <c r="K55" s="59"/>
      <c r="L55" s="59"/>
      <c r="M55" s="11"/>
      <c r="P55" s="55"/>
      <c r="Q55" s="55"/>
      <c r="R55" s="55"/>
      <c r="S55" s="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ht="24.95" customHeight="1" x14ac:dyDescent="0.25">
      <c r="P56" s="55"/>
      <c r="Q56" s="55"/>
      <c r="R56" s="55"/>
      <c r="S56" s="55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24.95" customHeight="1" x14ac:dyDescent="0.25">
      <c r="P57" s="55"/>
      <c r="Q57" s="55"/>
      <c r="R57" s="55"/>
      <c r="S57" s="55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D58" s="21" t="s">
        <v>8</v>
      </c>
      <c r="E58" s="22"/>
      <c r="F58" s="41" t="s">
        <v>7</v>
      </c>
      <c r="G58" s="42">
        <v>4</v>
      </c>
      <c r="H58" s="23" t="str">
        <f>$E$1</f>
        <v>GROEP A</v>
      </c>
      <c r="I58" s="22"/>
      <c r="J58" s="23"/>
      <c r="K58" s="23"/>
      <c r="L58" s="23"/>
      <c r="M58" s="17"/>
      <c r="P58" s="55"/>
      <c r="Q58" s="55"/>
      <c r="R58" s="55"/>
      <c r="S58" s="55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6.95" customHeight="1" x14ac:dyDescent="0.25">
      <c r="D59" s="3"/>
      <c r="E59" s="4"/>
      <c r="F59" s="4"/>
      <c r="G59" s="4"/>
      <c r="H59" s="4"/>
      <c r="I59" s="4"/>
      <c r="J59" s="13"/>
      <c r="K59" s="13"/>
      <c r="L59" s="13"/>
      <c r="M59" s="5"/>
      <c r="P59" s="55"/>
      <c r="Q59" s="55"/>
      <c r="R59" s="55"/>
      <c r="S59" s="55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 s="54">
        <v>10</v>
      </c>
      <c r="B60" s="54">
        <v>7</v>
      </c>
      <c r="C60" s="55">
        <f>IF(AND(ISNUMBER(J60),ISNUMBER(L60)),1,0)</f>
        <v>1</v>
      </c>
      <c r="D60" s="136">
        <v>1</v>
      </c>
      <c r="E60" s="137"/>
      <c r="F60" s="2" t="str">
        <f>VLOOKUP(A60,$E$4:$F$13,2,FALSE)</f>
        <v>Niels van Wolfswinkel</v>
      </c>
      <c r="G60" s="7" t="s">
        <v>1</v>
      </c>
      <c r="H60" s="2" t="str">
        <f>VLOOKUP(B60,$E$4:$F$13,2,FALSE)</f>
        <v>Mike van Bergen van der Gijp</v>
      </c>
      <c r="I60" s="2"/>
      <c r="J60" s="14">
        <v>1</v>
      </c>
      <c r="K60" s="20"/>
      <c r="L60" s="14">
        <v>0</v>
      </c>
      <c r="M60" s="8"/>
      <c r="N60" s="54">
        <f>VLOOKUP(A60,$AT$4:$BM$13,7,FALSE)</f>
        <v>0</v>
      </c>
      <c r="O60" s="54">
        <f>VLOOKUP(B60,$AT$4:$BM$13,7,FALSE)</f>
        <v>1</v>
      </c>
      <c r="P60" s="55">
        <f>J60*O60</f>
        <v>1</v>
      </c>
      <c r="Q60" s="55">
        <f>L60*N60</f>
        <v>0</v>
      </c>
      <c r="R60" s="55">
        <f>A60*100+B60</f>
        <v>1007</v>
      </c>
      <c r="S60" s="55">
        <f>B60*100+A60</f>
        <v>710</v>
      </c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6.95" customHeight="1" x14ac:dyDescent="0.25">
      <c r="D61" s="6"/>
      <c r="E61" s="19"/>
      <c r="F61" s="2"/>
      <c r="G61" s="7"/>
      <c r="H61" s="2"/>
      <c r="I61" s="2"/>
      <c r="J61" s="20"/>
      <c r="K61" s="20"/>
      <c r="L61" s="20"/>
      <c r="M61" s="8"/>
      <c r="P61" s="55"/>
      <c r="Q61" s="55"/>
      <c r="R61" s="55"/>
      <c r="S61" s="55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 s="54">
        <v>8</v>
      </c>
      <c r="B62" s="54">
        <v>6</v>
      </c>
      <c r="C62" s="55">
        <f>IF(AND(ISNUMBER(J62),ISNUMBER(L62)),1,0)</f>
        <v>1</v>
      </c>
      <c r="D62" s="136">
        <v>2</v>
      </c>
      <c r="E62" s="137"/>
      <c r="F62" s="2" t="str">
        <f>VLOOKUP(A62,$E$4:$F$13,2,FALSE)</f>
        <v>Emmanuael Klein Goldendijk</v>
      </c>
      <c r="G62" s="7" t="s">
        <v>1</v>
      </c>
      <c r="H62" s="2" t="str">
        <f>VLOOKUP(B62,$E$4:$F$13,2,FALSE)</f>
        <v>Katja Tangarife Ramirez</v>
      </c>
      <c r="I62" s="2"/>
      <c r="J62" s="14">
        <v>1</v>
      </c>
      <c r="K62" s="20"/>
      <c r="L62" s="14">
        <v>0</v>
      </c>
      <c r="M62" s="8"/>
      <c r="N62" s="54">
        <f>VLOOKUP(A62,$AT$4:$BM$13,7,FALSE)</f>
        <v>2</v>
      </c>
      <c r="O62" s="54">
        <f>VLOOKUP(B62,$AT$4:$BM$13,7,FALSE)</f>
        <v>3</v>
      </c>
      <c r="P62" s="55">
        <f>J62*O62</f>
        <v>3</v>
      </c>
      <c r="Q62" s="55">
        <f>L62*N62</f>
        <v>0</v>
      </c>
      <c r="R62" s="55">
        <f>A62*100+B62</f>
        <v>806</v>
      </c>
      <c r="S62" s="55">
        <f>B62*100+A62</f>
        <v>608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6.95" customHeight="1" x14ac:dyDescent="0.25">
      <c r="D63" s="6"/>
      <c r="E63" s="19"/>
      <c r="F63" s="2"/>
      <c r="G63" s="7"/>
      <c r="H63" s="2"/>
      <c r="I63" s="2"/>
      <c r="J63" s="20"/>
      <c r="K63" s="20"/>
      <c r="L63" s="20"/>
      <c r="M63" s="8"/>
      <c r="P63" s="55"/>
      <c r="Q63" s="55"/>
      <c r="R63" s="55"/>
      <c r="S63" s="55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 s="54">
        <v>9</v>
      </c>
      <c r="B64" s="54">
        <v>5</v>
      </c>
      <c r="C64" s="55">
        <f>IF(AND(ISNUMBER(J64),ISNUMBER(L64)),1,0)</f>
        <v>1</v>
      </c>
      <c r="D64" s="136">
        <v>3</v>
      </c>
      <c r="E64" s="137"/>
      <c r="F64" s="2" t="str">
        <f>VLOOKUP(A64,$E$4:$F$13,2,FALSE)</f>
        <v>Olivier van der Wijden</v>
      </c>
      <c r="G64" s="7" t="s">
        <v>1</v>
      </c>
      <c r="H64" s="2" t="str">
        <f>VLOOKUP(B64,$E$4:$F$13,2,FALSE)</f>
        <v>Luca Da Costa van den Werk</v>
      </c>
      <c r="I64" s="2"/>
      <c r="J64" s="14">
        <v>1</v>
      </c>
      <c r="K64" s="20"/>
      <c r="L64" s="14">
        <v>0</v>
      </c>
      <c r="M64" s="8"/>
      <c r="N64" s="54">
        <f>VLOOKUP(A64,$AT$4:$BM$13,7,FALSE)</f>
        <v>2</v>
      </c>
      <c r="O64" s="54">
        <f>VLOOKUP(B64,$AT$4:$BM$13,7,FALSE)</f>
        <v>2</v>
      </c>
      <c r="P64" s="55">
        <f>J64*O64</f>
        <v>2</v>
      </c>
      <c r="Q64" s="55">
        <f>L64*N64</f>
        <v>0</v>
      </c>
      <c r="R64" s="55">
        <f>A64*100+B64</f>
        <v>905</v>
      </c>
      <c r="S64" s="55">
        <f>B64*100+A64</f>
        <v>509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6.95" customHeight="1" x14ac:dyDescent="0.25">
      <c r="D65" s="6"/>
      <c r="E65" s="19"/>
      <c r="F65" s="2"/>
      <c r="G65" s="7"/>
      <c r="H65" s="2"/>
      <c r="I65" s="2"/>
      <c r="J65" s="20"/>
      <c r="K65" s="20"/>
      <c r="L65" s="20"/>
      <c r="M65" s="8"/>
      <c r="P65" s="55"/>
      <c r="Q65" s="55"/>
      <c r="R65" s="55"/>
      <c r="S65" s="5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 s="54">
        <v>1</v>
      </c>
      <c r="B66" s="54">
        <v>4</v>
      </c>
      <c r="C66" s="55">
        <f>IF(AND(ISNUMBER(J66),ISNUMBER(L66)),1,0)</f>
        <v>1</v>
      </c>
      <c r="D66" s="136">
        <v>4</v>
      </c>
      <c r="E66" s="137"/>
      <c r="F66" s="2" t="str">
        <f>VLOOKUP(A66,$E$4:$F$13,2,FALSE)</f>
        <v>Govert van der Weijden</v>
      </c>
      <c r="G66" s="7" t="s">
        <v>1</v>
      </c>
      <c r="H66" s="2" t="str">
        <f>VLOOKUP(B66,$E$4:$F$13,2,FALSE)</f>
        <v>Floris van Capelleveen</v>
      </c>
      <c r="I66" s="2"/>
      <c r="J66" s="14">
        <v>1</v>
      </c>
      <c r="K66" s="20"/>
      <c r="L66" s="14">
        <v>0</v>
      </c>
      <c r="M66" s="8"/>
      <c r="N66" s="54">
        <f>VLOOKUP(A66,$AT$4:$BM$13,7,FALSE)</f>
        <v>2</v>
      </c>
      <c r="O66" s="54">
        <f>VLOOKUP(B66,$AT$4:$BM$13,7,FALSE)</f>
        <v>1</v>
      </c>
      <c r="P66" s="55">
        <f>J66*O66</f>
        <v>1</v>
      </c>
      <c r="Q66" s="55">
        <f>L66*N66</f>
        <v>0</v>
      </c>
      <c r="R66" s="55">
        <f>A66*100+B66</f>
        <v>104</v>
      </c>
      <c r="S66" s="55">
        <f>B66*100+A66</f>
        <v>401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6.95" customHeight="1" x14ac:dyDescent="0.25">
      <c r="D67" s="6"/>
      <c r="E67" s="19"/>
      <c r="F67" s="2"/>
      <c r="G67" s="7"/>
      <c r="H67" s="2"/>
      <c r="I67" s="2"/>
      <c r="J67" s="20"/>
      <c r="K67" s="20"/>
      <c r="L67" s="20"/>
      <c r="M67" s="8"/>
      <c r="P67" s="55"/>
      <c r="Q67" s="55"/>
      <c r="R67" s="55"/>
      <c r="S67" s="55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 s="54">
        <v>2</v>
      </c>
      <c r="B68" s="54">
        <v>3</v>
      </c>
      <c r="C68" s="55">
        <f>IF(AND(ISNUMBER(J68),ISNUMBER(L68)),1,0)</f>
        <v>1</v>
      </c>
      <c r="D68" s="136">
        <v>5</v>
      </c>
      <c r="E68" s="137"/>
      <c r="F68" s="2" t="str">
        <f>VLOOKUP(A68,$E$4:$F$13,2,FALSE)</f>
        <v>Mike van der Gijp van Bergen</v>
      </c>
      <c r="G68" s="7" t="s">
        <v>1</v>
      </c>
      <c r="H68" s="2" t="str">
        <f>VLOOKUP(B68,$E$4:$F$13,2,FALSE)</f>
        <v>Matthijs van Doodenweerd</v>
      </c>
      <c r="I68" s="2"/>
      <c r="J68" s="14">
        <v>1</v>
      </c>
      <c r="K68" s="20"/>
      <c r="L68" s="14">
        <v>0</v>
      </c>
      <c r="M68" s="8"/>
      <c r="N68" s="54">
        <f>VLOOKUP(A68,$AT$4:$BM$13,7,FALSE)</f>
        <v>1</v>
      </c>
      <c r="O68" s="54">
        <f>VLOOKUP(B68,$AT$4:$BM$13,7,FALSE)</f>
        <v>1</v>
      </c>
      <c r="P68" s="55">
        <f>J68*O68</f>
        <v>1</v>
      </c>
      <c r="Q68" s="55">
        <f>L68*N68</f>
        <v>0</v>
      </c>
      <c r="R68" s="55">
        <f>A68*100+B68</f>
        <v>203</v>
      </c>
      <c r="S68" s="55">
        <f>B68*100+A68</f>
        <v>302</v>
      </c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6.95" customHeight="1" x14ac:dyDescent="0.25">
      <c r="D69" s="9"/>
      <c r="E69" s="10"/>
      <c r="F69" s="10"/>
      <c r="G69" s="10"/>
      <c r="H69" s="10"/>
      <c r="I69" s="10"/>
      <c r="J69" s="59"/>
      <c r="K69" s="59"/>
      <c r="L69" s="59"/>
      <c r="M69" s="11"/>
      <c r="P69" s="55"/>
      <c r="Q69" s="55"/>
      <c r="R69" s="55"/>
      <c r="S69" s="55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24.95" customHeight="1" x14ac:dyDescent="0.25">
      <c r="P70" s="55"/>
      <c r="Q70" s="55"/>
      <c r="R70" s="55"/>
      <c r="S70" s="55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24.95" customHeight="1" x14ac:dyDescent="0.25">
      <c r="P71" s="55"/>
      <c r="Q71" s="55"/>
      <c r="R71" s="55"/>
      <c r="S71" s="55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D72" s="21" t="s">
        <v>8</v>
      </c>
      <c r="E72" s="22"/>
      <c r="F72" s="41" t="s">
        <v>7</v>
      </c>
      <c r="G72" s="42">
        <v>5</v>
      </c>
      <c r="H72" s="23" t="str">
        <f>$E$1</f>
        <v>GROEP A</v>
      </c>
      <c r="I72" s="22"/>
      <c r="J72" s="23"/>
      <c r="K72" s="23"/>
      <c r="L72" s="23"/>
      <c r="M72" s="17"/>
      <c r="P72" s="55"/>
      <c r="Q72" s="55"/>
      <c r="R72" s="55"/>
      <c r="S72" s="55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6.95" customHeight="1" x14ac:dyDescent="0.25">
      <c r="D73" s="3"/>
      <c r="E73" s="4"/>
      <c r="F73" s="4"/>
      <c r="G73" s="4"/>
      <c r="H73" s="4"/>
      <c r="I73" s="4"/>
      <c r="J73" s="13"/>
      <c r="K73" s="13"/>
      <c r="L73" s="13"/>
      <c r="M73" s="5"/>
      <c r="P73" s="55"/>
      <c r="Q73" s="55"/>
      <c r="R73" s="55"/>
      <c r="S73" s="55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 s="54">
        <v>3</v>
      </c>
      <c r="B74" s="54">
        <v>10</v>
      </c>
      <c r="C74" s="55">
        <f>IF(AND(ISNUMBER(J74),ISNUMBER(L74)),1,0)</f>
        <v>1</v>
      </c>
      <c r="D74" s="136">
        <v>1</v>
      </c>
      <c r="E74" s="137"/>
      <c r="F74" s="2" t="str">
        <f>VLOOKUP(A74,$E$4:$F$13,2,FALSE)</f>
        <v>Matthijs van Doodenweerd</v>
      </c>
      <c r="G74" s="7" t="s">
        <v>1</v>
      </c>
      <c r="H74" s="2" t="str">
        <f>VLOOKUP(B74,$E$4:$F$13,2,FALSE)</f>
        <v>Niels van Wolfswinkel</v>
      </c>
      <c r="I74" s="2"/>
      <c r="J74" s="14">
        <v>1</v>
      </c>
      <c r="K74" s="20"/>
      <c r="L74" s="14">
        <v>0</v>
      </c>
      <c r="M74" s="8"/>
      <c r="N74" s="54">
        <f>VLOOKUP(A74,$AT$4:$BM$13,9,FALSE)</f>
        <v>1</v>
      </c>
      <c r="O74" s="54">
        <f>VLOOKUP(B74,$AT$4:$BM$13,9,FALSE)</f>
        <v>1</v>
      </c>
      <c r="P74" s="55">
        <f>J74*O74</f>
        <v>1</v>
      </c>
      <c r="Q74" s="55">
        <f>L74*N74</f>
        <v>0</v>
      </c>
      <c r="R74" s="55">
        <f>A74*100+B74</f>
        <v>310</v>
      </c>
      <c r="S74" s="55">
        <f>B74*100+A74</f>
        <v>1003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6.95" customHeight="1" x14ac:dyDescent="0.25">
      <c r="D75" s="6"/>
      <c r="E75" s="19"/>
      <c r="F75" s="2"/>
      <c r="G75" s="7"/>
      <c r="H75" s="2"/>
      <c r="I75" s="2"/>
      <c r="J75" s="20"/>
      <c r="K75" s="20"/>
      <c r="L75" s="20"/>
      <c r="M75" s="8"/>
      <c r="P75" s="55"/>
      <c r="Q75" s="55"/>
      <c r="R75" s="55"/>
      <c r="S75" s="5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 s="54">
        <v>4</v>
      </c>
      <c r="B76" s="54">
        <v>2</v>
      </c>
      <c r="C76" s="55">
        <f>IF(AND(ISNUMBER(J76),ISNUMBER(L76)),1,0)</f>
        <v>1</v>
      </c>
      <c r="D76" s="136">
        <v>2</v>
      </c>
      <c r="E76" s="137"/>
      <c r="F76" s="2" t="str">
        <f>VLOOKUP(A76,$E$4:$F$13,2,FALSE)</f>
        <v>Floris van Capelleveen</v>
      </c>
      <c r="G76" s="7" t="s">
        <v>1</v>
      </c>
      <c r="H76" s="2" t="str">
        <f>VLOOKUP(B76,$E$4:$F$13,2,FALSE)</f>
        <v>Mike van der Gijp van Bergen</v>
      </c>
      <c r="I76" s="2"/>
      <c r="J76" s="14">
        <v>1</v>
      </c>
      <c r="K76" s="20"/>
      <c r="L76" s="14">
        <v>0</v>
      </c>
      <c r="M76" s="8"/>
      <c r="N76" s="54">
        <f>VLOOKUP(A76,$AT$4:$BM$13,9,FALSE)</f>
        <v>1</v>
      </c>
      <c r="O76" s="54">
        <f>VLOOKUP(B76,$AT$4:$BM$13,9,FALSE)</f>
        <v>2</v>
      </c>
      <c r="P76" s="55">
        <f>J76*O76</f>
        <v>2</v>
      </c>
      <c r="Q76" s="55">
        <f>L76*N76</f>
        <v>0</v>
      </c>
      <c r="R76" s="55">
        <f>A76*100+B76</f>
        <v>402</v>
      </c>
      <c r="S76" s="55">
        <f>B76*100+A76</f>
        <v>204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6.95" customHeight="1" x14ac:dyDescent="0.25">
      <c r="D77" s="6"/>
      <c r="E77" s="19"/>
      <c r="F77" s="2"/>
      <c r="G77" s="7"/>
      <c r="H77" s="2"/>
      <c r="I77" s="2"/>
      <c r="J77" s="20"/>
      <c r="K77" s="20"/>
      <c r="L77" s="20"/>
      <c r="M77" s="8"/>
      <c r="P77" s="55"/>
      <c r="Q77" s="55"/>
      <c r="R77" s="55"/>
      <c r="S77" s="55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 s="54">
        <v>5</v>
      </c>
      <c r="B78" s="54">
        <v>1</v>
      </c>
      <c r="C78" s="55">
        <f>IF(AND(ISNUMBER(J78),ISNUMBER(L78)),1,0)</f>
        <v>1</v>
      </c>
      <c r="D78" s="136">
        <v>3</v>
      </c>
      <c r="E78" s="137"/>
      <c r="F78" s="2" t="str">
        <f>VLOOKUP(A78,$E$4:$F$13,2,FALSE)</f>
        <v>Luca Da Costa van den Werk</v>
      </c>
      <c r="G78" s="7" t="s">
        <v>1</v>
      </c>
      <c r="H78" s="2" t="str">
        <f>VLOOKUP(B78,$E$4:$F$13,2,FALSE)</f>
        <v>Govert van der Weijden</v>
      </c>
      <c r="I78" s="2"/>
      <c r="J78" s="14">
        <v>1</v>
      </c>
      <c r="K78" s="20"/>
      <c r="L78" s="14">
        <v>0</v>
      </c>
      <c r="M78" s="8"/>
      <c r="N78" s="54">
        <f>VLOOKUP(A78,$AT$4:$BM$13,9,FALSE)</f>
        <v>2</v>
      </c>
      <c r="O78" s="54">
        <f>VLOOKUP(B78,$AT$4:$BM$13,9,FALSE)</f>
        <v>3</v>
      </c>
      <c r="P78" s="55">
        <f>J78*O78</f>
        <v>3</v>
      </c>
      <c r="Q78" s="55">
        <f>L78*N78</f>
        <v>0</v>
      </c>
      <c r="R78" s="55">
        <f>A78*100+B78</f>
        <v>501</v>
      </c>
      <c r="S78" s="55">
        <f>B78*100+A78</f>
        <v>105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6.95" customHeight="1" x14ac:dyDescent="0.25">
      <c r="D79" s="6"/>
      <c r="E79" s="19"/>
      <c r="F79" s="2"/>
      <c r="G79" s="7"/>
      <c r="H79" s="2"/>
      <c r="I79" s="2"/>
      <c r="J79" s="20"/>
      <c r="K79" s="20"/>
      <c r="L79" s="20"/>
      <c r="M79" s="8"/>
      <c r="P79" s="55"/>
      <c r="Q79" s="55"/>
      <c r="R79" s="55"/>
      <c r="S79" s="55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 s="54">
        <v>6</v>
      </c>
      <c r="B80" s="54">
        <v>9</v>
      </c>
      <c r="C80" s="55">
        <f>IF(AND(ISNUMBER(J80),ISNUMBER(L80)),1,0)</f>
        <v>1</v>
      </c>
      <c r="D80" s="136">
        <v>4</v>
      </c>
      <c r="E80" s="137"/>
      <c r="F80" s="2" t="str">
        <f>VLOOKUP(A80,$E$4:$F$13,2,FALSE)</f>
        <v>Katja Tangarife Ramirez</v>
      </c>
      <c r="G80" s="7" t="s">
        <v>1</v>
      </c>
      <c r="H80" s="2" t="str">
        <f>VLOOKUP(B80,$E$4:$F$13,2,FALSE)</f>
        <v>Olivier van der Wijden</v>
      </c>
      <c r="I80" s="2"/>
      <c r="J80" s="14">
        <v>1</v>
      </c>
      <c r="K80" s="20"/>
      <c r="L80" s="14">
        <v>0</v>
      </c>
      <c r="M80" s="8"/>
      <c r="N80" s="54">
        <f>VLOOKUP(A80,$AT$4:$BM$13,9,FALSE)</f>
        <v>3</v>
      </c>
      <c r="O80" s="54">
        <f>VLOOKUP(B80,$AT$4:$BM$13,9,FALSE)</f>
        <v>3</v>
      </c>
      <c r="P80" s="55">
        <f>J80*O80</f>
        <v>3</v>
      </c>
      <c r="Q80" s="55">
        <f>L80*N80</f>
        <v>0</v>
      </c>
      <c r="R80" s="55">
        <f>A80*100+B80</f>
        <v>609</v>
      </c>
      <c r="S80" s="55">
        <f>B80*100+A80</f>
        <v>906</v>
      </c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6.95" customHeight="1" x14ac:dyDescent="0.25">
      <c r="D81" s="6"/>
      <c r="E81" s="19"/>
      <c r="F81" s="2"/>
      <c r="G81" s="7"/>
      <c r="H81" s="2"/>
      <c r="I81" s="2"/>
      <c r="J81" s="20"/>
      <c r="K81" s="20"/>
      <c r="L81" s="20"/>
      <c r="M81" s="8"/>
      <c r="P81" s="55"/>
      <c r="Q81" s="55"/>
      <c r="R81" s="55"/>
      <c r="S81" s="55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 s="54">
        <v>7</v>
      </c>
      <c r="B82" s="54">
        <v>8</v>
      </c>
      <c r="C82" s="55">
        <f>IF(AND(ISNUMBER(J82),ISNUMBER(L82)),1,0)</f>
        <v>1</v>
      </c>
      <c r="D82" s="136">
        <v>5</v>
      </c>
      <c r="E82" s="137"/>
      <c r="F82" s="2" t="str">
        <f>VLOOKUP(A82,$E$4:$F$13,2,FALSE)</f>
        <v>Mike van Bergen van der Gijp</v>
      </c>
      <c r="G82" s="7" t="s">
        <v>1</v>
      </c>
      <c r="H82" s="2" t="str">
        <f>VLOOKUP(B82,$E$4:$F$13,2,FALSE)</f>
        <v>Emmanuael Klein Goldendijk</v>
      </c>
      <c r="I82" s="2"/>
      <c r="J82" s="14">
        <v>1</v>
      </c>
      <c r="K82" s="20"/>
      <c r="L82" s="14">
        <v>0</v>
      </c>
      <c r="M82" s="8"/>
      <c r="N82" s="54">
        <f>VLOOKUP(A82,$AT$4:$BM$13,9,FALSE)</f>
        <v>1</v>
      </c>
      <c r="O82" s="54">
        <f>VLOOKUP(B82,$AT$4:$BM$13,9,FALSE)</f>
        <v>3</v>
      </c>
      <c r="P82" s="55">
        <f>J82*O82</f>
        <v>3</v>
      </c>
      <c r="Q82" s="55">
        <f>L82*N82</f>
        <v>0</v>
      </c>
      <c r="R82" s="55">
        <f>A82*100+B82</f>
        <v>708</v>
      </c>
      <c r="S82" s="55">
        <f>B82*100+A82</f>
        <v>807</v>
      </c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6.95" customHeight="1" x14ac:dyDescent="0.25">
      <c r="D83" s="9"/>
      <c r="E83" s="10"/>
      <c r="F83" s="10"/>
      <c r="G83" s="10"/>
      <c r="H83" s="10"/>
      <c r="I83" s="10"/>
      <c r="J83" s="59"/>
      <c r="K83" s="59"/>
      <c r="L83" s="59"/>
      <c r="M83" s="11"/>
      <c r="P83" s="55"/>
      <c r="Q83" s="55"/>
      <c r="R83" s="55"/>
      <c r="S83" s="55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P84" s="55"/>
      <c r="Q84" s="55"/>
      <c r="R84" s="55"/>
      <c r="S84" s="55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P85" s="55"/>
      <c r="Q85" s="55"/>
      <c r="R85" s="55"/>
      <c r="S85" s="5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D86" s="21" t="s">
        <v>8</v>
      </c>
      <c r="E86" s="22"/>
      <c r="F86" s="41" t="s">
        <v>7</v>
      </c>
      <c r="G86" s="42">
        <v>6</v>
      </c>
      <c r="H86" s="23" t="str">
        <f>$E$1</f>
        <v>GROEP A</v>
      </c>
      <c r="I86" s="22"/>
      <c r="J86" s="23"/>
      <c r="K86" s="23"/>
      <c r="L86" s="23"/>
      <c r="M86" s="17"/>
      <c r="P86" s="55"/>
      <c r="Q86" s="55"/>
      <c r="R86" s="55"/>
      <c r="S86" s="55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6.95" customHeight="1" x14ac:dyDescent="0.25">
      <c r="D87" s="3"/>
      <c r="E87" s="4"/>
      <c r="F87" s="4"/>
      <c r="G87" s="4"/>
      <c r="H87" s="4"/>
      <c r="I87" s="4"/>
      <c r="J87" s="13"/>
      <c r="K87" s="13"/>
      <c r="L87" s="13"/>
      <c r="M87" s="5"/>
      <c r="P87" s="55"/>
      <c r="Q87" s="55"/>
      <c r="R87" s="55"/>
      <c r="S87" s="55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 s="54">
        <v>10</v>
      </c>
      <c r="B88" s="54">
        <v>8</v>
      </c>
      <c r="C88" s="55">
        <f>IF(AND(ISNUMBER(J88),ISNUMBER(L88)),1,0)</f>
        <v>1</v>
      </c>
      <c r="D88" s="136">
        <v>1</v>
      </c>
      <c r="E88" s="137"/>
      <c r="F88" s="2" t="str">
        <f>VLOOKUP(A88,$E$4:$F$13,2,FALSE)</f>
        <v>Niels van Wolfswinkel</v>
      </c>
      <c r="G88" s="7" t="s">
        <v>1</v>
      </c>
      <c r="H88" s="2" t="str">
        <f>VLOOKUP(B88,$E$4:$F$13,2,FALSE)</f>
        <v>Emmanuael Klein Goldendijk</v>
      </c>
      <c r="I88" s="2"/>
      <c r="J88" s="14">
        <v>1</v>
      </c>
      <c r="K88" s="20"/>
      <c r="L88" s="14">
        <v>0</v>
      </c>
      <c r="M88" s="8"/>
      <c r="N88" s="54">
        <f>VLOOKUP(A88,$AT$4:$BM$13,11,FALSE)</f>
        <v>1</v>
      </c>
      <c r="O88" s="54">
        <f>VLOOKUP(B88,$AT$4:$BM$13,11,FALSE)</f>
        <v>3</v>
      </c>
      <c r="P88" s="55">
        <f>J88*O88</f>
        <v>3</v>
      </c>
      <c r="Q88" s="55">
        <f>L88*N88</f>
        <v>0</v>
      </c>
      <c r="R88" s="55">
        <f>A88*100+B88</f>
        <v>1008</v>
      </c>
      <c r="S88" s="55">
        <f>B88*100+A88</f>
        <v>810</v>
      </c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6.95" customHeight="1" x14ac:dyDescent="0.25">
      <c r="D89" s="6"/>
      <c r="E89" s="19"/>
      <c r="F89" s="2"/>
      <c r="G89" s="7"/>
      <c r="H89" s="2"/>
      <c r="I89" s="2"/>
      <c r="J89" s="20"/>
      <c r="K89" s="20"/>
      <c r="L89" s="20"/>
      <c r="M89" s="8"/>
      <c r="P89" s="55"/>
      <c r="Q89" s="55"/>
      <c r="R89" s="55"/>
      <c r="S89" s="55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 s="54">
        <v>9</v>
      </c>
      <c r="B90" s="54">
        <v>7</v>
      </c>
      <c r="C90" s="55">
        <f>IF(AND(ISNUMBER(J90),ISNUMBER(L90)),1,0)</f>
        <v>1</v>
      </c>
      <c r="D90" s="136">
        <v>2</v>
      </c>
      <c r="E90" s="137"/>
      <c r="F90" s="2" t="str">
        <f>VLOOKUP(A90,$E$4:$F$13,2,FALSE)</f>
        <v>Olivier van der Wijden</v>
      </c>
      <c r="G90" s="7" t="s">
        <v>1</v>
      </c>
      <c r="H90" s="2" t="str">
        <f>VLOOKUP(B90,$E$4:$F$13,2,FALSE)</f>
        <v>Mike van Bergen van der Gijp</v>
      </c>
      <c r="I90" s="2"/>
      <c r="J90" s="14">
        <v>1</v>
      </c>
      <c r="K90" s="20"/>
      <c r="L90" s="14">
        <v>0</v>
      </c>
      <c r="M90" s="8"/>
      <c r="N90" s="54">
        <f>VLOOKUP(A90,$AT$4:$BM$13,11,FALSE)</f>
        <v>3</v>
      </c>
      <c r="O90" s="54">
        <f>VLOOKUP(B90,$AT$4:$BM$13,11,FALSE)</f>
        <v>2</v>
      </c>
      <c r="P90" s="55">
        <f>J90*O90</f>
        <v>2</v>
      </c>
      <c r="Q90" s="55">
        <f>L90*N90</f>
        <v>0</v>
      </c>
      <c r="R90" s="55">
        <f>A90*100+B90</f>
        <v>907</v>
      </c>
      <c r="S90" s="55">
        <f>B90*100+A90</f>
        <v>709</v>
      </c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6.95" customHeight="1" x14ac:dyDescent="0.25">
      <c r="D91" s="6"/>
      <c r="E91" s="19"/>
      <c r="F91" s="2"/>
      <c r="G91" s="7"/>
      <c r="H91" s="2"/>
      <c r="I91" s="2"/>
      <c r="J91" s="20"/>
      <c r="K91" s="20"/>
      <c r="L91" s="20"/>
      <c r="M91" s="8"/>
      <c r="P91" s="55"/>
      <c r="Q91" s="55"/>
      <c r="R91" s="55"/>
      <c r="S91" s="55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 s="54">
        <v>1</v>
      </c>
      <c r="B92" s="54">
        <v>6</v>
      </c>
      <c r="C92" s="55">
        <f>IF(AND(ISNUMBER(J92),ISNUMBER(L92)),1,0)</f>
        <v>1</v>
      </c>
      <c r="D92" s="136">
        <v>3</v>
      </c>
      <c r="E92" s="137"/>
      <c r="F92" s="2" t="str">
        <f>VLOOKUP(A92,$E$4:$F$13,2,FALSE)</f>
        <v>Govert van der Weijden</v>
      </c>
      <c r="G92" s="7" t="s">
        <v>1</v>
      </c>
      <c r="H92" s="2" t="str">
        <f>VLOOKUP(B92,$E$4:$F$13,2,FALSE)</f>
        <v>Katja Tangarife Ramirez</v>
      </c>
      <c r="I92" s="2"/>
      <c r="J92" s="14">
        <v>1</v>
      </c>
      <c r="K92" s="20"/>
      <c r="L92" s="14">
        <v>0</v>
      </c>
      <c r="M92" s="8"/>
      <c r="N92" s="54">
        <f>VLOOKUP(A92,$AT$4:$BM$13,11,FALSE)</f>
        <v>3</v>
      </c>
      <c r="O92" s="54">
        <f>VLOOKUP(B92,$AT$4:$BM$13,11,FALSE)</f>
        <v>4</v>
      </c>
      <c r="P92" s="55">
        <f>J92*O92</f>
        <v>4</v>
      </c>
      <c r="Q92" s="55">
        <f>L92*N92</f>
        <v>0</v>
      </c>
      <c r="R92" s="55">
        <f>A92*100+B92</f>
        <v>106</v>
      </c>
      <c r="S92" s="55">
        <f>B92*100+A92</f>
        <v>601</v>
      </c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6.95" customHeight="1" x14ac:dyDescent="0.25">
      <c r="D93" s="6"/>
      <c r="E93" s="19"/>
      <c r="F93" s="2"/>
      <c r="G93" s="7"/>
      <c r="H93" s="2"/>
      <c r="I93" s="2"/>
      <c r="J93" s="20"/>
      <c r="K93" s="20"/>
      <c r="L93" s="20"/>
      <c r="M93" s="8"/>
      <c r="P93" s="55"/>
      <c r="Q93" s="55"/>
      <c r="R93" s="55"/>
      <c r="S93" s="55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 s="54">
        <v>2</v>
      </c>
      <c r="B94" s="54">
        <v>5</v>
      </c>
      <c r="C94" s="55">
        <f>IF(AND(ISNUMBER(J94),ISNUMBER(L94)),1,0)</f>
        <v>1</v>
      </c>
      <c r="D94" s="136">
        <v>4</v>
      </c>
      <c r="E94" s="137"/>
      <c r="F94" s="2" t="str">
        <f>VLOOKUP(A94,$E$4:$F$13,2,FALSE)</f>
        <v>Mike van der Gijp van Bergen</v>
      </c>
      <c r="G94" s="7" t="s">
        <v>1</v>
      </c>
      <c r="H94" s="2" t="str">
        <f>VLOOKUP(B94,$E$4:$F$13,2,FALSE)</f>
        <v>Luca Da Costa van den Werk</v>
      </c>
      <c r="I94" s="2"/>
      <c r="J94" s="14">
        <v>1</v>
      </c>
      <c r="K94" s="20"/>
      <c r="L94" s="14">
        <v>0</v>
      </c>
      <c r="M94" s="8"/>
      <c r="N94" s="54">
        <f>VLOOKUP(A94,$AT$4:$BM$13,11,FALSE)</f>
        <v>2</v>
      </c>
      <c r="O94" s="54">
        <f>VLOOKUP(B94,$AT$4:$BM$13,11,FALSE)</f>
        <v>3</v>
      </c>
      <c r="P94" s="55">
        <f>J94*O94</f>
        <v>3</v>
      </c>
      <c r="Q94" s="55">
        <f>L94*N94</f>
        <v>0</v>
      </c>
      <c r="R94" s="55">
        <f>A94*100+B94</f>
        <v>205</v>
      </c>
      <c r="S94" s="55">
        <f>B94*100+A94</f>
        <v>502</v>
      </c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6.95" customHeight="1" x14ac:dyDescent="0.25">
      <c r="D95" s="6"/>
      <c r="E95" s="19"/>
      <c r="F95" s="2"/>
      <c r="G95" s="7"/>
      <c r="H95" s="2"/>
      <c r="I95" s="2"/>
      <c r="J95" s="20"/>
      <c r="K95" s="20"/>
      <c r="L95" s="20"/>
      <c r="M95" s="8"/>
      <c r="P95" s="55"/>
      <c r="Q95" s="55"/>
      <c r="R95" s="55"/>
      <c r="S95" s="5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 s="54">
        <v>3</v>
      </c>
      <c r="B96" s="54">
        <v>4</v>
      </c>
      <c r="C96" s="55">
        <f>IF(AND(ISNUMBER(J96),ISNUMBER(L96)),1,0)</f>
        <v>1</v>
      </c>
      <c r="D96" s="136">
        <v>5</v>
      </c>
      <c r="E96" s="137"/>
      <c r="F96" s="2" t="str">
        <f>VLOOKUP(A96,$E$4:$F$13,2,FALSE)</f>
        <v>Matthijs van Doodenweerd</v>
      </c>
      <c r="G96" s="7" t="s">
        <v>1</v>
      </c>
      <c r="H96" s="2" t="str">
        <f>VLOOKUP(B96,$E$4:$F$13,2,FALSE)</f>
        <v>Floris van Capelleveen</v>
      </c>
      <c r="I96" s="2"/>
      <c r="J96" s="14">
        <v>1</v>
      </c>
      <c r="K96" s="20"/>
      <c r="L96" s="14">
        <v>0</v>
      </c>
      <c r="M96" s="8"/>
      <c r="N96" s="54">
        <f>VLOOKUP(A96,$AT$4:$BM$13,11,FALSE)</f>
        <v>2</v>
      </c>
      <c r="O96" s="54">
        <f>VLOOKUP(B96,$AT$4:$BM$13,11,FALSE)</f>
        <v>2</v>
      </c>
      <c r="P96" s="55">
        <f>J96*O96</f>
        <v>2</v>
      </c>
      <c r="Q96" s="55">
        <f>L96*N96</f>
        <v>0</v>
      </c>
      <c r="R96" s="55">
        <f>A96*100+B96</f>
        <v>304</v>
      </c>
      <c r="S96" s="55">
        <f>B96*100+A96</f>
        <v>403</v>
      </c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6.95" customHeight="1" x14ac:dyDescent="0.25">
      <c r="D97" s="9"/>
      <c r="E97" s="10"/>
      <c r="F97" s="10"/>
      <c r="G97" s="10"/>
      <c r="H97" s="10"/>
      <c r="I97" s="10"/>
      <c r="J97" s="59"/>
      <c r="K97" s="59"/>
      <c r="L97" s="59"/>
      <c r="M97" s="11"/>
      <c r="P97" s="55"/>
      <c r="Q97" s="55"/>
      <c r="R97" s="55"/>
      <c r="S97" s="55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24.95" customHeight="1" x14ac:dyDescent="0.25">
      <c r="P98" s="55"/>
      <c r="Q98" s="55"/>
      <c r="R98" s="55"/>
      <c r="S98" s="55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24.95" customHeight="1" x14ac:dyDescent="0.25">
      <c r="P99" s="55"/>
      <c r="Q99" s="55"/>
      <c r="R99" s="55"/>
      <c r="S99" s="55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D100" s="21" t="s">
        <v>8</v>
      </c>
      <c r="E100" s="22"/>
      <c r="F100" s="41" t="s">
        <v>7</v>
      </c>
      <c r="G100" s="42">
        <v>7</v>
      </c>
      <c r="H100" s="23" t="str">
        <f>$E$1</f>
        <v>GROEP A</v>
      </c>
      <c r="I100" s="22"/>
      <c r="J100" s="23"/>
      <c r="K100" s="23"/>
      <c r="L100" s="23"/>
      <c r="M100" s="17"/>
      <c r="P100" s="55"/>
      <c r="Q100" s="55"/>
      <c r="R100" s="55"/>
      <c r="S100" s="55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6.95" customHeight="1" x14ac:dyDescent="0.25">
      <c r="D101" s="3"/>
      <c r="E101" s="4"/>
      <c r="F101" s="4"/>
      <c r="G101" s="4"/>
      <c r="H101" s="4"/>
      <c r="I101" s="4"/>
      <c r="J101" s="13"/>
      <c r="K101" s="13"/>
      <c r="L101" s="13"/>
      <c r="M101" s="5"/>
      <c r="P101" s="55"/>
      <c r="Q101" s="55"/>
      <c r="R101" s="55"/>
      <c r="S101" s="55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 s="54">
        <v>4</v>
      </c>
      <c r="B102" s="54">
        <v>10</v>
      </c>
      <c r="C102" s="55">
        <f>IF(AND(ISNUMBER(J102),ISNUMBER(L102)),1,0)</f>
        <v>1</v>
      </c>
      <c r="D102" s="136">
        <v>1</v>
      </c>
      <c r="E102" s="137"/>
      <c r="F102" s="2" t="str">
        <f>VLOOKUP(A102,$E$4:$F$13,2,FALSE)</f>
        <v>Floris van Capelleveen</v>
      </c>
      <c r="G102" s="7" t="s">
        <v>1</v>
      </c>
      <c r="H102" s="2" t="str">
        <f>VLOOKUP(B102,$E$4:$F$13,2,FALSE)</f>
        <v>Niels van Wolfswinkel</v>
      </c>
      <c r="I102" s="2"/>
      <c r="J102" s="14">
        <v>1</v>
      </c>
      <c r="K102" s="20"/>
      <c r="L102" s="14">
        <v>0</v>
      </c>
      <c r="M102" s="8"/>
      <c r="N102" s="54">
        <f ca="1">VLOOKUP(A102,$AT$4:$BM$13,13,FALSE)</f>
        <v>2</v>
      </c>
      <c r="O102" s="54">
        <f ca="1">VLOOKUP(B102,$AT$4:$BM$13,13,FALSE)</f>
        <v>2</v>
      </c>
      <c r="P102" s="55">
        <f ca="1">J102*O102</f>
        <v>2</v>
      </c>
      <c r="Q102" s="55">
        <f ca="1">L102*N102</f>
        <v>0</v>
      </c>
      <c r="R102" s="55">
        <f>A102*100+B102</f>
        <v>410</v>
      </c>
      <c r="S102" s="55">
        <f>B102*100+A102</f>
        <v>1004</v>
      </c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6.95" customHeight="1" x14ac:dyDescent="0.25">
      <c r="D103" s="6"/>
      <c r="E103" s="19"/>
      <c r="F103" s="2"/>
      <c r="G103" s="7"/>
      <c r="H103" s="2"/>
      <c r="I103" s="2"/>
      <c r="J103" s="20"/>
      <c r="K103" s="20"/>
      <c r="L103" s="20"/>
      <c r="M103" s="8"/>
      <c r="P103" s="55"/>
      <c r="Q103" s="55"/>
      <c r="R103" s="55"/>
      <c r="S103" s="55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 s="54">
        <v>5</v>
      </c>
      <c r="B104" s="54">
        <v>3</v>
      </c>
      <c r="C104" s="55">
        <f>IF(AND(ISNUMBER(J104),ISNUMBER(L104)),1,0)</f>
        <v>1</v>
      </c>
      <c r="D104" s="136">
        <v>2</v>
      </c>
      <c r="E104" s="137"/>
      <c r="F104" s="2" t="str">
        <f>VLOOKUP(A104,$E$4:$F$13,2,FALSE)</f>
        <v>Luca Da Costa van den Werk</v>
      </c>
      <c r="G104" s="7" t="s">
        <v>1</v>
      </c>
      <c r="H104" s="2" t="str">
        <f>VLOOKUP(B104,$E$4:$F$13,2,FALSE)</f>
        <v>Matthijs van Doodenweerd</v>
      </c>
      <c r="I104" s="2"/>
      <c r="J104" s="14">
        <v>1</v>
      </c>
      <c r="K104" s="20"/>
      <c r="L104" s="14">
        <v>0</v>
      </c>
      <c r="M104" s="8"/>
      <c r="N104" s="54">
        <f ca="1">VLOOKUP(A104,$AT$4:$BM$13,13,FALSE)</f>
        <v>3</v>
      </c>
      <c r="O104" s="54">
        <f ca="1">VLOOKUP(B104,$AT$4:$BM$13,13,FALSE)</f>
        <v>3</v>
      </c>
      <c r="P104" s="55">
        <f ca="1">J104*O104</f>
        <v>3</v>
      </c>
      <c r="Q104" s="55">
        <f ca="1">L104*N104</f>
        <v>0</v>
      </c>
      <c r="R104" s="55">
        <f>A104*100+B104</f>
        <v>503</v>
      </c>
      <c r="S104" s="55">
        <f>B104*100+A104</f>
        <v>305</v>
      </c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6.95" customHeight="1" x14ac:dyDescent="0.25">
      <c r="D105" s="6"/>
      <c r="E105" s="19"/>
      <c r="F105" s="2"/>
      <c r="G105" s="7"/>
      <c r="H105" s="2"/>
      <c r="I105" s="2"/>
      <c r="J105" s="20"/>
      <c r="K105" s="20"/>
      <c r="L105" s="20"/>
      <c r="M105" s="8"/>
      <c r="P105" s="55"/>
      <c r="Q105" s="55"/>
      <c r="R105" s="55"/>
      <c r="S105" s="5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 s="54">
        <v>6</v>
      </c>
      <c r="B106" s="54">
        <v>2</v>
      </c>
      <c r="C106" s="55">
        <f>IF(AND(ISNUMBER(J106),ISNUMBER(L106)),1,0)</f>
        <v>1</v>
      </c>
      <c r="D106" s="136">
        <v>3</v>
      </c>
      <c r="E106" s="137"/>
      <c r="F106" s="2" t="str">
        <f>VLOOKUP(A106,$E$4:$F$13,2,FALSE)</f>
        <v>Katja Tangarife Ramirez</v>
      </c>
      <c r="G106" s="7" t="s">
        <v>1</v>
      </c>
      <c r="H106" s="2" t="str">
        <f>VLOOKUP(B106,$E$4:$F$13,2,FALSE)</f>
        <v>Mike van der Gijp van Bergen</v>
      </c>
      <c r="I106" s="2"/>
      <c r="J106" s="14">
        <v>1</v>
      </c>
      <c r="K106" s="20"/>
      <c r="L106" s="14">
        <v>0</v>
      </c>
      <c r="M106" s="8"/>
      <c r="N106" s="54">
        <f ca="1">VLOOKUP(A106,$AT$4:$BM$13,13,FALSE)</f>
        <v>4</v>
      </c>
      <c r="O106" s="54">
        <f ca="1">VLOOKUP(B106,$AT$4:$BM$13,13,FALSE)</f>
        <v>3</v>
      </c>
      <c r="P106" s="55">
        <f ca="1">J106*O106</f>
        <v>3</v>
      </c>
      <c r="Q106" s="55">
        <f ca="1">L106*N106</f>
        <v>0</v>
      </c>
      <c r="R106" s="55">
        <f>A106*100+B106</f>
        <v>602</v>
      </c>
      <c r="S106" s="55">
        <f>B106*100+A106</f>
        <v>206</v>
      </c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6.95" customHeight="1" x14ac:dyDescent="0.25">
      <c r="D107" s="6"/>
      <c r="E107" s="19"/>
      <c r="F107" s="2"/>
      <c r="G107" s="7"/>
      <c r="H107" s="2"/>
      <c r="I107" s="2"/>
      <c r="J107" s="20"/>
      <c r="K107" s="20"/>
      <c r="L107" s="20"/>
      <c r="M107" s="8"/>
      <c r="P107" s="55"/>
      <c r="Q107" s="55"/>
      <c r="R107" s="55"/>
      <c r="S107" s="55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 s="54">
        <v>7</v>
      </c>
      <c r="B108" s="54">
        <v>1</v>
      </c>
      <c r="C108" s="55">
        <f>IF(AND(ISNUMBER(J108),ISNUMBER(L108)),1,0)</f>
        <v>1</v>
      </c>
      <c r="D108" s="136">
        <v>4</v>
      </c>
      <c r="E108" s="137"/>
      <c r="F108" s="2" t="str">
        <f>VLOOKUP(A108,$E$4:$F$13,2,FALSE)</f>
        <v>Mike van Bergen van der Gijp</v>
      </c>
      <c r="G108" s="7" t="s">
        <v>1</v>
      </c>
      <c r="H108" s="2" t="str">
        <f>VLOOKUP(B108,$E$4:$F$13,2,FALSE)</f>
        <v>Govert van der Weijden</v>
      </c>
      <c r="I108" s="2"/>
      <c r="J108" s="14">
        <v>1</v>
      </c>
      <c r="K108" s="20"/>
      <c r="L108" s="14">
        <v>0</v>
      </c>
      <c r="M108" s="8"/>
      <c r="N108" s="54">
        <f ca="1">VLOOKUP(A108,$AT$4:$BM$13,13,FALSE)</f>
        <v>2</v>
      </c>
      <c r="O108" s="54">
        <f>VLOOKUP(B108,$AT$4:$BM$13,13,FALSE)</f>
        <v>4</v>
      </c>
      <c r="P108" s="55">
        <f>J108*O108</f>
        <v>4</v>
      </c>
      <c r="Q108" s="55">
        <f ca="1">L108*N108</f>
        <v>0</v>
      </c>
      <c r="R108" s="55">
        <f>A108*100+B108</f>
        <v>701</v>
      </c>
      <c r="S108" s="55">
        <f>B108*100+A108</f>
        <v>107</v>
      </c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6.95" customHeight="1" x14ac:dyDescent="0.25">
      <c r="D109" s="6"/>
      <c r="E109" s="19"/>
      <c r="F109" s="2"/>
      <c r="G109" s="7"/>
      <c r="H109" s="2"/>
      <c r="I109" s="2"/>
      <c r="J109" s="20"/>
      <c r="K109" s="20"/>
      <c r="L109" s="20"/>
      <c r="M109" s="8"/>
      <c r="P109" s="55"/>
      <c r="Q109" s="55"/>
      <c r="R109" s="55"/>
      <c r="S109" s="55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 s="54">
        <v>8</v>
      </c>
      <c r="B110" s="54">
        <v>9</v>
      </c>
      <c r="C110" s="55">
        <f>IF(AND(ISNUMBER(J110),ISNUMBER(L110)),1,0)</f>
        <v>1</v>
      </c>
      <c r="D110" s="136">
        <v>5</v>
      </c>
      <c r="E110" s="137"/>
      <c r="F110" s="2" t="str">
        <f>VLOOKUP(A110,$E$4:$F$13,2,FALSE)</f>
        <v>Emmanuael Klein Goldendijk</v>
      </c>
      <c r="G110" s="7" t="s">
        <v>1</v>
      </c>
      <c r="H110" s="2" t="str">
        <f>VLOOKUP(B110,$E$4:$F$13,2,FALSE)</f>
        <v>Olivier van der Wijden</v>
      </c>
      <c r="I110" s="2"/>
      <c r="J110" s="14">
        <v>1</v>
      </c>
      <c r="K110" s="20"/>
      <c r="L110" s="14">
        <v>0</v>
      </c>
      <c r="M110" s="8"/>
      <c r="N110" s="54">
        <f ca="1">VLOOKUP(A110,$AT$4:$BM$13,13,FALSE)</f>
        <v>3</v>
      </c>
      <c r="O110" s="54">
        <f ca="1">VLOOKUP(B110,$AT$4:$BM$13,13,FALSE)</f>
        <v>4</v>
      </c>
      <c r="P110" s="55">
        <f ca="1">J110*O110</f>
        <v>4</v>
      </c>
      <c r="Q110" s="55">
        <f ca="1">L110*N110</f>
        <v>0</v>
      </c>
      <c r="R110" s="55">
        <f>A110*100+B110</f>
        <v>809</v>
      </c>
      <c r="S110" s="55">
        <f>B110*100+A110</f>
        <v>908</v>
      </c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6.95" customHeight="1" x14ac:dyDescent="0.25">
      <c r="D111" s="9"/>
      <c r="E111" s="10"/>
      <c r="F111" s="10"/>
      <c r="G111" s="10"/>
      <c r="H111" s="10"/>
      <c r="I111" s="10"/>
      <c r="J111" s="59"/>
      <c r="K111" s="59"/>
      <c r="L111" s="59"/>
      <c r="M111" s="11"/>
      <c r="P111" s="55"/>
      <c r="Q111" s="55"/>
      <c r="R111" s="55"/>
      <c r="S111" s="55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24.95" customHeight="1" x14ac:dyDescent="0.25">
      <c r="P112" s="55"/>
      <c r="Q112" s="55"/>
      <c r="R112" s="55"/>
      <c r="S112" s="55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24.95" customHeight="1" x14ac:dyDescent="0.25">
      <c r="P113" s="55"/>
      <c r="Q113" s="55"/>
      <c r="R113" s="55"/>
      <c r="S113" s="55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D114" s="21" t="s">
        <v>8</v>
      </c>
      <c r="E114" s="22"/>
      <c r="F114" s="41" t="s">
        <v>7</v>
      </c>
      <c r="G114" s="42">
        <v>8</v>
      </c>
      <c r="H114" s="23" t="str">
        <f>$E$1</f>
        <v>GROEP A</v>
      </c>
      <c r="I114" s="22"/>
      <c r="J114" s="23"/>
      <c r="K114" s="23"/>
      <c r="L114" s="23"/>
      <c r="M114" s="17"/>
      <c r="P114" s="55"/>
      <c r="Q114" s="55"/>
      <c r="R114" s="55"/>
      <c r="S114" s="55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6.95" customHeight="1" x14ac:dyDescent="0.25">
      <c r="D115" s="3"/>
      <c r="E115" s="4"/>
      <c r="F115" s="4"/>
      <c r="G115" s="4"/>
      <c r="H115" s="4"/>
      <c r="I115" s="4"/>
      <c r="J115" s="13"/>
      <c r="K115" s="13"/>
      <c r="L115" s="13"/>
      <c r="M115" s="5"/>
      <c r="P115" s="55"/>
      <c r="Q115" s="55"/>
      <c r="R115" s="55"/>
      <c r="S115" s="5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 s="54">
        <v>10</v>
      </c>
      <c r="B116" s="54">
        <v>9</v>
      </c>
      <c r="C116" s="55">
        <f>IF(AND(ISNUMBER(J116),ISNUMBER(L116)),1,0)</f>
        <v>1</v>
      </c>
      <c r="D116" s="136">
        <v>1</v>
      </c>
      <c r="E116" s="137"/>
      <c r="F116" s="2" t="str">
        <f>VLOOKUP(A116,$E$4:$F$13,2,FALSE)</f>
        <v>Niels van Wolfswinkel</v>
      </c>
      <c r="G116" s="7" t="s">
        <v>1</v>
      </c>
      <c r="H116" s="2" t="str">
        <f>VLOOKUP(B116,$E$4:$F$13,2,FALSE)</f>
        <v>Olivier van der Wijden</v>
      </c>
      <c r="I116" s="2"/>
      <c r="J116" s="14">
        <v>1</v>
      </c>
      <c r="K116" s="20"/>
      <c r="L116" s="14">
        <v>0</v>
      </c>
      <c r="M116" s="8"/>
      <c r="N116" s="54">
        <f ca="1">VLOOKUP(A116,$AT$4:$BM$13,15,FALSE)</f>
        <v>2</v>
      </c>
      <c r="O116" s="54">
        <f ca="1">VLOOKUP(B116,$AT$4:$BM$13,15,FALSE)</f>
        <v>4</v>
      </c>
      <c r="P116" s="55">
        <f ca="1">J116*O116</f>
        <v>4</v>
      </c>
      <c r="Q116" s="55">
        <f ca="1">L116*N116</f>
        <v>0</v>
      </c>
      <c r="R116" s="55">
        <f>A116*100+B116</f>
        <v>1009</v>
      </c>
      <c r="S116" s="55">
        <f>B116*100+A116</f>
        <v>910</v>
      </c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6.95" customHeight="1" x14ac:dyDescent="0.25">
      <c r="D117" s="6"/>
      <c r="E117" s="19"/>
      <c r="F117" s="2"/>
      <c r="G117" s="7"/>
      <c r="H117" s="2"/>
      <c r="I117" s="2"/>
      <c r="J117" s="20"/>
      <c r="K117" s="20"/>
      <c r="L117" s="20"/>
      <c r="M117" s="8"/>
      <c r="P117" s="55"/>
      <c r="Q117" s="55"/>
      <c r="R117" s="55"/>
      <c r="S117" s="55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 s="54">
        <v>1</v>
      </c>
      <c r="B118" s="54">
        <v>8</v>
      </c>
      <c r="C118" s="55">
        <f>IF(AND(ISNUMBER(J118),ISNUMBER(L118)),1,0)</f>
        <v>1</v>
      </c>
      <c r="D118" s="136">
        <v>2</v>
      </c>
      <c r="E118" s="137"/>
      <c r="F118" s="2" t="str">
        <f>VLOOKUP(A118,$E$4:$F$13,2,FALSE)</f>
        <v>Govert van der Weijden</v>
      </c>
      <c r="G118" s="7" t="s">
        <v>1</v>
      </c>
      <c r="H118" s="2" t="str">
        <f>VLOOKUP(B118,$E$4:$F$13,2,FALSE)</f>
        <v>Emmanuael Klein Goldendijk</v>
      </c>
      <c r="I118" s="2"/>
      <c r="J118" s="14">
        <v>1</v>
      </c>
      <c r="K118" s="20"/>
      <c r="L118" s="14">
        <v>0</v>
      </c>
      <c r="M118" s="8"/>
      <c r="N118" s="54">
        <f>VLOOKUP(A118,$AT$4:$BM$13,15,FALSE)</f>
        <v>4</v>
      </c>
      <c r="O118" s="54">
        <f ca="1">VLOOKUP(B118,$AT$4:$BM$13,15,FALSE)</f>
        <v>4</v>
      </c>
      <c r="P118" s="55">
        <f ca="1">J118*O118</f>
        <v>4</v>
      </c>
      <c r="Q118" s="55">
        <f>L118*N118</f>
        <v>0</v>
      </c>
      <c r="R118" s="55">
        <f>A118*100+B118</f>
        <v>108</v>
      </c>
      <c r="S118" s="55">
        <f>B118*100+A118</f>
        <v>801</v>
      </c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6.95" customHeight="1" x14ac:dyDescent="0.25">
      <c r="D119" s="6"/>
      <c r="E119" s="19"/>
      <c r="F119" s="2"/>
      <c r="G119" s="7"/>
      <c r="H119" s="2"/>
      <c r="I119" s="2"/>
      <c r="J119" s="20"/>
      <c r="K119" s="20"/>
      <c r="L119" s="20"/>
      <c r="M119" s="8"/>
      <c r="P119" s="55"/>
      <c r="Q119" s="55"/>
      <c r="R119" s="55"/>
      <c r="S119" s="55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 s="54">
        <v>2</v>
      </c>
      <c r="B120" s="54">
        <v>7</v>
      </c>
      <c r="C120" s="55">
        <f>IF(AND(ISNUMBER(J120),ISNUMBER(L120)),1,0)</f>
        <v>1</v>
      </c>
      <c r="D120" s="136">
        <v>3</v>
      </c>
      <c r="E120" s="137"/>
      <c r="F120" s="2" t="str">
        <f>VLOOKUP(A120,$E$4:$F$13,2,FALSE)</f>
        <v>Mike van der Gijp van Bergen</v>
      </c>
      <c r="G120" s="7" t="s">
        <v>1</v>
      </c>
      <c r="H120" s="2" t="str">
        <f>VLOOKUP(B120,$E$4:$F$13,2,FALSE)</f>
        <v>Mike van Bergen van der Gijp</v>
      </c>
      <c r="I120" s="2"/>
      <c r="J120" s="14">
        <v>1</v>
      </c>
      <c r="K120" s="20"/>
      <c r="L120" s="14">
        <v>0</v>
      </c>
      <c r="M120" s="8"/>
      <c r="N120" s="54">
        <f ca="1">VLOOKUP(A120,$AT$4:$BM$13,15,FALSE)</f>
        <v>3</v>
      </c>
      <c r="O120" s="54">
        <f ca="1">VLOOKUP(B120,$AT$4:$BM$13,15,FALSE)</f>
        <v>3</v>
      </c>
      <c r="P120" s="55">
        <f ca="1">J120*O120</f>
        <v>3</v>
      </c>
      <c r="Q120" s="55">
        <f ca="1">L120*N120</f>
        <v>0</v>
      </c>
      <c r="R120" s="55">
        <f>A120*100+B120</f>
        <v>207</v>
      </c>
      <c r="S120" s="55">
        <f>B120*100+A120</f>
        <v>702</v>
      </c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6.95" customHeight="1" x14ac:dyDescent="0.25">
      <c r="D121" s="6"/>
      <c r="E121" s="19"/>
      <c r="F121" s="2"/>
      <c r="G121" s="7"/>
      <c r="H121" s="2"/>
      <c r="I121" s="2"/>
      <c r="J121" s="20"/>
      <c r="K121" s="20"/>
      <c r="L121" s="20"/>
      <c r="M121" s="8"/>
      <c r="P121" s="55"/>
      <c r="Q121" s="55"/>
      <c r="R121" s="55"/>
      <c r="S121" s="55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 s="54">
        <v>3</v>
      </c>
      <c r="B122" s="54">
        <v>6</v>
      </c>
      <c r="C122" s="55">
        <f>IF(AND(ISNUMBER(J122),ISNUMBER(L122)),1,0)</f>
        <v>1</v>
      </c>
      <c r="D122" s="136">
        <v>4</v>
      </c>
      <c r="E122" s="137"/>
      <c r="F122" s="2" t="str">
        <f>VLOOKUP(A122,$E$4:$F$13,2,FALSE)</f>
        <v>Matthijs van Doodenweerd</v>
      </c>
      <c r="G122" s="7" t="s">
        <v>1</v>
      </c>
      <c r="H122" s="2" t="str">
        <f>VLOOKUP(B122,$E$4:$F$13,2,FALSE)</f>
        <v>Katja Tangarife Ramirez</v>
      </c>
      <c r="I122" s="2"/>
      <c r="J122" s="14">
        <v>1</v>
      </c>
      <c r="K122" s="20"/>
      <c r="L122" s="14">
        <v>0</v>
      </c>
      <c r="M122" s="8"/>
      <c r="N122" s="54">
        <f ca="1">VLOOKUP(A122,$AT$4:$BM$13,15,FALSE)</f>
        <v>3</v>
      </c>
      <c r="O122" s="54">
        <f ca="1">VLOOKUP(B122,$AT$4:$BM$13,15,FALSE)</f>
        <v>5</v>
      </c>
      <c r="P122" s="55">
        <f ca="1">J122*O122</f>
        <v>5</v>
      </c>
      <c r="Q122" s="55">
        <f ca="1">L122*N122</f>
        <v>0</v>
      </c>
      <c r="R122" s="55">
        <f>A122*100+B122</f>
        <v>306</v>
      </c>
      <c r="S122" s="55">
        <f>B122*100+A122</f>
        <v>603</v>
      </c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6.95" customHeight="1" x14ac:dyDescent="0.25">
      <c r="D123" s="6"/>
      <c r="E123" s="19"/>
      <c r="F123" s="2"/>
      <c r="G123" s="7"/>
      <c r="H123" s="2"/>
      <c r="I123" s="2"/>
      <c r="J123" s="20"/>
      <c r="K123" s="20"/>
      <c r="L123" s="20"/>
      <c r="M123" s="8"/>
      <c r="P123" s="55"/>
      <c r="Q123" s="55"/>
      <c r="R123" s="55"/>
      <c r="S123" s="55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 s="54">
        <v>4</v>
      </c>
      <c r="B124" s="54">
        <v>5</v>
      </c>
      <c r="C124" s="55">
        <f>IF(AND(ISNUMBER(J124),ISNUMBER(L124)),1,0)</f>
        <v>1</v>
      </c>
      <c r="D124" s="136">
        <v>5</v>
      </c>
      <c r="E124" s="137"/>
      <c r="F124" s="2" t="str">
        <f>VLOOKUP(A124,$E$4:$F$13,2,FALSE)</f>
        <v>Floris van Capelleveen</v>
      </c>
      <c r="G124" s="7" t="s">
        <v>1</v>
      </c>
      <c r="H124" s="2" t="str">
        <f>VLOOKUP(B124,$E$4:$F$13,2,FALSE)</f>
        <v>Luca Da Costa van den Werk</v>
      </c>
      <c r="I124" s="2"/>
      <c r="J124" s="14">
        <v>1</v>
      </c>
      <c r="K124" s="20"/>
      <c r="L124" s="14">
        <v>0</v>
      </c>
      <c r="M124" s="8"/>
      <c r="N124" s="54">
        <f ca="1">VLOOKUP(A124,$AT$4:$BM$13,15,FALSE)</f>
        <v>3</v>
      </c>
      <c r="O124" s="54">
        <f ca="1">VLOOKUP(B124,$AT$4:$BM$13,15,FALSE)</f>
        <v>4</v>
      </c>
      <c r="P124" s="55">
        <f ca="1">J124*O124</f>
        <v>4</v>
      </c>
      <c r="Q124" s="55">
        <f ca="1">L124*N124</f>
        <v>0</v>
      </c>
      <c r="R124" s="55">
        <f>A124*100+B124</f>
        <v>405</v>
      </c>
      <c r="S124" s="55">
        <f>B124*100+A124</f>
        <v>504</v>
      </c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6.95" customHeight="1" x14ac:dyDescent="0.25">
      <c r="D125" s="9"/>
      <c r="E125" s="10"/>
      <c r="F125" s="10"/>
      <c r="G125" s="10"/>
      <c r="H125" s="10"/>
      <c r="I125" s="10"/>
      <c r="J125" s="59"/>
      <c r="K125" s="59"/>
      <c r="L125" s="59"/>
      <c r="M125" s="11"/>
      <c r="P125" s="55"/>
      <c r="Q125" s="55"/>
      <c r="R125" s="55"/>
      <c r="S125" s="5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24.95" customHeight="1" x14ac:dyDescent="0.25">
      <c r="P126" s="55"/>
      <c r="Q126" s="55"/>
      <c r="R126" s="55"/>
      <c r="S126" s="55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24.95" customHeight="1" x14ac:dyDescent="0.25">
      <c r="P127" s="55"/>
      <c r="Q127" s="55"/>
      <c r="R127" s="55"/>
      <c r="S127" s="55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D128" s="21" t="s">
        <v>8</v>
      </c>
      <c r="E128" s="22"/>
      <c r="F128" s="41" t="s">
        <v>7</v>
      </c>
      <c r="G128" s="42">
        <v>9</v>
      </c>
      <c r="H128" s="23" t="str">
        <f>$E$1</f>
        <v>GROEP A</v>
      </c>
      <c r="I128" s="22"/>
      <c r="J128" s="23"/>
      <c r="K128" s="23"/>
      <c r="L128" s="23"/>
      <c r="M128" s="17"/>
      <c r="P128" s="55"/>
      <c r="Q128" s="55"/>
      <c r="R128" s="55"/>
      <c r="S128" s="55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6.95" customHeight="1" x14ac:dyDescent="0.25">
      <c r="D129" s="3"/>
      <c r="E129" s="4"/>
      <c r="F129" s="4"/>
      <c r="G129" s="4"/>
      <c r="H129" s="4"/>
      <c r="I129" s="4"/>
      <c r="J129" s="13"/>
      <c r="K129" s="13"/>
      <c r="L129" s="13"/>
      <c r="M129" s="5"/>
      <c r="P129" s="55"/>
      <c r="Q129" s="55"/>
      <c r="R129" s="55"/>
      <c r="S129" s="55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 s="54">
        <v>5</v>
      </c>
      <c r="B130" s="54">
        <v>10</v>
      </c>
      <c r="C130" s="55">
        <f>IF(AND(ISNUMBER(J130),ISNUMBER(L130)),1,0)</f>
        <v>1</v>
      </c>
      <c r="D130" s="136">
        <v>1</v>
      </c>
      <c r="E130" s="137"/>
      <c r="F130" s="2" t="str">
        <f>VLOOKUP(A130,$E$4:$F$13,2,FALSE)</f>
        <v>Luca Da Costa van den Werk</v>
      </c>
      <c r="G130" s="7" t="s">
        <v>1</v>
      </c>
      <c r="H130" s="2" t="str">
        <f>VLOOKUP(B130,$E$4:$F$13,2,FALSE)</f>
        <v>Niels van Wolfswinkel</v>
      </c>
      <c r="I130" s="2"/>
      <c r="J130" s="14">
        <v>1</v>
      </c>
      <c r="K130" s="20"/>
      <c r="L130" s="14">
        <v>0</v>
      </c>
      <c r="M130" s="8"/>
      <c r="N130" s="54">
        <f ca="1">VLOOKUP(A130,$AT$4:$BM$13,17,FALSE)</f>
        <v>4</v>
      </c>
      <c r="O130" s="54">
        <f ca="1">VLOOKUP(B130,$AT$4:$BM$13,17,FALSE)</f>
        <v>3</v>
      </c>
      <c r="P130" s="55">
        <f ca="1">J130*O130</f>
        <v>3</v>
      </c>
      <c r="Q130" s="55">
        <f ca="1">L130*N130</f>
        <v>0</v>
      </c>
      <c r="R130" s="55">
        <f>A130*100+B130</f>
        <v>510</v>
      </c>
      <c r="S130" s="55">
        <f>B130*100+A130</f>
        <v>1005</v>
      </c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6.95" customHeight="1" x14ac:dyDescent="0.25">
      <c r="D131" s="6"/>
      <c r="E131" s="19"/>
      <c r="F131" s="2"/>
      <c r="G131" s="7"/>
      <c r="H131" s="2"/>
      <c r="I131" s="2"/>
      <c r="J131" s="20"/>
      <c r="K131" s="20"/>
      <c r="L131" s="20"/>
      <c r="M131" s="8"/>
      <c r="P131" s="55"/>
      <c r="Q131" s="55"/>
      <c r="R131" s="55"/>
      <c r="S131" s="55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 s="54">
        <v>6</v>
      </c>
      <c r="B132" s="54">
        <v>4</v>
      </c>
      <c r="C132" s="55">
        <f>IF(AND(ISNUMBER(J132),ISNUMBER(L132)),1,0)</f>
        <v>1</v>
      </c>
      <c r="D132" s="136">
        <v>2</v>
      </c>
      <c r="E132" s="137"/>
      <c r="F132" s="2" t="str">
        <f>VLOOKUP(A132,$E$4:$F$13,2,FALSE)</f>
        <v>Katja Tangarife Ramirez</v>
      </c>
      <c r="G132" s="7" t="s">
        <v>1</v>
      </c>
      <c r="H132" s="2" t="str">
        <f>VLOOKUP(B132,$E$4:$F$13,2,FALSE)</f>
        <v>Floris van Capelleveen</v>
      </c>
      <c r="I132" s="2"/>
      <c r="J132" s="14">
        <v>1</v>
      </c>
      <c r="K132" s="20"/>
      <c r="L132" s="14">
        <v>0</v>
      </c>
      <c r="M132" s="8"/>
      <c r="N132" s="54">
        <f ca="1">VLOOKUP(A132,$AT$4:$BM$13,17,FALSE)</f>
        <v>5</v>
      </c>
      <c r="O132" s="54">
        <f ca="1">VLOOKUP(B132,$AT$4:$BM$13,17,FALSE)</f>
        <v>4</v>
      </c>
      <c r="P132" s="55">
        <f ca="1">J132*O132</f>
        <v>4</v>
      </c>
      <c r="Q132" s="55">
        <f ca="1">L132*N132</f>
        <v>0</v>
      </c>
      <c r="R132" s="55">
        <f>A132*100+B132</f>
        <v>604</v>
      </c>
      <c r="S132" s="55">
        <f>B132*100+A132</f>
        <v>406</v>
      </c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6.95" customHeight="1" x14ac:dyDescent="0.25">
      <c r="D133" s="6"/>
      <c r="E133" s="19"/>
      <c r="F133" s="2"/>
      <c r="G133" s="7"/>
      <c r="H133" s="2"/>
      <c r="I133" s="2"/>
      <c r="J133" s="20"/>
      <c r="K133" s="20"/>
      <c r="L133" s="20"/>
      <c r="M133" s="8"/>
      <c r="P133" s="55"/>
      <c r="Q133" s="55"/>
      <c r="R133" s="55"/>
      <c r="S133" s="55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 s="54">
        <v>7</v>
      </c>
      <c r="B134" s="54">
        <v>3</v>
      </c>
      <c r="C134" s="55">
        <f>IF(AND(ISNUMBER(J134),ISNUMBER(L134)),1,0)</f>
        <v>1</v>
      </c>
      <c r="D134" s="136">
        <v>3</v>
      </c>
      <c r="E134" s="137"/>
      <c r="F134" s="2" t="str">
        <f>VLOOKUP(A134,$E$4:$F$13,2,FALSE)</f>
        <v>Mike van Bergen van der Gijp</v>
      </c>
      <c r="G134" s="7" t="s">
        <v>1</v>
      </c>
      <c r="H134" s="2" t="str">
        <f>VLOOKUP(B134,$E$4:$F$13,2,FALSE)</f>
        <v>Matthijs van Doodenweerd</v>
      </c>
      <c r="I134" s="2"/>
      <c r="J134" s="14">
        <v>1</v>
      </c>
      <c r="K134" s="20"/>
      <c r="L134" s="14">
        <v>0</v>
      </c>
      <c r="M134" s="8"/>
      <c r="N134" s="54">
        <f ca="1">VLOOKUP(A134,$AT$4:$BM$13,17,FALSE)</f>
        <v>3</v>
      </c>
      <c r="O134" s="54">
        <f ca="1">VLOOKUP(B134,$AT$4:$BM$13,17,FALSE)</f>
        <v>4</v>
      </c>
      <c r="P134" s="55">
        <f ca="1">J134*O134</f>
        <v>4</v>
      </c>
      <c r="Q134" s="55">
        <f ca="1">L134*N134</f>
        <v>0</v>
      </c>
      <c r="R134" s="55">
        <f>A134*100+B134</f>
        <v>703</v>
      </c>
      <c r="S134" s="55">
        <f>B134*100+A134</f>
        <v>307</v>
      </c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6.95" customHeight="1" x14ac:dyDescent="0.25">
      <c r="D135" s="6"/>
      <c r="E135" s="19"/>
      <c r="F135" s="2"/>
      <c r="G135" s="7"/>
      <c r="H135" s="2"/>
      <c r="I135" s="2"/>
      <c r="J135" s="20"/>
      <c r="K135" s="20"/>
      <c r="L135" s="20"/>
      <c r="M135" s="8"/>
      <c r="P135" s="55"/>
      <c r="Q135" s="55"/>
      <c r="R135" s="55"/>
      <c r="S135" s="5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 s="54">
        <v>8</v>
      </c>
      <c r="B136" s="54">
        <v>2</v>
      </c>
      <c r="C136" s="55">
        <f>IF(AND(ISNUMBER(J136),ISNUMBER(L136)),1,0)</f>
        <v>1</v>
      </c>
      <c r="D136" s="136">
        <v>4</v>
      </c>
      <c r="E136" s="137"/>
      <c r="F136" s="2" t="str">
        <f>VLOOKUP(A136,$E$4:$F$13,2,FALSE)</f>
        <v>Emmanuael Klein Goldendijk</v>
      </c>
      <c r="G136" s="7" t="s">
        <v>1</v>
      </c>
      <c r="H136" s="2" t="str">
        <f>VLOOKUP(B136,$E$4:$F$13,2,FALSE)</f>
        <v>Mike van der Gijp van Bergen</v>
      </c>
      <c r="I136" s="2"/>
      <c r="J136" s="14">
        <v>1</v>
      </c>
      <c r="K136" s="20"/>
      <c r="L136" s="14">
        <v>0</v>
      </c>
      <c r="M136" s="8"/>
      <c r="N136" s="54">
        <f ca="1">VLOOKUP(A136,$AT$4:$BM$13,17,FALSE)</f>
        <v>4</v>
      </c>
      <c r="O136" s="54">
        <f ca="1">VLOOKUP(B136,$AT$4:$BM$13,17,FALSE)</f>
        <v>4</v>
      </c>
      <c r="P136" s="55">
        <f ca="1">J136*O136</f>
        <v>4</v>
      </c>
      <c r="Q136" s="55">
        <f ca="1">L136*N136</f>
        <v>0</v>
      </c>
      <c r="R136" s="55">
        <f>A136*100+B136</f>
        <v>802</v>
      </c>
      <c r="S136" s="55">
        <f>B136*100+A136</f>
        <v>208</v>
      </c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6.95" customHeight="1" x14ac:dyDescent="0.25">
      <c r="D137" s="6"/>
      <c r="E137" s="19"/>
      <c r="F137" s="2"/>
      <c r="G137" s="7"/>
      <c r="H137" s="2"/>
      <c r="I137" s="2"/>
      <c r="J137" s="20"/>
      <c r="K137" s="20"/>
      <c r="L137" s="20"/>
      <c r="M137" s="8"/>
      <c r="P137" s="55"/>
      <c r="Q137" s="55"/>
      <c r="R137" s="55"/>
      <c r="S137" s="55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 s="54">
        <v>9</v>
      </c>
      <c r="B138" s="54">
        <v>1</v>
      </c>
      <c r="C138" s="55">
        <f>IF(AND(ISNUMBER(J138),ISNUMBER(L138)),1,0)</f>
        <v>1</v>
      </c>
      <c r="D138" s="136">
        <v>5</v>
      </c>
      <c r="E138" s="137"/>
      <c r="F138" s="2" t="str">
        <f>VLOOKUP(A138,$E$4:$F$13,2,FALSE)</f>
        <v>Olivier van der Wijden</v>
      </c>
      <c r="G138" s="7" t="s">
        <v>1</v>
      </c>
      <c r="H138" s="2" t="str">
        <f>VLOOKUP(B138,$E$4:$F$13,2,FALSE)</f>
        <v>Govert van der Weijden</v>
      </c>
      <c r="I138" s="2"/>
      <c r="J138" s="14">
        <v>0.5</v>
      </c>
      <c r="K138" s="20"/>
      <c r="L138" s="14">
        <v>0.5</v>
      </c>
      <c r="M138" s="8"/>
      <c r="N138" s="54">
        <f ca="1">VLOOKUP(A138,$AT$4:$BM$13,17,FALSE)</f>
        <v>4</v>
      </c>
      <c r="O138" s="54">
        <f>VLOOKUP(B138,$AT$4:$BM$13,17,FALSE)</f>
        <v>5</v>
      </c>
      <c r="P138" s="55">
        <f>J138*O138</f>
        <v>2.5</v>
      </c>
      <c r="Q138" s="55">
        <f ca="1">L138*N138</f>
        <v>2</v>
      </c>
      <c r="R138" s="55">
        <f>A138*100+B138</f>
        <v>901</v>
      </c>
      <c r="S138" s="55">
        <f>B138*100+A138</f>
        <v>109</v>
      </c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6.95" customHeight="1" x14ac:dyDescent="0.25">
      <c r="D139" s="9"/>
      <c r="E139" s="10"/>
      <c r="F139" s="10"/>
      <c r="G139" s="10"/>
      <c r="H139" s="10"/>
      <c r="I139" s="10"/>
      <c r="J139" s="59"/>
      <c r="K139" s="59"/>
      <c r="L139" s="59"/>
      <c r="M139" s="11"/>
    </row>
  </sheetData>
  <sortState ref="V4:AB13">
    <sortCondition descending="1" ref="X4:X13"/>
    <sortCondition descending="1" ref="Y4:Y13"/>
    <sortCondition descending="1" ref="Z4:Z13"/>
    <sortCondition descending="1" ref="AA4:AA13"/>
  </sortState>
  <mergeCells count="77">
    <mergeCell ref="D138:E138"/>
    <mergeCell ref="D122:E122"/>
    <mergeCell ref="D124:E124"/>
    <mergeCell ref="D130:E130"/>
    <mergeCell ref="D132:E132"/>
    <mergeCell ref="D134:E134"/>
    <mergeCell ref="D136:E136"/>
    <mergeCell ref="D120:E120"/>
    <mergeCell ref="D90:E90"/>
    <mergeCell ref="D92:E92"/>
    <mergeCell ref="D94:E94"/>
    <mergeCell ref="D96:E96"/>
    <mergeCell ref="D102:E102"/>
    <mergeCell ref="D104:E104"/>
    <mergeCell ref="D106:E106"/>
    <mergeCell ref="D108:E108"/>
    <mergeCell ref="D110:E110"/>
    <mergeCell ref="D116:E116"/>
    <mergeCell ref="D118:E118"/>
    <mergeCell ref="D88:E88"/>
    <mergeCell ref="D54:E54"/>
    <mergeCell ref="D60:E60"/>
    <mergeCell ref="D62:E62"/>
    <mergeCell ref="D64:E64"/>
    <mergeCell ref="D66:E66"/>
    <mergeCell ref="D68:E68"/>
    <mergeCell ref="D74:E74"/>
    <mergeCell ref="D76:E76"/>
    <mergeCell ref="D78:E78"/>
    <mergeCell ref="D80:E80"/>
    <mergeCell ref="D82:E82"/>
    <mergeCell ref="D52:E52"/>
    <mergeCell ref="D22:E22"/>
    <mergeCell ref="D24:E24"/>
    <mergeCell ref="D26:E26"/>
    <mergeCell ref="D32:E32"/>
    <mergeCell ref="D34:E34"/>
    <mergeCell ref="D36:E36"/>
    <mergeCell ref="D38:E38"/>
    <mergeCell ref="D40:E40"/>
    <mergeCell ref="D46:E46"/>
    <mergeCell ref="D48:E48"/>
    <mergeCell ref="D50:E50"/>
    <mergeCell ref="D20:E20"/>
    <mergeCell ref="I4:L4"/>
    <mergeCell ref="I5:L5"/>
    <mergeCell ref="I6:L6"/>
    <mergeCell ref="I7:L7"/>
    <mergeCell ref="I8:L8"/>
    <mergeCell ref="I9:L9"/>
    <mergeCell ref="I10:L10"/>
    <mergeCell ref="I11:L11"/>
    <mergeCell ref="I12:L12"/>
    <mergeCell ref="I13:L13"/>
    <mergeCell ref="D18:E18"/>
    <mergeCell ref="BS2:CC2"/>
    <mergeCell ref="AB2:AB3"/>
    <mergeCell ref="AF2:AQ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E1:L1"/>
    <mergeCell ref="U1:AA1"/>
    <mergeCell ref="U2:U3"/>
    <mergeCell ref="V2:V3"/>
    <mergeCell ref="W2:W3"/>
    <mergeCell ref="X2:X3"/>
    <mergeCell ref="Y2:Y3"/>
    <mergeCell ref="Z2:Z3"/>
    <mergeCell ref="AA2:AA3"/>
    <mergeCell ref="I3:L3"/>
  </mergeCells>
  <conditionalFormatting sqref="AT14:BP14">
    <cfRule type="cellIs" dxfId="7" priority="1" stopIfTrue="1" operator="equal">
      <formula>"NOK"</formula>
    </cfRule>
    <cfRule type="cellIs" dxfId="6" priority="2" stopIfTrue="1" operator="equal">
      <formula>"OK"</formula>
    </cfRule>
  </conditionalFormatting>
  <pageMargins left="0.7" right="0.7" top="0.75" bottom="0.75" header="0.3" footer="0.3"/>
  <pageSetup paperSize="9" scale="97" fitToHeight="0" orientation="portrait" horizontalDpi="4294967293" verticalDpi="4294967293" r:id="rId1"/>
  <rowBreaks count="3" manualBreakCount="3">
    <brk id="14" min="3" max="12" man="1"/>
    <brk id="70" min="3" max="12" man="1"/>
    <brk id="126" min="3" max="12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CC139"/>
  <sheetViews>
    <sheetView view="pageBreakPreview" zoomScale="80" zoomScaleNormal="90" zoomScaleSheetLayoutView="80" workbookViewId="0">
      <selection activeCell="B3" sqref="B3"/>
    </sheetView>
  </sheetViews>
  <sheetFormatPr defaultRowHeight="15" x14ac:dyDescent="0.25"/>
  <cols>
    <col min="1" max="1" width="4.42578125" style="54" customWidth="1"/>
    <col min="2" max="2" width="2.85546875" style="54" customWidth="1"/>
    <col min="3" max="3" width="2" style="55" customWidth="1"/>
    <col min="4" max="4" width="4.28515625" customWidth="1"/>
    <col min="5" max="5" width="3" bestFit="1" customWidth="1"/>
    <col min="6" max="6" width="27.28515625" bestFit="1" customWidth="1"/>
    <col min="7" max="7" width="2" bestFit="1" customWidth="1"/>
    <col min="8" max="8" width="27.28515625" bestFit="1" customWidth="1"/>
    <col min="9" max="9" width="4.7109375" customWidth="1"/>
    <col min="10" max="10" width="4.7109375" style="12" customWidth="1"/>
    <col min="11" max="11" width="1.7109375" style="12" customWidth="1"/>
    <col min="12" max="12" width="4.7109375" style="12" customWidth="1"/>
    <col min="13" max="13" width="1.5703125" customWidth="1"/>
    <col min="14" max="14" width="4.85546875" style="54" customWidth="1"/>
    <col min="15" max="17" width="4.28515625" style="54" customWidth="1"/>
    <col min="18" max="19" width="5" style="54" bestFit="1" customWidth="1"/>
    <col min="20" max="20" width="4.28515625" style="12" customWidth="1"/>
    <col min="21" max="21" width="7.140625" style="12" bestFit="1" customWidth="1"/>
    <col min="22" max="22" width="3.85546875" style="12" bestFit="1" customWidth="1"/>
    <col min="23" max="23" width="30.28515625" style="12" bestFit="1" customWidth="1"/>
    <col min="24" max="28" width="9.7109375" style="12" customWidth="1"/>
    <col min="29" max="29" width="1.5703125" style="12" customWidth="1"/>
    <col min="30" max="31" width="4.28515625" style="12" customWidth="1"/>
    <col min="32" max="32" width="27.28515625" style="12" bestFit="1" customWidth="1"/>
    <col min="33" max="45" width="4.28515625" style="12" customWidth="1"/>
    <col min="46" max="46" width="2.85546875" customWidth="1"/>
    <col min="47" max="64" width="3.7109375" customWidth="1"/>
    <col min="65" max="65" width="5.28515625" customWidth="1"/>
    <col min="66" max="69" width="7" customWidth="1"/>
    <col min="71" max="85" width="4.7109375" customWidth="1"/>
  </cols>
  <sheetData>
    <row r="1" spans="1:81" ht="15.75" thickBot="1" x14ac:dyDescent="0.3">
      <c r="E1" s="113" t="s">
        <v>49</v>
      </c>
      <c r="F1" s="113"/>
      <c r="G1" s="113"/>
      <c r="H1" s="113"/>
      <c r="I1" s="113"/>
      <c r="J1" s="113"/>
      <c r="K1" s="113"/>
      <c r="L1" s="113"/>
      <c r="U1" s="114" t="str">
        <f>$E$1</f>
        <v>GROEP A</v>
      </c>
      <c r="V1" s="114"/>
      <c r="W1" s="114"/>
      <c r="X1" s="114"/>
      <c r="Y1" s="115"/>
      <c r="Z1" s="115"/>
      <c r="AA1" s="115"/>
      <c r="AB1" s="61"/>
    </row>
    <row r="2" spans="1:81" ht="15" customHeight="1" thickTop="1" thickBot="1" x14ac:dyDescent="0.3">
      <c r="U2" s="116" t="s">
        <v>20</v>
      </c>
      <c r="V2" s="118"/>
      <c r="W2" s="120" t="s">
        <v>6</v>
      </c>
      <c r="X2" s="122" t="s">
        <v>4</v>
      </c>
      <c r="Y2" s="124" t="s">
        <v>22</v>
      </c>
      <c r="Z2" s="126" t="s">
        <v>21</v>
      </c>
      <c r="AA2" s="126" t="s">
        <v>23</v>
      </c>
      <c r="AB2" s="132" t="s">
        <v>37</v>
      </c>
      <c r="AF2" s="134" t="str">
        <f>CONCATENATE("Resultaatmatrix ",$E$1)</f>
        <v>Resultaatmatrix GROEP A</v>
      </c>
      <c r="AG2" s="134"/>
      <c r="AH2" s="134"/>
      <c r="AI2" s="134"/>
      <c r="AJ2" s="134"/>
      <c r="AK2" s="134"/>
      <c r="AL2" s="134"/>
      <c r="AM2" s="134"/>
      <c r="AN2" s="134"/>
      <c r="AO2" s="134"/>
      <c r="AP2" s="112"/>
      <c r="AQ2" s="112"/>
      <c r="AR2" s="15"/>
      <c r="AS2" s="15"/>
      <c r="AT2" t="s">
        <v>0</v>
      </c>
      <c r="AU2" s="135">
        <v>1</v>
      </c>
      <c r="AV2" s="135"/>
      <c r="AW2" s="135">
        <v>2</v>
      </c>
      <c r="AX2" s="135"/>
      <c r="AY2" s="135">
        <v>3</v>
      </c>
      <c r="AZ2" s="135"/>
      <c r="BA2" s="135">
        <v>4</v>
      </c>
      <c r="BB2" s="135"/>
      <c r="BC2" s="135">
        <v>5</v>
      </c>
      <c r="BD2" s="135"/>
      <c r="BE2" s="135">
        <v>6</v>
      </c>
      <c r="BF2" s="135"/>
      <c r="BG2" s="135">
        <v>7</v>
      </c>
      <c r="BH2" s="135"/>
      <c r="BI2" s="135">
        <v>8</v>
      </c>
      <c r="BJ2" s="135"/>
      <c r="BK2" s="135">
        <v>9</v>
      </c>
      <c r="BL2" s="135"/>
      <c r="BM2" t="s">
        <v>19</v>
      </c>
      <c r="BN2" t="s">
        <v>2</v>
      </c>
      <c r="BO2" t="s">
        <v>3</v>
      </c>
      <c r="BP2" t="s">
        <v>16</v>
      </c>
      <c r="BS2" s="131" t="s">
        <v>25</v>
      </c>
      <c r="BT2" s="131"/>
      <c r="BU2" s="131"/>
      <c r="BV2" s="131"/>
      <c r="BW2" s="131"/>
      <c r="BX2" s="131"/>
      <c r="BY2" s="131"/>
      <c r="BZ2" s="131"/>
      <c r="CA2" s="131"/>
      <c r="CB2" s="131"/>
      <c r="CC2" s="131"/>
    </row>
    <row r="3" spans="1:81" ht="16.5" thickTop="1" thickBot="1" x14ac:dyDescent="0.3">
      <c r="E3" s="44"/>
      <c r="F3" s="63" t="s">
        <v>6</v>
      </c>
      <c r="G3" s="64"/>
      <c r="H3" s="63" t="s">
        <v>36</v>
      </c>
      <c r="I3" s="128" t="s">
        <v>37</v>
      </c>
      <c r="J3" s="129"/>
      <c r="K3" s="129"/>
      <c r="L3" s="130"/>
      <c r="U3" s="117"/>
      <c r="V3" s="119"/>
      <c r="W3" s="121"/>
      <c r="X3" s="123"/>
      <c r="Y3" s="125"/>
      <c r="Z3" s="127"/>
      <c r="AA3" s="127"/>
      <c r="AB3" s="133"/>
      <c r="AF3" s="57"/>
      <c r="AG3" s="57"/>
      <c r="AH3" s="57">
        <v>1</v>
      </c>
      <c r="AI3" s="57">
        <v>2</v>
      </c>
      <c r="AJ3" s="57">
        <v>3</v>
      </c>
      <c r="AK3" s="57">
        <v>4</v>
      </c>
      <c r="AL3" s="57">
        <v>5</v>
      </c>
      <c r="AM3" s="57">
        <v>6</v>
      </c>
      <c r="AN3" s="57">
        <v>7</v>
      </c>
      <c r="AO3" s="57">
        <v>8</v>
      </c>
      <c r="AP3" s="78"/>
      <c r="AQ3" s="78"/>
      <c r="AR3" s="61"/>
      <c r="AS3" s="61"/>
      <c r="AU3" s="26" t="s">
        <v>10</v>
      </c>
      <c r="AV3" s="26" t="s">
        <v>11</v>
      </c>
      <c r="AW3" s="26" t="s">
        <v>10</v>
      </c>
      <c r="AX3" s="26" t="s">
        <v>11</v>
      </c>
      <c r="AY3" s="26" t="s">
        <v>10</v>
      </c>
      <c r="AZ3" s="26" t="s">
        <v>11</v>
      </c>
      <c r="BA3" s="26" t="s">
        <v>10</v>
      </c>
      <c r="BB3" s="26" t="s">
        <v>11</v>
      </c>
      <c r="BC3" s="26" t="s">
        <v>10</v>
      </c>
      <c r="BD3" s="26" t="s">
        <v>11</v>
      </c>
      <c r="BE3" s="26" t="s">
        <v>10</v>
      </c>
      <c r="BF3" s="26" t="s">
        <v>11</v>
      </c>
      <c r="BG3" s="26" t="s">
        <v>10</v>
      </c>
      <c r="BH3" s="26" t="s">
        <v>11</v>
      </c>
      <c r="BI3" s="26" t="s">
        <v>10</v>
      </c>
      <c r="BJ3" s="26" t="s">
        <v>11</v>
      </c>
      <c r="BK3" s="26" t="s">
        <v>10</v>
      </c>
      <c r="BL3" s="26" t="s">
        <v>11</v>
      </c>
      <c r="BM3" s="26" t="s">
        <v>9</v>
      </c>
      <c r="BS3" s="57"/>
      <c r="BT3" s="57">
        <v>1</v>
      </c>
      <c r="BU3" s="57">
        <v>2</v>
      </c>
      <c r="BV3" s="57">
        <v>3</v>
      </c>
      <c r="BW3" s="57">
        <v>4</v>
      </c>
      <c r="BX3" s="57">
        <v>5</v>
      </c>
      <c r="BY3" s="57">
        <v>6</v>
      </c>
      <c r="BZ3" s="57">
        <v>7</v>
      </c>
      <c r="CA3" s="57">
        <v>8</v>
      </c>
      <c r="CB3" s="57">
        <v>9</v>
      </c>
      <c r="CC3" s="57">
        <v>10</v>
      </c>
    </row>
    <row r="4" spans="1:81" ht="15.75" thickTop="1" x14ac:dyDescent="0.25">
      <c r="E4" s="35">
        <v>1</v>
      </c>
      <c r="F4" s="82" t="s">
        <v>26</v>
      </c>
      <c r="G4" s="30"/>
      <c r="H4" s="83">
        <v>85679456</v>
      </c>
      <c r="I4" s="147">
        <v>1800</v>
      </c>
      <c r="J4" s="148"/>
      <c r="K4" s="148"/>
      <c r="L4" s="149"/>
      <c r="U4" s="35">
        <v>1</v>
      </c>
      <c r="V4" s="36">
        <v>3</v>
      </c>
      <c r="W4" s="30" t="str">
        <f t="shared" ref="W4:W11" si="0">VLOOKUP(V4,$E$4:$F$13,2,FALSE)</f>
        <v>Matthijs van Doodenweerd</v>
      </c>
      <c r="X4" s="71">
        <f t="shared" ref="X4:X11" ca="1" si="1">VLOOKUP($V4,$AT$4:$BP$13,20,FALSE)</f>
        <v>4.5</v>
      </c>
      <c r="Y4" s="75">
        <f t="shared" ref="Y4:Y11" ca="1" si="2">VLOOKUP($V4,$AT$4:$BP$13,21,FALSE)</f>
        <v>10.5</v>
      </c>
      <c r="Z4" s="48">
        <f t="shared" ref="Z4:Z11" ca="1" si="3">VLOOKUP($V4,$AT$4:$BP$13,22,FALSE)</f>
        <v>6</v>
      </c>
      <c r="AA4" s="49">
        <f t="shared" ref="AA4:AA11" ca="1" si="4">VLOOKUP($V4,$AT$4:$BP$13,23,FALSE)</f>
        <v>28</v>
      </c>
      <c r="AB4" s="31">
        <f t="shared" ref="AB4:AB11" si="5">VLOOKUP(V4,$E$4:$L$13,5,FALSE)</f>
        <v>300</v>
      </c>
      <c r="AF4" s="60" t="str">
        <f t="shared" ref="AF4:AF11" si="6">F4</f>
        <v>Govert van der Weijden</v>
      </c>
      <c r="AG4" s="57">
        <v>1</v>
      </c>
      <c r="AH4" s="58" t="str">
        <f t="shared" ref="AH4:AH11" si="7">IF(BT4=1,SUMIF($R$18:$R$139,$AG4*100+AH$3,$J$18:$J$139)+SUMIF($R$18:$R$139,$AG4+AH$3*100,$L$18:$L$139),"")</f>
        <v/>
      </c>
      <c r="AI4" s="14">
        <f t="shared" ref="AI4:AI11" si="8">IF(BU4=1,SUMIF($R$18:$R$139,$AG4*100+AI$3,$J$18:$J$139)+SUMIF($R$18:$R$139,$AG4+AI$3*100,$L$18:$L$139),"")</f>
        <v>1</v>
      </c>
      <c r="AJ4" s="14">
        <f t="shared" ref="AJ4:AJ11" si="9">IF(BV4=1,SUMIF($R$18:$R$139,$AG4*100+AJ$3,$J$18:$J$139)+SUMIF($R$18:$R$139,$AG4+AJ$3*100,$L$18:$L$139),"")</f>
        <v>1</v>
      </c>
      <c r="AK4" s="14">
        <f t="shared" ref="AK4:AK11" si="10">IF(BW4=1,SUMIF($R$18:$R$139,$AG4*100+AK$3,$J$18:$J$139)+SUMIF($R$18:$R$139,$AG4+AK$3*100,$L$18:$L$139),"")</f>
        <v>0</v>
      </c>
      <c r="AL4" s="14">
        <f t="shared" ref="AL4:AL11" si="11">IF(BX4=1,SUMIF($R$18:$R$139,$AG4*100+AL$3,$J$18:$J$139)+SUMIF($R$18:$R$139,$AG4+AL$3*100,$L$18:$L$139),"")</f>
        <v>0.5</v>
      </c>
      <c r="AM4" s="14">
        <f t="shared" ref="AM4:AM11" si="12">IF(BY4=1,SUMIF($R$18:$R$139,$AG4*100+AM$3,$J$18:$J$139)+SUMIF($R$18:$R$139,$AG4+AM$3*100,$L$18:$L$139),"")</f>
        <v>1</v>
      </c>
      <c r="AN4" s="14">
        <f t="shared" ref="AN4:AN11" si="13">IF(BZ4=1,SUMIF($R$18:$R$139,$AG4*100+AN$3,$J$18:$J$139)+SUMIF($R$18:$R$139,$AG4+AN$3*100,$L$18:$L$139),"")</f>
        <v>0</v>
      </c>
      <c r="AO4" s="14">
        <f t="shared" ref="AO4:AO11" si="14">IF(CA4=1,SUMIF($R$18:$R$139,$AG4*100+AO$3,$J$18:$J$139)+SUMIF($R$18:$R$139,$AG4+AO$3*100,$L$18:$L$139),"")</f>
        <v>1</v>
      </c>
      <c r="AP4" s="81"/>
      <c r="AQ4" s="81"/>
      <c r="AR4" s="15"/>
      <c r="AS4" s="15"/>
      <c r="AT4">
        <v>1</v>
      </c>
      <c r="AU4">
        <f t="shared" ref="AU4:AU11" si="15">SUMIF($A$16:$A$27,$AT4,$J$16:$J$27)+SUMIF($B$16:$B$27,$AT4,$L$16:$L$27)</f>
        <v>1</v>
      </c>
      <c r="AV4" s="25">
        <f t="shared" ref="AV4:AV11" si="16">AU4</f>
        <v>1</v>
      </c>
      <c r="AW4">
        <f t="shared" ref="AW4:AW11" si="17">SUMIF($A$30:$A$41,$AT4,$J$30:$J$41)+SUMIF($B$30:$B$41,$AT4,$L$30:$L$41)</f>
        <v>1</v>
      </c>
      <c r="AX4" s="25">
        <f t="shared" ref="AX4:AX11" si="18">AW4+AV4</f>
        <v>2</v>
      </c>
      <c r="AY4">
        <f t="shared" ref="AY4:AY11" si="19">SUMIF($A$44:$A$55,$AT4,$J$44:$J$55)+SUMIF($B$44:$B$55,$AT4,$L$44:$L$55)</f>
        <v>1</v>
      </c>
      <c r="AZ4" s="25">
        <f t="shared" ref="AZ4:AZ11" si="20">AY4+AX4</f>
        <v>3</v>
      </c>
      <c r="BA4">
        <f t="shared" ref="BA4:BA11" si="21">SUMIF($A$58:$A$69,$AT4,$J$58:$J$69)+SUMIF($B$58:$B$69,$AT4,$L$58:$L$69)</f>
        <v>0</v>
      </c>
      <c r="BB4" s="25">
        <f t="shared" ref="BB4:BB11" si="22">BA4+AZ4</f>
        <v>3</v>
      </c>
      <c r="BC4">
        <f t="shared" ref="BC4:BC11" si="23">SUMIF($A$72:$A$83,$AT4,$J$72:$J$83)+SUMIF($B$72:$B$83,$AT4,$L$72:$L$83)</f>
        <v>0.5</v>
      </c>
      <c r="BD4" s="25">
        <f t="shared" ref="BD4:BD11" si="24">BC4+BB4</f>
        <v>3.5</v>
      </c>
      <c r="BE4">
        <f>SUMIF($A$86:$A$97,$AT4,$J$86:$J$97)+SUMIF($B$86:$B$97,$AT4,$L$86:$L$97)</f>
        <v>1</v>
      </c>
      <c r="BF4" s="25">
        <f t="shared" ref="BF4:BF11" si="25">BE4+BD4</f>
        <v>4.5</v>
      </c>
      <c r="BG4">
        <f t="shared" ref="BG4:BG11" si="26">SUMIF($A$100:$A$111,$AT4,$J$100:$J$111)+SUMIF($B$100:$B$111,$AT4,$L$100:$L$111)</f>
        <v>0</v>
      </c>
      <c r="BH4" s="25">
        <f t="shared" ref="BH4:BH11" si="27">BG4+BF4</f>
        <v>4.5</v>
      </c>
      <c r="BI4">
        <f t="shared" ref="BI4:BI11" si="28">SUMIF($A$114:$A$125,$AT4,$J$114:$J$125)+SUMIF($B$114:$B$125,$AT4,$L$114:$L$125)</f>
        <v>0</v>
      </c>
      <c r="BJ4" s="25">
        <f t="shared" ref="BJ4:BJ11" si="29">BI4+BH4</f>
        <v>4.5</v>
      </c>
      <c r="BK4">
        <f t="shared" ref="BK4:BK11" si="30">SUMIF($A$128:$A$139,$AT4,$J$128:$J$139)+SUMIF($B$128:$B$139,$AT4,$L$128:$L$139)</f>
        <v>0</v>
      </c>
      <c r="BL4" s="25">
        <f t="shared" ref="BL4:BL11" si="31">BK4+BJ4</f>
        <v>4.5</v>
      </c>
      <c r="BM4" s="12">
        <f t="shared" ref="BM4:BM11" si="32">BL4</f>
        <v>4.5</v>
      </c>
      <c r="BN4" s="28">
        <f t="shared" ref="BN4:BN11" ca="1" si="33">SUMIF($A$16:$A$139,$AT4,$O$16:$O$139)+SUMIF($B$16:$B$139,$AT4,$N$16:$N$139)</f>
        <v>10</v>
      </c>
      <c r="BO4" s="29">
        <f t="shared" ref="BO4:BO11" ca="1" si="34">SUMIF($A$16:$A$139,$AT4,$P$16:$P$139)+SUMIF($B$16:$B$139,$AT4,$Q$16:$Q$139)</f>
        <v>5</v>
      </c>
      <c r="BP4" s="28">
        <f>AV4+AX4+AZ4+BB4+BD4+BF4+BH4+BJ4+BL4</f>
        <v>30.5</v>
      </c>
      <c r="BS4" s="57">
        <v>1</v>
      </c>
      <c r="BT4" s="58">
        <f t="shared" ref="BT4:CC13" si="35">SUMIF($R$18:$R$139,$AG4*100+BT$3,$C$18:$C$139)+SUMIF($R$18:$R$139,$AG4+BT$3*100,$C$18:$C$139)</f>
        <v>0</v>
      </c>
      <c r="BU4" s="14">
        <f t="shared" si="35"/>
        <v>1</v>
      </c>
      <c r="BV4" s="14">
        <f t="shared" si="35"/>
        <v>1</v>
      </c>
      <c r="BW4" s="14">
        <f t="shared" si="35"/>
        <v>1</v>
      </c>
      <c r="BX4" s="14">
        <f t="shared" si="35"/>
        <v>1</v>
      </c>
      <c r="BY4" s="14">
        <f t="shared" si="35"/>
        <v>1</v>
      </c>
      <c r="BZ4" s="14">
        <f t="shared" si="35"/>
        <v>1</v>
      </c>
      <c r="CA4" s="14">
        <f t="shared" si="35"/>
        <v>1</v>
      </c>
      <c r="CB4" s="14">
        <f t="shared" si="35"/>
        <v>0</v>
      </c>
      <c r="CC4" s="14">
        <f t="shared" si="35"/>
        <v>0</v>
      </c>
    </row>
    <row r="5" spans="1:81" x14ac:dyDescent="0.25">
      <c r="E5" s="37">
        <v>2</v>
      </c>
      <c r="F5" s="21" t="s">
        <v>35</v>
      </c>
      <c r="G5" s="17"/>
      <c r="H5" s="65">
        <v>87849324</v>
      </c>
      <c r="I5" s="141">
        <v>1200</v>
      </c>
      <c r="J5" s="142"/>
      <c r="K5" s="142"/>
      <c r="L5" s="143"/>
      <c r="U5" s="37">
        <v>2</v>
      </c>
      <c r="V5" s="38">
        <v>1</v>
      </c>
      <c r="W5" s="17" t="str">
        <f t="shared" si="0"/>
        <v>Govert van der Weijden</v>
      </c>
      <c r="X5" s="72">
        <f t="shared" si="1"/>
        <v>4.5</v>
      </c>
      <c r="Y5" s="76">
        <f t="shared" ca="1" si="2"/>
        <v>10</v>
      </c>
      <c r="Z5" s="50">
        <f t="shared" ca="1" si="3"/>
        <v>5</v>
      </c>
      <c r="AA5" s="51">
        <f t="shared" si="4"/>
        <v>30.5</v>
      </c>
      <c r="AB5" s="32">
        <f t="shared" si="5"/>
        <v>1800</v>
      </c>
      <c r="AF5" s="60" t="str">
        <f t="shared" si="6"/>
        <v>Mike van der Gijp van Bergen</v>
      </c>
      <c r="AG5" s="57">
        <v>2</v>
      </c>
      <c r="AH5" s="14">
        <f t="shared" si="7"/>
        <v>0</v>
      </c>
      <c r="AI5" s="58" t="str">
        <f t="shared" si="8"/>
        <v/>
      </c>
      <c r="AJ5" s="14">
        <f t="shared" si="9"/>
        <v>0</v>
      </c>
      <c r="AK5" s="14">
        <f t="shared" si="10"/>
        <v>1</v>
      </c>
      <c r="AL5" s="14">
        <f t="shared" si="11"/>
        <v>1</v>
      </c>
      <c r="AM5" s="14">
        <f t="shared" si="12"/>
        <v>0</v>
      </c>
      <c r="AN5" s="14">
        <f t="shared" si="13"/>
        <v>1</v>
      </c>
      <c r="AO5" s="14">
        <f t="shared" si="14"/>
        <v>1</v>
      </c>
      <c r="AP5" s="81"/>
      <c r="AQ5" s="81"/>
      <c r="AR5" s="15"/>
      <c r="AS5" s="15"/>
      <c r="AT5">
        <v>2</v>
      </c>
      <c r="AU5">
        <f t="shared" si="15"/>
        <v>1</v>
      </c>
      <c r="AV5" s="25">
        <f t="shared" si="16"/>
        <v>1</v>
      </c>
      <c r="AW5">
        <f t="shared" si="17"/>
        <v>0</v>
      </c>
      <c r="AX5" s="25">
        <f t="shared" si="18"/>
        <v>1</v>
      </c>
      <c r="AY5">
        <f t="shared" si="19"/>
        <v>1</v>
      </c>
      <c r="AZ5" s="25">
        <f t="shared" si="20"/>
        <v>2</v>
      </c>
      <c r="BA5">
        <f t="shared" si="21"/>
        <v>0</v>
      </c>
      <c r="BB5" s="25">
        <f t="shared" si="22"/>
        <v>2</v>
      </c>
      <c r="BC5">
        <f t="shared" si="23"/>
        <v>1</v>
      </c>
      <c r="BD5" s="25">
        <f t="shared" si="24"/>
        <v>3</v>
      </c>
      <c r="BE5">
        <f t="shared" ref="BE5:BE11" ca="1" si="36">SUMIF($A$86:$A$97,$AT5,$J$86:$J$87)+SUMIF($B$86:$B$97,$AT5,$L$86:$L$97)</f>
        <v>1</v>
      </c>
      <c r="BF5" s="25">
        <f t="shared" ca="1" si="25"/>
        <v>4</v>
      </c>
      <c r="BG5">
        <f t="shared" si="26"/>
        <v>0</v>
      </c>
      <c r="BH5" s="25">
        <f t="shared" ca="1" si="27"/>
        <v>4</v>
      </c>
      <c r="BI5">
        <f t="shared" si="28"/>
        <v>0</v>
      </c>
      <c r="BJ5" s="25">
        <f t="shared" ca="1" si="29"/>
        <v>4</v>
      </c>
      <c r="BK5">
        <f t="shared" si="30"/>
        <v>0</v>
      </c>
      <c r="BL5" s="25">
        <f t="shared" ca="1" si="31"/>
        <v>4</v>
      </c>
      <c r="BM5" s="12">
        <f t="shared" ca="1" si="32"/>
        <v>4</v>
      </c>
      <c r="BN5" s="28">
        <f t="shared" ca="1" si="33"/>
        <v>9.5</v>
      </c>
      <c r="BO5" s="29">
        <f t="shared" ca="1" si="34"/>
        <v>5.5</v>
      </c>
      <c r="BP5" s="28">
        <f t="shared" ref="BP5:BP11" ca="1" si="37">AV5+AX5+AZ5+BB5+BD5+BF5+BH5+BJ5+BL5</f>
        <v>25</v>
      </c>
      <c r="BS5" s="57">
        <v>2</v>
      </c>
      <c r="BT5" s="14">
        <f t="shared" si="35"/>
        <v>1</v>
      </c>
      <c r="BU5" s="58">
        <f t="shared" si="35"/>
        <v>0</v>
      </c>
      <c r="BV5" s="14">
        <f t="shared" si="35"/>
        <v>1</v>
      </c>
      <c r="BW5" s="14">
        <f t="shared" si="35"/>
        <v>1</v>
      </c>
      <c r="BX5" s="14">
        <f t="shared" si="35"/>
        <v>1</v>
      </c>
      <c r="BY5" s="14">
        <f t="shared" si="35"/>
        <v>1</v>
      </c>
      <c r="BZ5" s="14">
        <f t="shared" si="35"/>
        <v>1</v>
      </c>
      <c r="CA5" s="14">
        <f t="shared" si="35"/>
        <v>1</v>
      </c>
      <c r="CB5" s="14">
        <f t="shared" si="35"/>
        <v>0</v>
      </c>
      <c r="CC5" s="14">
        <f t="shared" si="35"/>
        <v>0</v>
      </c>
    </row>
    <row r="6" spans="1:81" x14ac:dyDescent="0.25">
      <c r="E6" s="37">
        <v>3</v>
      </c>
      <c r="F6" s="21" t="s">
        <v>27</v>
      </c>
      <c r="G6" s="17"/>
      <c r="H6" s="65">
        <v>84521464</v>
      </c>
      <c r="I6" s="141">
        <v>300</v>
      </c>
      <c r="J6" s="142"/>
      <c r="K6" s="142"/>
      <c r="L6" s="143"/>
      <c r="U6" s="37">
        <v>3</v>
      </c>
      <c r="V6" s="38">
        <v>4</v>
      </c>
      <c r="W6" s="17" t="str">
        <f t="shared" si="0"/>
        <v>Floris van Capelleveen</v>
      </c>
      <c r="X6" s="72">
        <f t="shared" ca="1" si="1"/>
        <v>4</v>
      </c>
      <c r="Y6" s="76">
        <f t="shared" ca="1" si="2"/>
        <v>11</v>
      </c>
      <c r="Z6" s="50">
        <f t="shared" ca="1" si="3"/>
        <v>5.5</v>
      </c>
      <c r="AA6" s="51">
        <f t="shared" ca="1" si="4"/>
        <v>24</v>
      </c>
      <c r="AB6" s="32">
        <f t="shared" si="5"/>
        <v>400</v>
      </c>
      <c r="AF6" s="60" t="str">
        <f t="shared" si="6"/>
        <v>Matthijs van Doodenweerd</v>
      </c>
      <c r="AG6" s="57">
        <v>3</v>
      </c>
      <c r="AH6" s="14">
        <f t="shared" si="7"/>
        <v>0</v>
      </c>
      <c r="AI6" s="14">
        <f t="shared" si="8"/>
        <v>1</v>
      </c>
      <c r="AJ6" s="58" t="str">
        <f t="shared" si="9"/>
        <v/>
      </c>
      <c r="AK6" s="14">
        <f t="shared" si="10"/>
        <v>1</v>
      </c>
      <c r="AL6" s="14">
        <f t="shared" si="11"/>
        <v>0</v>
      </c>
      <c r="AM6" s="14">
        <f t="shared" si="12"/>
        <v>1</v>
      </c>
      <c r="AN6" s="14">
        <f t="shared" si="13"/>
        <v>0.5</v>
      </c>
      <c r="AO6" s="14">
        <f t="shared" si="14"/>
        <v>1</v>
      </c>
      <c r="AP6" s="81"/>
      <c r="AQ6" s="81"/>
      <c r="AR6" s="15"/>
      <c r="AS6" s="15"/>
      <c r="AT6">
        <v>3</v>
      </c>
      <c r="AU6">
        <f t="shared" si="15"/>
        <v>1</v>
      </c>
      <c r="AV6" s="25">
        <f t="shared" si="16"/>
        <v>1</v>
      </c>
      <c r="AW6">
        <f t="shared" si="17"/>
        <v>0.5</v>
      </c>
      <c r="AX6" s="25">
        <f t="shared" si="18"/>
        <v>1.5</v>
      </c>
      <c r="AY6">
        <f t="shared" si="19"/>
        <v>0</v>
      </c>
      <c r="AZ6" s="25">
        <f t="shared" si="20"/>
        <v>1.5</v>
      </c>
      <c r="BA6">
        <f t="shared" si="21"/>
        <v>1</v>
      </c>
      <c r="BB6" s="25">
        <f t="shared" si="22"/>
        <v>2.5</v>
      </c>
      <c r="BC6">
        <f t="shared" si="23"/>
        <v>1</v>
      </c>
      <c r="BD6" s="25">
        <f t="shared" si="24"/>
        <v>3.5</v>
      </c>
      <c r="BE6">
        <f t="shared" ca="1" si="36"/>
        <v>1</v>
      </c>
      <c r="BF6" s="25">
        <f t="shared" ca="1" si="25"/>
        <v>4.5</v>
      </c>
      <c r="BG6">
        <f t="shared" si="26"/>
        <v>0</v>
      </c>
      <c r="BH6" s="25">
        <f t="shared" ca="1" si="27"/>
        <v>4.5</v>
      </c>
      <c r="BI6">
        <f t="shared" si="28"/>
        <v>0</v>
      </c>
      <c r="BJ6" s="25">
        <f t="shared" ca="1" si="29"/>
        <v>4.5</v>
      </c>
      <c r="BK6">
        <f t="shared" si="30"/>
        <v>0</v>
      </c>
      <c r="BL6" s="25">
        <f t="shared" ca="1" si="31"/>
        <v>4.5</v>
      </c>
      <c r="BM6" s="12">
        <f t="shared" ca="1" si="32"/>
        <v>4.5</v>
      </c>
      <c r="BN6" s="28">
        <f t="shared" ca="1" si="33"/>
        <v>10.5</v>
      </c>
      <c r="BO6" s="29">
        <f t="shared" ca="1" si="34"/>
        <v>6</v>
      </c>
      <c r="BP6" s="28">
        <f t="shared" ca="1" si="37"/>
        <v>28</v>
      </c>
      <c r="BS6" s="57">
        <v>3</v>
      </c>
      <c r="BT6" s="14">
        <f t="shared" si="35"/>
        <v>1</v>
      </c>
      <c r="BU6" s="14">
        <f t="shared" si="35"/>
        <v>1</v>
      </c>
      <c r="BV6" s="58">
        <f t="shared" si="35"/>
        <v>0</v>
      </c>
      <c r="BW6" s="14">
        <f t="shared" si="35"/>
        <v>1</v>
      </c>
      <c r="BX6" s="14">
        <f t="shared" si="35"/>
        <v>1</v>
      </c>
      <c r="BY6" s="14">
        <f t="shared" si="35"/>
        <v>1</v>
      </c>
      <c r="BZ6" s="14">
        <f t="shared" si="35"/>
        <v>1</v>
      </c>
      <c r="CA6" s="14">
        <f t="shared" si="35"/>
        <v>1</v>
      </c>
      <c r="CB6" s="14">
        <f t="shared" si="35"/>
        <v>0</v>
      </c>
      <c r="CC6" s="14">
        <f t="shared" si="35"/>
        <v>0</v>
      </c>
    </row>
    <row r="7" spans="1:81" x14ac:dyDescent="0.25">
      <c r="E7" s="37">
        <v>4</v>
      </c>
      <c r="F7" s="21" t="s">
        <v>28</v>
      </c>
      <c r="G7" s="17"/>
      <c r="H7" s="65">
        <v>82637457</v>
      </c>
      <c r="I7" s="141">
        <v>400</v>
      </c>
      <c r="J7" s="142"/>
      <c r="K7" s="142"/>
      <c r="L7" s="143"/>
      <c r="U7" s="37">
        <v>4</v>
      </c>
      <c r="V7" s="38">
        <v>2</v>
      </c>
      <c r="W7" s="17" t="str">
        <f t="shared" si="0"/>
        <v>Mike van der Gijp van Bergen</v>
      </c>
      <c r="X7" s="72">
        <f t="shared" ca="1" si="1"/>
        <v>4</v>
      </c>
      <c r="Y7" s="76">
        <f t="shared" ca="1" si="2"/>
        <v>9.5</v>
      </c>
      <c r="Z7" s="50">
        <f t="shared" ca="1" si="3"/>
        <v>5.5</v>
      </c>
      <c r="AA7" s="51">
        <f t="shared" ca="1" si="4"/>
        <v>25</v>
      </c>
      <c r="AB7" s="32">
        <f t="shared" si="5"/>
        <v>1200</v>
      </c>
      <c r="AF7" s="60" t="str">
        <f t="shared" si="6"/>
        <v>Floris van Capelleveen</v>
      </c>
      <c r="AG7" s="57">
        <v>4</v>
      </c>
      <c r="AH7" s="14">
        <f t="shared" si="7"/>
        <v>1</v>
      </c>
      <c r="AI7" s="14">
        <f t="shared" si="8"/>
        <v>0</v>
      </c>
      <c r="AJ7" s="14">
        <f t="shared" si="9"/>
        <v>0</v>
      </c>
      <c r="AK7" s="58" t="str">
        <f t="shared" si="10"/>
        <v/>
      </c>
      <c r="AL7" s="14">
        <f t="shared" si="11"/>
        <v>0</v>
      </c>
      <c r="AM7" s="14">
        <f t="shared" si="12"/>
        <v>1</v>
      </c>
      <c r="AN7" s="14">
        <f t="shared" si="13"/>
        <v>1</v>
      </c>
      <c r="AO7" s="14">
        <f t="shared" si="14"/>
        <v>1</v>
      </c>
      <c r="AP7" s="81"/>
      <c r="AQ7" s="81"/>
      <c r="AR7" s="15"/>
      <c r="AS7" s="15"/>
      <c r="AT7">
        <v>4</v>
      </c>
      <c r="AU7">
        <f t="shared" si="15"/>
        <v>0</v>
      </c>
      <c r="AV7" s="25">
        <f t="shared" si="16"/>
        <v>0</v>
      </c>
      <c r="AW7">
        <f t="shared" si="17"/>
        <v>1</v>
      </c>
      <c r="AX7" s="25">
        <f t="shared" si="18"/>
        <v>1</v>
      </c>
      <c r="AY7">
        <f t="shared" si="19"/>
        <v>1</v>
      </c>
      <c r="AZ7" s="25">
        <f t="shared" si="20"/>
        <v>2</v>
      </c>
      <c r="BA7">
        <f t="shared" si="21"/>
        <v>1</v>
      </c>
      <c r="BB7" s="25">
        <f t="shared" si="22"/>
        <v>3</v>
      </c>
      <c r="BC7">
        <f t="shared" si="23"/>
        <v>0</v>
      </c>
      <c r="BD7" s="25">
        <f t="shared" si="24"/>
        <v>3</v>
      </c>
      <c r="BE7">
        <f t="shared" ca="1" si="36"/>
        <v>0</v>
      </c>
      <c r="BF7" s="25">
        <f t="shared" ca="1" si="25"/>
        <v>3</v>
      </c>
      <c r="BG7">
        <f t="shared" si="26"/>
        <v>1</v>
      </c>
      <c r="BH7" s="25">
        <f t="shared" ca="1" si="27"/>
        <v>4</v>
      </c>
      <c r="BI7">
        <f t="shared" si="28"/>
        <v>0</v>
      </c>
      <c r="BJ7" s="25">
        <f t="shared" ca="1" si="29"/>
        <v>4</v>
      </c>
      <c r="BK7">
        <f t="shared" si="30"/>
        <v>0</v>
      </c>
      <c r="BL7" s="25">
        <f t="shared" ca="1" si="31"/>
        <v>4</v>
      </c>
      <c r="BM7" s="12">
        <f t="shared" ca="1" si="32"/>
        <v>4</v>
      </c>
      <c r="BN7" s="28">
        <f t="shared" ca="1" si="33"/>
        <v>11</v>
      </c>
      <c r="BO7" s="29">
        <f t="shared" ca="1" si="34"/>
        <v>5.5</v>
      </c>
      <c r="BP7" s="28">
        <f t="shared" ca="1" si="37"/>
        <v>24</v>
      </c>
      <c r="BS7" s="57">
        <v>4</v>
      </c>
      <c r="BT7" s="14">
        <f t="shared" si="35"/>
        <v>1</v>
      </c>
      <c r="BU7" s="14">
        <f t="shared" si="35"/>
        <v>1</v>
      </c>
      <c r="BV7" s="14">
        <f t="shared" si="35"/>
        <v>1</v>
      </c>
      <c r="BW7" s="58">
        <f t="shared" si="35"/>
        <v>0</v>
      </c>
      <c r="BX7" s="14">
        <f t="shared" si="35"/>
        <v>1</v>
      </c>
      <c r="BY7" s="14">
        <f t="shared" si="35"/>
        <v>1</v>
      </c>
      <c r="BZ7" s="14">
        <f t="shared" si="35"/>
        <v>1</v>
      </c>
      <c r="CA7" s="14">
        <f t="shared" si="35"/>
        <v>1</v>
      </c>
      <c r="CB7" s="14">
        <f t="shared" si="35"/>
        <v>0</v>
      </c>
      <c r="CC7" s="14">
        <f t="shared" si="35"/>
        <v>0</v>
      </c>
    </row>
    <row r="8" spans="1:81" x14ac:dyDescent="0.25">
      <c r="E8" s="37">
        <v>5</v>
      </c>
      <c r="F8" s="21" t="s">
        <v>34</v>
      </c>
      <c r="G8" s="17"/>
      <c r="H8" s="65">
        <v>83429006</v>
      </c>
      <c r="I8" s="141">
        <v>345</v>
      </c>
      <c r="J8" s="142"/>
      <c r="K8" s="142"/>
      <c r="L8" s="143"/>
      <c r="U8" s="37">
        <v>5</v>
      </c>
      <c r="V8" s="38">
        <v>5</v>
      </c>
      <c r="W8" s="17" t="str">
        <f t="shared" si="0"/>
        <v>Luca Da Costa van den Werk</v>
      </c>
      <c r="X8" s="72">
        <f t="shared" ca="1" si="1"/>
        <v>3.5</v>
      </c>
      <c r="Y8" s="76">
        <f t="shared" ca="1" si="2"/>
        <v>11</v>
      </c>
      <c r="Z8" s="50">
        <f t="shared" ca="1" si="3"/>
        <v>6</v>
      </c>
      <c r="AA8" s="51">
        <f t="shared" ca="1" si="4"/>
        <v>22.5</v>
      </c>
      <c r="AB8" s="32">
        <f t="shared" si="5"/>
        <v>345</v>
      </c>
      <c r="AF8" s="60" t="str">
        <f t="shared" si="6"/>
        <v>Luca Da Costa van den Werk</v>
      </c>
      <c r="AG8" s="57">
        <v>5</v>
      </c>
      <c r="AH8" s="14">
        <f t="shared" si="7"/>
        <v>0.5</v>
      </c>
      <c r="AI8" s="14">
        <f t="shared" si="8"/>
        <v>0</v>
      </c>
      <c r="AJ8" s="14">
        <f t="shared" si="9"/>
        <v>1</v>
      </c>
      <c r="AK8" s="14">
        <f t="shared" si="10"/>
        <v>1</v>
      </c>
      <c r="AL8" s="58" t="str">
        <f t="shared" si="11"/>
        <v/>
      </c>
      <c r="AM8" s="14">
        <f t="shared" si="12"/>
        <v>0</v>
      </c>
      <c r="AN8" s="14">
        <f t="shared" si="13"/>
        <v>0</v>
      </c>
      <c r="AO8" s="14">
        <f t="shared" si="14"/>
        <v>1</v>
      </c>
      <c r="AP8" s="81"/>
      <c r="AQ8" s="81"/>
      <c r="AR8" s="15"/>
      <c r="AS8" s="15"/>
      <c r="AT8">
        <v>5</v>
      </c>
      <c r="AU8">
        <f t="shared" si="15"/>
        <v>1</v>
      </c>
      <c r="AV8" s="25">
        <f t="shared" si="16"/>
        <v>1</v>
      </c>
      <c r="AW8">
        <f t="shared" si="17"/>
        <v>1</v>
      </c>
      <c r="AX8" s="25">
        <f t="shared" si="18"/>
        <v>2</v>
      </c>
      <c r="AY8">
        <f t="shared" si="19"/>
        <v>0</v>
      </c>
      <c r="AZ8" s="25">
        <f t="shared" si="20"/>
        <v>2</v>
      </c>
      <c r="BA8">
        <f t="shared" si="21"/>
        <v>0</v>
      </c>
      <c r="BB8" s="25">
        <f t="shared" si="22"/>
        <v>2</v>
      </c>
      <c r="BC8">
        <f t="shared" si="23"/>
        <v>0.5</v>
      </c>
      <c r="BD8" s="25">
        <f t="shared" si="24"/>
        <v>2.5</v>
      </c>
      <c r="BE8">
        <f t="shared" ca="1" si="36"/>
        <v>0</v>
      </c>
      <c r="BF8" s="25">
        <f t="shared" ca="1" si="25"/>
        <v>2.5</v>
      </c>
      <c r="BG8">
        <f t="shared" si="26"/>
        <v>1</v>
      </c>
      <c r="BH8" s="25">
        <f t="shared" ca="1" si="27"/>
        <v>3.5</v>
      </c>
      <c r="BI8">
        <f t="shared" si="28"/>
        <v>0</v>
      </c>
      <c r="BJ8" s="25">
        <f t="shared" ca="1" si="29"/>
        <v>3.5</v>
      </c>
      <c r="BK8">
        <f t="shared" si="30"/>
        <v>0</v>
      </c>
      <c r="BL8" s="25">
        <f t="shared" ca="1" si="31"/>
        <v>3.5</v>
      </c>
      <c r="BM8" s="12">
        <f t="shared" ca="1" si="32"/>
        <v>3.5</v>
      </c>
      <c r="BN8" s="28">
        <f t="shared" ca="1" si="33"/>
        <v>11</v>
      </c>
      <c r="BO8" s="29">
        <f t="shared" ca="1" si="34"/>
        <v>6</v>
      </c>
      <c r="BP8" s="28">
        <f t="shared" ca="1" si="37"/>
        <v>22.5</v>
      </c>
      <c r="BS8" s="57">
        <v>5</v>
      </c>
      <c r="BT8" s="14">
        <f t="shared" si="35"/>
        <v>1</v>
      </c>
      <c r="BU8" s="14">
        <f t="shared" si="35"/>
        <v>1</v>
      </c>
      <c r="BV8" s="14">
        <f t="shared" si="35"/>
        <v>1</v>
      </c>
      <c r="BW8" s="14">
        <f t="shared" si="35"/>
        <v>1</v>
      </c>
      <c r="BX8" s="58">
        <f t="shared" si="35"/>
        <v>0</v>
      </c>
      <c r="BY8" s="14">
        <f t="shared" si="35"/>
        <v>1</v>
      </c>
      <c r="BZ8" s="14">
        <f t="shared" si="35"/>
        <v>1</v>
      </c>
      <c r="CA8" s="14">
        <f t="shared" si="35"/>
        <v>1</v>
      </c>
      <c r="CB8" s="14">
        <f t="shared" si="35"/>
        <v>0</v>
      </c>
      <c r="CC8" s="14">
        <f t="shared" si="35"/>
        <v>0</v>
      </c>
    </row>
    <row r="9" spans="1:81" x14ac:dyDescent="0.25">
      <c r="E9" s="37">
        <v>6</v>
      </c>
      <c r="F9" s="21" t="s">
        <v>29</v>
      </c>
      <c r="G9" s="17"/>
      <c r="H9" s="65">
        <v>88903465</v>
      </c>
      <c r="I9" s="141">
        <v>2333</v>
      </c>
      <c r="J9" s="142"/>
      <c r="K9" s="142"/>
      <c r="L9" s="143"/>
      <c r="U9" s="37">
        <v>6</v>
      </c>
      <c r="V9" s="38">
        <v>7</v>
      </c>
      <c r="W9" s="17" t="str">
        <f t="shared" si="0"/>
        <v>Mike van Bergen van der Gijp</v>
      </c>
      <c r="X9" s="72">
        <f t="shared" ca="1" si="1"/>
        <v>3</v>
      </c>
      <c r="Y9" s="76">
        <f t="shared" si="2"/>
        <v>10.5</v>
      </c>
      <c r="Z9" s="50">
        <f t="shared" si="3"/>
        <v>7.5</v>
      </c>
      <c r="AA9" s="51">
        <f t="shared" ca="1" si="4"/>
        <v>15.5</v>
      </c>
      <c r="AB9" s="32">
        <f t="shared" si="5"/>
        <v>342</v>
      </c>
      <c r="AF9" s="60" t="str">
        <f t="shared" si="6"/>
        <v>Katja Tangarife Ramirez</v>
      </c>
      <c r="AG9" s="57">
        <v>6</v>
      </c>
      <c r="AH9" s="14">
        <f t="shared" si="7"/>
        <v>0</v>
      </c>
      <c r="AI9" s="14">
        <f t="shared" si="8"/>
        <v>1</v>
      </c>
      <c r="AJ9" s="14">
        <f t="shared" si="9"/>
        <v>0</v>
      </c>
      <c r="AK9" s="14">
        <f t="shared" si="10"/>
        <v>0</v>
      </c>
      <c r="AL9" s="14">
        <f t="shared" si="11"/>
        <v>1</v>
      </c>
      <c r="AM9" s="58" t="str">
        <f t="shared" si="12"/>
        <v/>
      </c>
      <c r="AN9" s="14">
        <f t="shared" si="13"/>
        <v>0.5</v>
      </c>
      <c r="AO9" s="14">
        <f t="shared" si="14"/>
        <v>0</v>
      </c>
      <c r="AP9" s="81"/>
      <c r="AQ9" s="81"/>
      <c r="AR9" s="15"/>
      <c r="AS9" s="15"/>
      <c r="AT9">
        <v>6</v>
      </c>
      <c r="AU9">
        <f t="shared" si="15"/>
        <v>0</v>
      </c>
      <c r="AV9" s="25">
        <f t="shared" si="16"/>
        <v>0</v>
      </c>
      <c r="AW9">
        <f t="shared" si="17"/>
        <v>0</v>
      </c>
      <c r="AX9" s="25">
        <f t="shared" si="18"/>
        <v>0</v>
      </c>
      <c r="AY9">
        <f t="shared" si="19"/>
        <v>1</v>
      </c>
      <c r="AZ9" s="25">
        <f t="shared" si="20"/>
        <v>1</v>
      </c>
      <c r="BA9">
        <f t="shared" si="21"/>
        <v>0</v>
      </c>
      <c r="BB9" s="25">
        <f t="shared" si="22"/>
        <v>1</v>
      </c>
      <c r="BC9">
        <f t="shared" si="23"/>
        <v>0.5</v>
      </c>
      <c r="BD9" s="25">
        <f t="shared" si="24"/>
        <v>1.5</v>
      </c>
      <c r="BE9">
        <f t="shared" ca="1" si="36"/>
        <v>0</v>
      </c>
      <c r="BF9" s="25">
        <f t="shared" ca="1" si="25"/>
        <v>1.5</v>
      </c>
      <c r="BG9">
        <f t="shared" si="26"/>
        <v>1</v>
      </c>
      <c r="BH9" s="25">
        <f t="shared" ca="1" si="27"/>
        <v>2.5</v>
      </c>
      <c r="BI9">
        <f t="shared" si="28"/>
        <v>0</v>
      </c>
      <c r="BJ9" s="25">
        <f t="shared" ca="1" si="29"/>
        <v>2.5</v>
      </c>
      <c r="BK9">
        <f t="shared" si="30"/>
        <v>0</v>
      </c>
      <c r="BL9" s="25">
        <f t="shared" ca="1" si="31"/>
        <v>2.5</v>
      </c>
      <c r="BM9" s="12">
        <f t="shared" ca="1" si="32"/>
        <v>2.5</v>
      </c>
      <c r="BN9" s="28">
        <f t="shared" ca="1" si="33"/>
        <v>11</v>
      </c>
      <c r="BO9" s="29">
        <f t="shared" ca="1" si="34"/>
        <v>6.75</v>
      </c>
      <c r="BP9" s="28">
        <f t="shared" ca="1" si="37"/>
        <v>12.5</v>
      </c>
      <c r="BS9" s="57">
        <v>6</v>
      </c>
      <c r="BT9" s="14">
        <f t="shared" si="35"/>
        <v>1</v>
      </c>
      <c r="BU9" s="14">
        <f t="shared" si="35"/>
        <v>1</v>
      </c>
      <c r="BV9" s="14">
        <f t="shared" si="35"/>
        <v>1</v>
      </c>
      <c r="BW9" s="14">
        <f t="shared" si="35"/>
        <v>1</v>
      </c>
      <c r="BX9" s="14">
        <f t="shared" si="35"/>
        <v>1</v>
      </c>
      <c r="BY9" s="58">
        <f t="shared" si="35"/>
        <v>0</v>
      </c>
      <c r="BZ9" s="14">
        <f t="shared" si="35"/>
        <v>1</v>
      </c>
      <c r="CA9" s="14">
        <f t="shared" si="35"/>
        <v>1</v>
      </c>
      <c r="CB9" s="14">
        <f t="shared" si="35"/>
        <v>0</v>
      </c>
      <c r="CC9" s="14">
        <f t="shared" si="35"/>
        <v>0</v>
      </c>
    </row>
    <row r="10" spans="1:81" x14ac:dyDescent="0.25">
      <c r="E10" s="37">
        <v>7</v>
      </c>
      <c r="F10" s="21" t="s">
        <v>30</v>
      </c>
      <c r="G10" s="17"/>
      <c r="H10" s="65">
        <v>87865356</v>
      </c>
      <c r="I10" s="141">
        <v>342</v>
      </c>
      <c r="J10" s="142"/>
      <c r="K10" s="142"/>
      <c r="L10" s="143"/>
      <c r="U10" s="37">
        <v>7</v>
      </c>
      <c r="V10" s="38">
        <v>6</v>
      </c>
      <c r="W10" s="17" t="str">
        <f t="shared" si="0"/>
        <v>Katja Tangarife Ramirez</v>
      </c>
      <c r="X10" s="72">
        <f t="shared" ca="1" si="1"/>
        <v>2.5</v>
      </c>
      <c r="Y10" s="76">
        <f t="shared" ca="1" si="2"/>
        <v>11</v>
      </c>
      <c r="Z10" s="50">
        <f t="shared" ca="1" si="3"/>
        <v>6.75</v>
      </c>
      <c r="AA10" s="51">
        <f t="shared" ca="1" si="4"/>
        <v>12.5</v>
      </c>
      <c r="AB10" s="32">
        <f t="shared" si="5"/>
        <v>2333</v>
      </c>
      <c r="AF10" s="60" t="str">
        <f t="shared" si="6"/>
        <v>Mike van Bergen van der Gijp</v>
      </c>
      <c r="AG10" s="57">
        <v>7</v>
      </c>
      <c r="AH10" s="14">
        <f t="shared" si="7"/>
        <v>1</v>
      </c>
      <c r="AI10" s="14">
        <f t="shared" si="8"/>
        <v>0</v>
      </c>
      <c r="AJ10" s="14">
        <f t="shared" si="9"/>
        <v>0.5</v>
      </c>
      <c r="AK10" s="14">
        <f t="shared" si="10"/>
        <v>0</v>
      </c>
      <c r="AL10" s="14">
        <f t="shared" si="11"/>
        <v>1</v>
      </c>
      <c r="AM10" s="14">
        <f t="shared" si="12"/>
        <v>0.5</v>
      </c>
      <c r="AN10" s="58" t="str">
        <f t="shared" si="13"/>
        <v/>
      </c>
      <c r="AO10" s="14">
        <f t="shared" si="14"/>
        <v>0</v>
      </c>
      <c r="AP10" s="81"/>
      <c r="AQ10" s="81"/>
      <c r="AR10" s="15"/>
      <c r="AS10" s="15"/>
      <c r="AT10">
        <v>7</v>
      </c>
      <c r="AU10">
        <f t="shared" si="15"/>
        <v>0</v>
      </c>
      <c r="AV10" s="25">
        <f t="shared" si="16"/>
        <v>0</v>
      </c>
      <c r="AW10">
        <f t="shared" si="17"/>
        <v>0.5</v>
      </c>
      <c r="AX10" s="25">
        <f t="shared" si="18"/>
        <v>0.5</v>
      </c>
      <c r="AY10">
        <f t="shared" si="19"/>
        <v>0</v>
      </c>
      <c r="AZ10" s="25">
        <f t="shared" si="20"/>
        <v>0.5</v>
      </c>
      <c r="BA10">
        <f t="shared" si="21"/>
        <v>1</v>
      </c>
      <c r="BB10" s="25">
        <f t="shared" si="22"/>
        <v>1.5</v>
      </c>
      <c r="BC10">
        <f t="shared" si="23"/>
        <v>0.5</v>
      </c>
      <c r="BD10" s="25">
        <f t="shared" si="24"/>
        <v>2</v>
      </c>
      <c r="BE10">
        <f t="shared" ca="1" si="36"/>
        <v>0</v>
      </c>
      <c r="BF10" s="25">
        <f t="shared" ca="1" si="25"/>
        <v>2</v>
      </c>
      <c r="BG10">
        <f t="shared" si="26"/>
        <v>1</v>
      </c>
      <c r="BH10" s="25">
        <f t="shared" ca="1" si="27"/>
        <v>3</v>
      </c>
      <c r="BI10">
        <f t="shared" si="28"/>
        <v>0</v>
      </c>
      <c r="BJ10" s="25">
        <f t="shared" ca="1" si="29"/>
        <v>3</v>
      </c>
      <c r="BK10">
        <f t="shared" si="30"/>
        <v>0</v>
      </c>
      <c r="BL10" s="25">
        <f t="shared" ca="1" si="31"/>
        <v>3</v>
      </c>
      <c r="BM10" s="12">
        <f t="shared" ca="1" si="32"/>
        <v>3</v>
      </c>
      <c r="BN10" s="28">
        <f t="shared" si="33"/>
        <v>10.5</v>
      </c>
      <c r="BO10" s="29">
        <f t="shared" si="34"/>
        <v>7.5</v>
      </c>
      <c r="BP10" s="28">
        <f t="shared" ca="1" si="37"/>
        <v>15.5</v>
      </c>
      <c r="BS10" s="57">
        <v>7</v>
      </c>
      <c r="BT10" s="14">
        <f t="shared" si="35"/>
        <v>1</v>
      </c>
      <c r="BU10" s="14">
        <f t="shared" si="35"/>
        <v>1</v>
      </c>
      <c r="BV10" s="14">
        <f t="shared" si="35"/>
        <v>1</v>
      </c>
      <c r="BW10" s="14">
        <f t="shared" si="35"/>
        <v>1</v>
      </c>
      <c r="BX10" s="14">
        <f t="shared" si="35"/>
        <v>1</v>
      </c>
      <c r="BY10" s="14">
        <f t="shared" si="35"/>
        <v>1</v>
      </c>
      <c r="BZ10" s="58">
        <f t="shared" si="35"/>
        <v>0</v>
      </c>
      <c r="CA10" s="14">
        <f t="shared" si="35"/>
        <v>1</v>
      </c>
      <c r="CB10" s="14">
        <f t="shared" si="35"/>
        <v>0</v>
      </c>
      <c r="CC10" s="14">
        <f t="shared" si="35"/>
        <v>0</v>
      </c>
    </row>
    <row r="11" spans="1:81" ht="15.75" thickBot="1" x14ac:dyDescent="0.3">
      <c r="E11" s="39">
        <v>8</v>
      </c>
      <c r="F11" s="62" t="s">
        <v>31</v>
      </c>
      <c r="G11" s="33"/>
      <c r="H11" s="66">
        <v>86764323</v>
      </c>
      <c r="I11" s="144">
        <v>1543</v>
      </c>
      <c r="J11" s="145"/>
      <c r="K11" s="145"/>
      <c r="L11" s="146"/>
      <c r="U11" s="84">
        <v>8</v>
      </c>
      <c r="V11" s="90">
        <v>8</v>
      </c>
      <c r="W11" s="5" t="str">
        <f t="shared" si="0"/>
        <v>Emmanuael Klein Goldendijk</v>
      </c>
      <c r="X11" s="91">
        <f t="shared" ca="1" si="1"/>
        <v>2</v>
      </c>
      <c r="Y11" s="92">
        <f t="shared" ca="1" si="2"/>
        <v>10.5</v>
      </c>
      <c r="Z11" s="93">
        <f t="shared" ca="1" si="3"/>
        <v>3</v>
      </c>
      <c r="AA11" s="94">
        <f t="shared" ca="1" si="4"/>
        <v>10</v>
      </c>
      <c r="AB11" s="95">
        <f t="shared" si="5"/>
        <v>1543</v>
      </c>
      <c r="AF11" s="60" t="str">
        <f t="shared" si="6"/>
        <v>Emmanuael Klein Goldendijk</v>
      </c>
      <c r="AG11" s="57">
        <v>8</v>
      </c>
      <c r="AH11" s="14">
        <f t="shared" si="7"/>
        <v>0</v>
      </c>
      <c r="AI11" s="14">
        <f t="shared" si="8"/>
        <v>0</v>
      </c>
      <c r="AJ11" s="14">
        <f t="shared" si="9"/>
        <v>0</v>
      </c>
      <c r="AK11" s="14">
        <f t="shared" si="10"/>
        <v>0</v>
      </c>
      <c r="AL11" s="14">
        <f t="shared" si="11"/>
        <v>0</v>
      </c>
      <c r="AM11" s="14">
        <f t="shared" si="12"/>
        <v>1</v>
      </c>
      <c r="AN11" s="14">
        <f t="shared" si="13"/>
        <v>1</v>
      </c>
      <c r="AO11" s="58" t="str">
        <f t="shared" si="14"/>
        <v/>
      </c>
      <c r="AP11" s="81"/>
      <c r="AQ11" s="81"/>
      <c r="AR11" s="15"/>
      <c r="AS11" s="15"/>
      <c r="AT11">
        <v>8</v>
      </c>
      <c r="AU11">
        <f t="shared" si="15"/>
        <v>0</v>
      </c>
      <c r="AV11" s="25">
        <f t="shared" si="16"/>
        <v>0</v>
      </c>
      <c r="AW11">
        <f t="shared" si="17"/>
        <v>0</v>
      </c>
      <c r="AX11" s="25">
        <f t="shared" si="18"/>
        <v>0</v>
      </c>
      <c r="AY11">
        <f t="shared" si="19"/>
        <v>0</v>
      </c>
      <c r="AZ11" s="25">
        <f t="shared" si="20"/>
        <v>0</v>
      </c>
      <c r="BA11">
        <f t="shared" si="21"/>
        <v>1</v>
      </c>
      <c r="BB11" s="25">
        <f t="shared" si="22"/>
        <v>1</v>
      </c>
      <c r="BC11">
        <f t="shared" si="23"/>
        <v>0</v>
      </c>
      <c r="BD11" s="25">
        <f t="shared" si="24"/>
        <v>1</v>
      </c>
      <c r="BE11">
        <f t="shared" ca="1" si="36"/>
        <v>1</v>
      </c>
      <c r="BF11" s="25">
        <f t="shared" ca="1" si="25"/>
        <v>2</v>
      </c>
      <c r="BG11">
        <f t="shared" si="26"/>
        <v>0</v>
      </c>
      <c r="BH11" s="25">
        <f t="shared" ca="1" si="27"/>
        <v>2</v>
      </c>
      <c r="BI11">
        <f t="shared" si="28"/>
        <v>0</v>
      </c>
      <c r="BJ11" s="25">
        <f t="shared" ca="1" si="29"/>
        <v>2</v>
      </c>
      <c r="BK11">
        <f t="shared" si="30"/>
        <v>0</v>
      </c>
      <c r="BL11" s="25">
        <f t="shared" ca="1" si="31"/>
        <v>2</v>
      </c>
      <c r="BM11" s="12">
        <f t="shared" ca="1" si="32"/>
        <v>2</v>
      </c>
      <c r="BN11" s="28">
        <f t="shared" ca="1" si="33"/>
        <v>10.5</v>
      </c>
      <c r="BO11" s="29">
        <f t="shared" ca="1" si="34"/>
        <v>3</v>
      </c>
      <c r="BP11" s="28">
        <f t="shared" ca="1" si="37"/>
        <v>10</v>
      </c>
      <c r="BS11" s="57">
        <v>8</v>
      </c>
      <c r="BT11" s="14">
        <f t="shared" si="35"/>
        <v>1</v>
      </c>
      <c r="BU11" s="14">
        <f t="shared" si="35"/>
        <v>1</v>
      </c>
      <c r="BV11" s="14">
        <f t="shared" si="35"/>
        <v>1</v>
      </c>
      <c r="BW11" s="14">
        <f t="shared" si="35"/>
        <v>1</v>
      </c>
      <c r="BX11" s="14">
        <f t="shared" si="35"/>
        <v>1</v>
      </c>
      <c r="BY11" s="14">
        <f t="shared" si="35"/>
        <v>1</v>
      </c>
      <c r="BZ11" s="14">
        <f t="shared" si="35"/>
        <v>1</v>
      </c>
      <c r="CA11" s="58">
        <f t="shared" si="35"/>
        <v>0</v>
      </c>
      <c r="CB11" s="14">
        <f t="shared" si="35"/>
        <v>0</v>
      </c>
      <c r="CC11" s="14">
        <f t="shared" si="35"/>
        <v>0</v>
      </c>
    </row>
    <row r="12" spans="1:81" ht="15.75" thickTop="1" x14ac:dyDescent="0.25">
      <c r="E12" s="2"/>
      <c r="F12" s="2"/>
      <c r="G12" s="2"/>
      <c r="H12" s="19"/>
      <c r="I12" s="150"/>
      <c r="J12" s="150"/>
      <c r="K12" s="150"/>
      <c r="L12" s="150"/>
      <c r="U12" s="96"/>
      <c r="V12" s="97"/>
      <c r="W12" s="96"/>
      <c r="X12" s="98"/>
      <c r="Y12" s="99"/>
      <c r="Z12" s="100"/>
      <c r="AA12" s="99"/>
      <c r="AB12" s="96"/>
      <c r="AF12" s="86"/>
      <c r="AG12" s="87"/>
      <c r="AH12" s="27"/>
      <c r="AI12" s="27"/>
      <c r="AJ12" s="27"/>
      <c r="AK12" s="27"/>
      <c r="AL12" s="27"/>
      <c r="AM12" s="27"/>
      <c r="AN12" s="27"/>
      <c r="AO12" s="27"/>
      <c r="AP12" s="56"/>
      <c r="AQ12" s="27"/>
      <c r="AR12" s="15"/>
      <c r="AS12" s="15"/>
      <c r="AV12" s="25"/>
      <c r="AX12" s="25"/>
      <c r="AZ12" s="25"/>
      <c r="BB12" s="25"/>
      <c r="BD12" s="25"/>
      <c r="BF12" s="25"/>
      <c r="BH12" s="25"/>
      <c r="BJ12" s="25"/>
      <c r="BL12" s="25"/>
      <c r="BM12" s="12"/>
      <c r="BN12" s="28"/>
      <c r="BO12" s="29"/>
      <c r="BP12" s="28"/>
      <c r="BS12" s="57">
        <v>9</v>
      </c>
      <c r="BT12" s="14">
        <f t="shared" si="35"/>
        <v>0</v>
      </c>
      <c r="BU12" s="14">
        <f t="shared" si="35"/>
        <v>0</v>
      </c>
      <c r="BV12" s="14">
        <f t="shared" si="35"/>
        <v>0</v>
      </c>
      <c r="BW12" s="14">
        <f t="shared" si="35"/>
        <v>0</v>
      </c>
      <c r="BX12" s="14">
        <f t="shared" si="35"/>
        <v>0</v>
      </c>
      <c r="BY12" s="14">
        <f t="shared" si="35"/>
        <v>0</v>
      </c>
      <c r="BZ12" s="14">
        <f t="shared" si="35"/>
        <v>0</v>
      </c>
      <c r="CA12" s="14">
        <f t="shared" si="35"/>
        <v>0</v>
      </c>
      <c r="CB12" s="58">
        <f t="shared" si="35"/>
        <v>0</v>
      </c>
      <c r="CC12" s="14">
        <f t="shared" si="35"/>
        <v>0</v>
      </c>
    </row>
    <row r="13" spans="1:81" x14ac:dyDescent="0.25">
      <c r="E13" s="2"/>
      <c r="F13" s="2"/>
      <c r="G13" s="2"/>
      <c r="H13" s="19"/>
      <c r="I13" s="150"/>
      <c r="J13" s="150"/>
      <c r="K13" s="150"/>
      <c r="L13" s="150"/>
      <c r="U13" s="2"/>
      <c r="V13" s="101"/>
      <c r="W13" s="2"/>
      <c r="X13" s="102"/>
      <c r="Y13" s="103"/>
      <c r="Z13" s="104"/>
      <c r="AA13" s="103"/>
      <c r="AB13" s="2"/>
      <c r="AF13" s="86"/>
      <c r="AG13" s="87"/>
      <c r="AH13" s="27"/>
      <c r="AI13" s="27"/>
      <c r="AJ13" s="27"/>
      <c r="AK13" s="27"/>
      <c r="AL13" s="27"/>
      <c r="AM13" s="27"/>
      <c r="AN13" s="27"/>
      <c r="AO13" s="27"/>
      <c r="AP13" s="27"/>
      <c r="AQ13" s="56"/>
      <c r="AR13" s="56"/>
      <c r="AS13" s="56"/>
      <c r="AV13" s="25"/>
      <c r="AX13" s="25"/>
      <c r="AZ13" s="25"/>
      <c r="BB13" s="25"/>
      <c r="BD13" s="25"/>
      <c r="BF13" s="25"/>
      <c r="BH13" s="25"/>
      <c r="BJ13" s="25"/>
      <c r="BL13" s="25"/>
      <c r="BM13" s="12"/>
      <c r="BN13" s="28"/>
      <c r="BO13" s="29"/>
      <c r="BP13" s="28"/>
      <c r="BS13" s="57">
        <v>10</v>
      </c>
      <c r="BT13" s="14">
        <f t="shared" si="35"/>
        <v>0</v>
      </c>
      <c r="BU13" s="14">
        <f t="shared" si="35"/>
        <v>0</v>
      </c>
      <c r="BV13" s="14">
        <f t="shared" si="35"/>
        <v>0</v>
      </c>
      <c r="BW13" s="14">
        <f t="shared" si="35"/>
        <v>0</v>
      </c>
      <c r="BX13" s="14">
        <f t="shared" si="35"/>
        <v>0</v>
      </c>
      <c r="BY13" s="14">
        <f t="shared" si="35"/>
        <v>0</v>
      </c>
      <c r="BZ13" s="14">
        <f t="shared" si="35"/>
        <v>0</v>
      </c>
      <c r="CA13" s="14">
        <f t="shared" si="35"/>
        <v>0</v>
      </c>
      <c r="CB13" s="14">
        <f t="shared" si="35"/>
        <v>0</v>
      </c>
      <c r="CC13" s="58">
        <f t="shared" si="35"/>
        <v>0</v>
      </c>
    </row>
    <row r="14" spans="1:81" x14ac:dyDescent="0.25">
      <c r="AT14" s="46"/>
      <c r="AU14" s="46" t="str">
        <f>IF(((SUM(AU4:AU13)*2)=MAX($AT4:$AT13)),"OK","NOK")</f>
        <v>OK</v>
      </c>
      <c r="AV14" s="47"/>
      <c r="AW14" s="46" t="str">
        <f>IF(((SUM(AW4:AW13)*2)=MAX($AT4:$AT13)),"OK","NOK")</f>
        <v>OK</v>
      </c>
      <c r="AX14" s="46"/>
      <c r="AY14" s="46" t="str">
        <f>IF(((SUM(AY4:AY13)*2)=MAX($AT4:$AT13)),"OK","NOK")</f>
        <v>OK</v>
      </c>
      <c r="AZ14" s="46"/>
      <c r="BA14" s="46" t="str">
        <f>IF(((SUM(BA4:BA13)*2)=MAX($AT4:$AT13)),"OK","NOK")</f>
        <v>OK</v>
      </c>
      <c r="BB14" s="46"/>
      <c r="BC14" s="46" t="str">
        <f>IF(((SUM(BC4:BC13)*2)=MAX($AT4:$AT13)),"OK","NOK")</f>
        <v>OK</v>
      </c>
      <c r="BD14" s="46"/>
      <c r="BE14" s="46" t="str">
        <f ca="1">IF(((SUM(BE4:BE13)*2)=MAX($AT4:$AT13)),"OK","NOK")</f>
        <v>OK</v>
      </c>
      <c r="BF14" s="46"/>
      <c r="BG14" s="46" t="str">
        <f>IF(((SUM(BG4:BG13)*2)=MAX($AT4:$AT13)),"OK","NOK")</f>
        <v>OK</v>
      </c>
      <c r="BH14" s="46"/>
      <c r="BI14" s="46"/>
      <c r="BJ14" s="46"/>
      <c r="BK14" s="46"/>
      <c r="BL14" s="46"/>
      <c r="BM14" s="46"/>
      <c r="BN14" s="45"/>
      <c r="BO14" s="45"/>
      <c r="BP14" s="45"/>
    </row>
    <row r="15" spans="1:81" x14ac:dyDescent="0.25">
      <c r="W15" s="70" t="s">
        <v>38</v>
      </c>
    </row>
    <row r="16" spans="1:81" x14ac:dyDescent="0.25">
      <c r="A16" s="54" t="s">
        <v>12</v>
      </c>
      <c r="B16" s="54" t="s">
        <v>13</v>
      </c>
      <c r="C16" s="55" t="s">
        <v>24</v>
      </c>
      <c r="D16" s="21" t="s">
        <v>8</v>
      </c>
      <c r="E16" s="22"/>
      <c r="F16" s="41" t="s">
        <v>7</v>
      </c>
      <c r="G16" s="42">
        <v>1</v>
      </c>
      <c r="H16" s="23" t="str">
        <f>$E$1</f>
        <v>GROEP A</v>
      </c>
      <c r="I16" s="22"/>
      <c r="J16" s="23"/>
      <c r="K16" s="23"/>
      <c r="L16" s="23"/>
      <c r="M16" s="17"/>
      <c r="N16" s="54" t="s">
        <v>14</v>
      </c>
      <c r="O16" s="54" t="s">
        <v>15</v>
      </c>
      <c r="P16" s="55" t="s">
        <v>17</v>
      </c>
      <c r="Q16" s="56" t="s">
        <v>18</v>
      </c>
      <c r="R16" s="56"/>
      <c r="S16" s="56"/>
      <c r="T16" s="27"/>
      <c r="U16" s="27"/>
      <c r="V16" s="69" t="s">
        <v>39</v>
      </c>
      <c r="W16" s="68" t="s">
        <v>4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</row>
    <row r="17" spans="1:45" ht="6.95" customHeight="1" x14ac:dyDescent="0.25">
      <c r="D17" s="3"/>
      <c r="E17" s="4"/>
      <c r="F17" s="4"/>
      <c r="G17" s="4"/>
      <c r="H17" s="4"/>
      <c r="I17" s="4"/>
      <c r="J17" s="13"/>
      <c r="K17" s="13"/>
      <c r="L17" s="13"/>
      <c r="M17" s="5"/>
      <c r="P17" s="55"/>
      <c r="Q17" s="55"/>
      <c r="R17" s="55"/>
      <c r="S17" s="55"/>
      <c r="T17"/>
      <c r="U17"/>
      <c r="V17" s="1"/>
      <c r="W17" s="1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x14ac:dyDescent="0.25">
      <c r="A18" s="54">
        <v>1</v>
      </c>
      <c r="B18" s="54">
        <v>8</v>
      </c>
      <c r="C18" s="55">
        <f>IF(AND(ISNUMBER(J18),ISNUMBER(L18)),1,0)</f>
        <v>1</v>
      </c>
      <c r="D18" s="136">
        <v>1</v>
      </c>
      <c r="E18" s="137"/>
      <c r="F18" s="2" t="str">
        <f>VLOOKUP(A18,$E$4:$F$13,2,FALSE)</f>
        <v>Govert van der Weijden</v>
      </c>
      <c r="G18" s="7" t="s">
        <v>1</v>
      </c>
      <c r="H18" s="2" t="str">
        <f>VLOOKUP(B18,$E$4:$F$13,2,FALSE)</f>
        <v>Emmanuael Klein Goldendijk</v>
      </c>
      <c r="I18" s="2"/>
      <c r="J18" s="14">
        <v>1</v>
      </c>
      <c r="K18" s="15"/>
      <c r="L18" s="14">
        <v>0</v>
      </c>
      <c r="M18" s="8"/>
      <c r="N18" s="54">
        <v>0</v>
      </c>
      <c r="O18" s="54">
        <v>0</v>
      </c>
      <c r="P18" s="55">
        <f>J18*O18</f>
        <v>0</v>
      </c>
      <c r="Q18" s="55">
        <f>L18*N18</f>
        <v>0</v>
      </c>
      <c r="R18" s="55">
        <f>A18*100+B18</f>
        <v>108</v>
      </c>
      <c r="S18" s="55">
        <f>B18*100+A18</f>
        <v>801</v>
      </c>
      <c r="T18"/>
      <c r="U18"/>
      <c r="V18" s="1" t="s">
        <v>40</v>
      </c>
      <c r="W18" s="18" t="s">
        <v>41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ht="6.95" customHeight="1" x14ac:dyDescent="0.25">
      <c r="D19" s="6"/>
      <c r="E19" s="19"/>
      <c r="F19" s="2"/>
      <c r="G19" s="7"/>
      <c r="H19" s="2"/>
      <c r="I19" s="2"/>
      <c r="J19" s="15"/>
      <c r="K19" s="15"/>
      <c r="L19" s="15"/>
      <c r="M19" s="8"/>
      <c r="P19" s="55"/>
      <c r="Q19" s="55"/>
      <c r="R19" s="55"/>
      <c r="S19" s="55"/>
      <c r="T19"/>
      <c r="U19"/>
      <c r="V19" s="1"/>
      <c r="W19" s="1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25">
      <c r="A20" s="54">
        <v>2</v>
      </c>
      <c r="B20" s="54">
        <v>7</v>
      </c>
      <c r="C20" s="55">
        <f>IF(AND(ISNUMBER(J20),ISNUMBER(L20)),1,0)</f>
        <v>1</v>
      </c>
      <c r="D20" s="136">
        <v>2</v>
      </c>
      <c r="E20" s="137"/>
      <c r="F20" s="2" t="str">
        <f t="shared" ref="F20:F24" si="38">VLOOKUP(A20,$E$4:$F$13,2,FALSE)</f>
        <v>Mike van der Gijp van Bergen</v>
      </c>
      <c r="G20" s="7" t="s">
        <v>1</v>
      </c>
      <c r="H20" s="2" t="str">
        <f t="shared" ref="H20:H24" si="39">VLOOKUP(B20,$E$4:$F$13,2,FALSE)</f>
        <v>Mike van Bergen van der Gijp</v>
      </c>
      <c r="I20" s="2"/>
      <c r="J20" s="14">
        <v>1</v>
      </c>
      <c r="K20" s="15"/>
      <c r="L20" s="14">
        <v>0</v>
      </c>
      <c r="M20" s="8"/>
      <c r="N20" s="54">
        <v>0</v>
      </c>
      <c r="O20" s="54">
        <v>0</v>
      </c>
      <c r="P20" s="55">
        <f>J20*O20</f>
        <v>0</v>
      </c>
      <c r="Q20" s="55">
        <f>L20*N20</f>
        <v>0</v>
      </c>
      <c r="R20" s="55">
        <f>A20*100+B20</f>
        <v>207</v>
      </c>
      <c r="S20" s="55">
        <f>B20*100+A20</f>
        <v>702</v>
      </c>
      <c r="T20"/>
      <c r="U20"/>
      <c r="V20" s="1" t="s">
        <v>42</v>
      </c>
      <c r="W20" s="18" t="s">
        <v>43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ht="6.95" customHeight="1" x14ac:dyDescent="0.25">
      <c r="D21" s="6"/>
      <c r="E21" s="19"/>
      <c r="F21" s="2"/>
      <c r="G21" s="7"/>
      <c r="H21" s="2"/>
      <c r="I21" s="2"/>
      <c r="J21" s="15"/>
      <c r="K21" s="15"/>
      <c r="L21" s="15"/>
      <c r="M21" s="8"/>
      <c r="P21" s="55"/>
      <c r="Q21" s="55"/>
      <c r="R21" s="55"/>
      <c r="S21" s="55"/>
      <c r="T21"/>
      <c r="U21"/>
      <c r="V21" s="1"/>
      <c r="W21" s="18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25">
      <c r="A22" s="54">
        <v>3</v>
      </c>
      <c r="B22" s="54">
        <v>6</v>
      </c>
      <c r="C22" s="55">
        <f>IF(AND(ISNUMBER(J22),ISNUMBER(L22)),1,0)</f>
        <v>1</v>
      </c>
      <c r="D22" s="136">
        <v>3</v>
      </c>
      <c r="E22" s="137"/>
      <c r="F22" s="2" t="str">
        <f t="shared" si="38"/>
        <v>Matthijs van Doodenweerd</v>
      </c>
      <c r="G22" s="7" t="s">
        <v>1</v>
      </c>
      <c r="H22" s="2" t="str">
        <f t="shared" si="39"/>
        <v>Katja Tangarife Ramirez</v>
      </c>
      <c r="I22" s="2"/>
      <c r="J22" s="14">
        <v>1</v>
      </c>
      <c r="K22" s="15"/>
      <c r="L22" s="14">
        <v>0</v>
      </c>
      <c r="M22" s="8"/>
      <c r="N22" s="54">
        <v>0</v>
      </c>
      <c r="O22" s="54">
        <v>0</v>
      </c>
      <c r="P22" s="55">
        <f>J22*O22</f>
        <v>0</v>
      </c>
      <c r="Q22" s="55">
        <f>L22*N22</f>
        <v>0</v>
      </c>
      <c r="R22" s="55">
        <f>A22*100+B22</f>
        <v>306</v>
      </c>
      <c r="S22" s="55">
        <f>B22*100+A22</f>
        <v>603</v>
      </c>
      <c r="T22"/>
      <c r="U22"/>
      <c r="V22" s="1" t="s">
        <v>44</v>
      </c>
      <c r="W22" s="18" t="s">
        <v>45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ht="6.95" customHeight="1" x14ac:dyDescent="0.25">
      <c r="D23" s="6"/>
      <c r="E23" s="19"/>
      <c r="F23" s="2"/>
      <c r="G23" s="7"/>
      <c r="H23" s="2"/>
      <c r="I23" s="2"/>
      <c r="J23" s="15"/>
      <c r="K23" s="15"/>
      <c r="L23" s="15"/>
      <c r="M23" s="8"/>
      <c r="P23" s="55"/>
      <c r="Q23" s="55"/>
      <c r="R23" s="55"/>
      <c r="S23" s="55"/>
      <c r="T23"/>
      <c r="U23"/>
      <c r="V23" s="1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25">
      <c r="A24" s="54">
        <v>4</v>
      </c>
      <c r="B24" s="54">
        <v>5</v>
      </c>
      <c r="C24" s="55">
        <f>IF(AND(ISNUMBER(J24),ISNUMBER(L24)),1,0)</f>
        <v>1</v>
      </c>
      <c r="D24" s="136">
        <v>4</v>
      </c>
      <c r="E24" s="137"/>
      <c r="F24" s="2" t="str">
        <f t="shared" si="38"/>
        <v>Floris van Capelleveen</v>
      </c>
      <c r="G24" s="7" t="s">
        <v>1</v>
      </c>
      <c r="H24" s="2" t="str">
        <f t="shared" si="39"/>
        <v>Luca Da Costa van den Werk</v>
      </c>
      <c r="I24" s="2"/>
      <c r="J24" s="14">
        <v>0</v>
      </c>
      <c r="K24" s="15"/>
      <c r="L24" s="14">
        <v>1</v>
      </c>
      <c r="M24" s="8"/>
      <c r="N24" s="54">
        <v>0</v>
      </c>
      <c r="O24" s="54">
        <v>0</v>
      </c>
      <c r="P24" s="55">
        <f>J24*O24</f>
        <v>0</v>
      </c>
      <c r="Q24" s="55">
        <f>L24*N24</f>
        <v>0</v>
      </c>
      <c r="R24" s="55">
        <f>A24*100+B24</f>
        <v>405</v>
      </c>
      <c r="S24" s="55">
        <f>B24*100+A24</f>
        <v>504</v>
      </c>
      <c r="T24"/>
      <c r="U24"/>
      <c r="V24" s="1" t="s">
        <v>46</v>
      </c>
      <c r="W24" t="s">
        <v>47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ht="6.95" customHeight="1" x14ac:dyDescent="0.25">
      <c r="D25" s="6"/>
      <c r="E25" s="19"/>
      <c r="F25" s="2"/>
      <c r="G25" s="7"/>
      <c r="H25" s="2"/>
      <c r="I25" s="2"/>
      <c r="J25" s="15"/>
      <c r="K25" s="15"/>
      <c r="L25" s="15"/>
      <c r="M25" s="8"/>
      <c r="P25" s="55"/>
      <c r="Q25" s="55"/>
      <c r="R25" s="55"/>
      <c r="S25" s="55"/>
      <c r="T25"/>
      <c r="U25"/>
      <c r="V25" s="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25">
      <c r="A26" s="54">
        <v>0</v>
      </c>
      <c r="B26" s="54">
        <v>0</v>
      </c>
      <c r="C26" s="55">
        <f>IF(AND(ISNUMBER(J26),ISNUMBER(L26)),1,0)</f>
        <v>0</v>
      </c>
      <c r="D26" s="136"/>
      <c r="E26" s="137"/>
      <c r="F26" s="2"/>
      <c r="G26" s="7"/>
      <c r="H26" s="2"/>
      <c r="I26" s="2"/>
      <c r="J26" s="14"/>
      <c r="K26" s="15"/>
      <c r="L26" s="14"/>
      <c r="M26" s="8"/>
      <c r="N26" s="54">
        <v>0</v>
      </c>
      <c r="O26" s="54">
        <v>0</v>
      </c>
      <c r="P26" s="55">
        <f>J26*O26</f>
        <v>0</v>
      </c>
      <c r="Q26" s="55">
        <f>L26*N26</f>
        <v>0</v>
      </c>
      <c r="R26" s="55">
        <f>A26*100+B26</f>
        <v>0</v>
      </c>
      <c r="S26" s="55">
        <f>B26*100+A26</f>
        <v>0</v>
      </c>
      <c r="T26"/>
      <c r="U26"/>
      <c r="V26" s="1" t="s">
        <v>48</v>
      </c>
      <c r="W26" t="s">
        <v>5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ht="6.95" customHeight="1" x14ac:dyDescent="0.25">
      <c r="D27" s="9"/>
      <c r="E27" s="10"/>
      <c r="F27" s="10"/>
      <c r="G27" s="10"/>
      <c r="H27" s="10"/>
      <c r="I27" s="10"/>
      <c r="J27" s="16"/>
      <c r="K27" s="16"/>
      <c r="L27" s="16"/>
      <c r="M27" s="11"/>
      <c r="P27" s="55"/>
      <c r="Q27" s="55"/>
      <c r="R27" s="55"/>
      <c r="S27" s="55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ht="24.95" customHeight="1" x14ac:dyDescent="0.25">
      <c r="P28" s="55"/>
      <c r="Q28" s="55"/>
      <c r="R28" s="55"/>
      <c r="S28" s="55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ht="24.95" customHeight="1" x14ac:dyDescent="0.25">
      <c r="P29" s="55"/>
      <c r="Q29" s="55"/>
      <c r="R29" s="55"/>
      <c r="S29" s="55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25">
      <c r="D30" s="21" t="s">
        <v>8</v>
      </c>
      <c r="E30" s="22"/>
      <c r="F30" s="41" t="s">
        <v>7</v>
      </c>
      <c r="G30" s="42">
        <v>2</v>
      </c>
      <c r="H30" s="23" t="str">
        <f>$E$1</f>
        <v>GROEP A</v>
      </c>
      <c r="I30" s="22"/>
      <c r="J30" s="23"/>
      <c r="K30" s="23"/>
      <c r="L30" s="23"/>
      <c r="M30" s="17"/>
      <c r="P30" s="55"/>
      <c r="Q30" s="55"/>
      <c r="R30" s="55"/>
      <c r="S30" s="55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ht="6.95" customHeight="1" x14ac:dyDescent="0.25">
      <c r="D31" s="3"/>
      <c r="E31" s="4"/>
      <c r="F31" s="4"/>
      <c r="G31" s="4"/>
      <c r="H31" s="4"/>
      <c r="I31" s="4"/>
      <c r="J31" s="13"/>
      <c r="K31" s="13"/>
      <c r="L31" s="13"/>
      <c r="M31" s="5"/>
      <c r="P31" s="55"/>
      <c r="Q31" s="55"/>
      <c r="R31" s="55"/>
      <c r="S31" s="55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25">
      <c r="A32" s="54">
        <v>8</v>
      </c>
      <c r="B32" s="54">
        <v>5</v>
      </c>
      <c r="C32" s="55">
        <f>IF(AND(ISNUMBER(J32),ISNUMBER(L32)),1,0)</f>
        <v>1</v>
      </c>
      <c r="D32" s="136">
        <v>1</v>
      </c>
      <c r="E32" s="137"/>
      <c r="F32" s="2" t="str">
        <f>VLOOKUP(A32,$E$4:$F$13,2,FALSE)</f>
        <v>Emmanuael Klein Goldendijk</v>
      </c>
      <c r="G32" s="7" t="s">
        <v>1</v>
      </c>
      <c r="H32" s="2" t="str">
        <f>VLOOKUP(B32,$E$4:$F$13,2,FALSE)</f>
        <v>Luca Da Costa van den Werk</v>
      </c>
      <c r="I32" s="2"/>
      <c r="J32" s="14">
        <v>0</v>
      </c>
      <c r="K32" s="15"/>
      <c r="L32" s="14">
        <v>1</v>
      </c>
      <c r="M32" s="8"/>
      <c r="N32" s="54">
        <f>VLOOKUP(A32,$AT$4:$BM$13,3,FALSE)</f>
        <v>0</v>
      </c>
      <c r="O32" s="54">
        <f>VLOOKUP(B32,$AT$4:$BM$13,3,FALSE)</f>
        <v>1</v>
      </c>
      <c r="P32" s="55">
        <f>J32*O32</f>
        <v>0</v>
      </c>
      <c r="Q32" s="55">
        <f>L32*N32</f>
        <v>0</v>
      </c>
      <c r="R32" s="55">
        <f>A32*100+B32</f>
        <v>805</v>
      </c>
      <c r="S32" s="55">
        <f>B32*100+A32</f>
        <v>508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1:45" ht="6.95" customHeight="1" x14ac:dyDescent="0.25">
      <c r="D33" s="6"/>
      <c r="E33" s="19"/>
      <c r="F33" s="2"/>
      <c r="G33" s="7"/>
      <c r="H33" s="2"/>
      <c r="I33" s="2"/>
      <c r="J33" s="15"/>
      <c r="K33" s="15"/>
      <c r="L33" s="15"/>
      <c r="M33" s="8"/>
      <c r="P33" s="55"/>
      <c r="Q33" s="55"/>
      <c r="R33" s="55"/>
      <c r="S33" s="55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1:45" x14ac:dyDescent="0.25">
      <c r="A34" s="54">
        <v>6</v>
      </c>
      <c r="B34" s="54">
        <v>4</v>
      </c>
      <c r="C34" s="55">
        <f>IF(AND(ISNUMBER(J34),ISNUMBER(L34)),1,0)</f>
        <v>1</v>
      </c>
      <c r="D34" s="136">
        <v>2</v>
      </c>
      <c r="E34" s="137"/>
      <c r="F34" s="2" t="str">
        <f>VLOOKUP(A34,$E$4:$F$13,2,FALSE)</f>
        <v>Katja Tangarife Ramirez</v>
      </c>
      <c r="G34" s="7" t="s">
        <v>1</v>
      </c>
      <c r="H34" s="2" t="str">
        <f>VLOOKUP(B34,$E$4:$F$13,2,FALSE)</f>
        <v>Floris van Capelleveen</v>
      </c>
      <c r="I34" s="2"/>
      <c r="J34" s="14">
        <v>0</v>
      </c>
      <c r="K34" s="15"/>
      <c r="L34" s="14">
        <v>1</v>
      </c>
      <c r="M34" s="8"/>
      <c r="N34" s="54">
        <f>VLOOKUP(A34,$AT$4:$BM$13,3,FALSE)</f>
        <v>0</v>
      </c>
      <c r="O34" s="54">
        <f>VLOOKUP(B34,$AT$4:$BM$13,3,FALSE)</f>
        <v>0</v>
      </c>
      <c r="P34" s="55">
        <f>J34*O34</f>
        <v>0</v>
      </c>
      <c r="Q34" s="55">
        <f>L34*N34</f>
        <v>0</v>
      </c>
      <c r="R34" s="55">
        <f>A34*100+B34</f>
        <v>604</v>
      </c>
      <c r="S34" s="55">
        <f>B34*100+A34</f>
        <v>406</v>
      </c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45" ht="6.95" customHeight="1" x14ac:dyDescent="0.25">
      <c r="D35" s="6"/>
      <c r="E35" s="19"/>
      <c r="F35" s="2"/>
      <c r="G35" s="7"/>
      <c r="H35" s="2"/>
      <c r="I35" s="2"/>
      <c r="J35" s="15"/>
      <c r="K35" s="15"/>
      <c r="L35" s="15"/>
      <c r="M35" s="8"/>
      <c r="P35" s="55"/>
      <c r="Q35" s="55"/>
      <c r="R35" s="55"/>
      <c r="S35" s="5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x14ac:dyDescent="0.25">
      <c r="A36" s="54">
        <v>7</v>
      </c>
      <c r="B36" s="54">
        <v>3</v>
      </c>
      <c r="C36" s="55">
        <f>IF(AND(ISNUMBER(J36),ISNUMBER(L36)),1,0)</f>
        <v>1</v>
      </c>
      <c r="D36" s="136">
        <v>3</v>
      </c>
      <c r="E36" s="137"/>
      <c r="F36" s="2" t="str">
        <f>VLOOKUP(A36,$E$4:$F$13,2,FALSE)</f>
        <v>Mike van Bergen van der Gijp</v>
      </c>
      <c r="G36" s="7" t="s">
        <v>1</v>
      </c>
      <c r="H36" s="2" t="str">
        <f>VLOOKUP(B36,$E$4:$F$13,2,FALSE)</f>
        <v>Matthijs van Doodenweerd</v>
      </c>
      <c r="I36" s="2"/>
      <c r="J36" s="14">
        <v>0.5</v>
      </c>
      <c r="K36" s="15"/>
      <c r="L36" s="14">
        <v>0.5</v>
      </c>
      <c r="M36" s="8"/>
      <c r="N36" s="54">
        <f>VLOOKUP(A36,$AT$4:$BM$13,3,FALSE)</f>
        <v>0</v>
      </c>
      <c r="O36" s="54">
        <f>VLOOKUP(B36,$AT$4:$BM$13,3,FALSE)</f>
        <v>1</v>
      </c>
      <c r="P36" s="55">
        <f>J36*O36</f>
        <v>0.5</v>
      </c>
      <c r="Q36" s="55">
        <f>L36*N36</f>
        <v>0</v>
      </c>
      <c r="R36" s="55">
        <f>A36*100+B36</f>
        <v>703</v>
      </c>
      <c r="S36" s="55">
        <f>B36*100+A36</f>
        <v>307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1:45" ht="6.95" customHeight="1" x14ac:dyDescent="0.25">
      <c r="D37" s="6"/>
      <c r="E37" s="19"/>
      <c r="F37" s="2"/>
      <c r="G37" s="7"/>
      <c r="H37" s="2"/>
      <c r="I37" s="2"/>
      <c r="J37" s="15"/>
      <c r="K37" s="15"/>
      <c r="L37" s="15"/>
      <c r="M37" s="8"/>
      <c r="P37" s="55"/>
      <c r="Q37" s="55"/>
      <c r="R37" s="55"/>
      <c r="S37" s="55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45" x14ac:dyDescent="0.25">
      <c r="A38" s="54">
        <v>1</v>
      </c>
      <c r="B38" s="54">
        <v>2</v>
      </c>
      <c r="C38" s="55">
        <f>IF(AND(ISNUMBER(J38),ISNUMBER(L38)),1,0)</f>
        <v>1</v>
      </c>
      <c r="D38" s="136">
        <v>4</v>
      </c>
      <c r="E38" s="137"/>
      <c r="F38" s="2" t="str">
        <f>VLOOKUP(A38,$E$4:$F$13,2,FALSE)</f>
        <v>Govert van der Weijden</v>
      </c>
      <c r="G38" s="7" t="s">
        <v>1</v>
      </c>
      <c r="H38" s="2" t="str">
        <f>VLOOKUP(B38,$E$4:$F$13,2,FALSE)</f>
        <v>Mike van der Gijp van Bergen</v>
      </c>
      <c r="I38" s="2"/>
      <c r="J38" s="14">
        <v>1</v>
      </c>
      <c r="K38" s="15"/>
      <c r="L38" s="14">
        <v>0</v>
      </c>
      <c r="M38" s="8"/>
      <c r="N38" s="54">
        <f>VLOOKUP(A38,$AT$4:$BM$13,3,FALSE)</f>
        <v>1</v>
      </c>
      <c r="O38" s="54">
        <f>VLOOKUP(B38,$AT$4:$BM$13,3,FALSE)</f>
        <v>1</v>
      </c>
      <c r="P38" s="55">
        <f>J38*O38</f>
        <v>1</v>
      </c>
      <c r="Q38" s="55">
        <f>L38*N38</f>
        <v>0</v>
      </c>
      <c r="R38" s="55">
        <f>A38*100+B38</f>
        <v>102</v>
      </c>
      <c r="S38" s="55">
        <f>B38*100+A38</f>
        <v>201</v>
      </c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45" ht="6.95" customHeight="1" x14ac:dyDescent="0.25">
      <c r="D39" s="6"/>
      <c r="E39" s="19"/>
      <c r="F39" s="2"/>
      <c r="G39" s="7"/>
      <c r="H39" s="2"/>
      <c r="I39" s="2"/>
      <c r="J39" s="15"/>
      <c r="K39" s="15"/>
      <c r="L39" s="15"/>
      <c r="M39" s="8"/>
      <c r="P39" s="55"/>
      <c r="Q39" s="55"/>
      <c r="R39" s="55"/>
      <c r="S39" s="55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45" x14ac:dyDescent="0.25">
      <c r="A40" s="54">
        <v>0</v>
      </c>
      <c r="B40" s="54">
        <v>0</v>
      </c>
      <c r="C40" s="55">
        <f>IF(AND(ISNUMBER(J40),ISNUMBER(L40)),1,0)</f>
        <v>0</v>
      </c>
      <c r="D40" s="136"/>
      <c r="E40" s="137"/>
      <c r="F40" s="2"/>
      <c r="G40" s="7"/>
      <c r="H40" s="2"/>
      <c r="I40" s="2"/>
      <c r="J40" s="14"/>
      <c r="K40" s="15"/>
      <c r="L40" s="14"/>
      <c r="M40" s="8"/>
      <c r="N40" s="54" t="e">
        <f>VLOOKUP(A40,$AT$4:$BM$13,3,FALSE)</f>
        <v>#N/A</v>
      </c>
      <c r="O40" s="54" t="e">
        <f>VLOOKUP(B40,$AT$4:$BM$13,3,FALSE)</f>
        <v>#N/A</v>
      </c>
      <c r="P40" s="55" t="e">
        <f>J40*O40</f>
        <v>#N/A</v>
      </c>
      <c r="Q40" s="55" t="e">
        <f>L40*N40</f>
        <v>#N/A</v>
      </c>
      <c r="R40" s="55">
        <f>A40*100+B40</f>
        <v>0</v>
      </c>
      <c r="S40" s="55">
        <f>B40*100+A40</f>
        <v>0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45" ht="6.95" customHeight="1" x14ac:dyDescent="0.25">
      <c r="D41" s="9"/>
      <c r="E41" s="10"/>
      <c r="F41" s="10"/>
      <c r="G41" s="10"/>
      <c r="H41" s="10"/>
      <c r="I41" s="10"/>
      <c r="J41" s="16"/>
      <c r="K41" s="16"/>
      <c r="L41" s="16"/>
      <c r="M41" s="11"/>
      <c r="P41" s="55"/>
      <c r="Q41" s="55"/>
      <c r="R41" s="55"/>
      <c r="S41" s="55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1:45" ht="24.95" customHeight="1" x14ac:dyDescent="0.25">
      <c r="P42" s="55"/>
      <c r="Q42" s="55"/>
      <c r="R42" s="55"/>
      <c r="S42" s="55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1:45" ht="24.95" customHeight="1" x14ac:dyDescent="0.25">
      <c r="P43" s="55"/>
      <c r="Q43" s="55"/>
      <c r="R43" s="55"/>
      <c r="S43" s="55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45" x14ac:dyDescent="0.25">
      <c r="D44" s="21" t="s">
        <v>8</v>
      </c>
      <c r="E44" s="22"/>
      <c r="F44" s="41" t="s">
        <v>7</v>
      </c>
      <c r="G44" s="42">
        <v>3</v>
      </c>
      <c r="H44" s="23" t="str">
        <f>$E$1</f>
        <v>GROEP A</v>
      </c>
      <c r="I44" s="22"/>
      <c r="J44" s="23"/>
      <c r="K44" s="23"/>
      <c r="L44" s="23"/>
      <c r="M44" s="17"/>
      <c r="P44" s="55"/>
      <c r="Q44" s="55"/>
      <c r="R44" s="55"/>
      <c r="S44" s="55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1:45" ht="6.95" customHeight="1" x14ac:dyDescent="0.25">
      <c r="D45" s="3"/>
      <c r="E45" s="4"/>
      <c r="F45" s="4"/>
      <c r="G45" s="4"/>
      <c r="H45" s="4"/>
      <c r="I45" s="4"/>
      <c r="J45" s="13"/>
      <c r="K45" s="13"/>
      <c r="L45" s="13"/>
      <c r="M45" s="5"/>
      <c r="P45" s="55"/>
      <c r="Q45" s="55"/>
      <c r="R45" s="55"/>
      <c r="S45" s="5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 x14ac:dyDescent="0.25">
      <c r="A46" s="54">
        <v>2</v>
      </c>
      <c r="B46" s="54">
        <v>8</v>
      </c>
      <c r="C46" s="55">
        <f>IF(AND(ISNUMBER(J46),ISNUMBER(L46)),1,0)</f>
        <v>1</v>
      </c>
      <c r="D46" s="136">
        <v>1</v>
      </c>
      <c r="E46" s="137"/>
      <c r="F46" s="2" t="str">
        <f>VLOOKUP(A46,$E$4:$F$13,2,FALSE)</f>
        <v>Mike van der Gijp van Bergen</v>
      </c>
      <c r="G46" s="7" t="s">
        <v>1</v>
      </c>
      <c r="H46" s="2" t="str">
        <f>VLOOKUP(B46,$E$4:$F$13,2,FALSE)</f>
        <v>Emmanuael Klein Goldendijk</v>
      </c>
      <c r="I46" s="2"/>
      <c r="J46" s="14">
        <v>1</v>
      </c>
      <c r="K46" s="15"/>
      <c r="L46" s="14">
        <v>0</v>
      </c>
      <c r="M46" s="8"/>
      <c r="N46" s="54">
        <f>VLOOKUP(A46,$AT$4:$BM$13,5,FALSE)</f>
        <v>1</v>
      </c>
      <c r="O46" s="54">
        <f>VLOOKUP(B46,$AT$4:$BM$13,5,FALSE)</f>
        <v>0</v>
      </c>
      <c r="P46" s="55">
        <f>J46*O46</f>
        <v>0</v>
      </c>
      <c r="Q46" s="55">
        <f>L46*N46</f>
        <v>0</v>
      </c>
      <c r="R46" s="55">
        <f>A46*100+B46</f>
        <v>208</v>
      </c>
      <c r="S46" s="55">
        <f>B46*100+A46</f>
        <v>802</v>
      </c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 ht="6.95" customHeight="1" x14ac:dyDescent="0.25">
      <c r="D47" s="6"/>
      <c r="E47" s="19"/>
      <c r="F47" s="2"/>
      <c r="G47" s="7"/>
      <c r="H47" s="2"/>
      <c r="I47" s="2"/>
      <c r="J47" s="15"/>
      <c r="K47" s="15"/>
      <c r="L47" s="15"/>
      <c r="M47" s="8"/>
      <c r="P47" s="55"/>
      <c r="Q47" s="55"/>
      <c r="R47" s="55"/>
      <c r="S47" s="55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 x14ac:dyDescent="0.25">
      <c r="A48" s="54">
        <v>3</v>
      </c>
      <c r="B48" s="54">
        <v>1</v>
      </c>
      <c r="C48" s="55">
        <f>IF(AND(ISNUMBER(J48),ISNUMBER(L48)),1,0)</f>
        <v>1</v>
      </c>
      <c r="D48" s="136">
        <v>2</v>
      </c>
      <c r="E48" s="137"/>
      <c r="F48" s="2" t="str">
        <f>VLOOKUP(A48,$E$4:$F$13,2,FALSE)</f>
        <v>Matthijs van Doodenweerd</v>
      </c>
      <c r="G48" s="7" t="s">
        <v>1</v>
      </c>
      <c r="H48" s="2" t="str">
        <f>VLOOKUP(B48,$E$4:$F$13,2,FALSE)</f>
        <v>Govert van der Weijden</v>
      </c>
      <c r="I48" s="2"/>
      <c r="J48" s="14">
        <v>0</v>
      </c>
      <c r="K48" s="15"/>
      <c r="L48" s="14">
        <v>1</v>
      </c>
      <c r="M48" s="8"/>
      <c r="N48" s="54">
        <f>VLOOKUP(A48,$AT$4:$BM$13,5,FALSE)</f>
        <v>1.5</v>
      </c>
      <c r="O48" s="54">
        <f>VLOOKUP(B48,$AT$4:$BM$13,5,FALSE)</f>
        <v>2</v>
      </c>
      <c r="P48" s="55">
        <f>J48*O48</f>
        <v>0</v>
      </c>
      <c r="Q48" s="55">
        <f>L48*N48</f>
        <v>1.5</v>
      </c>
      <c r="R48" s="55">
        <f>A48*100+B48</f>
        <v>301</v>
      </c>
      <c r="S48" s="55">
        <f>B48*100+A48</f>
        <v>103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ht="6.95" customHeight="1" x14ac:dyDescent="0.25">
      <c r="D49" s="6"/>
      <c r="E49" s="19"/>
      <c r="F49" s="2"/>
      <c r="G49" s="7"/>
      <c r="H49" s="2"/>
      <c r="I49" s="2"/>
      <c r="J49" s="15"/>
      <c r="K49" s="15"/>
      <c r="L49" s="15"/>
      <c r="M49" s="8"/>
      <c r="P49" s="55"/>
      <c r="Q49" s="55"/>
      <c r="R49" s="55"/>
      <c r="S49" s="55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 s="54">
        <v>4</v>
      </c>
      <c r="B50" s="54">
        <v>7</v>
      </c>
      <c r="C50" s="55">
        <f>IF(AND(ISNUMBER(J50),ISNUMBER(L50)),1,0)</f>
        <v>1</v>
      </c>
      <c r="D50" s="136">
        <v>3</v>
      </c>
      <c r="E50" s="137"/>
      <c r="F50" s="2" t="str">
        <f>VLOOKUP(A50,$E$4:$F$13,2,FALSE)</f>
        <v>Floris van Capelleveen</v>
      </c>
      <c r="G50" s="7" t="s">
        <v>1</v>
      </c>
      <c r="H50" s="2" t="str">
        <f>VLOOKUP(B50,$E$4:$F$13,2,FALSE)</f>
        <v>Mike van Bergen van der Gijp</v>
      </c>
      <c r="I50" s="2"/>
      <c r="J50" s="14">
        <v>1</v>
      </c>
      <c r="K50" s="15"/>
      <c r="L50" s="14">
        <v>0</v>
      </c>
      <c r="M50" s="8"/>
      <c r="N50" s="54">
        <f>VLOOKUP(A50,$AT$4:$BM$13,5,FALSE)</f>
        <v>1</v>
      </c>
      <c r="O50" s="54">
        <f>VLOOKUP(B50,$AT$4:$BM$13,5,FALSE)</f>
        <v>0.5</v>
      </c>
      <c r="P50" s="55">
        <f>J50*O50</f>
        <v>0.5</v>
      </c>
      <c r="Q50" s="55">
        <f>L50*N50</f>
        <v>0</v>
      </c>
      <c r="R50" s="55">
        <f>A50*100+B50</f>
        <v>407</v>
      </c>
      <c r="S50" s="55">
        <f>B50*100+A50</f>
        <v>704</v>
      </c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ht="6.95" customHeight="1" x14ac:dyDescent="0.25">
      <c r="D51" s="6"/>
      <c r="E51" s="19"/>
      <c r="F51" s="2"/>
      <c r="G51" s="7"/>
      <c r="H51" s="2"/>
      <c r="I51" s="2"/>
      <c r="J51" s="15"/>
      <c r="K51" s="15"/>
      <c r="L51" s="15"/>
      <c r="M51" s="8"/>
      <c r="P51" s="55"/>
      <c r="Q51" s="55"/>
      <c r="R51" s="55"/>
      <c r="S51" s="55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 s="54">
        <v>5</v>
      </c>
      <c r="B52" s="54">
        <v>6</v>
      </c>
      <c r="C52" s="55">
        <f>IF(AND(ISNUMBER(J52),ISNUMBER(L52)),1,0)</f>
        <v>1</v>
      </c>
      <c r="D52" s="136">
        <v>4</v>
      </c>
      <c r="E52" s="137"/>
      <c r="F52" s="2" t="str">
        <f>VLOOKUP(A52,$E$4:$F$13,2,FALSE)</f>
        <v>Luca Da Costa van den Werk</v>
      </c>
      <c r="G52" s="7" t="s">
        <v>1</v>
      </c>
      <c r="H52" s="2" t="str">
        <f>VLOOKUP(B52,$E$4:$F$13,2,FALSE)</f>
        <v>Katja Tangarife Ramirez</v>
      </c>
      <c r="I52" s="2"/>
      <c r="J52" s="14">
        <v>0</v>
      </c>
      <c r="K52" s="15"/>
      <c r="L52" s="14">
        <v>1</v>
      </c>
      <c r="M52" s="8"/>
      <c r="N52" s="54">
        <f>VLOOKUP(A52,$AT$4:$BM$13,5,FALSE)</f>
        <v>2</v>
      </c>
      <c r="O52" s="54">
        <f>VLOOKUP(B52,$AT$4:$BM$13,5,FALSE)</f>
        <v>0</v>
      </c>
      <c r="P52" s="55">
        <f>J52*O52</f>
        <v>0</v>
      </c>
      <c r="Q52" s="55">
        <f>L52*N52</f>
        <v>2</v>
      </c>
      <c r="R52" s="55">
        <f>A52*100+B52</f>
        <v>506</v>
      </c>
      <c r="S52" s="55">
        <f>B52*100+A52</f>
        <v>605</v>
      </c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ht="6.95" customHeight="1" x14ac:dyDescent="0.25">
      <c r="D53" s="6"/>
      <c r="E53" s="19"/>
      <c r="F53" s="2"/>
      <c r="G53" s="7"/>
      <c r="H53" s="2"/>
      <c r="I53" s="2"/>
      <c r="J53" s="15"/>
      <c r="K53" s="15"/>
      <c r="L53" s="15"/>
      <c r="M53" s="8"/>
      <c r="P53" s="55"/>
      <c r="Q53" s="55"/>
      <c r="R53" s="55"/>
      <c r="S53" s="55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 s="54">
        <v>0</v>
      </c>
      <c r="B54" s="54">
        <v>0</v>
      </c>
      <c r="C54" s="55">
        <f>IF(AND(ISNUMBER(J54),ISNUMBER(L54)),1,0)</f>
        <v>0</v>
      </c>
      <c r="D54" s="136"/>
      <c r="E54" s="137"/>
      <c r="F54" s="2"/>
      <c r="G54" s="7"/>
      <c r="H54" s="2"/>
      <c r="I54" s="2"/>
      <c r="J54" s="14"/>
      <c r="K54" s="15"/>
      <c r="L54" s="14"/>
      <c r="M54" s="8"/>
      <c r="N54" s="54" t="e">
        <f>VLOOKUP(A54,$AT$4:$BM$13,5,FALSE)</f>
        <v>#N/A</v>
      </c>
      <c r="O54" s="54" t="e">
        <f>VLOOKUP(B54,$AT$4:$BM$13,5,FALSE)</f>
        <v>#N/A</v>
      </c>
      <c r="P54" s="55" t="e">
        <f>J54*O54</f>
        <v>#N/A</v>
      </c>
      <c r="Q54" s="55" t="e">
        <f>L54*N54</f>
        <v>#N/A</v>
      </c>
      <c r="R54" s="55">
        <f>A54*100+B54</f>
        <v>0</v>
      </c>
      <c r="S54" s="55">
        <f>B54*100+A54</f>
        <v>0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ht="6.95" customHeight="1" x14ac:dyDescent="0.25">
      <c r="D55" s="9"/>
      <c r="E55" s="10"/>
      <c r="F55" s="10"/>
      <c r="G55" s="10"/>
      <c r="H55" s="10"/>
      <c r="I55" s="10"/>
      <c r="J55" s="16"/>
      <c r="K55" s="16"/>
      <c r="L55" s="16"/>
      <c r="M55" s="11"/>
      <c r="P55" s="55"/>
      <c r="Q55" s="55"/>
      <c r="R55" s="55"/>
      <c r="S55" s="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ht="24.95" customHeight="1" x14ac:dyDescent="0.25">
      <c r="P56" s="55"/>
      <c r="Q56" s="55"/>
      <c r="R56" s="55"/>
      <c r="S56" s="55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24.95" customHeight="1" x14ac:dyDescent="0.25">
      <c r="P57" s="55"/>
      <c r="Q57" s="55"/>
      <c r="R57" s="55"/>
      <c r="S57" s="55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D58" s="21" t="s">
        <v>8</v>
      </c>
      <c r="E58" s="22"/>
      <c r="F58" s="41" t="s">
        <v>7</v>
      </c>
      <c r="G58" s="42">
        <v>4</v>
      </c>
      <c r="H58" s="23" t="str">
        <f>$E$1</f>
        <v>GROEP A</v>
      </c>
      <c r="I58" s="22"/>
      <c r="J58" s="23"/>
      <c r="K58" s="23"/>
      <c r="L58" s="23"/>
      <c r="M58" s="17"/>
      <c r="P58" s="55"/>
      <c r="Q58" s="55"/>
      <c r="R58" s="55"/>
      <c r="S58" s="55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6.95" customHeight="1" x14ac:dyDescent="0.25">
      <c r="D59" s="3"/>
      <c r="E59" s="4"/>
      <c r="F59" s="4"/>
      <c r="G59" s="4"/>
      <c r="H59" s="4"/>
      <c r="I59" s="4"/>
      <c r="J59" s="13"/>
      <c r="K59" s="13"/>
      <c r="L59" s="13"/>
      <c r="M59" s="5"/>
      <c r="P59" s="55"/>
      <c r="Q59" s="55"/>
      <c r="R59" s="55"/>
      <c r="S59" s="55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 s="54">
        <v>8</v>
      </c>
      <c r="B60" s="54">
        <v>6</v>
      </c>
      <c r="C60" s="55">
        <f>IF(AND(ISNUMBER(J60),ISNUMBER(L60)),1,0)</f>
        <v>1</v>
      </c>
      <c r="D60" s="136">
        <v>1</v>
      </c>
      <c r="E60" s="137"/>
      <c r="F60" s="2" t="str">
        <f>VLOOKUP(A60,$E$4:$F$13,2,FALSE)</f>
        <v>Emmanuael Klein Goldendijk</v>
      </c>
      <c r="G60" s="7" t="s">
        <v>1</v>
      </c>
      <c r="H60" s="2" t="str">
        <f>VLOOKUP(B60,$E$4:$F$13,2,FALSE)</f>
        <v>Katja Tangarife Ramirez</v>
      </c>
      <c r="I60" s="2"/>
      <c r="J60" s="14">
        <v>1</v>
      </c>
      <c r="K60" s="15"/>
      <c r="L60" s="14">
        <v>0</v>
      </c>
      <c r="M60" s="8"/>
      <c r="N60" s="54">
        <f>VLOOKUP(A60,$AT$4:$BM$13,7,FALSE)</f>
        <v>0</v>
      </c>
      <c r="O60" s="54">
        <f>VLOOKUP(B60,$AT$4:$BM$13,7,FALSE)</f>
        <v>1</v>
      </c>
      <c r="P60" s="55">
        <f>J60*O60</f>
        <v>1</v>
      </c>
      <c r="Q60" s="55">
        <f>L60*N60</f>
        <v>0</v>
      </c>
      <c r="R60" s="55">
        <f>A60*100+B60</f>
        <v>806</v>
      </c>
      <c r="S60" s="55">
        <f>B60*100+A60</f>
        <v>608</v>
      </c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6.95" customHeight="1" x14ac:dyDescent="0.25">
      <c r="D61" s="6"/>
      <c r="E61" s="19"/>
      <c r="F61" s="2"/>
      <c r="G61" s="7"/>
      <c r="H61" s="2"/>
      <c r="I61" s="2"/>
      <c r="J61" s="15"/>
      <c r="K61" s="15"/>
      <c r="L61" s="15"/>
      <c r="M61" s="8"/>
      <c r="P61" s="55"/>
      <c r="Q61" s="55"/>
      <c r="R61" s="55"/>
      <c r="S61" s="55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 s="54">
        <v>7</v>
      </c>
      <c r="B62" s="54">
        <v>5</v>
      </c>
      <c r="C62" s="55">
        <f>IF(AND(ISNUMBER(J62),ISNUMBER(L62)),1,0)</f>
        <v>1</v>
      </c>
      <c r="D62" s="136">
        <v>2</v>
      </c>
      <c r="E62" s="137"/>
      <c r="F62" s="2" t="str">
        <f>VLOOKUP(A62,$E$4:$F$13,2,FALSE)</f>
        <v>Mike van Bergen van der Gijp</v>
      </c>
      <c r="G62" s="7" t="s">
        <v>1</v>
      </c>
      <c r="H62" s="2" t="str">
        <f>VLOOKUP(B62,$E$4:$F$13,2,FALSE)</f>
        <v>Luca Da Costa van den Werk</v>
      </c>
      <c r="I62" s="2"/>
      <c r="J62" s="14">
        <v>1</v>
      </c>
      <c r="K62" s="15"/>
      <c r="L62" s="14">
        <v>0</v>
      </c>
      <c r="M62" s="8"/>
      <c r="N62" s="54">
        <f>VLOOKUP(A62,$AT$4:$BM$13,7,FALSE)</f>
        <v>0.5</v>
      </c>
      <c r="O62" s="54">
        <f>VLOOKUP(B62,$AT$4:$BM$13,7,FALSE)</f>
        <v>2</v>
      </c>
      <c r="P62" s="55">
        <f>J62*O62</f>
        <v>2</v>
      </c>
      <c r="Q62" s="55">
        <f>L62*N62</f>
        <v>0</v>
      </c>
      <c r="R62" s="55">
        <f>A62*100+B62</f>
        <v>705</v>
      </c>
      <c r="S62" s="55">
        <f>B62*100+A62</f>
        <v>507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6.95" customHeight="1" x14ac:dyDescent="0.25">
      <c r="D63" s="6"/>
      <c r="E63" s="19"/>
      <c r="F63" s="2"/>
      <c r="G63" s="7"/>
      <c r="H63" s="2"/>
      <c r="I63" s="2"/>
      <c r="J63" s="15"/>
      <c r="K63" s="15"/>
      <c r="L63" s="15"/>
      <c r="M63" s="8"/>
      <c r="P63" s="55"/>
      <c r="Q63" s="55"/>
      <c r="R63" s="55"/>
      <c r="S63" s="55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 s="54">
        <v>1</v>
      </c>
      <c r="B64" s="54">
        <v>4</v>
      </c>
      <c r="C64" s="55">
        <f>IF(AND(ISNUMBER(J64),ISNUMBER(L64)),1,0)</f>
        <v>1</v>
      </c>
      <c r="D64" s="136">
        <v>3</v>
      </c>
      <c r="E64" s="137"/>
      <c r="F64" s="2" t="str">
        <f>VLOOKUP(A64,$E$4:$F$13,2,FALSE)</f>
        <v>Govert van der Weijden</v>
      </c>
      <c r="G64" s="7" t="s">
        <v>1</v>
      </c>
      <c r="H64" s="2" t="str">
        <f>VLOOKUP(B64,$E$4:$F$13,2,FALSE)</f>
        <v>Floris van Capelleveen</v>
      </c>
      <c r="I64" s="2"/>
      <c r="J64" s="14">
        <v>0</v>
      </c>
      <c r="K64" s="15"/>
      <c r="L64" s="14">
        <v>1</v>
      </c>
      <c r="M64" s="8"/>
      <c r="N64" s="54">
        <f>VLOOKUP(A64,$AT$4:$BM$13,7,FALSE)</f>
        <v>3</v>
      </c>
      <c r="O64" s="54">
        <f>VLOOKUP(B64,$AT$4:$BM$13,7,FALSE)</f>
        <v>2</v>
      </c>
      <c r="P64" s="55">
        <f>J64*O64</f>
        <v>0</v>
      </c>
      <c r="Q64" s="55">
        <f>L64*N64</f>
        <v>3</v>
      </c>
      <c r="R64" s="55">
        <f>A64*100+B64</f>
        <v>104</v>
      </c>
      <c r="S64" s="55">
        <f>B64*100+A64</f>
        <v>401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6.95" customHeight="1" x14ac:dyDescent="0.25">
      <c r="D65" s="6"/>
      <c r="E65" s="19"/>
      <c r="F65" s="2"/>
      <c r="G65" s="7"/>
      <c r="H65" s="2"/>
      <c r="I65" s="2"/>
      <c r="J65" s="15"/>
      <c r="K65" s="15"/>
      <c r="L65" s="15"/>
      <c r="M65" s="8"/>
      <c r="P65" s="55"/>
      <c r="Q65" s="55"/>
      <c r="R65" s="55"/>
      <c r="S65" s="5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 s="54">
        <v>2</v>
      </c>
      <c r="B66" s="54">
        <v>3</v>
      </c>
      <c r="C66" s="55">
        <f>IF(AND(ISNUMBER(J66),ISNUMBER(L66)),1,0)</f>
        <v>1</v>
      </c>
      <c r="D66" s="136">
        <v>4</v>
      </c>
      <c r="E66" s="137"/>
      <c r="F66" s="2" t="str">
        <f>VLOOKUP(A66,$E$4:$F$13,2,FALSE)</f>
        <v>Mike van der Gijp van Bergen</v>
      </c>
      <c r="G66" s="7" t="s">
        <v>1</v>
      </c>
      <c r="H66" s="2" t="str">
        <f>VLOOKUP(B66,$E$4:$F$13,2,FALSE)</f>
        <v>Matthijs van Doodenweerd</v>
      </c>
      <c r="I66" s="2"/>
      <c r="J66" s="14">
        <v>0</v>
      </c>
      <c r="K66" s="15"/>
      <c r="L66" s="14">
        <v>1</v>
      </c>
      <c r="M66" s="8"/>
      <c r="N66" s="54">
        <f>VLOOKUP(A66,$AT$4:$BM$13,7,FALSE)</f>
        <v>2</v>
      </c>
      <c r="O66" s="54">
        <f>VLOOKUP(B66,$AT$4:$BM$13,7,FALSE)</f>
        <v>1.5</v>
      </c>
      <c r="P66" s="55">
        <f>J66*O66</f>
        <v>0</v>
      </c>
      <c r="Q66" s="55">
        <f>L66*N66</f>
        <v>2</v>
      </c>
      <c r="R66" s="55">
        <f>A66*100+B66</f>
        <v>203</v>
      </c>
      <c r="S66" s="55">
        <f>B66*100+A66</f>
        <v>302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6.95" customHeight="1" x14ac:dyDescent="0.25">
      <c r="D67" s="6"/>
      <c r="E67" s="19"/>
      <c r="F67" s="2"/>
      <c r="G67" s="7"/>
      <c r="H67" s="2"/>
      <c r="I67" s="2"/>
      <c r="J67" s="15"/>
      <c r="K67" s="15"/>
      <c r="L67" s="15"/>
      <c r="M67" s="8"/>
      <c r="P67" s="55"/>
      <c r="Q67" s="55"/>
      <c r="R67" s="55"/>
      <c r="S67" s="55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 s="54">
        <v>0</v>
      </c>
      <c r="B68" s="54">
        <v>0</v>
      </c>
      <c r="C68" s="55">
        <f>IF(AND(ISNUMBER(J68),ISNUMBER(L68)),1,0)</f>
        <v>0</v>
      </c>
      <c r="D68" s="136"/>
      <c r="E68" s="137"/>
      <c r="F68" s="2"/>
      <c r="G68" s="7"/>
      <c r="H68" s="2"/>
      <c r="I68" s="2"/>
      <c r="J68" s="14"/>
      <c r="K68" s="15"/>
      <c r="L68" s="14"/>
      <c r="M68" s="8"/>
      <c r="N68" s="54" t="e">
        <f>VLOOKUP(A68,$AT$4:$BM$13,7,FALSE)</f>
        <v>#N/A</v>
      </c>
      <c r="O68" s="54" t="e">
        <f>VLOOKUP(B68,$AT$4:$BM$13,7,FALSE)</f>
        <v>#N/A</v>
      </c>
      <c r="P68" s="55" t="e">
        <f>J68*O68</f>
        <v>#N/A</v>
      </c>
      <c r="Q68" s="55" t="e">
        <f>L68*N68</f>
        <v>#N/A</v>
      </c>
      <c r="R68" s="55">
        <f>A68*100+B68</f>
        <v>0</v>
      </c>
      <c r="S68" s="55">
        <f>B68*100+A68</f>
        <v>0</v>
      </c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6.95" customHeight="1" x14ac:dyDescent="0.25">
      <c r="D69" s="9"/>
      <c r="E69" s="10"/>
      <c r="F69" s="10"/>
      <c r="G69" s="10"/>
      <c r="H69" s="10"/>
      <c r="I69" s="10"/>
      <c r="J69" s="16"/>
      <c r="K69" s="16"/>
      <c r="L69" s="16"/>
      <c r="M69" s="11"/>
      <c r="P69" s="55"/>
      <c r="Q69" s="55"/>
      <c r="R69" s="55"/>
      <c r="S69" s="55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24.95" customHeight="1" x14ac:dyDescent="0.25">
      <c r="P70" s="55"/>
      <c r="Q70" s="55"/>
      <c r="R70" s="55"/>
      <c r="S70" s="55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24.95" customHeight="1" x14ac:dyDescent="0.25">
      <c r="P71" s="55"/>
      <c r="Q71" s="55"/>
      <c r="R71" s="55"/>
      <c r="S71" s="55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D72" s="21" t="s">
        <v>8</v>
      </c>
      <c r="E72" s="22"/>
      <c r="F72" s="41" t="s">
        <v>7</v>
      </c>
      <c r="G72" s="42">
        <v>5</v>
      </c>
      <c r="H72" s="23" t="str">
        <f>$E$1</f>
        <v>GROEP A</v>
      </c>
      <c r="I72" s="22"/>
      <c r="J72" s="23"/>
      <c r="K72" s="23"/>
      <c r="L72" s="23"/>
      <c r="M72" s="17"/>
      <c r="P72" s="55"/>
      <c r="Q72" s="55"/>
      <c r="R72" s="55"/>
      <c r="S72" s="55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6.95" customHeight="1" x14ac:dyDescent="0.25">
      <c r="D73" s="3"/>
      <c r="E73" s="4"/>
      <c r="F73" s="4"/>
      <c r="G73" s="4"/>
      <c r="H73" s="4"/>
      <c r="I73" s="4"/>
      <c r="J73" s="13"/>
      <c r="K73" s="13"/>
      <c r="L73" s="13"/>
      <c r="M73" s="5"/>
      <c r="P73" s="55"/>
      <c r="Q73" s="55"/>
      <c r="R73" s="55"/>
      <c r="S73" s="55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 s="54">
        <v>3</v>
      </c>
      <c r="B74" s="54">
        <v>8</v>
      </c>
      <c r="C74" s="55">
        <f>IF(AND(ISNUMBER(J74),ISNUMBER(L74)),1,0)</f>
        <v>1</v>
      </c>
      <c r="D74" s="136">
        <v>1</v>
      </c>
      <c r="E74" s="137"/>
      <c r="F74" s="2" t="str">
        <f>VLOOKUP(A74,$E$4:$F$13,2,FALSE)</f>
        <v>Matthijs van Doodenweerd</v>
      </c>
      <c r="G74" s="7" t="s">
        <v>1</v>
      </c>
      <c r="H74" s="2" t="str">
        <f>VLOOKUP(B74,$E$4:$F$13,2,FALSE)</f>
        <v>Emmanuael Klein Goldendijk</v>
      </c>
      <c r="I74" s="2"/>
      <c r="J74" s="14">
        <v>1</v>
      </c>
      <c r="K74" s="15"/>
      <c r="L74" s="14">
        <v>0</v>
      </c>
      <c r="M74" s="8"/>
      <c r="N74" s="54">
        <f>VLOOKUP(A74,$AT$4:$BM$13,9,FALSE)</f>
        <v>2.5</v>
      </c>
      <c r="O74" s="54">
        <f>VLOOKUP(B74,$AT$4:$BM$13,9,FALSE)</f>
        <v>1</v>
      </c>
      <c r="P74" s="55">
        <f>J74*O74</f>
        <v>1</v>
      </c>
      <c r="Q74" s="55">
        <f>L74*N74</f>
        <v>0</v>
      </c>
      <c r="R74" s="55">
        <f>A74*100+B74</f>
        <v>308</v>
      </c>
      <c r="S74" s="55">
        <f>B74*100+A74</f>
        <v>803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6.95" customHeight="1" x14ac:dyDescent="0.25">
      <c r="D75" s="6"/>
      <c r="E75" s="19"/>
      <c r="F75" s="2"/>
      <c r="G75" s="7"/>
      <c r="H75" s="2"/>
      <c r="I75" s="2"/>
      <c r="J75" s="15"/>
      <c r="K75" s="15"/>
      <c r="L75" s="15"/>
      <c r="M75" s="8"/>
      <c r="P75" s="55"/>
      <c r="Q75" s="55"/>
      <c r="R75" s="55"/>
      <c r="S75" s="5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 s="54">
        <v>4</v>
      </c>
      <c r="B76" s="54">
        <v>2</v>
      </c>
      <c r="C76" s="55">
        <f>IF(AND(ISNUMBER(J76),ISNUMBER(L76)),1,0)</f>
        <v>1</v>
      </c>
      <c r="D76" s="136">
        <v>2</v>
      </c>
      <c r="E76" s="137"/>
      <c r="F76" s="2" t="str">
        <f>VLOOKUP(A76,$E$4:$F$13,2,FALSE)</f>
        <v>Floris van Capelleveen</v>
      </c>
      <c r="G76" s="7" t="s">
        <v>1</v>
      </c>
      <c r="H76" s="2" t="str">
        <f>VLOOKUP(B76,$E$4:$F$13,2,FALSE)</f>
        <v>Mike van der Gijp van Bergen</v>
      </c>
      <c r="I76" s="2"/>
      <c r="J76" s="14">
        <v>0</v>
      </c>
      <c r="K76" s="15"/>
      <c r="L76" s="14">
        <v>1</v>
      </c>
      <c r="M76" s="8"/>
      <c r="N76" s="54">
        <f>VLOOKUP(A76,$AT$4:$BM$13,9,FALSE)</f>
        <v>3</v>
      </c>
      <c r="O76" s="54">
        <f>VLOOKUP(B76,$AT$4:$BM$13,9,FALSE)</f>
        <v>2</v>
      </c>
      <c r="P76" s="55">
        <f>J76*O76</f>
        <v>0</v>
      </c>
      <c r="Q76" s="55">
        <f>L76*N76</f>
        <v>3</v>
      </c>
      <c r="R76" s="55">
        <f>A76*100+B76</f>
        <v>402</v>
      </c>
      <c r="S76" s="55">
        <f>B76*100+A76</f>
        <v>204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6.95" customHeight="1" x14ac:dyDescent="0.25">
      <c r="D77" s="6"/>
      <c r="E77" s="19"/>
      <c r="F77" s="2"/>
      <c r="G77" s="7"/>
      <c r="H77" s="2"/>
      <c r="I77" s="2"/>
      <c r="J77" s="15"/>
      <c r="K77" s="15"/>
      <c r="L77" s="15"/>
      <c r="M77" s="8"/>
      <c r="P77" s="55"/>
      <c r="Q77" s="55"/>
      <c r="R77" s="55"/>
      <c r="S77" s="55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 s="54">
        <v>5</v>
      </c>
      <c r="B78" s="54">
        <v>1</v>
      </c>
      <c r="C78" s="55">
        <f>IF(AND(ISNUMBER(J78),ISNUMBER(L78)),1,0)</f>
        <v>1</v>
      </c>
      <c r="D78" s="136">
        <v>3</v>
      </c>
      <c r="E78" s="137"/>
      <c r="F78" s="2" t="str">
        <f>VLOOKUP(A78,$E$4:$F$13,2,FALSE)</f>
        <v>Luca Da Costa van den Werk</v>
      </c>
      <c r="G78" s="7" t="s">
        <v>1</v>
      </c>
      <c r="H78" s="2" t="str">
        <f>VLOOKUP(B78,$E$4:$F$13,2,FALSE)</f>
        <v>Govert van der Weijden</v>
      </c>
      <c r="I78" s="2"/>
      <c r="J78" s="14">
        <v>0.5</v>
      </c>
      <c r="K78" s="15"/>
      <c r="L78" s="14">
        <v>0.5</v>
      </c>
      <c r="M78" s="8"/>
      <c r="N78" s="54">
        <f>VLOOKUP(A78,$AT$4:$BM$13,9,FALSE)</f>
        <v>2</v>
      </c>
      <c r="O78" s="54">
        <f>VLOOKUP(B78,$AT$4:$BM$13,9,FALSE)</f>
        <v>3</v>
      </c>
      <c r="P78" s="55">
        <f>J78*O78</f>
        <v>1.5</v>
      </c>
      <c r="Q78" s="55">
        <f>L78*N78</f>
        <v>1</v>
      </c>
      <c r="R78" s="55">
        <f>A78*100+B78</f>
        <v>501</v>
      </c>
      <c r="S78" s="55">
        <f>B78*100+A78</f>
        <v>105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6.95" customHeight="1" x14ac:dyDescent="0.25">
      <c r="D79" s="6"/>
      <c r="E79" s="19"/>
      <c r="F79" s="2"/>
      <c r="G79" s="7"/>
      <c r="H79" s="2"/>
      <c r="I79" s="2"/>
      <c r="J79" s="15"/>
      <c r="K79" s="15"/>
      <c r="L79" s="15"/>
      <c r="M79" s="8"/>
      <c r="P79" s="55"/>
      <c r="Q79" s="55"/>
      <c r="R79" s="55"/>
      <c r="S79" s="55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 s="54">
        <v>6</v>
      </c>
      <c r="B80" s="54">
        <v>7</v>
      </c>
      <c r="C80" s="55">
        <f>IF(AND(ISNUMBER(J80),ISNUMBER(L80)),1,0)</f>
        <v>1</v>
      </c>
      <c r="D80" s="136">
        <v>4</v>
      </c>
      <c r="E80" s="137"/>
      <c r="F80" s="2" t="str">
        <f>VLOOKUP(A80,$E$4:$F$13,2,FALSE)</f>
        <v>Katja Tangarife Ramirez</v>
      </c>
      <c r="G80" s="7" t="s">
        <v>1</v>
      </c>
      <c r="H80" s="2" t="str">
        <f>VLOOKUP(B80,$E$4:$F$13,2,FALSE)</f>
        <v>Mike van Bergen van der Gijp</v>
      </c>
      <c r="I80" s="2"/>
      <c r="J80" s="14">
        <v>0.5</v>
      </c>
      <c r="K80" s="15"/>
      <c r="L80" s="14">
        <v>0.5</v>
      </c>
      <c r="M80" s="8"/>
      <c r="N80" s="54">
        <f>VLOOKUP(A80,$AT$4:$BM$13,9,FALSE)</f>
        <v>1</v>
      </c>
      <c r="O80" s="54">
        <f>VLOOKUP(B80,$AT$4:$BM$13,9,FALSE)</f>
        <v>1.5</v>
      </c>
      <c r="P80" s="55">
        <f>J80*O80</f>
        <v>0.75</v>
      </c>
      <c r="Q80" s="55">
        <f>L80*N80</f>
        <v>0.5</v>
      </c>
      <c r="R80" s="55">
        <f>A80*100+B80</f>
        <v>607</v>
      </c>
      <c r="S80" s="55">
        <f>B80*100+A80</f>
        <v>706</v>
      </c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6.95" customHeight="1" x14ac:dyDescent="0.25">
      <c r="D81" s="6"/>
      <c r="E81" s="19"/>
      <c r="F81" s="2"/>
      <c r="G81" s="7"/>
      <c r="H81" s="2"/>
      <c r="I81" s="2"/>
      <c r="J81" s="15"/>
      <c r="K81" s="15"/>
      <c r="L81" s="15"/>
      <c r="M81" s="8"/>
      <c r="P81" s="55"/>
      <c r="Q81" s="55"/>
      <c r="R81" s="55"/>
      <c r="S81" s="55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 s="54">
        <v>0</v>
      </c>
      <c r="B82" s="54">
        <v>0</v>
      </c>
      <c r="C82" s="55">
        <f>IF(AND(ISNUMBER(J82),ISNUMBER(L82)),1,0)</f>
        <v>0</v>
      </c>
      <c r="D82" s="136"/>
      <c r="E82" s="137"/>
      <c r="F82" s="2"/>
      <c r="G82" s="7"/>
      <c r="H82" s="2"/>
      <c r="I82" s="2"/>
      <c r="J82" s="14"/>
      <c r="K82" s="15"/>
      <c r="L82" s="14"/>
      <c r="M82" s="8"/>
      <c r="N82" s="54" t="e">
        <f>VLOOKUP(A82,$AT$4:$BM$13,9,FALSE)</f>
        <v>#N/A</v>
      </c>
      <c r="O82" s="54" t="e">
        <f>VLOOKUP(B82,$AT$4:$BM$13,9,FALSE)</f>
        <v>#N/A</v>
      </c>
      <c r="P82" s="55" t="e">
        <f>J82*O82</f>
        <v>#N/A</v>
      </c>
      <c r="Q82" s="55" t="e">
        <f>L82*N82</f>
        <v>#N/A</v>
      </c>
      <c r="R82" s="55">
        <f>A82*100+B82</f>
        <v>0</v>
      </c>
      <c r="S82" s="55">
        <f>B82*100+A82</f>
        <v>0</v>
      </c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6.95" customHeight="1" x14ac:dyDescent="0.25">
      <c r="D83" s="9"/>
      <c r="E83" s="10"/>
      <c r="F83" s="10"/>
      <c r="G83" s="10"/>
      <c r="H83" s="10"/>
      <c r="I83" s="10"/>
      <c r="J83" s="16"/>
      <c r="K83" s="16"/>
      <c r="L83" s="16"/>
      <c r="M83" s="11"/>
      <c r="P83" s="55"/>
      <c r="Q83" s="55"/>
      <c r="R83" s="55"/>
      <c r="S83" s="55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P84" s="55"/>
      <c r="Q84" s="55"/>
      <c r="R84" s="55"/>
      <c r="S84" s="55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P85" s="55"/>
      <c r="Q85" s="55"/>
      <c r="R85" s="55"/>
      <c r="S85" s="5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D86" s="21" t="s">
        <v>8</v>
      </c>
      <c r="E86" s="22"/>
      <c r="F86" s="41" t="s">
        <v>7</v>
      </c>
      <c r="G86" s="42">
        <v>6</v>
      </c>
      <c r="H86" s="23" t="str">
        <f>$E$1</f>
        <v>GROEP A</v>
      </c>
      <c r="I86" s="22"/>
      <c r="J86" s="23"/>
      <c r="K86" s="23"/>
      <c r="L86" s="23"/>
      <c r="M86" s="17"/>
      <c r="P86" s="55"/>
      <c r="Q86" s="55"/>
      <c r="R86" s="55"/>
      <c r="S86" s="55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6.95" customHeight="1" x14ac:dyDescent="0.25">
      <c r="D87" s="3"/>
      <c r="E87" s="4"/>
      <c r="F87" s="4"/>
      <c r="G87" s="4"/>
      <c r="H87" s="4"/>
      <c r="I87" s="4"/>
      <c r="J87" s="13"/>
      <c r="K87" s="13"/>
      <c r="L87" s="13"/>
      <c r="M87" s="5"/>
      <c r="P87" s="55"/>
      <c r="Q87" s="55"/>
      <c r="R87" s="55"/>
      <c r="S87" s="55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 s="54">
        <v>8</v>
      </c>
      <c r="B88" s="54">
        <v>7</v>
      </c>
      <c r="C88" s="55">
        <f>IF(AND(ISNUMBER(J88),ISNUMBER(L88)),1,0)</f>
        <v>1</v>
      </c>
      <c r="D88" s="136">
        <v>1</v>
      </c>
      <c r="E88" s="137"/>
      <c r="F88" s="2" t="str">
        <f>VLOOKUP(A88,$E$4:$F$13,2,FALSE)</f>
        <v>Emmanuael Klein Goldendijk</v>
      </c>
      <c r="G88" s="7" t="s">
        <v>1</v>
      </c>
      <c r="H88" s="2" t="str">
        <f>VLOOKUP(B88,$E$4:$F$13,2,FALSE)</f>
        <v>Mike van Bergen van der Gijp</v>
      </c>
      <c r="I88" s="2"/>
      <c r="J88" s="14">
        <v>1</v>
      </c>
      <c r="K88" s="15"/>
      <c r="L88" s="14">
        <v>0</v>
      </c>
      <c r="M88" s="8"/>
      <c r="N88" s="54">
        <f>VLOOKUP(A88,$AT$4:$BM$13,11,FALSE)</f>
        <v>1</v>
      </c>
      <c r="O88" s="54">
        <f>VLOOKUP(B88,$AT$4:$BM$13,11,FALSE)</f>
        <v>2</v>
      </c>
      <c r="P88" s="55">
        <f>J88*O88</f>
        <v>2</v>
      </c>
      <c r="Q88" s="55">
        <f>L88*N88</f>
        <v>0</v>
      </c>
      <c r="R88" s="55">
        <f>A88*100+B88</f>
        <v>807</v>
      </c>
      <c r="S88" s="55">
        <f>B88*100+A88</f>
        <v>708</v>
      </c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6.95" customHeight="1" x14ac:dyDescent="0.25">
      <c r="D89" s="6"/>
      <c r="E89" s="19"/>
      <c r="F89" s="2"/>
      <c r="G89" s="7"/>
      <c r="H89" s="2"/>
      <c r="I89" s="2"/>
      <c r="J89" s="15"/>
      <c r="K89" s="15"/>
      <c r="L89" s="15"/>
      <c r="M89" s="8"/>
      <c r="P89" s="55"/>
      <c r="Q89" s="55"/>
      <c r="R89" s="55"/>
      <c r="S89" s="55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 s="54">
        <v>1</v>
      </c>
      <c r="B90" s="54">
        <v>6</v>
      </c>
      <c r="C90" s="55">
        <f>IF(AND(ISNUMBER(J90),ISNUMBER(L90)),1,0)</f>
        <v>1</v>
      </c>
      <c r="D90" s="136">
        <v>2</v>
      </c>
      <c r="E90" s="137"/>
      <c r="F90" s="2" t="str">
        <f>VLOOKUP(A90,$E$4:$F$13,2,FALSE)</f>
        <v>Govert van der Weijden</v>
      </c>
      <c r="G90" s="7" t="s">
        <v>1</v>
      </c>
      <c r="H90" s="2" t="str">
        <f>VLOOKUP(B90,$E$4:$F$13,2,FALSE)</f>
        <v>Katja Tangarife Ramirez</v>
      </c>
      <c r="I90" s="2"/>
      <c r="J90" s="14">
        <v>1</v>
      </c>
      <c r="K90" s="15"/>
      <c r="L90" s="14">
        <v>0</v>
      </c>
      <c r="M90" s="8"/>
      <c r="N90" s="54">
        <f>VLOOKUP(A90,$AT$4:$BM$13,11,FALSE)</f>
        <v>3.5</v>
      </c>
      <c r="O90" s="54">
        <f>VLOOKUP(B90,$AT$4:$BM$13,11,FALSE)</f>
        <v>1.5</v>
      </c>
      <c r="P90" s="55">
        <f>J90*O90</f>
        <v>1.5</v>
      </c>
      <c r="Q90" s="55">
        <f>L90*N90</f>
        <v>0</v>
      </c>
      <c r="R90" s="55">
        <f>A90*100+B90</f>
        <v>106</v>
      </c>
      <c r="S90" s="55">
        <f>B90*100+A90</f>
        <v>601</v>
      </c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6.95" customHeight="1" x14ac:dyDescent="0.25">
      <c r="D91" s="6"/>
      <c r="E91" s="19"/>
      <c r="F91" s="2"/>
      <c r="G91" s="7"/>
      <c r="H91" s="2"/>
      <c r="I91" s="2"/>
      <c r="J91" s="15"/>
      <c r="K91" s="15"/>
      <c r="L91" s="15"/>
      <c r="M91" s="8"/>
      <c r="P91" s="55"/>
      <c r="Q91" s="55"/>
      <c r="R91" s="55"/>
      <c r="S91" s="55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 s="54">
        <v>2</v>
      </c>
      <c r="B92" s="54">
        <v>5</v>
      </c>
      <c r="C92" s="55">
        <f>IF(AND(ISNUMBER(J92),ISNUMBER(L92)),1,0)</f>
        <v>1</v>
      </c>
      <c r="D92" s="136">
        <v>3</v>
      </c>
      <c r="E92" s="137"/>
      <c r="F92" s="2" t="str">
        <f>VLOOKUP(A92,$E$4:$F$13,2,FALSE)</f>
        <v>Mike van der Gijp van Bergen</v>
      </c>
      <c r="G92" s="7" t="s">
        <v>1</v>
      </c>
      <c r="H92" s="2" t="str">
        <f>VLOOKUP(B92,$E$4:$F$13,2,FALSE)</f>
        <v>Luca Da Costa van den Werk</v>
      </c>
      <c r="I92" s="2"/>
      <c r="J92" s="14">
        <v>1</v>
      </c>
      <c r="K92" s="15"/>
      <c r="L92" s="14">
        <v>0</v>
      </c>
      <c r="M92" s="8"/>
      <c r="N92" s="54">
        <f>VLOOKUP(A92,$AT$4:$BM$13,11,FALSE)</f>
        <v>3</v>
      </c>
      <c r="O92" s="54">
        <f>VLOOKUP(B92,$AT$4:$BM$13,11,FALSE)</f>
        <v>2.5</v>
      </c>
      <c r="P92" s="55">
        <f>J92*O92</f>
        <v>2.5</v>
      </c>
      <c r="Q92" s="55">
        <f>L92*N92</f>
        <v>0</v>
      </c>
      <c r="R92" s="55">
        <f>A92*100+B92</f>
        <v>205</v>
      </c>
      <c r="S92" s="55">
        <f>B92*100+A92</f>
        <v>502</v>
      </c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6.95" customHeight="1" x14ac:dyDescent="0.25">
      <c r="D93" s="6"/>
      <c r="E93" s="19"/>
      <c r="F93" s="2"/>
      <c r="G93" s="7"/>
      <c r="H93" s="2"/>
      <c r="I93" s="2"/>
      <c r="J93" s="15"/>
      <c r="K93" s="15"/>
      <c r="L93" s="15"/>
      <c r="M93" s="8"/>
      <c r="P93" s="55"/>
      <c r="Q93" s="55"/>
      <c r="R93" s="55"/>
      <c r="S93" s="55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 s="54">
        <v>3</v>
      </c>
      <c r="B94" s="54">
        <v>4</v>
      </c>
      <c r="C94" s="55">
        <f>IF(AND(ISNUMBER(J94),ISNUMBER(L94)),1,0)</f>
        <v>1</v>
      </c>
      <c r="D94" s="136">
        <v>4</v>
      </c>
      <c r="E94" s="137"/>
      <c r="F94" s="2" t="str">
        <f>VLOOKUP(A94,$E$4:$F$13,2,FALSE)</f>
        <v>Matthijs van Doodenweerd</v>
      </c>
      <c r="G94" s="7" t="s">
        <v>1</v>
      </c>
      <c r="H94" s="2" t="str">
        <f>VLOOKUP(B94,$E$4:$F$13,2,FALSE)</f>
        <v>Floris van Capelleveen</v>
      </c>
      <c r="I94" s="2"/>
      <c r="J94" s="14">
        <v>1</v>
      </c>
      <c r="K94" s="15"/>
      <c r="L94" s="14">
        <v>0</v>
      </c>
      <c r="M94" s="8"/>
      <c r="N94" s="54">
        <f>VLOOKUP(A94,$AT$4:$BM$13,11,FALSE)</f>
        <v>3.5</v>
      </c>
      <c r="O94" s="54">
        <f>VLOOKUP(B94,$AT$4:$BM$13,11,FALSE)</f>
        <v>3</v>
      </c>
      <c r="P94" s="55">
        <f>J94*O94</f>
        <v>3</v>
      </c>
      <c r="Q94" s="55">
        <f>L94*N94</f>
        <v>0</v>
      </c>
      <c r="R94" s="55">
        <f>A94*100+B94</f>
        <v>304</v>
      </c>
      <c r="S94" s="55">
        <f>B94*100+A94</f>
        <v>403</v>
      </c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6.95" customHeight="1" x14ac:dyDescent="0.25">
      <c r="D95" s="6"/>
      <c r="E95" s="19"/>
      <c r="F95" s="2"/>
      <c r="G95" s="7"/>
      <c r="H95" s="2"/>
      <c r="I95" s="2"/>
      <c r="J95" s="15"/>
      <c r="K95" s="15"/>
      <c r="L95" s="15"/>
      <c r="M95" s="8"/>
      <c r="P95" s="55"/>
      <c r="Q95" s="55"/>
      <c r="R95" s="55"/>
      <c r="S95" s="5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 s="54">
        <v>0</v>
      </c>
      <c r="B96" s="54">
        <v>0</v>
      </c>
      <c r="C96" s="55">
        <f>IF(AND(ISNUMBER(J96),ISNUMBER(L96)),1,0)</f>
        <v>0</v>
      </c>
      <c r="D96" s="136"/>
      <c r="E96" s="137"/>
      <c r="F96" s="2"/>
      <c r="G96" s="7"/>
      <c r="H96" s="2"/>
      <c r="I96" s="2"/>
      <c r="J96" s="14"/>
      <c r="K96" s="15"/>
      <c r="L96" s="14"/>
      <c r="M96" s="8"/>
      <c r="N96" s="54" t="e">
        <f>VLOOKUP(A96,$AT$4:$BM$13,11,FALSE)</f>
        <v>#N/A</v>
      </c>
      <c r="O96" s="54" t="e">
        <f>VLOOKUP(B96,$AT$4:$BM$13,11,FALSE)</f>
        <v>#N/A</v>
      </c>
      <c r="P96" s="55" t="e">
        <f>J96*O96</f>
        <v>#N/A</v>
      </c>
      <c r="Q96" s="55" t="e">
        <f>L96*N96</f>
        <v>#N/A</v>
      </c>
      <c r="R96" s="55">
        <f>A96*100+B96</f>
        <v>0</v>
      </c>
      <c r="S96" s="55">
        <f>B96*100+A96</f>
        <v>0</v>
      </c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6.95" customHeight="1" x14ac:dyDescent="0.25">
      <c r="D97" s="9"/>
      <c r="E97" s="10"/>
      <c r="F97" s="10"/>
      <c r="G97" s="10"/>
      <c r="H97" s="10"/>
      <c r="I97" s="10"/>
      <c r="J97" s="16"/>
      <c r="K97" s="16"/>
      <c r="L97" s="16"/>
      <c r="M97" s="11"/>
      <c r="P97" s="55"/>
      <c r="Q97" s="55"/>
      <c r="R97" s="55"/>
      <c r="S97" s="55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24.95" customHeight="1" x14ac:dyDescent="0.25">
      <c r="P98" s="55"/>
      <c r="Q98" s="55"/>
      <c r="R98" s="55"/>
      <c r="S98" s="55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24.95" customHeight="1" x14ac:dyDescent="0.25">
      <c r="P99" s="55"/>
      <c r="Q99" s="55"/>
      <c r="R99" s="55"/>
      <c r="S99" s="55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D100" s="21" t="s">
        <v>8</v>
      </c>
      <c r="E100" s="22"/>
      <c r="F100" s="41" t="s">
        <v>7</v>
      </c>
      <c r="G100" s="42">
        <v>7</v>
      </c>
      <c r="H100" s="23" t="str">
        <f>$E$1</f>
        <v>GROEP A</v>
      </c>
      <c r="I100" s="22"/>
      <c r="J100" s="23"/>
      <c r="K100" s="23"/>
      <c r="L100" s="23"/>
      <c r="M100" s="17"/>
      <c r="P100" s="55"/>
      <c r="Q100" s="55"/>
      <c r="R100" s="55"/>
      <c r="S100" s="55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6.95" customHeight="1" x14ac:dyDescent="0.25">
      <c r="D101" s="3"/>
      <c r="E101" s="4"/>
      <c r="F101" s="4"/>
      <c r="G101" s="4"/>
      <c r="H101" s="4"/>
      <c r="I101" s="4"/>
      <c r="J101" s="13"/>
      <c r="K101" s="13"/>
      <c r="L101" s="13"/>
      <c r="M101" s="5"/>
      <c r="P101" s="55"/>
      <c r="Q101" s="55"/>
      <c r="R101" s="55"/>
      <c r="S101" s="55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 s="54">
        <v>4</v>
      </c>
      <c r="B102" s="54">
        <v>8</v>
      </c>
      <c r="C102" s="55">
        <f>IF(AND(ISNUMBER(J102),ISNUMBER(L102)),1,0)</f>
        <v>1</v>
      </c>
      <c r="D102" s="136">
        <v>1</v>
      </c>
      <c r="E102" s="137"/>
      <c r="F102" s="2" t="str">
        <f>VLOOKUP(A102,$E$4:$F$13,2,FALSE)</f>
        <v>Floris van Capelleveen</v>
      </c>
      <c r="G102" s="7" t="s">
        <v>1</v>
      </c>
      <c r="H102" s="2" t="str">
        <f>VLOOKUP(B102,$E$4:$F$13,2,FALSE)</f>
        <v>Emmanuael Klein Goldendijk</v>
      </c>
      <c r="I102" s="2"/>
      <c r="J102" s="14">
        <v>1</v>
      </c>
      <c r="K102" s="15"/>
      <c r="L102" s="14">
        <v>0</v>
      </c>
      <c r="M102" s="8"/>
      <c r="N102" s="54">
        <f ca="1">VLOOKUP(A102,$AT$4:$BM$13,13,FALSE)</f>
        <v>3</v>
      </c>
      <c r="O102" s="54">
        <f ca="1">VLOOKUP(B102,$AT$4:$BM$13,13,FALSE)</f>
        <v>2</v>
      </c>
      <c r="P102" s="55">
        <f ca="1">J102*O102</f>
        <v>2</v>
      </c>
      <c r="Q102" s="55">
        <f ca="1">L102*N102</f>
        <v>0</v>
      </c>
      <c r="R102" s="55">
        <f>A102*100+B102</f>
        <v>408</v>
      </c>
      <c r="S102" s="55">
        <f>B102*100+A102</f>
        <v>804</v>
      </c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6.95" customHeight="1" x14ac:dyDescent="0.25">
      <c r="D103" s="6"/>
      <c r="E103" s="19"/>
      <c r="F103" s="2"/>
      <c r="G103" s="7"/>
      <c r="H103" s="2"/>
      <c r="I103" s="2"/>
      <c r="J103" s="15"/>
      <c r="K103" s="15"/>
      <c r="L103" s="15"/>
      <c r="M103" s="8"/>
      <c r="P103" s="55"/>
      <c r="Q103" s="55"/>
      <c r="R103" s="55"/>
      <c r="S103" s="55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 s="54">
        <v>5</v>
      </c>
      <c r="B104" s="54">
        <v>3</v>
      </c>
      <c r="C104" s="55">
        <f>IF(AND(ISNUMBER(J104),ISNUMBER(L104)),1,0)</f>
        <v>1</v>
      </c>
      <c r="D104" s="136">
        <v>2</v>
      </c>
      <c r="E104" s="137"/>
      <c r="F104" s="2" t="str">
        <f>VLOOKUP(A104,$E$4:$F$13,2,FALSE)</f>
        <v>Luca Da Costa van den Werk</v>
      </c>
      <c r="G104" s="7" t="s">
        <v>1</v>
      </c>
      <c r="H104" s="2" t="str">
        <f>VLOOKUP(B104,$E$4:$F$13,2,FALSE)</f>
        <v>Matthijs van Doodenweerd</v>
      </c>
      <c r="I104" s="2"/>
      <c r="J104" s="14">
        <v>1</v>
      </c>
      <c r="K104" s="15"/>
      <c r="L104" s="14">
        <v>0</v>
      </c>
      <c r="M104" s="8"/>
      <c r="N104" s="54">
        <f ca="1">VLOOKUP(A104,$AT$4:$BM$13,13,FALSE)</f>
        <v>2.5</v>
      </c>
      <c r="O104" s="54">
        <f ca="1">VLOOKUP(B104,$AT$4:$BM$13,13,FALSE)</f>
        <v>4.5</v>
      </c>
      <c r="P104" s="55">
        <f ca="1">J104*O104</f>
        <v>4.5</v>
      </c>
      <c r="Q104" s="55">
        <f ca="1">L104*N104</f>
        <v>0</v>
      </c>
      <c r="R104" s="55">
        <f>A104*100+B104</f>
        <v>503</v>
      </c>
      <c r="S104" s="55">
        <f>B104*100+A104</f>
        <v>305</v>
      </c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6.95" customHeight="1" x14ac:dyDescent="0.25">
      <c r="D105" s="6"/>
      <c r="E105" s="19"/>
      <c r="F105" s="2"/>
      <c r="G105" s="7"/>
      <c r="H105" s="2"/>
      <c r="I105" s="2"/>
      <c r="J105" s="15"/>
      <c r="K105" s="15"/>
      <c r="L105" s="15"/>
      <c r="M105" s="8"/>
      <c r="P105" s="55"/>
      <c r="Q105" s="55"/>
      <c r="R105" s="55"/>
      <c r="S105" s="5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 s="54">
        <v>6</v>
      </c>
      <c r="B106" s="54">
        <v>2</v>
      </c>
      <c r="C106" s="55">
        <f>IF(AND(ISNUMBER(J106),ISNUMBER(L106)),1,0)</f>
        <v>1</v>
      </c>
      <c r="D106" s="136">
        <v>3</v>
      </c>
      <c r="E106" s="137"/>
      <c r="F106" s="2" t="str">
        <f>VLOOKUP(A106,$E$4:$F$13,2,FALSE)</f>
        <v>Katja Tangarife Ramirez</v>
      </c>
      <c r="G106" s="7" t="s">
        <v>1</v>
      </c>
      <c r="H106" s="2" t="str">
        <f>VLOOKUP(B106,$E$4:$F$13,2,FALSE)</f>
        <v>Mike van der Gijp van Bergen</v>
      </c>
      <c r="I106" s="2"/>
      <c r="J106" s="14">
        <v>1</v>
      </c>
      <c r="K106" s="15"/>
      <c r="L106" s="14">
        <v>0</v>
      </c>
      <c r="M106" s="8"/>
      <c r="N106" s="54">
        <f ca="1">VLOOKUP(A106,$AT$4:$BM$13,13,FALSE)</f>
        <v>1.5</v>
      </c>
      <c r="O106" s="54">
        <f ca="1">VLOOKUP(B106,$AT$4:$BM$13,13,FALSE)</f>
        <v>4</v>
      </c>
      <c r="P106" s="55">
        <f ca="1">J106*O106</f>
        <v>4</v>
      </c>
      <c r="Q106" s="55">
        <f ca="1">L106*N106</f>
        <v>0</v>
      </c>
      <c r="R106" s="55">
        <f>A106*100+B106</f>
        <v>602</v>
      </c>
      <c r="S106" s="55">
        <f>B106*100+A106</f>
        <v>206</v>
      </c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6.95" customHeight="1" x14ac:dyDescent="0.25">
      <c r="D107" s="6"/>
      <c r="E107" s="19"/>
      <c r="F107" s="2"/>
      <c r="G107" s="7"/>
      <c r="H107" s="2"/>
      <c r="I107" s="2"/>
      <c r="J107" s="15"/>
      <c r="K107" s="15"/>
      <c r="L107" s="15"/>
      <c r="M107" s="8"/>
      <c r="P107" s="55"/>
      <c r="Q107" s="55"/>
      <c r="R107" s="55"/>
      <c r="S107" s="55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 s="54">
        <v>7</v>
      </c>
      <c r="B108" s="54">
        <v>1</v>
      </c>
      <c r="C108" s="55">
        <f>IF(AND(ISNUMBER(J108),ISNUMBER(L108)),1,0)</f>
        <v>1</v>
      </c>
      <c r="D108" s="136">
        <v>4</v>
      </c>
      <c r="E108" s="137"/>
      <c r="F108" s="2" t="str">
        <f>VLOOKUP(A108,$E$4:$F$13,2,FALSE)</f>
        <v>Mike van Bergen van der Gijp</v>
      </c>
      <c r="G108" s="7" t="s">
        <v>1</v>
      </c>
      <c r="H108" s="2" t="str">
        <f>VLOOKUP(B108,$E$4:$F$13,2,FALSE)</f>
        <v>Govert van der Weijden</v>
      </c>
      <c r="I108" s="2"/>
      <c r="J108" s="14">
        <v>1</v>
      </c>
      <c r="K108" s="15"/>
      <c r="L108" s="14">
        <v>0</v>
      </c>
      <c r="M108" s="8"/>
      <c r="N108" s="54">
        <f ca="1">VLOOKUP(A108,$AT$4:$BM$13,13,FALSE)</f>
        <v>2</v>
      </c>
      <c r="O108" s="54">
        <f>VLOOKUP(B108,$AT$4:$BM$13,13,FALSE)</f>
        <v>4.5</v>
      </c>
      <c r="P108" s="55">
        <f>J108*O108</f>
        <v>4.5</v>
      </c>
      <c r="Q108" s="55">
        <f ca="1">L108*N108</f>
        <v>0</v>
      </c>
      <c r="R108" s="55">
        <f>A108*100+B108</f>
        <v>701</v>
      </c>
      <c r="S108" s="55">
        <f>B108*100+A108</f>
        <v>107</v>
      </c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6.95" customHeight="1" x14ac:dyDescent="0.25">
      <c r="D109" s="6"/>
      <c r="E109" s="19"/>
      <c r="F109" s="2"/>
      <c r="G109" s="7"/>
      <c r="H109" s="2"/>
      <c r="I109" s="2"/>
      <c r="J109" s="15"/>
      <c r="K109" s="15"/>
      <c r="L109" s="15"/>
      <c r="M109" s="8"/>
      <c r="P109" s="55"/>
      <c r="Q109" s="55"/>
      <c r="R109" s="55"/>
      <c r="S109" s="55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 s="54">
        <v>0</v>
      </c>
      <c r="B110" s="54">
        <v>0</v>
      </c>
      <c r="C110" s="55">
        <f>IF(AND(ISNUMBER(J110),ISNUMBER(L110)),1,0)</f>
        <v>0</v>
      </c>
      <c r="D110" s="136"/>
      <c r="E110" s="137"/>
      <c r="F110" s="2"/>
      <c r="G110" s="7"/>
      <c r="H110" s="2"/>
      <c r="I110" s="2"/>
      <c r="J110" s="14"/>
      <c r="K110" s="15"/>
      <c r="L110" s="14"/>
      <c r="M110" s="8"/>
      <c r="N110" s="54" t="e">
        <f>VLOOKUP(A110,$AT$4:$BM$13,13,FALSE)</f>
        <v>#N/A</v>
      </c>
      <c r="O110" s="54" t="e">
        <f>VLOOKUP(B110,$AT$4:$BM$13,13,FALSE)</f>
        <v>#N/A</v>
      </c>
      <c r="P110" s="55" t="e">
        <f>J110*O110</f>
        <v>#N/A</v>
      </c>
      <c r="Q110" s="55" t="e">
        <f>L110*N110</f>
        <v>#N/A</v>
      </c>
      <c r="R110" s="55">
        <f>A110*100+B110</f>
        <v>0</v>
      </c>
      <c r="S110" s="55">
        <f>B110*100+A110</f>
        <v>0</v>
      </c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6.95" customHeight="1" x14ac:dyDescent="0.25">
      <c r="D111" s="9"/>
      <c r="E111" s="10"/>
      <c r="F111" s="10"/>
      <c r="G111" s="10"/>
      <c r="H111" s="10"/>
      <c r="I111" s="10"/>
      <c r="J111" s="16"/>
      <c r="K111" s="16"/>
      <c r="L111" s="16"/>
      <c r="M111" s="11"/>
      <c r="P111" s="55"/>
      <c r="Q111" s="55"/>
      <c r="R111" s="55"/>
      <c r="S111" s="55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24.95" customHeight="1" x14ac:dyDescent="0.25">
      <c r="P112" s="55"/>
      <c r="Q112" s="55"/>
      <c r="R112" s="55"/>
      <c r="S112" s="55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24.95" customHeight="1" x14ac:dyDescent="0.25">
      <c r="P113" s="55"/>
      <c r="Q113" s="55"/>
      <c r="R113" s="55"/>
      <c r="S113" s="55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D114" s="21" t="s">
        <v>8</v>
      </c>
      <c r="E114" s="22"/>
      <c r="F114" s="41" t="s">
        <v>7</v>
      </c>
      <c r="G114" s="42">
        <v>8</v>
      </c>
      <c r="H114" s="23" t="str">
        <f>$E$1</f>
        <v>GROEP A</v>
      </c>
      <c r="I114" s="22"/>
      <c r="J114" s="23"/>
      <c r="K114" s="23"/>
      <c r="L114" s="23"/>
      <c r="M114" s="17"/>
      <c r="P114" s="55"/>
      <c r="Q114" s="55"/>
      <c r="R114" s="55"/>
      <c r="S114" s="55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6.95" customHeight="1" x14ac:dyDescent="0.25">
      <c r="D115" s="3"/>
      <c r="E115" s="4"/>
      <c r="F115" s="4"/>
      <c r="G115" s="4"/>
      <c r="H115" s="4"/>
      <c r="I115" s="4"/>
      <c r="J115" s="13"/>
      <c r="K115" s="13"/>
      <c r="L115" s="13"/>
      <c r="M115" s="5"/>
      <c r="P115" s="55"/>
      <c r="Q115" s="55"/>
      <c r="R115" s="55"/>
      <c r="S115" s="5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 s="54">
        <v>0</v>
      </c>
      <c r="B116" s="54">
        <v>0</v>
      </c>
      <c r="C116" s="55">
        <f>IF(AND(ISNUMBER(J116),ISNUMBER(L116)),1,0)</f>
        <v>0</v>
      </c>
      <c r="D116" s="136"/>
      <c r="E116" s="137"/>
      <c r="F116" s="2"/>
      <c r="G116" s="7"/>
      <c r="H116" s="2"/>
      <c r="I116" s="2"/>
      <c r="J116" s="14"/>
      <c r="K116" s="15"/>
      <c r="L116" s="14"/>
      <c r="M116" s="8"/>
      <c r="N116" s="54" t="e">
        <f>VLOOKUP(A116,$AT$4:$BM$13,15,FALSE)</f>
        <v>#N/A</v>
      </c>
      <c r="O116" s="54" t="e">
        <f>VLOOKUP(B116,$AT$4:$BM$13,15,FALSE)</f>
        <v>#N/A</v>
      </c>
      <c r="P116" s="55" t="e">
        <f>J116*O116</f>
        <v>#N/A</v>
      </c>
      <c r="Q116" s="55" t="e">
        <f>L116*N116</f>
        <v>#N/A</v>
      </c>
      <c r="R116" s="55">
        <f>A116*100+B116</f>
        <v>0</v>
      </c>
      <c r="S116" s="55">
        <f>B116*100+A116</f>
        <v>0</v>
      </c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6.95" customHeight="1" x14ac:dyDescent="0.25">
      <c r="D117" s="6"/>
      <c r="E117" s="19"/>
      <c r="F117" s="2"/>
      <c r="G117" s="7"/>
      <c r="H117" s="2"/>
      <c r="I117" s="2"/>
      <c r="J117" s="15"/>
      <c r="K117" s="15"/>
      <c r="L117" s="15"/>
      <c r="M117" s="8"/>
      <c r="P117" s="55"/>
      <c r="Q117" s="55"/>
      <c r="R117" s="55"/>
      <c r="S117" s="55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 s="54">
        <v>0</v>
      </c>
      <c r="B118" s="54">
        <v>0</v>
      </c>
      <c r="C118" s="55">
        <f>IF(AND(ISNUMBER(J118),ISNUMBER(L118)),1,0)</f>
        <v>0</v>
      </c>
      <c r="D118" s="136"/>
      <c r="E118" s="137"/>
      <c r="F118" s="2"/>
      <c r="G118" s="7"/>
      <c r="H118" s="2"/>
      <c r="I118" s="2"/>
      <c r="J118" s="14"/>
      <c r="K118" s="15"/>
      <c r="L118" s="14"/>
      <c r="M118" s="8"/>
      <c r="N118" s="54" t="e">
        <f>VLOOKUP(A118,$AT$4:$BM$13,15,FALSE)</f>
        <v>#N/A</v>
      </c>
      <c r="O118" s="54" t="e">
        <f>VLOOKUP(B118,$AT$4:$BM$13,15,FALSE)</f>
        <v>#N/A</v>
      </c>
      <c r="P118" s="55" t="e">
        <f>J118*O118</f>
        <v>#N/A</v>
      </c>
      <c r="Q118" s="55" t="e">
        <f>L118*N118</f>
        <v>#N/A</v>
      </c>
      <c r="R118" s="55">
        <f>A118*100+B118</f>
        <v>0</v>
      </c>
      <c r="S118" s="55">
        <f>B118*100+A118</f>
        <v>0</v>
      </c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6.95" customHeight="1" x14ac:dyDescent="0.25">
      <c r="D119" s="6"/>
      <c r="E119" s="19"/>
      <c r="F119" s="2"/>
      <c r="G119" s="7"/>
      <c r="H119" s="2"/>
      <c r="I119" s="2"/>
      <c r="J119" s="15"/>
      <c r="K119" s="15"/>
      <c r="L119" s="15"/>
      <c r="M119" s="8"/>
      <c r="P119" s="55"/>
      <c r="Q119" s="55"/>
      <c r="R119" s="55"/>
      <c r="S119" s="55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 s="54">
        <v>0</v>
      </c>
      <c r="B120" s="54">
        <v>0</v>
      </c>
      <c r="C120" s="55">
        <f>IF(AND(ISNUMBER(J120),ISNUMBER(L120)),1,0)</f>
        <v>0</v>
      </c>
      <c r="D120" s="136"/>
      <c r="E120" s="137"/>
      <c r="F120" s="2"/>
      <c r="G120" s="7"/>
      <c r="H120" s="2"/>
      <c r="I120" s="2"/>
      <c r="J120" s="14"/>
      <c r="K120" s="15"/>
      <c r="L120" s="14"/>
      <c r="M120" s="8"/>
      <c r="N120" s="54" t="e">
        <f>VLOOKUP(A120,$AT$4:$BM$13,15,FALSE)</f>
        <v>#N/A</v>
      </c>
      <c r="O120" s="54" t="e">
        <f>VLOOKUP(B120,$AT$4:$BM$13,15,FALSE)</f>
        <v>#N/A</v>
      </c>
      <c r="P120" s="55" t="e">
        <f>J120*O120</f>
        <v>#N/A</v>
      </c>
      <c r="Q120" s="55" t="e">
        <f>L120*N120</f>
        <v>#N/A</v>
      </c>
      <c r="R120" s="55">
        <f>A120*100+B120</f>
        <v>0</v>
      </c>
      <c r="S120" s="55">
        <f>B120*100+A120</f>
        <v>0</v>
      </c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6.95" customHeight="1" x14ac:dyDescent="0.25">
      <c r="D121" s="6"/>
      <c r="E121" s="19"/>
      <c r="F121" s="2"/>
      <c r="G121" s="7"/>
      <c r="H121" s="2"/>
      <c r="I121" s="2"/>
      <c r="J121" s="15"/>
      <c r="K121" s="15"/>
      <c r="L121" s="15"/>
      <c r="M121" s="8"/>
      <c r="P121" s="55"/>
      <c r="Q121" s="55"/>
      <c r="R121" s="55"/>
      <c r="S121" s="55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 s="54">
        <v>0</v>
      </c>
      <c r="B122" s="54">
        <v>0</v>
      </c>
      <c r="C122" s="55">
        <f>IF(AND(ISNUMBER(J122),ISNUMBER(L122)),1,0)</f>
        <v>0</v>
      </c>
      <c r="D122" s="136"/>
      <c r="E122" s="137"/>
      <c r="F122" s="2"/>
      <c r="G122" s="7"/>
      <c r="H122" s="2"/>
      <c r="I122" s="2"/>
      <c r="J122" s="14"/>
      <c r="K122" s="15"/>
      <c r="L122" s="14"/>
      <c r="M122" s="8"/>
      <c r="N122" s="54" t="e">
        <f>VLOOKUP(A122,$AT$4:$BM$13,15,FALSE)</f>
        <v>#N/A</v>
      </c>
      <c r="O122" s="54" t="e">
        <f>VLOOKUP(B122,$AT$4:$BM$13,15,FALSE)</f>
        <v>#N/A</v>
      </c>
      <c r="P122" s="55" t="e">
        <f>J122*O122</f>
        <v>#N/A</v>
      </c>
      <c r="Q122" s="55" t="e">
        <f>L122*N122</f>
        <v>#N/A</v>
      </c>
      <c r="R122" s="55">
        <f>A122*100+B122</f>
        <v>0</v>
      </c>
      <c r="S122" s="55">
        <f>B122*100+A122</f>
        <v>0</v>
      </c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6.95" customHeight="1" x14ac:dyDescent="0.25">
      <c r="D123" s="6"/>
      <c r="E123" s="19"/>
      <c r="F123" s="2"/>
      <c r="G123" s="7"/>
      <c r="H123" s="2"/>
      <c r="I123" s="2"/>
      <c r="J123" s="15"/>
      <c r="K123" s="15"/>
      <c r="L123" s="15"/>
      <c r="M123" s="8"/>
      <c r="P123" s="55"/>
      <c r="Q123" s="55"/>
      <c r="R123" s="55"/>
      <c r="S123" s="55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 s="54">
        <v>0</v>
      </c>
      <c r="B124" s="54">
        <v>0</v>
      </c>
      <c r="C124" s="55">
        <f>IF(AND(ISNUMBER(J124),ISNUMBER(L124)),1,0)</f>
        <v>0</v>
      </c>
      <c r="D124" s="136"/>
      <c r="E124" s="137"/>
      <c r="F124" s="2"/>
      <c r="G124" s="7"/>
      <c r="H124" s="2"/>
      <c r="I124" s="2"/>
      <c r="J124" s="14"/>
      <c r="K124" s="15"/>
      <c r="L124" s="14"/>
      <c r="M124" s="8"/>
      <c r="N124" s="54" t="e">
        <f>VLOOKUP(A124,$AT$4:$BM$13,15,FALSE)</f>
        <v>#N/A</v>
      </c>
      <c r="O124" s="54" t="e">
        <f>VLOOKUP(B124,$AT$4:$BM$13,15,FALSE)</f>
        <v>#N/A</v>
      </c>
      <c r="P124" s="55" t="e">
        <f>J124*O124</f>
        <v>#N/A</v>
      </c>
      <c r="Q124" s="55" t="e">
        <f>L124*N124</f>
        <v>#N/A</v>
      </c>
      <c r="R124" s="55">
        <f>A124*100+B124</f>
        <v>0</v>
      </c>
      <c r="S124" s="55">
        <f>B124*100+A124</f>
        <v>0</v>
      </c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6.95" customHeight="1" x14ac:dyDescent="0.25">
      <c r="D125" s="9"/>
      <c r="E125" s="10"/>
      <c r="F125" s="10"/>
      <c r="G125" s="10"/>
      <c r="H125" s="10"/>
      <c r="I125" s="10"/>
      <c r="J125" s="16"/>
      <c r="K125" s="16"/>
      <c r="L125" s="16"/>
      <c r="M125" s="11"/>
      <c r="P125" s="55"/>
      <c r="Q125" s="55"/>
      <c r="R125" s="55"/>
      <c r="S125" s="5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24.95" customHeight="1" x14ac:dyDescent="0.25">
      <c r="P126" s="55"/>
      <c r="Q126" s="55"/>
      <c r="R126" s="55"/>
      <c r="S126" s="55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24.95" customHeight="1" x14ac:dyDescent="0.25">
      <c r="P127" s="55"/>
      <c r="Q127" s="55"/>
      <c r="R127" s="55"/>
      <c r="S127" s="55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D128" s="21" t="s">
        <v>8</v>
      </c>
      <c r="E128" s="22"/>
      <c r="F128" s="41" t="s">
        <v>7</v>
      </c>
      <c r="G128" s="42">
        <v>9</v>
      </c>
      <c r="H128" s="23" t="str">
        <f>$E$1</f>
        <v>GROEP A</v>
      </c>
      <c r="I128" s="22"/>
      <c r="J128" s="23"/>
      <c r="K128" s="23"/>
      <c r="L128" s="23"/>
      <c r="M128" s="17"/>
      <c r="P128" s="55"/>
      <c r="Q128" s="55"/>
      <c r="R128" s="55"/>
      <c r="S128" s="55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6.95" customHeight="1" x14ac:dyDescent="0.25">
      <c r="D129" s="3"/>
      <c r="E129" s="4"/>
      <c r="F129" s="4"/>
      <c r="G129" s="4"/>
      <c r="H129" s="4"/>
      <c r="I129" s="4"/>
      <c r="J129" s="13"/>
      <c r="K129" s="13"/>
      <c r="L129" s="13"/>
      <c r="M129" s="5"/>
      <c r="P129" s="55"/>
      <c r="Q129" s="55"/>
      <c r="R129" s="55"/>
      <c r="S129" s="55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 s="54">
        <v>0</v>
      </c>
      <c r="B130" s="54">
        <v>0</v>
      </c>
      <c r="C130" s="55">
        <f>IF(AND(ISNUMBER(J130),ISNUMBER(L130)),1,0)</f>
        <v>0</v>
      </c>
      <c r="D130" s="136"/>
      <c r="E130" s="137"/>
      <c r="F130" s="2"/>
      <c r="G130" s="7"/>
      <c r="H130" s="2"/>
      <c r="I130" s="2"/>
      <c r="J130" s="14"/>
      <c r="K130" s="15"/>
      <c r="L130" s="14"/>
      <c r="M130" s="8"/>
      <c r="N130" s="54" t="e">
        <f>VLOOKUP(A130,$AT$4:$BM$13,17,FALSE)</f>
        <v>#N/A</v>
      </c>
      <c r="O130" s="54" t="e">
        <f>VLOOKUP(B130,$AT$4:$BM$13,17,FALSE)</f>
        <v>#N/A</v>
      </c>
      <c r="P130" s="55" t="e">
        <f>J130*O130</f>
        <v>#N/A</v>
      </c>
      <c r="Q130" s="55" t="e">
        <f>L130*N130</f>
        <v>#N/A</v>
      </c>
      <c r="R130" s="55">
        <f>A130*100+B130</f>
        <v>0</v>
      </c>
      <c r="S130" s="55">
        <f>B130*100+A130</f>
        <v>0</v>
      </c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6.95" customHeight="1" x14ac:dyDescent="0.25">
      <c r="D131" s="6"/>
      <c r="E131" s="19"/>
      <c r="F131" s="2"/>
      <c r="G131" s="7"/>
      <c r="H131" s="2"/>
      <c r="I131" s="2"/>
      <c r="J131" s="15"/>
      <c r="K131" s="15"/>
      <c r="L131" s="15"/>
      <c r="M131" s="8"/>
      <c r="P131" s="55"/>
      <c r="Q131" s="55"/>
      <c r="R131" s="55"/>
      <c r="S131" s="55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 s="54">
        <v>0</v>
      </c>
      <c r="B132" s="54">
        <v>0</v>
      </c>
      <c r="C132" s="55">
        <f>IF(AND(ISNUMBER(J132),ISNUMBER(L132)),1,0)</f>
        <v>0</v>
      </c>
      <c r="D132" s="136"/>
      <c r="E132" s="137"/>
      <c r="F132" s="2"/>
      <c r="G132" s="7"/>
      <c r="H132" s="2"/>
      <c r="I132" s="2"/>
      <c r="J132" s="14"/>
      <c r="K132" s="15"/>
      <c r="L132" s="14"/>
      <c r="M132" s="8"/>
      <c r="N132" s="54" t="e">
        <f>VLOOKUP(A132,$AT$4:$BM$13,17,FALSE)</f>
        <v>#N/A</v>
      </c>
      <c r="O132" s="54" t="e">
        <f>VLOOKUP(B132,$AT$4:$BM$13,17,FALSE)</f>
        <v>#N/A</v>
      </c>
      <c r="P132" s="55" t="e">
        <f>J132*O132</f>
        <v>#N/A</v>
      </c>
      <c r="Q132" s="55" t="e">
        <f>L132*N132</f>
        <v>#N/A</v>
      </c>
      <c r="R132" s="55">
        <f>A132*100+B132</f>
        <v>0</v>
      </c>
      <c r="S132" s="55">
        <f>B132*100+A132</f>
        <v>0</v>
      </c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6.95" customHeight="1" x14ac:dyDescent="0.25">
      <c r="D133" s="6"/>
      <c r="E133" s="19"/>
      <c r="F133" s="2"/>
      <c r="G133" s="7"/>
      <c r="H133" s="2"/>
      <c r="I133" s="2"/>
      <c r="J133" s="15"/>
      <c r="K133" s="15"/>
      <c r="L133" s="15"/>
      <c r="M133" s="8"/>
      <c r="P133" s="55"/>
      <c r="Q133" s="55"/>
      <c r="R133" s="55"/>
      <c r="S133" s="55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 s="54">
        <v>0</v>
      </c>
      <c r="B134" s="54">
        <v>0</v>
      </c>
      <c r="C134" s="55">
        <f>IF(AND(ISNUMBER(J134),ISNUMBER(L134)),1,0)</f>
        <v>0</v>
      </c>
      <c r="D134" s="136"/>
      <c r="E134" s="137"/>
      <c r="F134" s="2"/>
      <c r="G134" s="7"/>
      <c r="H134" s="2"/>
      <c r="I134" s="2"/>
      <c r="J134" s="14"/>
      <c r="K134" s="15"/>
      <c r="L134" s="14"/>
      <c r="M134" s="8"/>
      <c r="N134" s="54" t="e">
        <f>VLOOKUP(A134,$AT$4:$BM$13,17,FALSE)</f>
        <v>#N/A</v>
      </c>
      <c r="O134" s="54" t="e">
        <f>VLOOKUP(B134,$AT$4:$BM$13,17,FALSE)</f>
        <v>#N/A</v>
      </c>
      <c r="P134" s="55" t="e">
        <f>J134*O134</f>
        <v>#N/A</v>
      </c>
      <c r="Q134" s="55" t="e">
        <f>L134*N134</f>
        <v>#N/A</v>
      </c>
      <c r="R134" s="55">
        <f>A134*100+B134</f>
        <v>0</v>
      </c>
      <c r="S134" s="55">
        <f>B134*100+A134</f>
        <v>0</v>
      </c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6.95" customHeight="1" x14ac:dyDescent="0.25">
      <c r="D135" s="6"/>
      <c r="E135" s="19"/>
      <c r="F135" s="2"/>
      <c r="G135" s="7"/>
      <c r="H135" s="2"/>
      <c r="I135" s="2"/>
      <c r="J135" s="15"/>
      <c r="K135" s="15"/>
      <c r="L135" s="15"/>
      <c r="M135" s="8"/>
      <c r="P135" s="55"/>
      <c r="Q135" s="55"/>
      <c r="R135" s="55"/>
      <c r="S135" s="5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 s="54">
        <v>0</v>
      </c>
      <c r="B136" s="54">
        <v>0</v>
      </c>
      <c r="C136" s="55">
        <f>IF(AND(ISNUMBER(J136),ISNUMBER(L136)),1,0)</f>
        <v>0</v>
      </c>
      <c r="D136" s="136"/>
      <c r="E136" s="137"/>
      <c r="F136" s="2"/>
      <c r="G136" s="7"/>
      <c r="H136" s="2"/>
      <c r="I136" s="2"/>
      <c r="J136" s="14"/>
      <c r="K136" s="15"/>
      <c r="L136" s="14"/>
      <c r="M136" s="8"/>
      <c r="N136" s="54" t="e">
        <f>VLOOKUP(A136,$AT$4:$BM$13,17,FALSE)</f>
        <v>#N/A</v>
      </c>
      <c r="O136" s="54" t="e">
        <f>VLOOKUP(B136,$AT$4:$BM$13,17,FALSE)</f>
        <v>#N/A</v>
      </c>
      <c r="P136" s="55" t="e">
        <f>J136*O136</f>
        <v>#N/A</v>
      </c>
      <c r="Q136" s="55" t="e">
        <f>L136*N136</f>
        <v>#N/A</v>
      </c>
      <c r="R136" s="55">
        <f>A136*100+B136</f>
        <v>0</v>
      </c>
      <c r="S136" s="55">
        <f>B136*100+A136</f>
        <v>0</v>
      </c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6.95" customHeight="1" x14ac:dyDescent="0.25">
      <c r="D137" s="6"/>
      <c r="E137" s="19"/>
      <c r="F137" s="2"/>
      <c r="G137" s="7"/>
      <c r="H137" s="2"/>
      <c r="I137" s="2"/>
      <c r="J137" s="15"/>
      <c r="K137" s="15"/>
      <c r="L137" s="15"/>
      <c r="M137" s="8"/>
      <c r="P137" s="55"/>
      <c r="Q137" s="55"/>
      <c r="R137" s="55"/>
      <c r="S137" s="55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 s="54">
        <v>0</v>
      </c>
      <c r="B138" s="54">
        <v>0</v>
      </c>
      <c r="C138" s="55">
        <f>IF(AND(ISNUMBER(J138),ISNUMBER(L138)),1,0)</f>
        <v>0</v>
      </c>
      <c r="D138" s="136"/>
      <c r="E138" s="137"/>
      <c r="F138" s="2"/>
      <c r="G138" s="7"/>
      <c r="H138" s="2"/>
      <c r="I138" s="2"/>
      <c r="J138" s="14"/>
      <c r="K138" s="15"/>
      <c r="L138" s="14"/>
      <c r="M138" s="8"/>
      <c r="N138" s="54" t="e">
        <f>VLOOKUP(A138,$AT$4:$BM$13,17,FALSE)</f>
        <v>#N/A</v>
      </c>
      <c r="O138" s="54" t="e">
        <f>VLOOKUP(B138,$AT$4:$BM$13,17,FALSE)</f>
        <v>#N/A</v>
      </c>
      <c r="P138" s="55" t="e">
        <f>J138*O138</f>
        <v>#N/A</v>
      </c>
      <c r="Q138" s="55" t="e">
        <f>L138*N138</f>
        <v>#N/A</v>
      </c>
      <c r="R138" s="55">
        <f>A138*100+B138</f>
        <v>0</v>
      </c>
      <c r="S138" s="55">
        <f>B138*100+A138</f>
        <v>0</v>
      </c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6.95" customHeight="1" x14ac:dyDescent="0.25">
      <c r="D139" s="9"/>
      <c r="E139" s="10"/>
      <c r="F139" s="10"/>
      <c r="G139" s="10"/>
      <c r="H139" s="10"/>
      <c r="I139" s="10"/>
      <c r="J139" s="16"/>
      <c r="K139" s="16"/>
      <c r="L139" s="16"/>
      <c r="M139" s="11"/>
    </row>
  </sheetData>
  <sortState ref="V4:AB11">
    <sortCondition descending="1" ref="X4:X11"/>
    <sortCondition descending="1" ref="Y4:Y11"/>
    <sortCondition descending="1" ref="Z4:Z11"/>
    <sortCondition descending="1" ref="AA4:AA11"/>
  </sortState>
  <customSheetViews>
    <customSheetView guid="{FB833ADC-445F-484C-BEA8-A10DC8342496}" showPageBreaks="1" fitToPage="1" printArea="1" topLeftCell="A125">
      <selection activeCell="A151" sqref="A151"/>
      <rowBreaks count="3" manualBreakCount="3">
        <brk id="13" max="16383" man="1"/>
        <brk id="69" min="2" max="13" man="1"/>
        <brk id="83" max="18" man="1"/>
      </rowBreaks>
      <colBreaks count="3" manualBreakCount="3">
        <brk id="7" max="138" man="1"/>
        <brk id="19" max="138" man="1"/>
        <brk id="28" max="138" man="1"/>
      </colBreaks>
      <pageMargins left="0.7" right="0.7" top="0.75" bottom="0.75" header="0.3" footer="0.3"/>
      <pageSetup paperSize="9" fitToHeight="0" orientation="portrait" horizontalDpi="4294967293" verticalDpi="4294967293" r:id="rId1"/>
    </customSheetView>
  </customSheetViews>
  <mergeCells count="77">
    <mergeCell ref="D18:E18"/>
    <mergeCell ref="D20:E20"/>
    <mergeCell ref="D22:E22"/>
    <mergeCell ref="D24:E24"/>
    <mergeCell ref="D26:E26"/>
    <mergeCell ref="D32:E32"/>
    <mergeCell ref="D34:E34"/>
    <mergeCell ref="D36:E36"/>
    <mergeCell ref="D38:E38"/>
    <mergeCell ref="D40:E40"/>
    <mergeCell ref="D46:E46"/>
    <mergeCell ref="D48:E48"/>
    <mergeCell ref="D50:E50"/>
    <mergeCell ref="D52:E52"/>
    <mergeCell ref="D54:E54"/>
    <mergeCell ref="D60:E60"/>
    <mergeCell ref="D62:E62"/>
    <mergeCell ref="D64:E64"/>
    <mergeCell ref="D66:E66"/>
    <mergeCell ref="D68:E68"/>
    <mergeCell ref="D74:E74"/>
    <mergeCell ref="D76:E76"/>
    <mergeCell ref="D78:E78"/>
    <mergeCell ref="D80:E80"/>
    <mergeCell ref="D82:E82"/>
    <mergeCell ref="D110:E110"/>
    <mergeCell ref="D116:E116"/>
    <mergeCell ref="D88:E88"/>
    <mergeCell ref="D90:E90"/>
    <mergeCell ref="D92:E92"/>
    <mergeCell ref="D94:E94"/>
    <mergeCell ref="D96:E96"/>
    <mergeCell ref="D134:E134"/>
    <mergeCell ref="D136:E136"/>
    <mergeCell ref="D138:E138"/>
    <mergeCell ref="AU2:AV2"/>
    <mergeCell ref="AW2:AX2"/>
    <mergeCell ref="D118:E118"/>
    <mergeCell ref="D120:E120"/>
    <mergeCell ref="D122:E122"/>
    <mergeCell ref="I11:L11"/>
    <mergeCell ref="D124:E124"/>
    <mergeCell ref="D130:E130"/>
    <mergeCell ref="D132:E132"/>
    <mergeCell ref="D102:E102"/>
    <mergeCell ref="D104:E104"/>
    <mergeCell ref="D106:E106"/>
    <mergeCell ref="D108:E108"/>
    <mergeCell ref="I12:L12"/>
    <mergeCell ref="I13:L13"/>
    <mergeCell ref="E1:L1"/>
    <mergeCell ref="U1:AA1"/>
    <mergeCell ref="AB2:AB3"/>
    <mergeCell ref="I10:L10"/>
    <mergeCell ref="I6:L6"/>
    <mergeCell ref="I7:L7"/>
    <mergeCell ref="V2:V3"/>
    <mergeCell ref="U2:U3"/>
    <mergeCell ref="Z2:Z3"/>
    <mergeCell ref="AA2:AA3"/>
    <mergeCell ref="W2:W3"/>
    <mergeCell ref="I8:L8"/>
    <mergeCell ref="I9:L9"/>
    <mergeCell ref="Y2:Y3"/>
    <mergeCell ref="BS2:CC2"/>
    <mergeCell ref="I3:L3"/>
    <mergeCell ref="I4:L4"/>
    <mergeCell ref="I5:L5"/>
    <mergeCell ref="AF2:AO2"/>
    <mergeCell ref="X2:X3"/>
    <mergeCell ref="BK2:BL2"/>
    <mergeCell ref="AY2:AZ2"/>
    <mergeCell ref="BA2:BB2"/>
    <mergeCell ref="BC2:BD2"/>
    <mergeCell ref="BE2:BF2"/>
    <mergeCell ref="BG2:BH2"/>
    <mergeCell ref="BI2:BJ2"/>
  </mergeCells>
  <conditionalFormatting sqref="AT14:BP14">
    <cfRule type="cellIs" dxfId="5" priority="1" stopIfTrue="1" operator="equal">
      <formula>"NOK"</formula>
    </cfRule>
    <cfRule type="cellIs" dxfId="4" priority="2" stopIfTrue="1" operator="equal">
      <formula>"OK"</formula>
    </cfRule>
  </conditionalFormatting>
  <pageMargins left="0.7" right="0.7" top="0.75" bottom="0.75" header="0.3" footer="0.3"/>
  <pageSetup paperSize="9" scale="97" fitToHeight="0" orientation="portrait" horizontalDpi="4294967293" verticalDpi="4294967293" r:id="rId2"/>
  <rowBreaks count="3" manualBreakCount="3">
    <brk id="14" min="3" max="12" man="1"/>
    <brk id="70" min="3" max="12" man="1"/>
    <brk id="126" min="3" max="12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CC139"/>
  <sheetViews>
    <sheetView view="pageBreakPreview" topLeftCell="A67" zoomScale="80" zoomScaleNormal="90" zoomScaleSheetLayoutView="80" workbookViewId="0">
      <selection activeCell="A68" sqref="A68"/>
    </sheetView>
  </sheetViews>
  <sheetFormatPr defaultRowHeight="15" x14ac:dyDescent="0.25"/>
  <cols>
    <col min="1" max="1" width="4.42578125" style="54" customWidth="1"/>
    <col min="2" max="2" width="2.85546875" style="54" customWidth="1"/>
    <col min="3" max="3" width="2" style="55" customWidth="1"/>
    <col min="4" max="4" width="4.28515625" customWidth="1"/>
    <col min="5" max="5" width="3" bestFit="1" customWidth="1"/>
    <col min="6" max="6" width="27.28515625" bestFit="1" customWidth="1"/>
    <col min="7" max="7" width="2" bestFit="1" customWidth="1"/>
    <col min="8" max="8" width="27.28515625" bestFit="1" customWidth="1"/>
    <col min="9" max="9" width="4.7109375" customWidth="1"/>
    <col min="10" max="10" width="4.7109375" style="80" customWidth="1"/>
    <col min="11" max="11" width="1.7109375" style="80" customWidth="1"/>
    <col min="12" max="12" width="4.7109375" style="80" customWidth="1"/>
    <col min="13" max="13" width="1.5703125" customWidth="1"/>
    <col min="14" max="14" width="4.85546875" style="54" customWidth="1"/>
    <col min="15" max="17" width="4.28515625" style="54" customWidth="1"/>
    <col min="18" max="19" width="5" style="54" bestFit="1" customWidth="1"/>
    <col min="20" max="20" width="4.28515625" style="80" customWidth="1"/>
    <col min="21" max="21" width="7.140625" style="80" bestFit="1" customWidth="1"/>
    <col min="22" max="22" width="3.85546875" style="80" bestFit="1" customWidth="1"/>
    <col min="23" max="23" width="30.28515625" style="80" bestFit="1" customWidth="1"/>
    <col min="24" max="28" width="9.7109375" style="80" customWidth="1"/>
    <col min="29" max="29" width="1.5703125" style="80" customWidth="1"/>
    <col min="30" max="31" width="4.28515625" style="80" customWidth="1"/>
    <col min="32" max="32" width="27.28515625" style="80" bestFit="1" customWidth="1"/>
    <col min="33" max="45" width="4.28515625" style="80" customWidth="1"/>
    <col min="46" max="46" width="2.85546875" customWidth="1"/>
    <col min="47" max="64" width="3.7109375" customWidth="1"/>
    <col min="65" max="65" width="5.28515625" customWidth="1"/>
    <col min="66" max="69" width="7" customWidth="1"/>
    <col min="71" max="85" width="4.7109375" customWidth="1"/>
  </cols>
  <sheetData>
    <row r="1" spans="1:81" ht="15.75" thickBot="1" x14ac:dyDescent="0.3">
      <c r="E1" s="113" t="s">
        <v>49</v>
      </c>
      <c r="F1" s="113"/>
      <c r="G1" s="113"/>
      <c r="H1" s="113"/>
      <c r="I1" s="113"/>
      <c r="J1" s="113"/>
      <c r="K1" s="113"/>
      <c r="L1" s="113"/>
      <c r="U1" s="114" t="str">
        <f>$E$1</f>
        <v>GROEP A</v>
      </c>
      <c r="V1" s="114"/>
      <c r="W1" s="114"/>
      <c r="X1" s="114"/>
      <c r="Y1" s="115"/>
      <c r="Z1" s="115"/>
      <c r="AA1" s="115"/>
      <c r="AB1" s="78"/>
    </row>
    <row r="2" spans="1:81" ht="15" customHeight="1" thickTop="1" thickBot="1" x14ac:dyDescent="0.3">
      <c r="U2" s="116" t="s">
        <v>20</v>
      </c>
      <c r="V2" s="118"/>
      <c r="W2" s="120" t="s">
        <v>6</v>
      </c>
      <c r="X2" s="122" t="s">
        <v>4</v>
      </c>
      <c r="Y2" s="124" t="s">
        <v>22</v>
      </c>
      <c r="Z2" s="126" t="s">
        <v>21</v>
      </c>
      <c r="AA2" s="126" t="s">
        <v>23</v>
      </c>
      <c r="AB2" s="132" t="s">
        <v>37</v>
      </c>
      <c r="AF2" s="134" t="str">
        <f>CONCATENATE("Resultaatmatrix ",$E$1)</f>
        <v>Resultaatmatrix GROEP A</v>
      </c>
      <c r="AG2" s="134"/>
      <c r="AH2" s="134"/>
      <c r="AI2" s="134"/>
      <c r="AJ2" s="134"/>
      <c r="AK2" s="134"/>
      <c r="AL2" s="134"/>
      <c r="AM2" s="134"/>
      <c r="AN2" s="112"/>
      <c r="AO2" s="112"/>
      <c r="AP2" s="112"/>
      <c r="AQ2" s="112"/>
      <c r="AR2" s="81"/>
      <c r="AS2" s="81"/>
      <c r="AT2" t="s">
        <v>0</v>
      </c>
      <c r="AU2" s="135">
        <v>1</v>
      </c>
      <c r="AV2" s="135"/>
      <c r="AW2" s="135">
        <v>2</v>
      </c>
      <c r="AX2" s="135"/>
      <c r="AY2" s="135">
        <v>3</v>
      </c>
      <c r="AZ2" s="135"/>
      <c r="BA2" s="135">
        <v>4</v>
      </c>
      <c r="BB2" s="135"/>
      <c r="BC2" s="135">
        <v>5</v>
      </c>
      <c r="BD2" s="135"/>
      <c r="BE2" s="135">
        <v>6</v>
      </c>
      <c r="BF2" s="135"/>
      <c r="BG2" s="135">
        <v>7</v>
      </c>
      <c r="BH2" s="135"/>
      <c r="BI2" s="135">
        <v>8</v>
      </c>
      <c r="BJ2" s="135"/>
      <c r="BK2" s="135">
        <v>9</v>
      </c>
      <c r="BL2" s="135"/>
      <c r="BM2" t="s">
        <v>19</v>
      </c>
      <c r="BN2" t="s">
        <v>2</v>
      </c>
      <c r="BO2" t="s">
        <v>3</v>
      </c>
      <c r="BP2" t="s">
        <v>16</v>
      </c>
      <c r="BS2" s="131" t="s">
        <v>25</v>
      </c>
      <c r="BT2" s="131"/>
      <c r="BU2" s="131"/>
      <c r="BV2" s="131"/>
      <c r="BW2" s="131"/>
      <c r="BX2" s="131"/>
      <c r="BY2" s="131"/>
      <c r="BZ2" s="131"/>
      <c r="CA2" s="131"/>
      <c r="CB2" s="131"/>
      <c r="CC2" s="131"/>
    </row>
    <row r="3" spans="1:81" ht="16.5" thickTop="1" thickBot="1" x14ac:dyDescent="0.3">
      <c r="E3" s="44"/>
      <c r="F3" s="63" t="s">
        <v>6</v>
      </c>
      <c r="G3" s="64"/>
      <c r="H3" s="63" t="s">
        <v>36</v>
      </c>
      <c r="I3" s="128" t="s">
        <v>37</v>
      </c>
      <c r="J3" s="129"/>
      <c r="K3" s="129"/>
      <c r="L3" s="130"/>
      <c r="U3" s="117"/>
      <c r="V3" s="119"/>
      <c r="W3" s="121"/>
      <c r="X3" s="123"/>
      <c r="Y3" s="125"/>
      <c r="Z3" s="127"/>
      <c r="AA3" s="127"/>
      <c r="AB3" s="133"/>
      <c r="AF3" s="57"/>
      <c r="AG3" s="57"/>
      <c r="AH3" s="57">
        <v>1</v>
      </c>
      <c r="AI3" s="57">
        <v>2</v>
      </c>
      <c r="AJ3" s="57">
        <v>3</v>
      </c>
      <c r="AK3" s="57">
        <v>4</v>
      </c>
      <c r="AL3" s="57">
        <v>5</v>
      </c>
      <c r="AM3" s="88">
        <v>6</v>
      </c>
      <c r="AN3" s="110"/>
      <c r="AO3" s="87"/>
      <c r="AP3" s="78"/>
      <c r="AQ3" s="78"/>
      <c r="AR3" s="78"/>
      <c r="AS3" s="78"/>
      <c r="AU3" s="26" t="s">
        <v>10</v>
      </c>
      <c r="AV3" s="26" t="s">
        <v>11</v>
      </c>
      <c r="AW3" s="26" t="s">
        <v>10</v>
      </c>
      <c r="AX3" s="26" t="s">
        <v>11</v>
      </c>
      <c r="AY3" s="26" t="s">
        <v>10</v>
      </c>
      <c r="AZ3" s="26" t="s">
        <v>11</v>
      </c>
      <c r="BA3" s="26" t="s">
        <v>10</v>
      </c>
      <c r="BB3" s="26" t="s">
        <v>11</v>
      </c>
      <c r="BC3" s="26" t="s">
        <v>10</v>
      </c>
      <c r="BD3" s="26" t="s">
        <v>11</v>
      </c>
      <c r="BE3" s="26" t="s">
        <v>10</v>
      </c>
      <c r="BF3" s="26" t="s">
        <v>11</v>
      </c>
      <c r="BG3" s="26" t="s">
        <v>10</v>
      </c>
      <c r="BH3" s="26" t="s">
        <v>11</v>
      </c>
      <c r="BI3" s="26" t="s">
        <v>10</v>
      </c>
      <c r="BJ3" s="26" t="s">
        <v>11</v>
      </c>
      <c r="BK3" s="26" t="s">
        <v>10</v>
      </c>
      <c r="BL3" s="26" t="s">
        <v>11</v>
      </c>
      <c r="BM3" s="26" t="s">
        <v>9</v>
      </c>
      <c r="BS3" s="57"/>
      <c r="BT3" s="57">
        <v>1</v>
      </c>
      <c r="BU3" s="57">
        <v>2</v>
      </c>
      <c r="BV3" s="57">
        <v>3</v>
      </c>
      <c r="BW3" s="57">
        <v>4</v>
      </c>
      <c r="BX3" s="57">
        <v>5</v>
      </c>
      <c r="BY3" s="57">
        <v>6</v>
      </c>
      <c r="BZ3" s="57">
        <v>7</v>
      </c>
      <c r="CA3" s="57">
        <v>8</v>
      </c>
      <c r="CB3" s="57">
        <v>9</v>
      </c>
      <c r="CC3" s="57">
        <v>10</v>
      </c>
    </row>
    <row r="4" spans="1:81" ht="15.75" thickTop="1" x14ac:dyDescent="0.25">
      <c r="E4" s="35">
        <v>1</v>
      </c>
      <c r="F4" s="82" t="s">
        <v>26</v>
      </c>
      <c r="G4" s="30"/>
      <c r="H4" s="83">
        <v>85679456</v>
      </c>
      <c r="I4" s="147">
        <v>1800</v>
      </c>
      <c r="J4" s="148"/>
      <c r="K4" s="148"/>
      <c r="L4" s="149"/>
      <c r="U4" s="35">
        <v>1</v>
      </c>
      <c r="V4" s="36">
        <v>1</v>
      </c>
      <c r="W4" s="30" t="str">
        <f t="shared" ref="W4:W9" si="0">VLOOKUP(V4,$E$4:$F$13,2,FALSE)</f>
        <v>Govert van der Weijden</v>
      </c>
      <c r="X4" s="71">
        <f t="shared" ref="X4:X9" si="1">VLOOKUP($V4,$AT$4:$BP$13,20,FALSE)</f>
        <v>4</v>
      </c>
      <c r="Y4" s="75">
        <f t="shared" ref="Y4:Y9" si="2">VLOOKUP($V4,$AT$4:$BP$13,21,FALSE)</f>
        <v>5</v>
      </c>
      <c r="Z4" s="48">
        <f t="shared" ref="Z4:Z9" si="3">VLOOKUP($V4,$AT$4:$BP$13,22,FALSE)</f>
        <v>4.5</v>
      </c>
      <c r="AA4" s="49">
        <f t="shared" ref="AA4:AA9" si="4">VLOOKUP($V4,$AT$4:$BP$13,23,FALSE)</f>
        <v>28.5</v>
      </c>
      <c r="AB4" s="31">
        <f t="shared" ref="AB4:AB9" si="5">VLOOKUP(V4,$E$4:$L$13,5,FALSE)</f>
        <v>1800</v>
      </c>
      <c r="AF4" s="60" t="str">
        <f t="shared" ref="AF4:AF9" si="6">F4</f>
        <v>Govert van der Weijden</v>
      </c>
      <c r="AG4" s="57">
        <v>1</v>
      </c>
      <c r="AH4" s="58" t="str">
        <f t="shared" ref="AH4:AM9" si="7">IF(BT4=1,SUMIF($R$18:$R$139,$AG4*100+AH$3,$J$18:$J$139)+SUMIF($R$18:$R$139,$AG4+AH$3*100,$L$18:$L$139),"")</f>
        <v/>
      </c>
      <c r="AI4" s="14">
        <f t="shared" si="7"/>
        <v>0.5</v>
      </c>
      <c r="AJ4" s="14">
        <f t="shared" si="7"/>
        <v>1</v>
      </c>
      <c r="AK4" s="14">
        <f t="shared" si="7"/>
        <v>1</v>
      </c>
      <c r="AL4" s="14">
        <f t="shared" si="7"/>
        <v>0.5</v>
      </c>
      <c r="AM4" s="89">
        <f t="shared" si="7"/>
        <v>1</v>
      </c>
      <c r="AN4" s="111"/>
      <c r="AO4" s="27"/>
      <c r="AP4" s="81"/>
      <c r="AQ4" s="81"/>
      <c r="AR4" s="81"/>
      <c r="AS4" s="81"/>
      <c r="AT4">
        <v>1</v>
      </c>
      <c r="AU4">
        <f t="shared" ref="AU4:AU9" si="8">SUMIF($A$16:$A$27,$AT4,$J$16:$J$27)+SUMIF($B$16:$B$27,$AT4,$L$16:$L$27)</f>
        <v>1</v>
      </c>
      <c r="AV4" s="25">
        <f t="shared" ref="AV4:AV9" si="9">AU4</f>
        <v>1</v>
      </c>
      <c r="AW4">
        <f t="shared" ref="AW4:AW9" si="10">SUMIF($A$30:$A$41,$AT4,$J$30:$J$41)+SUMIF($B$30:$B$41,$AT4,$L$30:$L$41)</f>
        <v>0.5</v>
      </c>
      <c r="AX4" s="25">
        <f t="shared" ref="AX4:AX9" si="11">AW4+AV4</f>
        <v>1.5</v>
      </c>
      <c r="AY4">
        <f t="shared" ref="AY4:AY9" si="12">SUMIF($A$44:$A$55,$AT4,$J$44:$J$55)+SUMIF($B$44:$B$55,$AT4,$L$44:$L$55)</f>
        <v>1</v>
      </c>
      <c r="AZ4" s="25">
        <f t="shared" ref="AZ4:AZ9" si="13">AY4+AX4</f>
        <v>2.5</v>
      </c>
      <c r="BA4">
        <f t="shared" ref="BA4:BA9" si="14">SUMIF($A$58:$A$69,$AT4,$J$58:$J$69)+SUMIF($B$58:$B$69,$AT4,$L$58:$L$69)</f>
        <v>1</v>
      </c>
      <c r="BB4" s="25">
        <f t="shared" ref="BB4:BB9" si="15">BA4+AZ4</f>
        <v>3.5</v>
      </c>
      <c r="BC4">
        <f t="shared" ref="BC4:BC9" si="16">SUMIF($A$72:$A$83,$AT4,$J$72:$J$83)+SUMIF($B$72:$B$83,$AT4,$L$72:$L$83)</f>
        <v>0.5</v>
      </c>
      <c r="BD4" s="25">
        <f t="shared" ref="BD4:BD9" si="17">BC4+BB4</f>
        <v>4</v>
      </c>
      <c r="BE4">
        <f>SUMIF($A$86:$A$97,$AT4,$J$86:$J$97)+SUMIF($B$86:$B$97,$AT4,$L$86:$L$97)</f>
        <v>0</v>
      </c>
      <c r="BF4" s="25">
        <f t="shared" ref="BF4:BF9" si="18">BE4+BD4</f>
        <v>4</v>
      </c>
      <c r="BG4">
        <f t="shared" ref="BG4:BG9" si="19">SUMIF($A$100:$A$111,$AT4,$J$100:$J$111)+SUMIF($B$100:$B$111,$AT4,$L$100:$L$111)</f>
        <v>0</v>
      </c>
      <c r="BH4" s="25">
        <f t="shared" ref="BH4:BH9" si="20">BG4+BF4</f>
        <v>4</v>
      </c>
      <c r="BI4">
        <f t="shared" ref="BI4:BI9" si="21">SUMIF($A$114:$A$125,$AT4,$J$114:$J$125)+SUMIF($B$114:$B$125,$AT4,$L$114:$L$125)</f>
        <v>0</v>
      </c>
      <c r="BJ4" s="25">
        <f t="shared" ref="BJ4:BJ9" si="22">BI4+BH4</f>
        <v>4</v>
      </c>
      <c r="BK4">
        <f t="shared" ref="BK4:BK9" si="23">SUMIF($A$128:$A$139,$AT4,$J$128:$J$139)+SUMIF($B$128:$B$139,$AT4,$L$128:$L$139)</f>
        <v>0</v>
      </c>
      <c r="BL4" s="25">
        <f t="shared" ref="BL4:BL9" si="24">BK4+BJ4</f>
        <v>4</v>
      </c>
      <c r="BM4" s="80">
        <f t="shared" ref="BM4:BM9" si="25">BL4</f>
        <v>4</v>
      </c>
      <c r="BN4" s="28">
        <f t="shared" ref="BN4:BN9" si="26">SUMIF($A$16:$A$139,$AT4,$O$16:$O$139)+SUMIF($B$16:$B$139,$AT4,$N$16:$N$139)</f>
        <v>5</v>
      </c>
      <c r="BO4" s="29">
        <f t="shared" ref="BO4:BO9" si="27">SUMIF($A$16:$A$139,$AT4,$P$16:$P$139)+SUMIF($B$16:$B$139,$AT4,$Q$16:$Q$139)</f>
        <v>4.5</v>
      </c>
      <c r="BP4" s="28">
        <f>AV4+AX4+AZ4+BB4+BD4+BF4+BH4+BJ4+BL4</f>
        <v>28.5</v>
      </c>
      <c r="BS4" s="57">
        <v>1</v>
      </c>
      <c r="BT4" s="58">
        <f t="shared" ref="BT4:CC13" si="28">SUMIF($R$18:$R$139,$AG4*100+BT$3,$C$18:$C$139)+SUMIF($R$18:$R$139,$AG4+BT$3*100,$C$18:$C$139)</f>
        <v>0</v>
      </c>
      <c r="BU4" s="14">
        <f t="shared" si="28"/>
        <v>1</v>
      </c>
      <c r="BV4" s="14">
        <f t="shared" si="28"/>
        <v>1</v>
      </c>
      <c r="BW4" s="14">
        <f t="shared" si="28"/>
        <v>1</v>
      </c>
      <c r="BX4" s="14">
        <f t="shared" si="28"/>
        <v>1</v>
      </c>
      <c r="BY4" s="14">
        <f t="shared" si="28"/>
        <v>1</v>
      </c>
      <c r="BZ4" s="14">
        <f t="shared" si="28"/>
        <v>0</v>
      </c>
      <c r="CA4" s="14">
        <f t="shared" si="28"/>
        <v>0</v>
      </c>
      <c r="CB4" s="14">
        <f t="shared" si="28"/>
        <v>0</v>
      </c>
      <c r="CC4" s="14">
        <f t="shared" si="28"/>
        <v>0</v>
      </c>
    </row>
    <row r="5" spans="1:81" x14ac:dyDescent="0.25">
      <c r="E5" s="37">
        <v>2</v>
      </c>
      <c r="F5" s="21" t="s">
        <v>35</v>
      </c>
      <c r="G5" s="17"/>
      <c r="H5" s="65">
        <v>87849324</v>
      </c>
      <c r="I5" s="141">
        <v>1200</v>
      </c>
      <c r="J5" s="142"/>
      <c r="K5" s="142"/>
      <c r="L5" s="143"/>
      <c r="U5" s="37">
        <v>2</v>
      </c>
      <c r="V5" s="38">
        <v>3</v>
      </c>
      <c r="W5" s="17" t="str">
        <f t="shared" si="0"/>
        <v>Matthijs van Doodenweerd</v>
      </c>
      <c r="X5" s="72">
        <f t="shared" ca="1" si="1"/>
        <v>4</v>
      </c>
      <c r="Y5" s="76">
        <f t="shared" si="2"/>
        <v>5</v>
      </c>
      <c r="Z5" s="50">
        <f t="shared" si="3"/>
        <v>3.5</v>
      </c>
      <c r="AA5" s="51">
        <f t="shared" ca="1" si="4"/>
        <v>28</v>
      </c>
      <c r="AB5" s="32">
        <f t="shared" si="5"/>
        <v>300</v>
      </c>
      <c r="AF5" s="60" t="str">
        <f t="shared" si="6"/>
        <v>Mike van der Gijp van Bergen</v>
      </c>
      <c r="AG5" s="57">
        <v>2</v>
      </c>
      <c r="AH5" s="14">
        <f t="shared" si="7"/>
        <v>0.5</v>
      </c>
      <c r="AI5" s="58" t="str">
        <f t="shared" si="7"/>
        <v/>
      </c>
      <c r="AJ5" s="14">
        <f t="shared" si="7"/>
        <v>0</v>
      </c>
      <c r="AK5" s="14">
        <f t="shared" si="7"/>
        <v>1</v>
      </c>
      <c r="AL5" s="14">
        <f t="shared" si="7"/>
        <v>1</v>
      </c>
      <c r="AM5" s="89">
        <f t="shared" si="7"/>
        <v>1</v>
      </c>
      <c r="AN5" s="111"/>
      <c r="AO5" s="27"/>
      <c r="AP5" s="81"/>
      <c r="AQ5" s="81"/>
      <c r="AR5" s="81"/>
      <c r="AS5" s="81"/>
      <c r="AT5">
        <v>2</v>
      </c>
      <c r="AU5">
        <f t="shared" si="8"/>
        <v>1</v>
      </c>
      <c r="AV5" s="25">
        <f t="shared" si="9"/>
        <v>1</v>
      </c>
      <c r="AW5">
        <f t="shared" si="10"/>
        <v>0.5</v>
      </c>
      <c r="AX5" s="25">
        <f t="shared" si="11"/>
        <v>1.5</v>
      </c>
      <c r="AY5">
        <f t="shared" si="12"/>
        <v>1</v>
      </c>
      <c r="AZ5" s="25">
        <f t="shared" si="13"/>
        <v>2.5</v>
      </c>
      <c r="BA5">
        <f t="shared" si="14"/>
        <v>0</v>
      </c>
      <c r="BB5" s="25">
        <f t="shared" si="15"/>
        <v>2.5</v>
      </c>
      <c r="BC5">
        <f t="shared" si="16"/>
        <v>1</v>
      </c>
      <c r="BD5" s="25">
        <f t="shared" si="17"/>
        <v>3.5</v>
      </c>
      <c r="BE5">
        <f t="shared" ref="BE5:BE9" ca="1" si="29">SUMIF($A$86:$A$97,$AT5,$J$86:$J$87)+SUMIF($B$86:$B$97,$AT5,$L$86:$L$97)</f>
        <v>0</v>
      </c>
      <c r="BF5" s="25">
        <f t="shared" ca="1" si="18"/>
        <v>3.5</v>
      </c>
      <c r="BG5">
        <f t="shared" si="19"/>
        <v>0</v>
      </c>
      <c r="BH5" s="25">
        <f t="shared" ca="1" si="20"/>
        <v>3.5</v>
      </c>
      <c r="BI5">
        <f t="shared" si="21"/>
        <v>0</v>
      </c>
      <c r="BJ5" s="25">
        <f t="shared" ca="1" si="22"/>
        <v>3.5</v>
      </c>
      <c r="BK5">
        <f t="shared" si="23"/>
        <v>0</v>
      </c>
      <c r="BL5" s="25">
        <f t="shared" ca="1" si="24"/>
        <v>3.5</v>
      </c>
      <c r="BM5" s="80">
        <f t="shared" ca="1" si="25"/>
        <v>3.5</v>
      </c>
      <c r="BN5" s="28">
        <f t="shared" si="26"/>
        <v>5</v>
      </c>
      <c r="BO5" s="29">
        <f t="shared" si="27"/>
        <v>2.5</v>
      </c>
      <c r="BP5" s="28">
        <f t="shared" ref="BP5:BP9" ca="1" si="30">AV5+AX5+AZ5+BB5+BD5+BF5+BH5+BJ5+BL5</f>
        <v>25</v>
      </c>
      <c r="BS5" s="57">
        <v>2</v>
      </c>
      <c r="BT5" s="14">
        <f t="shared" si="28"/>
        <v>1</v>
      </c>
      <c r="BU5" s="58">
        <f t="shared" si="28"/>
        <v>0</v>
      </c>
      <c r="BV5" s="14">
        <f t="shared" si="28"/>
        <v>1</v>
      </c>
      <c r="BW5" s="14">
        <f t="shared" si="28"/>
        <v>1</v>
      </c>
      <c r="BX5" s="14">
        <f t="shared" si="28"/>
        <v>1</v>
      </c>
      <c r="BY5" s="14">
        <f t="shared" si="28"/>
        <v>1</v>
      </c>
      <c r="BZ5" s="14">
        <f t="shared" si="28"/>
        <v>0</v>
      </c>
      <c r="CA5" s="14">
        <f t="shared" si="28"/>
        <v>0</v>
      </c>
      <c r="CB5" s="14">
        <f t="shared" si="28"/>
        <v>0</v>
      </c>
      <c r="CC5" s="14">
        <f t="shared" si="28"/>
        <v>0</v>
      </c>
    </row>
    <row r="6" spans="1:81" x14ac:dyDescent="0.25">
      <c r="E6" s="37">
        <v>3</v>
      </c>
      <c r="F6" s="21" t="s">
        <v>27</v>
      </c>
      <c r="G6" s="17"/>
      <c r="H6" s="65">
        <v>84521464</v>
      </c>
      <c r="I6" s="141">
        <v>300</v>
      </c>
      <c r="J6" s="142"/>
      <c r="K6" s="142"/>
      <c r="L6" s="143"/>
      <c r="U6" s="37">
        <v>3</v>
      </c>
      <c r="V6" s="38">
        <v>2</v>
      </c>
      <c r="W6" s="17" t="str">
        <f t="shared" si="0"/>
        <v>Mike van der Gijp van Bergen</v>
      </c>
      <c r="X6" s="72">
        <f t="shared" ca="1" si="1"/>
        <v>3.5</v>
      </c>
      <c r="Y6" s="76">
        <f t="shared" si="2"/>
        <v>5</v>
      </c>
      <c r="Z6" s="50">
        <f t="shared" si="3"/>
        <v>2.5</v>
      </c>
      <c r="AA6" s="51">
        <f t="shared" ca="1" si="4"/>
        <v>25</v>
      </c>
      <c r="AB6" s="32">
        <f t="shared" si="5"/>
        <v>1200</v>
      </c>
      <c r="AF6" s="60" t="str">
        <f t="shared" si="6"/>
        <v>Matthijs van Doodenweerd</v>
      </c>
      <c r="AG6" s="57">
        <v>3</v>
      </c>
      <c r="AH6" s="14">
        <f t="shared" si="7"/>
        <v>0</v>
      </c>
      <c r="AI6" s="14">
        <f t="shared" si="7"/>
        <v>1</v>
      </c>
      <c r="AJ6" s="58" t="str">
        <f t="shared" si="7"/>
        <v/>
      </c>
      <c r="AK6" s="14">
        <f t="shared" si="7"/>
        <v>1</v>
      </c>
      <c r="AL6" s="14">
        <f t="shared" si="7"/>
        <v>1</v>
      </c>
      <c r="AM6" s="89">
        <f t="shared" si="7"/>
        <v>1</v>
      </c>
      <c r="AN6" s="111"/>
      <c r="AO6" s="27"/>
      <c r="AP6" s="81"/>
      <c r="AQ6" s="81"/>
      <c r="AR6" s="81"/>
      <c r="AS6" s="81"/>
      <c r="AT6">
        <v>3</v>
      </c>
      <c r="AU6">
        <f t="shared" si="8"/>
        <v>1</v>
      </c>
      <c r="AV6" s="25">
        <f t="shared" si="9"/>
        <v>1</v>
      </c>
      <c r="AW6">
        <f t="shared" si="10"/>
        <v>1</v>
      </c>
      <c r="AX6" s="25">
        <f t="shared" si="11"/>
        <v>2</v>
      </c>
      <c r="AY6">
        <f t="shared" si="12"/>
        <v>0</v>
      </c>
      <c r="AZ6" s="25">
        <f t="shared" si="13"/>
        <v>2</v>
      </c>
      <c r="BA6">
        <f t="shared" si="14"/>
        <v>1</v>
      </c>
      <c r="BB6" s="25">
        <f t="shared" si="15"/>
        <v>3</v>
      </c>
      <c r="BC6">
        <f t="shared" si="16"/>
        <v>1</v>
      </c>
      <c r="BD6" s="25">
        <f t="shared" si="17"/>
        <v>4</v>
      </c>
      <c r="BE6">
        <f t="shared" ca="1" si="29"/>
        <v>0</v>
      </c>
      <c r="BF6" s="25">
        <f t="shared" ca="1" si="18"/>
        <v>4</v>
      </c>
      <c r="BG6">
        <f t="shared" si="19"/>
        <v>0</v>
      </c>
      <c r="BH6" s="25">
        <f t="shared" ca="1" si="20"/>
        <v>4</v>
      </c>
      <c r="BI6">
        <f t="shared" si="21"/>
        <v>0</v>
      </c>
      <c r="BJ6" s="25">
        <f t="shared" ca="1" si="22"/>
        <v>4</v>
      </c>
      <c r="BK6">
        <f t="shared" si="23"/>
        <v>0</v>
      </c>
      <c r="BL6" s="25">
        <f t="shared" ca="1" si="24"/>
        <v>4</v>
      </c>
      <c r="BM6" s="80">
        <f t="shared" ca="1" si="25"/>
        <v>4</v>
      </c>
      <c r="BN6" s="28">
        <f t="shared" si="26"/>
        <v>5</v>
      </c>
      <c r="BO6" s="29">
        <f t="shared" si="27"/>
        <v>3.5</v>
      </c>
      <c r="BP6" s="28">
        <f t="shared" ca="1" si="30"/>
        <v>28</v>
      </c>
      <c r="BS6" s="57">
        <v>3</v>
      </c>
      <c r="BT6" s="14">
        <f t="shared" si="28"/>
        <v>1</v>
      </c>
      <c r="BU6" s="14">
        <f t="shared" si="28"/>
        <v>1</v>
      </c>
      <c r="BV6" s="58">
        <f t="shared" si="28"/>
        <v>0</v>
      </c>
      <c r="BW6" s="14">
        <f t="shared" si="28"/>
        <v>1</v>
      </c>
      <c r="BX6" s="14">
        <f t="shared" si="28"/>
        <v>1</v>
      </c>
      <c r="BY6" s="14">
        <f t="shared" si="28"/>
        <v>1</v>
      </c>
      <c r="BZ6" s="14">
        <f t="shared" si="28"/>
        <v>0</v>
      </c>
      <c r="CA6" s="14">
        <f t="shared" si="28"/>
        <v>0</v>
      </c>
      <c r="CB6" s="14">
        <f t="shared" si="28"/>
        <v>0</v>
      </c>
      <c r="CC6" s="14">
        <f t="shared" si="28"/>
        <v>0</v>
      </c>
    </row>
    <row r="7" spans="1:81" x14ac:dyDescent="0.25">
      <c r="E7" s="37">
        <v>4</v>
      </c>
      <c r="F7" s="21" t="s">
        <v>28</v>
      </c>
      <c r="G7" s="17"/>
      <c r="H7" s="65">
        <v>82637457</v>
      </c>
      <c r="I7" s="141">
        <v>400</v>
      </c>
      <c r="J7" s="142"/>
      <c r="K7" s="142"/>
      <c r="L7" s="143"/>
      <c r="U7" s="37">
        <v>4</v>
      </c>
      <c r="V7" s="38">
        <v>4</v>
      </c>
      <c r="W7" s="17" t="str">
        <f t="shared" si="0"/>
        <v>Floris van Capelleveen</v>
      </c>
      <c r="X7" s="72">
        <f t="shared" ca="1" si="1"/>
        <v>2</v>
      </c>
      <c r="Y7" s="76">
        <f t="shared" si="2"/>
        <v>5</v>
      </c>
      <c r="Z7" s="50">
        <f t="shared" si="3"/>
        <v>0</v>
      </c>
      <c r="AA7" s="51">
        <f t="shared" ca="1" si="4"/>
        <v>15</v>
      </c>
      <c r="AB7" s="32">
        <f t="shared" si="5"/>
        <v>400</v>
      </c>
      <c r="AF7" s="60" t="str">
        <f t="shared" si="6"/>
        <v>Floris van Capelleveen</v>
      </c>
      <c r="AG7" s="57">
        <v>4</v>
      </c>
      <c r="AH7" s="14">
        <f t="shared" si="7"/>
        <v>0</v>
      </c>
      <c r="AI7" s="14">
        <f t="shared" si="7"/>
        <v>0</v>
      </c>
      <c r="AJ7" s="14">
        <f t="shared" si="7"/>
        <v>0</v>
      </c>
      <c r="AK7" s="58" t="str">
        <f t="shared" si="7"/>
        <v/>
      </c>
      <c r="AL7" s="14">
        <f t="shared" si="7"/>
        <v>1</v>
      </c>
      <c r="AM7" s="89">
        <f t="shared" si="7"/>
        <v>1</v>
      </c>
      <c r="AN7" s="111"/>
      <c r="AO7" s="27"/>
      <c r="AP7" s="81"/>
      <c r="AQ7" s="81"/>
      <c r="AR7" s="81"/>
      <c r="AS7" s="81"/>
      <c r="AT7">
        <v>4</v>
      </c>
      <c r="AU7">
        <f t="shared" si="8"/>
        <v>0</v>
      </c>
      <c r="AV7" s="25">
        <f t="shared" si="9"/>
        <v>0</v>
      </c>
      <c r="AW7">
        <f t="shared" si="10"/>
        <v>1</v>
      </c>
      <c r="AX7" s="25">
        <f t="shared" si="11"/>
        <v>1</v>
      </c>
      <c r="AY7">
        <f t="shared" si="12"/>
        <v>1</v>
      </c>
      <c r="AZ7" s="25">
        <f t="shared" si="13"/>
        <v>2</v>
      </c>
      <c r="BA7">
        <f t="shared" si="14"/>
        <v>0</v>
      </c>
      <c r="BB7" s="25">
        <f t="shared" si="15"/>
        <v>2</v>
      </c>
      <c r="BC7">
        <f t="shared" si="16"/>
        <v>0</v>
      </c>
      <c r="BD7" s="25">
        <f t="shared" si="17"/>
        <v>2</v>
      </c>
      <c r="BE7">
        <f t="shared" ca="1" si="29"/>
        <v>0</v>
      </c>
      <c r="BF7" s="25">
        <f t="shared" ca="1" si="18"/>
        <v>2</v>
      </c>
      <c r="BG7">
        <f t="shared" si="19"/>
        <v>0</v>
      </c>
      <c r="BH7" s="25">
        <f t="shared" ca="1" si="20"/>
        <v>2</v>
      </c>
      <c r="BI7">
        <f t="shared" si="21"/>
        <v>0</v>
      </c>
      <c r="BJ7" s="25">
        <f t="shared" ca="1" si="22"/>
        <v>2</v>
      </c>
      <c r="BK7">
        <f t="shared" si="23"/>
        <v>0</v>
      </c>
      <c r="BL7" s="25">
        <f t="shared" ca="1" si="24"/>
        <v>2</v>
      </c>
      <c r="BM7" s="80">
        <f t="shared" ca="1" si="25"/>
        <v>2</v>
      </c>
      <c r="BN7" s="28">
        <f t="shared" si="26"/>
        <v>5</v>
      </c>
      <c r="BO7" s="29">
        <f t="shared" si="27"/>
        <v>0</v>
      </c>
      <c r="BP7" s="28">
        <f t="shared" ca="1" si="30"/>
        <v>15</v>
      </c>
      <c r="BS7" s="57">
        <v>4</v>
      </c>
      <c r="BT7" s="14">
        <f t="shared" si="28"/>
        <v>1</v>
      </c>
      <c r="BU7" s="14">
        <f t="shared" si="28"/>
        <v>1</v>
      </c>
      <c r="BV7" s="14">
        <f t="shared" si="28"/>
        <v>1</v>
      </c>
      <c r="BW7" s="58">
        <f t="shared" si="28"/>
        <v>0</v>
      </c>
      <c r="BX7" s="14">
        <f t="shared" si="28"/>
        <v>1</v>
      </c>
      <c r="BY7" s="14">
        <f t="shared" si="28"/>
        <v>1</v>
      </c>
      <c r="BZ7" s="14">
        <f t="shared" si="28"/>
        <v>0</v>
      </c>
      <c r="CA7" s="14">
        <f t="shared" si="28"/>
        <v>0</v>
      </c>
      <c r="CB7" s="14">
        <f t="shared" si="28"/>
        <v>0</v>
      </c>
      <c r="CC7" s="14">
        <f t="shared" si="28"/>
        <v>0</v>
      </c>
    </row>
    <row r="8" spans="1:81" x14ac:dyDescent="0.25">
      <c r="E8" s="37">
        <v>5</v>
      </c>
      <c r="F8" s="21" t="s">
        <v>34</v>
      </c>
      <c r="G8" s="17"/>
      <c r="H8" s="65">
        <v>83429006</v>
      </c>
      <c r="I8" s="141">
        <v>345</v>
      </c>
      <c r="J8" s="142"/>
      <c r="K8" s="142"/>
      <c r="L8" s="143"/>
      <c r="U8" s="37">
        <v>5</v>
      </c>
      <c r="V8" s="38">
        <v>6</v>
      </c>
      <c r="W8" s="17" t="str">
        <f t="shared" si="0"/>
        <v>Katja Tangarife Ramirez</v>
      </c>
      <c r="X8" s="72">
        <f t="shared" ca="1" si="1"/>
        <v>1</v>
      </c>
      <c r="Y8" s="76">
        <f t="shared" si="2"/>
        <v>4.5</v>
      </c>
      <c r="Z8" s="50">
        <f t="shared" si="3"/>
        <v>0</v>
      </c>
      <c r="AA8" s="51">
        <f t="shared" ca="1" si="4"/>
        <v>6</v>
      </c>
      <c r="AB8" s="32">
        <f t="shared" si="5"/>
        <v>2333</v>
      </c>
      <c r="AF8" s="60" t="str">
        <f t="shared" si="6"/>
        <v>Luca Da Costa van den Werk</v>
      </c>
      <c r="AG8" s="57">
        <v>5</v>
      </c>
      <c r="AH8" s="14">
        <f t="shared" si="7"/>
        <v>0.5</v>
      </c>
      <c r="AI8" s="14">
        <f t="shared" si="7"/>
        <v>0</v>
      </c>
      <c r="AJ8" s="14">
        <f t="shared" si="7"/>
        <v>0</v>
      </c>
      <c r="AK8" s="14">
        <f t="shared" si="7"/>
        <v>0</v>
      </c>
      <c r="AL8" s="58" t="str">
        <f t="shared" si="7"/>
        <v/>
      </c>
      <c r="AM8" s="89">
        <f t="shared" si="7"/>
        <v>0</v>
      </c>
      <c r="AN8" s="111"/>
      <c r="AO8" s="27"/>
      <c r="AP8" s="81"/>
      <c r="AQ8" s="81"/>
      <c r="AR8" s="81"/>
      <c r="AS8" s="81"/>
      <c r="AT8">
        <v>5</v>
      </c>
      <c r="AU8">
        <f t="shared" si="8"/>
        <v>0</v>
      </c>
      <c r="AV8" s="25">
        <f t="shared" si="9"/>
        <v>0</v>
      </c>
      <c r="AW8">
        <f t="shared" si="10"/>
        <v>0</v>
      </c>
      <c r="AX8" s="25">
        <f t="shared" si="11"/>
        <v>0</v>
      </c>
      <c r="AY8">
        <f t="shared" si="12"/>
        <v>0</v>
      </c>
      <c r="AZ8" s="25">
        <f t="shared" si="13"/>
        <v>0</v>
      </c>
      <c r="BA8">
        <f t="shared" si="14"/>
        <v>0</v>
      </c>
      <c r="BB8" s="25">
        <f t="shared" si="15"/>
        <v>0</v>
      </c>
      <c r="BC8">
        <f t="shared" si="16"/>
        <v>0.5</v>
      </c>
      <c r="BD8" s="25">
        <f t="shared" si="17"/>
        <v>0.5</v>
      </c>
      <c r="BE8">
        <f t="shared" ca="1" si="29"/>
        <v>0</v>
      </c>
      <c r="BF8" s="25">
        <f t="shared" ca="1" si="18"/>
        <v>0.5</v>
      </c>
      <c r="BG8">
        <f t="shared" si="19"/>
        <v>0</v>
      </c>
      <c r="BH8" s="25">
        <f t="shared" ca="1" si="20"/>
        <v>0.5</v>
      </c>
      <c r="BI8">
        <f t="shared" si="21"/>
        <v>0</v>
      </c>
      <c r="BJ8" s="25">
        <f t="shared" ca="1" si="22"/>
        <v>0.5</v>
      </c>
      <c r="BK8">
        <f t="shared" si="23"/>
        <v>0</v>
      </c>
      <c r="BL8" s="25">
        <f t="shared" ca="1" si="24"/>
        <v>0.5</v>
      </c>
      <c r="BM8" s="80">
        <f t="shared" ca="1" si="25"/>
        <v>0.5</v>
      </c>
      <c r="BN8" s="28">
        <f t="shared" si="26"/>
        <v>5.5</v>
      </c>
      <c r="BO8" s="29">
        <f t="shared" si="27"/>
        <v>1.75</v>
      </c>
      <c r="BP8" s="28">
        <f t="shared" ca="1" si="30"/>
        <v>2.5</v>
      </c>
      <c r="BS8" s="57">
        <v>5</v>
      </c>
      <c r="BT8" s="14">
        <f t="shared" si="28"/>
        <v>1</v>
      </c>
      <c r="BU8" s="14">
        <f t="shared" si="28"/>
        <v>1</v>
      </c>
      <c r="BV8" s="14">
        <f t="shared" si="28"/>
        <v>1</v>
      </c>
      <c r="BW8" s="14">
        <f t="shared" si="28"/>
        <v>1</v>
      </c>
      <c r="BX8" s="58">
        <f t="shared" si="28"/>
        <v>0</v>
      </c>
      <c r="BY8" s="14">
        <f t="shared" si="28"/>
        <v>1</v>
      </c>
      <c r="BZ8" s="14">
        <f t="shared" si="28"/>
        <v>0</v>
      </c>
      <c r="CA8" s="14">
        <f t="shared" si="28"/>
        <v>0</v>
      </c>
      <c r="CB8" s="14">
        <f t="shared" si="28"/>
        <v>0</v>
      </c>
      <c r="CC8" s="14">
        <f t="shared" si="28"/>
        <v>0</v>
      </c>
    </row>
    <row r="9" spans="1:81" ht="15.75" thickBot="1" x14ac:dyDescent="0.3">
      <c r="E9" s="84">
        <v>6</v>
      </c>
      <c r="F9" s="3" t="s">
        <v>29</v>
      </c>
      <c r="G9" s="5"/>
      <c r="H9" s="85">
        <v>88903465</v>
      </c>
      <c r="I9" s="152">
        <v>2333</v>
      </c>
      <c r="J9" s="153"/>
      <c r="K9" s="153"/>
      <c r="L9" s="154"/>
      <c r="U9" s="84">
        <v>6</v>
      </c>
      <c r="V9" s="90">
        <v>5</v>
      </c>
      <c r="W9" s="5" t="str">
        <f t="shared" si="0"/>
        <v>Luca Da Costa van den Werk</v>
      </c>
      <c r="X9" s="91">
        <f t="shared" ca="1" si="1"/>
        <v>0.5</v>
      </c>
      <c r="Y9" s="92">
        <f t="shared" si="2"/>
        <v>5.5</v>
      </c>
      <c r="Z9" s="93">
        <f t="shared" si="3"/>
        <v>1.75</v>
      </c>
      <c r="AA9" s="94">
        <f t="shared" ca="1" si="4"/>
        <v>2.5</v>
      </c>
      <c r="AB9" s="95">
        <f t="shared" si="5"/>
        <v>345</v>
      </c>
      <c r="AF9" s="60" t="str">
        <f t="shared" si="6"/>
        <v>Katja Tangarife Ramirez</v>
      </c>
      <c r="AG9" s="57">
        <v>6</v>
      </c>
      <c r="AH9" s="14">
        <f t="shared" si="7"/>
        <v>0</v>
      </c>
      <c r="AI9" s="14">
        <f t="shared" si="7"/>
        <v>0</v>
      </c>
      <c r="AJ9" s="14">
        <f t="shared" si="7"/>
        <v>0</v>
      </c>
      <c r="AK9" s="14">
        <f t="shared" si="7"/>
        <v>0</v>
      </c>
      <c r="AL9" s="14">
        <f t="shared" si="7"/>
        <v>1</v>
      </c>
      <c r="AM9" s="109" t="str">
        <f t="shared" si="7"/>
        <v/>
      </c>
      <c r="AN9" s="111"/>
      <c r="AO9" s="27"/>
      <c r="AP9" s="81"/>
      <c r="AQ9" s="81"/>
      <c r="AR9" s="81"/>
      <c r="AS9" s="81"/>
      <c r="AT9">
        <v>6</v>
      </c>
      <c r="AU9">
        <f t="shared" si="8"/>
        <v>0</v>
      </c>
      <c r="AV9" s="25">
        <f t="shared" si="9"/>
        <v>0</v>
      </c>
      <c r="AW9">
        <f t="shared" si="10"/>
        <v>0</v>
      </c>
      <c r="AX9" s="25">
        <f t="shared" si="11"/>
        <v>0</v>
      </c>
      <c r="AY9">
        <f t="shared" si="12"/>
        <v>0</v>
      </c>
      <c r="AZ9" s="25">
        <f t="shared" si="13"/>
        <v>0</v>
      </c>
      <c r="BA9">
        <f t="shared" si="14"/>
        <v>1</v>
      </c>
      <c r="BB9" s="25">
        <f t="shared" si="15"/>
        <v>1</v>
      </c>
      <c r="BC9">
        <f t="shared" si="16"/>
        <v>0</v>
      </c>
      <c r="BD9" s="25">
        <f t="shared" si="17"/>
        <v>1</v>
      </c>
      <c r="BE9">
        <f t="shared" ca="1" si="29"/>
        <v>0</v>
      </c>
      <c r="BF9" s="25">
        <f t="shared" ca="1" si="18"/>
        <v>1</v>
      </c>
      <c r="BG9">
        <f t="shared" si="19"/>
        <v>0</v>
      </c>
      <c r="BH9" s="25">
        <f t="shared" ca="1" si="20"/>
        <v>1</v>
      </c>
      <c r="BI9">
        <f t="shared" si="21"/>
        <v>0</v>
      </c>
      <c r="BJ9" s="25">
        <f t="shared" ca="1" si="22"/>
        <v>1</v>
      </c>
      <c r="BK9">
        <f t="shared" si="23"/>
        <v>0</v>
      </c>
      <c r="BL9" s="25">
        <f t="shared" ca="1" si="24"/>
        <v>1</v>
      </c>
      <c r="BM9" s="80">
        <f t="shared" ca="1" si="25"/>
        <v>1</v>
      </c>
      <c r="BN9" s="28">
        <f t="shared" si="26"/>
        <v>4.5</v>
      </c>
      <c r="BO9" s="29">
        <f t="shared" si="27"/>
        <v>0</v>
      </c>
      <c r="BP9" s="28">
        <f t="shared" ca="1" si="30"/>
        <v>6</v>
      </c>
      <c r="BS9" s="57">
        <v>6</v>
      </c>
      <c r="BT9" s="14">
        <f t="shared" si="28"/>
        <v>1</v>
      </c>
      <c r="BU9" s="14">
        <f t="shared" si="28"/>
        <v>1</v>
      </c>
      <c r="BV9" s="14">
        <f t="shared" si="28"/>
        <v>1</v>
      </c>
      <c r="BW9" s="14">
        <f t="shared" si="28"/>
        <v>1</v>
      </c>
      <c r="BX9" s="14">
        <f t="shared" si="28"/>
        <v>1</v>
      </c>
      <c r="BY9" s="58">
        <f t="shared" si="28"/>
        <v>0</v>
      </c>
      <c r="BZ9" s="14">
        <f t="shared" si="28"/>
        <v>0</v>
      </c>
      <c r="CA9" s="14">
        <f t="shared" si="28"/>
        <v>0</v>
      </c>
      <c r="CB9" s="14">
        <f t="shared" si="28"/>
        <v>0</v>
      </c>
      <c r="CC9" s="14">
        <f t="shared" si="28"/>
        <v>0</v>
      </c>
    </row>
    <row r="10" spans="1:81" ht="15.75" thickTop="1" x14ac:dyDescent="0.25">
      <c r="E10" s="96"/>
      <c r="F10" s="96"/>
      <c r="G10" s="96"/>
      <c r="H10" s="105"/>
      <c r="I10" s="151"/>
      <c r="J10" s="151"/>
      <c r="K10" s="151"/>
      <c r="L10" s="151"/>
      <c r="U10" s="96"/>
      <c r="V10" s="97"/>
      <c r="W10" s="96"/>
      <c r="X10" s="98"/>
      <c r="Y10" s="99"/>
      <c r="Z10" s="100"/>
      <c r="AA10" s="99"/>
      <c r="AB10" s="96"/>
      <c r="AF10" s="106"/>
      <c r="AG10" s="107"/>
      <c r="AH10" s="13"/>
      <c r="AI10" s="13"/>
      <c r="AJ10" s="13"/>
      <c r="AK10" s="13"/>
      <c r="AL10" s="13"/>
      <c r="AM10" s="13"/>
      <c r="AN10" s="56"/>
      <c r="AO10" s="27"/>
      <c r="AP10" s="81"/>
      <c r="AQ10" s="81"/>
      <c r="AR10" s="81"/>
      <c r="AS10" s="81"/>
      <c r="AV10" s="25"/>
      <c r="AX10" s="25"/>
      <c r="AZ10" s="25"/>
      <c r="BB10" s="25"/>
      <c r="BD10" s="25"/>
      <c r="BF10" s="25"/>
      <c r="BH10" s="25"/>
      <c r="BJ10" s="25"/>
      <c r="BL10" s="25"/>
      <c r="BM10" s="80"/>
      <c r="BN10" s="28"/>
      <c r="BO10" s="29"/>
      <c r="BP10" s="28"/>
      <c r="BS10" s="57">
        <v>7</v>
      </c>
      <c r="BT10" s="14">
        <f t="shared" si="28"/>
        <v>0</v>
      </c>
      <c r="BU10" s="14">
        <f t="shared" si="28"/>
        <v>0</v>
      </c>
      <c r="BV10" s="14">
        <f t="shared" si="28"/>
        <v>0</v>
      </c>
      <c r="BW10" s="14">
        <f t="shared" si="28"/>
        <v>0</v>
      </c>
      <c r="BX10" s="14">
        <f t="shared" si="28"/>
        <v>0</v>
      </c>
      <c r="BY10" s="14">
        <f t="shared" si="28"/>
        <v>0</v>
      </c>
      <c r="BZ10" s="58">
        <f t="shared" si="28"/>
        <v>0</v>
      </c>
      <c r="CA10" s="14">
        <f t="shared" si="28"/>
        <v>0</v>
      </c>
      <c r="CB10" s="14">
        <f t="shared" si="28"/>
        <v>0</v>
      </c>
      <c r="CC10" s="14">
        <f t="shared" si="28"/>
        <v>0</v>
      </c>
    </row>
    <row r="11" spans="1:81" x14ac:dyDescent="0.25">
      <c r="E11" s="2"/>
      <c r="F11" s="2"/>
      <c r="G11" s="2"/>
      <c r="H11" s="19"/>
      <c r="I11" s="150"/>
      <c r="J11" s="150"/>
      <c r="K11" s="150"/>
      <c r="L11" s="150"/>
      <c r="U11" s="2"/>
      <c r="V11" s="101"/>
      <c r="W11" s="2"/>
      <c r="X11" s="102"/>
      <c r="Y11" s="103"/>
      <c r="Z11" s="104"/>
      <c r="AA11" s="103"/>
      <c r="AB11" s="2"/>
      <c r="AF11" s="108"/>
      <c r="AG11" s="78"/>
      <c r="AH11" s="81"/>
      <c r="AI11" s="81"/>
      <c r="AJ11" s="81"/>
      <c r="AK11" s="81"/>
      <c r="AL11" s="81"/>
      <c r="AM11" s="81"/>
      <c r="AN11" s="27"/>
      <c r="AO11" s="56"/>
      <c r="AP11" s="81"/>
      <c r="AQ11" s="81"/>
      <c r="AR11" s="81"/>
      <c r="AS11" s="81"/>
      <c r="AV11" s="25"/>
      <c r="AX11" s="25"/>
      <c r="AZ11" s="25"/>
      <c r="BB11" s="25"/>
      <c r="BD11" s="25"/>
      <c r="BF11" s="25"/>
      <c r="BH11" s="25"/>
      <c r="BJ11" s="25"/>
      <c r="BL11" s="25"/>
      <c r="BM11" s="80"/>
      <c r="BN11" s="28"/>
      <c r="BO11" s="29"/>
      <c r="BP11" s="28"/>
      <c r="BS11" s="57">
        <v>8</v>
      </c>
      <c r="BT11" s="14">
        <f t="shared" si="28"/>
        <v>0</v>
      </c>
      <c r="BU11" s="14">
        <f t="shared" si="28"/>
        <v>0</v>
      </c>
      <c r="BV11" s="14">
        <f t="shared" si="28"/>
        <v>0</v>
      </c>
      <c r="BW11" s="14">
        <f t="shared" si="28"/>
        <v>0</v>
      </c>
      <c r="BX11" s="14">
        <f t="shared" si="28"/>
        <v>0</v>
      </c>
      <c r="BY11" s="14">
        <f t="shared" si="28"/>
        <v>0</v>
      </c>
      <c r="BZ11" s="14">
        <f t="shared" si="28"/>
        <v>0</v>
      </c>
      <c r="CA11" s="58">
        <f t="shared" si="28"/>
        <v>0</v>
      </c>
      <c r="CB11" s="14">
        <f t="shared" si="28"/>
        <v>0</v>
      </c>
      <c r="CC11" s="14">
        <f t="shared" si="28"/>
        <v>0</v>
      </c>
    </row>
    <row r="12" spans="1:81" x14ac:dyDescent="0.25">
      <c r="E12" s="2"/>
      <c r="F12" s="2"/>
      <c r="G12" s="2"/>
      <c r="H12" s="19"/>
      <c r="I12" s="150"/>
      <c r="J12" s="150"/>
      <c r="K12" s="150"/>
      <c r="L12" s="150"/>
      <c r="U12" s="2"/>
      <c r="V12" s="101"/>
      <c r="W12" s="2"/>
      <c r="X12" s="102"/>
      <c r="Y12" s="103"/>
      <c r="Z12" s="104"/>
      <c r="AA12" s="103"/>
      <c r="AB12" s="2"/>
      <c r="AF12" s="86"/>
      <c r="AG12" s="87"/>
      <c r="AH12" s="27"/>
      <c r="AI12" s="27"/>
      <c r="AJ12" s="27"/>
      <c r="AK12" s="27"/>
      <c r="AL12" s="27"/>
      <c r="AM12" s="27"/>
      <c r="AN12" s="27"/>
      <c r="AO12" s="27"/>
      <c r="AP12" s="56"/>
      <c r="AQ12" s="27"/>
      <c r="AR12" s="81"/>
      <c r="AS12" s="81"/>
      <c r="AV12" s="25"/>
      <c r="AX12" s="25"/>
      <c r="AZ12" s="25"/>
      <c r="BB12" s="25"/>
      <c r="BD12" s="25"/>
      <c r="BF12" s="25"/>
      <c r="BH12" s="25"/>
      <c r="BJ12" s="25"/>
      <c r="BL12" s="25"/>
      <c r="BM12" s="80"/>
      <c r="BN12" s="28"/>
      <c r="BO12" s="29"/>
      <c r="BP12" s="28"/>
      <c r="BS12" s="57">
        <v>9</v>
      </c>
      <c r="BT12" s="14">
        <f t="shared" si="28"/>
        <v>0</v>
      </c>
      <c r="BU12" s="14">
        <f t="shared" si="28"/>
        <v>0</v>
      </c>
      <c r="BV12" s="14">
        <f t="shared" si="28"/>
        <v>0</v>
      </c>
      <c r="BW12" s="14">
        <f t="shared" si="28"/>
        <v>0</v>
      </c>
      <c r="BX12" s="14">
        <f t="shared" si="28"/>
        <v>0</v>
      </c>
      <c r="BY12" s="14">
        <f t="shared" si="28"/>
        <v>0</v>
      </c>
      <c r="BZ12" s="14">
        <f t="shared" si="28"/>
        <v>0</v>
      </c>
      <c r="CA12" s="14">
        <f t="shared" si="28"/>
        <v>0</v>
      </c>
      <c r="CB12" s="58">
        <f t="shared" si="28"/>
        <v>0</v>
      </c>
      <c r="CC12" s="14">
        <f t="shared" si="28"/>
        <v>0</v>
      </c>
    </row>
    <row r="13" spans="1:81" x14ac:dyDescent="0.25">
      <c r="E13" s="2"/>
      <c r="F13" s="2"/>
      <c r="G13" s="2"/>
      <c r="H13" s="19"/>
      <c r="I13" s="150"/>
      <c r="J13" s="150"/>
      <c r="K13" s="150"/>
      <c r="L13" s="150"/>
      <c r="U13" s="2"/>
      <c r="V13" s="101"/>
      <c r="W13" s="2"/>
      <c r="X13" s="102"/>
      <c r="Y13" s="103"/>
      <c r="Z13" s="104"/>
      <c r="AA13" s="103"/>
      <c r="AB13" s="2"/>
      <c r="AF13" s="86"/>
      <c r="AG13" s="87"/>
      <c r="AH13" s="27"/>
      <c r="AI13" s="27"/>
      <c r="AJ13" s="27"/>
      <c r="AK13" s="27"/>
      <c r="AL13" s="27"/>
      <c r="AM13" s="27"/>
      <c r="AN13" s="27"/>
      <c r="AO13" s="27"/>
      <c r="AP13" s="27"/>
      <c r="AQ13" s="56"/>
      <c r="AR13" s="56"/>
      <c r="AS13" s="56"/>
      <c r="AV13" s="25"/>
      <c r="AX13" s="25"/>
      <c r="AZ13" s="25"/>
      <c r="BB13" s="25"/>
      <c r="BD13" s="25"/>
      <c r="BF13" s="25"/>
      <c r="BH13" s="25"/>
      <c r="BJ13" s="25"/>
      <c r="BL13" s="25"/>
      <c r="BM13" s="80"/>
      <c r="BN13" s="28"/>
      <c r="BO13" s="29"/>
      <c r="BP13" s="28"/>
      <c r="BS13" s="57">
        <v>10</v>
      </c>
      <c r="BT13" s="14">
        <f t="shared" si="28"/>
        <v>0</v>
      </c>
      <c r="BU13" s="14">
        <f t="shared" si="28"/>
        <v>0</v>
      </c>
      <c r="BV13" s="14">
        <f t="shared" si="28"/>
        <v>0</v>
      </c>
      <c r="BW13" s="14">
        <f t="shared" si="28"/>
        <v>0</v>
      </c>
      <c r="BX13" s="14">
        <f t="shared" si="28"/>
        <v>0</v>
      </c>
      <c r="BY13" s="14">
        <f t="shared" si="28"/>
        <v>0</v>
      </c>
      <c r="BZ13" s="14">
        <f t="shared" si="28"/>
        <v>0</v>
      </c>
      <c r="CA13" s="14">
        <f t="shared" si="28"/>
        <v>0</v>
      </c>
      <c r="CB13" s="14">
        <f t="shared" si="28"/>
        <v>0</v>
      </c>
      <c r="CC13" s="58">
        <f t="shared" si="28"/>
        <v>0</v>
      </c>
    </row>
    <row r="14" spans="1:81" x14ac:dyDescent="0.25">
      <c r="AT14" s="46"/>
      <c r="AU14" s="46" t="str">
        <f>IF(((SUM(AU4:AU13)*2)=MAX($AT4:$AT13)),"OK","NOK")</f>
        <v>OK</v>
      </c>
      <c r="AV14" s="47"/>
      <c r="AW14" s="46" t="str">
        <f>IF(((SUM(AW4:AW13)*2)=MAX($AT4:$AT13)),"OK","NOK")</f>
        <v>OK</v>
      </c>
      <c r="AX14" s="46"/>
      <c r="AY14" s="46" t="str">
        <f>IF(((SUM(AY4:AY13)*2)=MAX($AT4:$AT13)),"OK","NOK")</f>
        <v>OK</v>
      </c>
      <c r="AZ14" s="46"/>
      <c r="BA14" s="46" t="str">
        <f>IF(((SUM(BA4:BA13)*2)=MAX($AT4:$AT13)),"OK","NOK")</f>
        <v>OK</v>
      </c>
      <c r="BB14" s="46"/>
      <c r="BC14" s="46" t="str">
        <f>IF(((SUM(BC4:BC13)*2)=MAX($AT4:$AT13)),"OK","NOK")</f>
        <v>OK</v>
      </c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5"/>
      <c r="BO14" s="45"/>
      <c r="BP14" s="45"/>
    </row>
    <row r="15" spans="1:81" x14ac:dyDescent="0.25">
      <c r="W15" s="70" t="s">
        <v>38</v>
      </c>
    </row>
    <row r="16" spans="1:81" x14ac:dyDescent="0.25">
      <c r="A16" s="54" t="s">
        <v>12</v>
      </c>
      <c r="B16" s="54" t="s">
        <v>13</v>
      </c>
      <c r="C16" s="55" t="s">
        <v>24</v>
      </c>
      <c r="D16" s="21" t="s">
        <v>8</v>
      </c>
      <c r="E16" s="22"/>
      <c r="F16" s="41" t="s">
        <v>7</v>
      </c>
      <c r="G16" s="42">
        <v>1</v>
      </c>
      <c r="H16" s="23" t="str">
        <f>$E$1</f>
        <v>GROEP A</v>
      </c>
      <c r="I16" s="22"/>
      <c r="J16" s="23"/>
      <c r="K16" s="23"/>
      <c r="L16" s="23"/>
      <c r="M16" s="17"/>
      <c r="N16" s="54" t="s">
        <v>14</v>
      </c>
      <c r="O16" s="54" t="s">
        <v>15</v>
      </c>
      <c r="P16" s="55" t="s">
        <v>17</v>
      </c>
      <c r="Q16" s="56" t="s">
        <v>18</v>
      </c>
      <c r="R16" s="56"/>
      <c r="S16" s="56"/>
      <c r="T16" s="27"/>
      <c r="U16" s="27"/>
      <c r="V16" s="69" t="s">
        <v>39</v>
      </c>
      <c r="W16" s="68" t="s">
        <v>4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</row>
    <row r="17" spans="1:45" ht="6.95" customHeight="1" x14ac:dyDescent="0.25">
      <c r="D17" s="3"/>
      <c r="E17" s="4"/>
      <c r="F17" s="4"/>
      <c r="G17" s="4"/>
      <c r="H17" s="4"/>
      <c r="I17" s="4"/>
      <c r="J17" s="13"/>
      <c r="K17" s="13"/>
      <c r="L17" s="13"/>
      <c r="M17" s="5"/>
      <c r="P17" s="55"/>
      <c r="Q17" s="55"/>
      <c r="R17" s="55"/>
      <c r="S17" s="55"/>
      <c r="T17"/>
      <c r="U17"/>
      <c r="V17" s="1"/>
      <c r="W17" s="1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x14ac:dyDescent="0.25">
      <c r="A18" s="54">
        <v>1</v>
      </c>
      <c r="B18" s="54">
        <v>6</v>
      </c>
      <c r="C18" s="55">
        <f>IF(AND(ISNUMBER(J18),ISNUMBER(L18)),1,0)</f>
        <v>1</v>
      </c>
      <c r="D18" s="136">
        <v>1</v>
      </c>
      <c r="E18" s="137"/>
      <c r="F18" s="2" t="str">
        <f>VLOOKUP(A18,$E$4:$F$13,2,FALSE)</f>
        <v>Govert van der Weijden</v>
      </c>
      <c r="G18" s="7" t="s">
        <v>1</v>
      </c>
      <c r="H18" s="2" t="str">
        <f>VLOOKUP(B18,$E$4:$F$13,2,FALSE)</f>
        <v>Katja Tangarife Ramirez</v>
      </c>
      <c r="I18" s="2"/>
      <c r="J18" s="14">
        <v>1</v>
      </c>
      <c r="K18" s="81"/>
      <c r="L18" s="14">
        <v>0</v>
      </c>
      <c r="M18" s="8"/>
      <c r="N18" s="54">
        <v>0</v>
      </c>
      <c r="O18" s="54">
        <v>0</v>
      </c>
      <c r="P18" s="55">
        <f>J18*O18</f>
        <v>0</v>
      </c>
      <c r="Q18" s="55">
        <f>L18*N18</f>
        <v>0</v>
      </c>
      <c r="R18" s="55">
        <f>A18*100+B18</f>
        <v>106</v>
      </c>
      <c r="S18" s="55">
        <f>B18*100+A18</f>
        <v>601</v>
      </c>
      <c r="T18"/>
      <c r="U18"/>
      <c r="V18" s="1" t="s">
        <v>40</v>
      </c>
      <c r="W18" s="18" t="s">
        <v>41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ht="6.95" customHeight="1" x14ac:dyDescent="0.25">
      <c r="D19" s="6"/>
      <c r="E19" s="19"/>
      <c r="F19" s="2"/>
      <c r="G19" s="7"/>
      <c r="H19" s="2"/>
      <c r="I19" s="2"/>
      <c r="J19" s="81"/>
      <c r="K19" s="81"/>
      <c r="L19" s="81"/>
      <c r="M19" s="8"/>
      <c r="P19" s="55"/>
      <c r="Q19" s="55"/>
      <c r="R19" s="55"/>
      <c r="S19" s="55"/>
      <c r="T19"/>
      <c r="U19"/>
      <c r="V19" s="1"/>
      <c r="W19" s="1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25">
      <c r="A20" s="54">
        <v>2</v>
      </c>
      <c r="B20" s="54">
        <v>5</v>
      </c>
      <c r="C20" s="55">
        <f>IF(AND(ISNUMBER(J20),ISNUMBER(L20)),1,0)</f>
        <v>1</v>
      </c>
      <c r="D20" s="136">
        <v>2</v>
      </c>
      <c r="E20" s="137"/>
      <c r="F20" s="2" t="str">
        <f t="shared" ref="F20:F22" si="31">VLOOKUP(A20,$E$4:$F$13,2,FALSE)</f>
        <v>Mike van der Gijp van Bergen</v>
      </c>
      <c r="G20" s="7" t="s">
        <v>1</v>
      </c>
      <c r="H20" s="2" t="str">
        <f t="shared" ref="H20:H22" si="32">VLOOKUP(B20,$E$4:$F$13,2,FALSE)</f>
        <v>Luca Da Costa van den Werk</v>
      </c>
      <c r="I20" s="2"/>
      <c r="J20" s="14">
        <v>1</v>
      </c>
      <c r="K20" s="81"/>
      <c r="L20" s="14">
        <v>0</v>
      </c>
      <c r="M20" s="8"/>
      <c r="N20" s="54">
        <v>0</v>
      </c>
      <c r="O20" s="54">
        <v>0</v>
      </c>
      <c r="P20" s="55">
        <f>J20*O20</f>
        <v>0</v>
      </c>
      <c r="Q20" s="55">
        <f>L20*N20</f>
        <v>0</v>
      </c>
      <c r="R20" s="55">
        <f>A20*100+B20</f>
        <v>205</v>
      </c>
      <c r="S20" s="55">
        <f>B20*100+A20</f>
        <v>502</v>
      </c>
      <c r="T20"/>
      <c r="U20"/>
      <c r="V20" s="1" t="s">
        <v>42</v>
      </c>
      <c r="W20" s="18" t="s">
        <v>43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ht="6.95" customHeight="1" x14ac:dyDescent="0.25">
      <c r="D21" s="6"/>
      <c r="E21" s="19"/>
      <c r="F21" s="2"/>
      <c r="G21" s="7"/>
      <c r="H21" s="2"/>
      <c r="I21" s="2"/>
      <c r="J21" s="81"/>
      <c r="K21" s="81"/>
      <c r="L21" s="81"/>
      <c r="M21" s="8"/>
      <c r="P21" s="55"/>
      <c r="Q21" s="55"/>
      <c r="R21" s="55"/>
      <c r="S21" s="55"/>
      <c r="T21"/>
      <c r="U21"/>
      <c r="V21" s="1"/>
      <c r="W21" s="18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25">
      <c r="A22" s="54">
        <v>3</v>
      </c>
      <c r="B22" s="54">
        <v>4</v>
      </c>
      <c r="C22" s="55">
        <f>IF(AND(ISNUMBER(J22),ISNUMBER(L22)),1,0)</f>
        <v>1</v>
      </c>
      <c r="D22" s="136">
        <v>3</v>
      </c>
      <c r="E22" s="137"/>
      <c r="F22" s="2" t="str">
        <f t="shared" si="31"/>
        <v>Matthijs van Doodenweerd</v>
      </c>
      <c r="G22" s="7" t="s">
        <v>1</v>
      </c>
      <c r="H22" s="2" t="str">
        <f t="shared" si="32"/>
        <v>Floris van Capelleveen</v>
      </c>
      <c r="I22" s="2"/>
      <c r="J22" s="14">
        <v>1</v>
      </c>
      <c r="K22" s="81"/>
      <c r="L22" s="14">
        <v>0</v>
      </c>
      <c r="M22" s="8"/>
      <c r="N22" s="54">
        <v>0</v>
      </c>
      <c r="O22" s="54">
        <v>0</v>
      </c>
      <c r="P22" s="55">
        <f>J22*O22</f>
        <v>0</v>
      </c>
      <c r="Q22" s="55">
        <f>L22*N22</f>
        <v>0</v>
      </c>
      <c r="R22" s="55">
        <f>A22*100+B22</f>
        <v>304</v>
      </c>
      <c r="S22" s="55">
        <f>B22*100+A22</f>
        <v>403</v>
      </c>
      <c r="T22"/>
      <c r="U22"/>
      <c r="V22" s="1" t="s">
        <v>44</v>
      </c>
      <c r="W22" s="18" t="s">
        <v>45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ht="6.95" customHeight="1" x14ac:dyDescent="0.25">
      <c r="D23" s="6"/>
      <c r="E23" s="19"/>
      <c r="F23" s="2"/>
      <c r="G23" s="7"/>
      <c r="H23" s="2"/>
      <c r="I23" s="2"/>
      <c r="J23" s="81"/>
      <c r="K23" s="81"/>
      <c r="L23" s="81"/>
      <c r="M23" s="8"/>
      <c r="P23" s="55"/>
      <c r="Q23" s="55"/>
      <c r="R23" s="55"/>
      <c r="S23" s="55"/>
      <c r="T23"/>
      <c r="U23"/>
      <c r="V23" s="1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25">
      <c r="A24" s="54">
        <v>0</v>
      </c>
      <c r="B24" s="54">
        <v>0</v>
      </c>
      <c r="C24" s="55">
        <f>IF(AND(ISNUMBER(J24),ISNUMBER(L24)),1,0)</f>
        <v>0</v>
      </c>
      <c r="D24" s="136"/>
      <c r="E24" s="137"/>
      <c r="F24" s="2"/>
      <c r="G24" s="7"/>
      <c r="H24" s="2"/>
      <c r="I24" s="2"/>
      <c r="J24" s="14"/>
      <c r="K24" s="81"/>
      <c r="L24" s="14"/>
      <c r="M24" s="8"/>
      <c r="N24" s="54">
        <v>0</v>
      </c>
      <c r="O24" s="54">
        <v>0</v>
      </c>
      <c r="P24" s="55">
        <f>J24*O24</f>
        <v>0</v>
      </c>
      <c r="Q24" s="55">
        <f>L24*N24</f>
        <v>0</v>
      </c>
      <c r="R24" s="55">
        <f>A24*100+B24</f>
        <v>0</v>
      </c>
      <c r="S24" s="55">
        <f>B24*100+A24</f>
        <v>0</v>
      </c>
      <c r="T24"/>
      <c r="U24"/>
      <c r="V24" s="1" t="s">
        <v>46</v>
      </c>
      <c r="W24" t="s">
        <v>47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ht="6.95" customHeight="1" x14ac:dyDescent="0.25">
      <c r="D25" s="6"/>
      <c r="E25" s="19"/>
      <c r="F25" s="2"/>
      <c r="G25" s="7"/>
      <c r="H25" s="2"/>
      <c r="I25" s="2"/>
      <c r="J25" s="81"/>
      <c r="K25" s="81"/>
      <c r="L25" s="81"/>
      <c r="M25" s="8"/>
      <c r="P25" s="55"/>
      <c r="Q25" s="55"/>
      <c r="R25" s="55"/>
      <c r="S25" s="55"/>
      <c r="T25"/>
      <c r="U25"/>
      <c r="V25" s="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25">
      <c r="A26" s="54">
        <v>0</v>
      </c>
      <c r="B26" s="54">
        <v>0</v>
      </c>
      <c r="C26" s="55">
        <f>IF(AND(ISNUMBER(J26),ISNUMBER(L26)),1,0)</f>
        <v>0</v>
      </c>
      <c r="D26" s="136"/>
      <c r="E26" s="137"/>
      <c r="F26" s="2"/>
      <c r="G26" s="7"/>
      <c r="H26" s="2"/>
      <c r="I26" s="2"/>
      <c r="J26" s="14"/>
      <c r="K26" s="81"/>
      <c r="L26" s="14"/>
      <c r="M26" s="8"/>
      <c r="N26" s="54">
        <v>0</v>
      </c>
      <c r="O26" s="54">
        <v>0</v>
      </c>
      <c r="P26" s="55">
        <f>J26*O26</f>
        <v>0</v>
      </c>
      <c r="Q26" s="55">
        <f>L26*N26</f>
        <v>0</v>
      </c>
      <c r="R26" s="55">
        <f>A26*100+B26</f>
        <v>0</v>
      </c>
      <c r="S26" s="55">
        <f>B26*100+A26</f>
        <v>0</v>
      </c>
      <c r="T26"/>
      <c r="U26"/>
      <c r="V26" s="1" t="s">
        <v>48</v>
      </c>
      <c r="W26" t="s">
        <v>5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ht="6.95" customHeight="1" x14ac:dyDescent="0.25">
      <c r="D27" s="9"/>
      <c r="E27" s="10"/>
      <c r="F27" s="10"/>
      <c r="G27" s="10"/>
      <c r="H27" s="10"/>
      <c r="I27" s="10"/>
      <c r="J27" s="79"/>
      <c r="K27" s="79"/>
      <c r="L27" s="79"/>
      <c r="M27" s="11"/>
      <c r="P27" s="55"/>
      <c r="Q27" s="55"/>
      <c r="R27" s="55"/>
      <c r="S27" s="55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ht="24.95" customHeight="1" x14ac:dyDescent="0.25">
      <c r="P28" s="55"/>
      <c r="Q28" s="55"/>
      <c r="R28" s="55"/>
      <c r="S28" s="55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ht="24.95" customHeight="1" x14ac:dyDescent="0.25">
      <c r="P29" s="55"/>
      <c r="Q29" s="55"/>
      <c r="R29" s="55"/>
      <c r="S29" s="55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25">
      <c r="D30" s="21" t="s">
        <v>8</v>
      </c>
      <c r="E30" s="22"/>
      <c r="F30" s="41" t="s">
        <v>7</v>
      </c>
      <c r="G30" s="42">
        <v>2</v>
      </c>
      <c r="H30" s="23" t="str">
        <f>$E$1</f>
        <v>GROEP A</v>
      </c>
      <c r="I30" s="22"/>
      <c r="J30" s="23"/>
      <c r="K30" s="23"/>
      <c r="L30" s="23"/>
      <c r="M30" s="17"/>
      <c r="P30" s="55"/>
      <c r="Q30" s="55"/>
      <c r="R30" s="55"/>
      <c r="S30" s="55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ht="6.95" customHeight="1" x14ac:dyDescent="0.25">
      <c r="D31" s="3"/>
      <c r="E31" s="4"/>
      <c r="F31" s="4"/>
      <c r="G31" s="4"/>
      <c r="H31" s="4"/>
      <c r="I31" s="4"/>
      <c r="J31" s="13"/>
      <c r="K31" s="13"/>
      <c r="L31" s="13"/>
      <c r="M31" s="5"/>
      <c r="P31" s="55"/>
      <c r="Q31" s="55"/>
      <c r="R31" s="55"/>
      <c r="S31" s="55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25">
      <c r="A32" s="54">
        <v>6</v>
      </c>
      <c r="B32" s="54">
        <v>4</v>
      </c>
      <c r="C32" s="55">
        <f>IF(AND(ISNUMBER(J32),ISNUMBER(L32)),1,0)</f>
        <v>1</v>
      </c>
      <c r="D32" s="136">
        <v>1</v>
      </c>
      <c r="E32" s="137"/>
      <c r="F32" s="2" t="str">
        <f>VLOOKUP(A32,$E$4:$F$13,2,FALSE)</f>
        <v>Katja Tangarife Ramirez</v>
      </c>
      <c r="G32" s="7" t="s">
        <v>1</v>
      </c>
      <c r="H32" s="2" t="str">
        <f>VLOOKUP(B32,$E$4:$F$13,2,FALSE)</f>
        <v>Floris van Capelleveen</v>
      </c>
      <c r="I32" s="2"/>
      <c r="J32" s="14">
        <v>0</v>
      </c>
      <c r="K32" s="81"/>
      <c r="L32" s="14">
        <v>1</v>
      </c>
      <c r="M32" s="8"/>
      <c r="N32" s="54">
        <f>VLOOKUP(A32,$AT$4:$BM$13,3,FALSE)</f>
        <v>0</v>
      </c>
      <c r="O32" s="54">
        <f>VLOOKUP(B32,$AT$4:$BM$13,3,FALSE)</f>
        <v>0</v>
      </c>
      <c r="P32" s="55">
        <f>J32*O32</f>
        <v>0</v>
      </c>
      <c r="Q32" s="55">
        <f>L32*N32</f>
        <v>0</v>
      </c>
      <c r="R32" s="55">
        <f>A32*100+B32</f>
        <v>604</v>
      </c>
      <c r="S32" s="55">
        <f>B32*100+A32</f>
        <v>406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1:45" ht="6.95" customHeight="1" x14ac:dyDescent="0.25">
      <c r="D33" s="6"/>
      <c r="E33" s="19"/>
      <c r="F33" s="2"/>
      <c r="G33" s="7"/>
      <c r="H33" s="2"/>
      <c r="I33" s="2"/>
      <c r="J33" s="81"/>
      <c r="K33" s="81"/>
      <c r="L33" s="81"/>
      <c r="M33" s="8"/>
      <c r="P33" s="55"/>
      <c r="Q33" s="55"/>
      <c r="R33" s="55"/>
      <c r="S33" s="55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1:45" x14ac:dyDescent="0.25">
      <c r="A34" s="54">
        <v>5</v>
      </c>
      <c r="B34" s="54">
        <v>3</v>
      </c>
      <c r="C34" s="55">
        <f>IF(AND(ISNUMBER(J34),ISNUMBER(L34)),1,0)</f>
        <v>1</v>
      </c>
      <c r="D34" s="136">
        <v>2</v>
      </c>
      <c r="E34" s="137"/>
      <c r="F34" s="2" t="str">
        <f>VLOOKUP(A34,$E$4:$F$13,2,FALSE)</f>
        <v>Luca Da Costa van den Werk</v>
      </c>
      <c r="G34" s="7" t="s">
        <v>1</v>
      </c>
      <c r="H34" s="2" t="str">
        <f>VLOOKUP(B34,$E$4:$F$13,2,FALSE)</f>
        <v>Matthijs van Doodenweerd</v>
      </c>
      <c r="I34" s="2"/>
      <c r="J34" s="14">
        <v>0</v>
      </c>
      <c r="K34" s="81"/>
      <c r="L34" s="14">
        <v>1</v>
      </c>
      <c r="M34" s="8"/>
      <c r="N34" s="54">
        <f>VLOOKUP(A34,$AT$4:$BM$13,3,FALSE)</f>
        <v>0</v>
      </c>
      <c r="O34" s="54">
        <f>VLOOKUP(B34,$AT$4:$BM$13,3,FALSE)</f>
        <v>1</v>
      </c>
      <c r="P34" s="55">
        <f>J34*O34</f>
        <v>0</v>
      </c>
      <c r="Q34" s="55">
        <f>L34*N34</f>
        <v>0</v>
      </c>
      <c r="R34" s="55">
        <f>A34*100+B34</f>
        <v>503</v>
      </c>
      <c r="S34" s="55">
        <f>B34*100+A34</f>
        <v>305</v>
      </c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45" ht="6.95" customHeight="1" x14ac:dyDescent="0.25">
      <c r="D35" s="6"/>
      <c r="E35" s="19"/>
      <c r="F35" s="2"/>
      <c r="G35" s="7"/>
      <c r="H35" s="2"/>
      <c r="I35" s="2"/>
      <c r="J35" s="81"/>
      <c r="K35" s="81"/>
      <c r="L35" s="81"/>
      <c r="M35" s="8"/>
      <c r="P35" s="55"/>
      <c r="Q35" s="55"/>
      <c r="R35" s="55"/>
      <c r="S35" s="5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x14ac:dyDescent="0.25">
      <c r="A36" s="54">
        <v>1</v>
      </c>
      <c r="B36" s="54">
        <v>2</v>
      </c>
      <c r="C36" s="55">
        <f>IF(AND(ISNUMBER(J36),ISNUMBER(L36)),1,0)</f>
        <v>1</v>
      </c>
      <c r="D36" s="136">
        <v>3</v>
      </c>
      <c r="E36" s="137"/>
      <c r="F36" s="2" t="str">
        <f>VLOOKUP(A36,$E$4:$F$13,2,FALSE)</f>
        <v>Govert van der Weijden</v>
      </c>
      <c r="G36" s="7" t="s">
        <v>1</v>
      </c>
      <c r="H36" s="2" t="str">
        <f>VLOOKUP(B36,$E$4:$F$13,2,FALSE)</f>
        <v>Mike van der Gijp van Bergen</v>
      </c>
      <c r="I36" s="2"/>
      <c r="J36" s="14">
        <v>0.5</v>
      </c>
      <c r="K36" s="81"/>
      <c r="L36" s="14">
        <v>0.5</v>
      </c>
      <c r="M36" s="8"/>
      <c r="N36" s="54">
        <f>VLOOKUP(A36,$AT$4:$BM$13,3,FALSE)</f>
        <v>1</v>
      </c>
      <c r="O36" s="54">
        <f>VLOOKUP(B36,$AT$4:$BM$13,3,FALSE)</f>
        <v>1</v>
      </c>
      <c r="P36" s="55">
        <f>J36*O36</f>
        <v>0.5</v>
      </c>
      <c r="Q36" s="55">
        <f>L36*N36</f>
        <v>0.5</v>
      </c>
      <c r="R36" s="55">
        <f>A36*100+B36</f>
        <v>102</v>
      </c>
      <c r="S36" s="55">
        <f>B36*100+A36</f>
        <v>201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1:45" ht="6.95" customHeight="1" x14ac:dyDescent="0.25">
      <c r="D37" s="6"/>
      <c r="E37" s="19"/>
      <c r="F37" s="2"/>
      <c r="G37" s="7"/>
      <c r="H37" s="2"/>
      <c r="I37" s="2"/>
      <c r="J37" s="81"/>
      <c r="K37" s="81"/>
      <c r="L37" s="81"/>
      <c r="M37" s="8"/>
      <c r="P37" s="55"/>
      <c r="Q37" s="55"/>
      <c r="R37" s="55"/>
      <c r="S37" s="55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45" x14ac:dyDescent="0.25">
      <c r="A38" s="54">
        <v>0</v>
      </c>
      <c r="B38" s="54">
        <v>0</v>
      </c>
      <c r="C38" s="55">
        <f>IF(AND(ISNUMBER(J38),ISNUMBER(L38)),1,0)</f>
        <v>0</v>
      </c>
      <c r="D38" s="136"/>
      <c r="E38" s="137"/>
      <c r="F38" s="2"/>
      <c r="G38" s="7"/>
      <c r="H38" s="2"/>
      <c r="I38" s="2"/>
      <c r="J38" s="14"/>
      <c r="K38" s="81"/>
      <c r="L38" s="14"/>
      <c r="M38" s="8"/>
      <c r="N38" s="54" t="e">
        <f>VLOOKUP(A38,$AT$4:$BM$13,3,FALSE)</f>
        <v>#N/A</v>
      </c>
      <c r="O38" s="54" t="e">
        <f>VLOOKUP(B38,$AT$4:$BM$13,3,FALSE)</f>
        <v>#N/A</v>
      </c>
      <c r="P38" s="55" t="e">
        <f>J38*O38</f>
        <v>#N/A</v>
      </c>
      <c r="Q38" s="55" t="e">
        <f>L38*N38</f>
        <v>#N/A</v>
      </c>
      <c r="R38" s="55">
        <f>A38*100+B38</f>
        <v>0</v>
      </c>
      <c r="S38" s="55">
        <f>B38*100+A38</f>
        <v>0</v>
      </c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45" ht="6.95" customHeight="1" x14ac:dyDescent="0.25">
      <c r="D39" s="6"/>
      <c r="E39" s="19"/>
      <c r="F39" s="2"/>
      <c r="G39" s="7"/>
      <c r="H39" s="2"/>
      <c r="I39" s="2"/>
      <c r="J39" s="81"/>
      <c r="K39" s="81"/>
      <c r="L39" s="81"/>
      <c r="M39" s="8"/>
      <c r="P39" s="55"/>
      <c r="Q39" s="55"/>
      <c r="R39" s="55"/>
      <c r="S39" s="55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45" x14ac:dyDescent="0.25">
      <c r="A40" s="54">
        <v>0</v>
      </c>
      <c r="B40" s="54">
        <v>0</v>
      </c>
      <c r="C40" s="55">
        <f>IF(AND(ISNUMBER(J40),ISNUMBER(L40)),1,0)</f>
        <v>0</v>
      </c>
      <c r="D40" s="136"/>
      <c r="E40" s="137"/>
      <c r="F40" s="2"/>
      <c r="G40" s="7"/>
      <c r="H40" s="2"/>
      <c r="I40" s="2"/>
      <c r="J40" s="14"/>
      <c r="K40" s="81"/>
      <c r="L40" s="14"/>
      <c r="M40" s="8"/>
      <c r="N40" s="54" t="e">
        <f>VLOOKUP(A40,$AT$4:$BM$13,3,FALSE)</f>
        <v>#N/A</v>
      </c>
      <c r="O40" s="54" t="e">
        <f>VLOOKUP(B40,$AT$4:$BM$13,3,FALSE)</f>
        <v>#N/A</v>
      </c>
      <c r="P40" s="55" t="e">
        <f>J40*O40</f>
        <v>#N/A</v>
      </c>
      <c r="Q40" s="55" t="e">
        <f>L40*N40</f>
        <v>#N/A</v>
      </c>
      <c r="R40" s="55">
        <f>A40*100+B40</f>
        <v>0</v>
      </c>
      <c r="S40" s="55">
        <f>B40*100+A40</f>
        <v>0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45" ht="6.95" customHeight="1" x14ac:dyDescent="0.25">
      <c r="D41" s="9"/>
      <c r="E41" s="10"/>
      <c r="F41" s="10"/>
      <c r="G41" s="10"/>
      <c r="H41" s="10"/>
      <c r="I41" s="10"/>
      <c r="J41" s="79"/>
      <c r="K41" s="79"/>
      <c r="L41" s="79"/>
      <c r="M41" s="11"/>
      <c r="P41" s="55"/>
      <c r="Q41" s="55"/>
      <c r="R41" s="55"/>
      <c r="S41" s="55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1:45" ht="24.95" customHeight="1" x14ac:dyDescent="0.25">
      <c r="P42" s="55"/>
      <c r="Q42" s="55"/>
      <c r="R42" s="55"/>
      <c r="S42" s="55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1:45" ht="24.95" customHeight="1" x14ac:dyDescent="0.25">
      <c r="P43" s="55"/>
      <c r="Q43" s="55"/>
      <c r="R43" s="55"/>
      <c r="S43" s="55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45" x14ac:dyDescent="0.25">
      <c r="D44" s="21" t="s">
        <v>8</v>
      </c>
      <c r="E44" s="22"/>
      <c r="F44" s="41" t="s">
        <v>7</v>
      </c>
      <c r="G44" s="42">
        <v>3</v>
      </c>
      <c r="H44" s="23" t="str">
        <f>$E$1</f>
        <v>GROEP A</v>
      </c>
      <c r="I44" s="22"/>
      <c r="J44" s="23"/>
      <c r="K44" s="23"/>
      <c r="L44" s="23"/>
      <c r="M44" s="17"/>
      <c r="P44" s="55"/>
      <c r="Q44" s="55"/>
      <c r="R44" s="55"/>
      <c r="S44" s="55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1:45" ht="6.95" customHeight="1" x14ac:dyDescent="0.25">
      <c r="D45" s="3"/>
      <c r="E45" s="4"/>
      <c r="F45" s="4"/>
      <c r="G45" s="4"/>
      <c r="H45" s="4"/>
      <c r="I45" s="4"/>
      <c r="J45" s="13"/>
      <c r="K45" s="13"/>
      <c r="L45" s="13"/>
      <c r="M45" s="5"/>
      <c r="P45" s="55"/>
      <c r="Q45" s="55"/>
      <c r="R45" s="55"/>
      <c r="S45" s="5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 x14ac:dyDescent="0.25">
      <c r="A46" s="54">
        <v>2</v>
      </c>
      <c r="B46" s="54">
        <v>6</v>
      </c>
      <c r="C46" s="55">
        <f>IF(AND(ISNUMBER(J46),ISNUMBER(L46)),1,0)</f>
        <v>1</v>
      </c>
      <c r="D46" s="136">
        <v>1</v>
      </c>
      <c r="E46" s="137"/>
      <c r="F46" s="2" t="str">
        <f>VLOOKUP(A46,$E$4:$F$13,2,FALSE)</f>
        <v>Mike van der Gijp van Bergen</v>
      </c>
      <c r="G46" s="7" t="s">
        <v>1</v>
      </c>
      <c r="H46" s="2" t="str">
        <f>VLOOKUP(B46,$E$4:$F$13,2,FALSE)</f>
        <v>Katja Tangarife Ramirez</v>
      </c>
      <c r="I46" s="2"/>
      <c r="J46" s="14">
        <v>1</v>
      </c>
      <c r="K46" s="81"/>
      <c r="L46" s="14">
        <v>0</v>
      </c>
      <c r="M46" s="8"/>
      <c r="N46" s="54">
        <f>VLOOKUP(A46,$AT$4:$BM$13,5,FALSE)</f>
        <v>1.5</v>
      </c>
      <c r="O46" s="54">
        <f>VLOOKUP(B46,$AT$4:$BM$13,5,FALSE)</f>
        <v>0</v>
      </c>
      <c r="P46" s="55">
        <f>J46*O46</f>
        <v>0</v>
      </c>
      <c r="Q46" s="55">
        <f>L46*N46</f>
        <v>0</v>
      </c>
      <c r="R46" s="55">
        <f>A46*100+B46</f>
        <v>206</v>
      </c>
      <c r="S46" s="55">
        <f>B46*100+A46</f>
        <v>602</v>
      </c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 ht="6.95" customHeight="1" x14ac:dyDescent="0.25">
      <c r="D47" s="6"/>
      <c r="E47" s="19"/>
      <c r="F47" s="2"/>
      <c r="G47" s="7"/>
      <c r="H47" s="2"/>
      <c r="I47" s="2"/>
      <c r="J47" s="81"/>
      <c r="K47" s="81"/>
      <c r="L47" s="81"/>
      <c r="M47" s="8"/>
      <c r="P47" s="55"/>
      <c r="Q47" s="55"/>
      <c r="R47" s="55"/>
      <c r="S47" s="55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 x14ac:dyDescent="0.25">
      <c r="A48" s="54">
        <v>3</v>
      </c>
      <c r="B48" s="54">
        <v>1</v>
      </c>
      <c r="C48" s="55">
        <f>IF(AND(ISNUMBER(J48),ISNUMBER(L48)),1,0)</f>
        <v>1</v>
      </c>
      <c r="D48" s="136">
        <v>2</v>
      </c>
      <c r="E48" s="137"/>
      <c r="F48" s="2" t="str">
        <f>VLOOKUP(A48,$E$4:$F$13,2,FALSE)</f>
        <v>Matthijs van Doodenweerd</v>
      </c>
      <c r="G48" s="7" t="s">
        <v>1</v>
      </c>
      <c r="H48" s="2" t="str">
        <f>VLOOKUP(B48,$E$4:$F$13,2,FALSE)</f>
        <v>Govert van der Weijden</v>
      </c>
      <c r="I48" s="2"/>
      <c r="J48" s="14">
        <v>0</v>
      </c>
      <c r="K48" s="81"/>
      <c r="L48" s="14">
        <v>1</v>
      </c>
      <c r="M48" s="8"/>
      <c r="N48" s="54">
        <f>VLOOKUP(A48,$AT$4:$BM$13,5,FALSE)</f>
        <v>2</v>
      </c>
      <c r="O48" s="54">
        <f>VLOOKUP(B48,$AT$4:$BM$13,5,FALSE)</f>
        <v>1.5</v>
      </c>
      <c r="P48" s="55">
        <f>J48*O48</f>
        <v>0</v>
      </c>
      <c r="Q48" s="55">
        <f>L48*N48</f>
        <v>2</v>
      </c>
      <c r="R48" s="55">
        <f>A48*100+B48</f>
        <v>301</v>
      </c>
      <c r="S48" s="55">
        <f>B48*100+A48</f>
        <v>103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ht="6.95" customHeight="1" x14ac:dyDescent="0.25">
      <c r="D49" s="6"/>
      <c r="E49" s="19"/>
      <c r="F49" s="2"/>
      <c r="G49" s="7"/>
      <c r="H49" s="2"/>
      <c r="I49" s="2"/>
      <c r="J49" s="81"/>
      <c r="K49" s="81"/>
      <c r="L49" s="81"/>
      <c r="M49" s="8"/>
      <c r="P49" s="55"/>
      <c r="Q49" s="55"/>
      <c r="R49" s="55"/>
      <c r="S49" s="55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 s="54">
        <v>4</v>
      </c>
      <c r="B50" s="54">
        <v>5</v>
      </c>
      <c r="C50" s="55">
        <f>IF(AND(ISNUMBER(J50),ISNUMBER(L50)),1,0)</f>
        <v>1</v>
      </c>
      <c r="D50" s="136">
        <v>3</v>
      </c>
      <c r="E50" s="137"/>
      <c r="F50" s="2" t="str">
        <f>VLOOKUP(A50,$E$4:$F$13,2,FALSE)</f>
        <v>Floris van Capelleveen</v>
      </c>
      <c r="G50" s="7" t="s">
        <v>1</v>
      </c>
      <c r="H50" s="2" t="str">
        <f>VLOOKUP(B50,$E$4:$F$13,2,FALSE)</f>
        <v>Luca Da Costa van den Werk</v>
      </c>
      <c r="I50" s="2"/>
      <c r="J50" s="14">
        <v>1</v>
      </c>
      <c r="K50" s="81"/>
      <c r="L50" s="14">
        <v>0</v>
      </c>
      <c r="M50" s="8"/>
      <c r="N50" s="54">
        <f>VLOOKUP(A50,$AT$4:$BM$13,5,FALSE)</f>
        <v>1</v>
      </c>
      <c r="O50" s="54">
        <f>VLOOKUP(B50,$AT$4:$BM$13,5,FALSE)</f>
        <v>0</v>
      </c>
      <c r="P50" s="55">
        <f>J50*O50</f>
        <v>0</v>
      </c>
      <c r="Q50" s="55">
        <f>L50*N50</f>
        <v>0</v>
      </c>
      <c r="R50" s="55">
        <f>A50*100+B50</f>
        <v>405</v>
      </c>
      <c r="S50" s="55">
        <f>B50*100+A50</f>
        <v>504</v>
      </c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ht="6.95" customHeight="1" x14ac:dyDescent="0.25">
      <c r="D51" s="6"/>
      <c r="E51" s="19"/>
      <c r="F51" s="2"/>
      <c r="G51" s="7"/>
      <c r="H51" s="2"/>
      <c r="I51" s="2"/>
      <c r="J51" s="81"/>
      <c r="K51" s="81"/>
      <c r="L51" s="81"/>
      <c r="M51" s="8"/>
      <c r="P51" s="55"/>
      <c r="Q51" s="55"/>
      <c r="R51" s="55"/>
      <c r="S51" s="55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 s="54">
        <v>0</v>
      </c>
      <c r="B52" s="54">
        <v>0</v>
      </c>
      <c r="C52" s="55">
        <f>IF(AND(ISNUMBER(J52),ISNUMBER(L52)),1,0)</f>
        <v>0</v>
      </c>
      <c r="D52" s="136"/>
      <c r="E52" s="137"/>
      <c r="F52" s="2"/>
      <c r="G52" s="7"/>
      <c r="H52" s="2"/>
      <c r="I52" s="2"/>
      <c r="J52" s="14"/>
      <c r="K52" s="81"/>
      <c r="L52" s="14"/>
      <c r="M52" s="8"/>
      <c r="N52" s="54" t="e">
        <f>VLOOKUP(A52,$AT$4:$BM$13,5,FALSE)</f>
        <v>#N/A</v>
      </c>
      <c r="O52" s="54" t="e">
        <f>VLOOKUP(B52,$AT$4:$BM$13,5,FALSE)</f>
        <v>#N/A</v>
      </c>
      <c r="P52" s="55" t="e">
        <f>J52*O52</f>
        <v>#N/A</v>
      </c>
      <c r="Q52" s="55" t="e">
        <f>L52*N52</f>
        <v>#N/A</v>
      </c>
      <c r="R52" s="55">
        <f>A52*100+B52</f>
        <v>0</v>
      </c>
      <c r="S52" s="55">
        <f>B52*100+A52</f>
        <v>0</v>
      </c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ht="6.95" customHeight="1" x14ac:dyDescent="0.25">
      <c r="D53" s="6"/>
      <c r="E53" s="19"/>
      <c r="F53" s="2"/>
      <c r="G53" s="7"/>
      <c r="H53" s="2"/>
      <c r="I53" s="2"/>
      <c r="J53" s="81"/>
      <c r="K53" s="81"/>
      <c r="L53" s="81"/>
      <c r="M53" s="8"/>
      <c r="P53" s="55"/>
      <c r="Q53" s="55"/>
      <c r="R53" s="55"/>
      <c r="S53" s="55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 s="54">
        <v>0</v>
      </c>
      <c r="B54" s="54">
        <v>0</v>
      </c>
      <c r="C54" s="55">
        <f>IF(AND(ISNUMBER(J54),ISNUMBER(L54)),1,0)</f>
        <v>0</v>
      </c>
      <c r="D54" s="136"/>
      <c r="E54" s="137"/>
      <c r="F54" s="2"/>
      <c r="G54" s="7"/>
      <c r="H54" s="2"/>
      <c r="I54" s="2"/>
      <c r="J54" s="14"/>
      <c r="K54" s="81"/>
      <c r="L54" s="14"/>
      <c r="M54" s="8"/>
      <c r="N54" s="54" t="e">
        <f>VLOOKUP(A54,$AT$4:$BM$13,5,FALSE)</f>
        <v>#N/A</v>
      </c>
      <c r="O54" s="54" t="e">
        <f>VLOOKUP(B54,$AT$4:$BM$13,5,FALSE)</f>
        <v>#N/A</v>
      </c>
      <c r="P54" s="55" t="e">
        <f>J54*O54</f>
        <v>#N/A</v>
      </c>
      <c r="Q54" s="55" t="e">
        <f>L54*N54</f>
        <v>#N/A</v>
      </c>
      <c r="R54" s="55">
        <f>A54*100+B54</f>
        <v>0</v>
      </c>
      <c r="S54" s="55">
        <f>B54*100+A54</f>
        <v>0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ht="6.95" customHeight="1" x14ac:dyDescent="0.25">
      <c r="D55" s="9"/>
      <c r="E55" s="10"/>
      <c r="F55" s="10"/>
      <c r="G55" s="10"/>
      <c r="H55" s="10"/>
      <c r="I55" s="10"/>
      <c r="J55" s="79"/>
      <c r="K55" s="79"/>
      <c r="L55" s="79"/>
      <c r="M55" s="11"/>
      <c r="P55" s="55"/>
      <c r="Q55" s="55"/>
      <c r="R55" s="55"/>
      <c r="S55" s="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ht="24.95" customHeight="1" x14ac:dyDescent="0.25">
      <c r="P56" s="55"/>
      <c r="Q56" s="55"/>
      <c r="R56" s="55"/>
      <c r="S56" s="55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24.95" customHeight="1" x14ac:dyDescent="0.25">
      <c r="P57" s="55"/>
      <c r="Q57" s="55"/>
      <c r="R57" s="55"/>
      <c r="S57" s="55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D58" s="21" t="s">
        <v>8</v>
      </c>
      <c r="E58" s="22"/>
      <c r="F58" s="41" t="s">
        <v>7</v>
      </c>
      <c r="G58" s="42">
        <v>4</v>
      </c>
      <c r="H58" s="23" t="str">
        <f>$E$1</f>
        <v>GROEP A</v>
      </c>
      <c r="I58" s="22"/>
      <c r="J58" s="23"/>
      <c r="K58" s="23"/>
      <c r="L58" s="23"/>
      <c r="M58" s="17"/>
      <c r="P58" s="55"/>
      <c r="Q58" s="55"/>
      <c r="R58" s="55"/>
      <c r="S58" s="55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6.95" customHeight="1" x14ac:dyDescent="0.25">
      <c r="D59" s="3"/>
      <c r="E59" s="4"/>
      <c r="F59" s="4"/>
      <c r="G59" s="4"/>
      <c r="H59" s="4"/>
      <c r="I59" s="4"/>
      <c r="J59" s="13"/>
      <c r="K59" s="13"/>
      <c r="L59" s="13"/>
      <c r="M59" s="5"/>
      <c r="P59" s="55"/>
      <c r="Q59" s="55"/>
      <c r="R59" s="55"/>
      <c r="S59" s="55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 s="54">
        <v>6</v>
      </c>
      <c r="B60" s="54">
        <v>5</v>
      </c>
      <c r="C60" s="55">
        <f>IF(AND(ISNUMBER(J60),ISNUMBER(L60)),1,0)</f>
        <v>1</v>
      </c>
      <c r="D60" s="136">
        <v>1</v>
      </c>
      <c r="E60" s="137"/>
      <c r="F60" s="2" t="str">
        <f>VLOOKUP(A60,$E$4:$F$13,2,FALSE)</f>
        <v>Katja Tangarife Ramirez</v>
      </c>
      <c r="G60" s="7" t="s">
        <v>1</v>
      </c>
      <c r="H60" s="2" t="str">
        <f>VLOOKUP(B60,$E$4:$F$13,2,FALSE)</f>
        <v>Luca Da Costa van den Werk</v>
      </c>
      <c r="I60" s="2"/>
      <c r="J60" s="14">
        <v>1</v>
      </c>
      <c r="K60" s="81"/>
      <c r="L60" s="14">
        <v>0</v>
      </c>
      <c r="M60" s="8"/>
      <c r="N60" s="54">
        <f>VLOOKUP(A60,$AT$4:$BM$13,7,FALSE)</f>
        <v>0</v>
      </c>
      <c r="O60" s="54">
        <f>VLOOKUP(B60,$AT$4:$BM$13,7,FALSE)</f>
        <v>0</v>
      </c>
      <c r="P60" s="55">
        <f>J60*O60</f>
        <v>0</v>
      </c>
      <c r="Q60" s="55">
        <f>L60*N60</f>
        <v>0</v>
      </c>
      <c r="R60" s="55">
        <f>A60*100+B60</f>
        <v>605</v>
      </c>
      <c r="S60" s="55">
        <f>B60*100+A60</f>
        <v>506</v>
      </c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6.95" customHeight="1" x14ac:dyDescent="0.25">
      <c r="D61" s="6"/>
      <c r="E61" s="19"/>
      <c r="F61" s="2"/>
      <c r="G61" s="7"/>
      <c r="H61" s="2"/>
      <c r="I61" s="2"/>
      <c r="J61" s="81"/>
      <c r="K61" s="81"/>
      <c r="L61" s="81"/>
      <c r="M61" s="8"/>
      <c r="P61" s="55"/>
      <c r="Q61" s="55"/>
      <c r="R61" s="55"/>
      <c r="S61" s="55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 s="54">
        <v>1</v>
      </c>
      <c r="B62" s="54">
        <v>4</v>
      </c>
      <c r="C62" s="55">
        <f>IF(AND(ISNUMBER(J62),ISNUMBER(L62)),1,0)</f>
        <v>1</v>
      </c>
      <c r="D62" s="136">
        <v>2</v>
      </c>
      <c r="E62" s="137"/>
      <c r="F62" s="2" t="str">
        <f>VLOOKUP(A62,$E$4:$F$13,2,FALSE)</f>
        <v>Govert van der Weijden</v>
      </c>
      <c r="G62" s="7" t="s">
        <v>1</v>
      </c>
      <c r="H62" s="2" t="str">
        <f>VLOOKUP(B62,$E$4:$F$13,2,FALSE)</f>
        <v>Floris van Capelleveen</v>
      </c>
      <c r="I62" s="2"/>
      <c r="J62" s="14">
        <v>1</v>
      </c>
      <c r="K62" s="81"/>
      <c r="L62" s="14">
        <v>0</v>
      </c>
      <c r="M62" s="8"/>
      <c r="N62" s="54">
        <f>VLOOKUP(A62,$AT$4:$BM$13,7,FALSE)</f>
        <v>2.5</v>
      </c>
      <c r="O62" s="54">
        <f>VLOOKUP(B62,$AT$4:$BM$13,7,FALSE)</f>
        <v>2</v>
      </c>
      <c r="P62" s="55">
        <f>J62*O62</f>
        <v>2</v>
      </c>
      <c r="Q62" s="55">
        <f>L62*N62</f>
        <v>0</v>
      </c>
      <c r="R62" s="55">
        <f>A62*100+B62</f>
        <v>104</v>
      </c>
      <c r="S62" s="55">
        <f>B62*100+A62</f>
        <v>401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6.95" customHeight="1" x14ac:dyDescent="0.25">
      <c r="D63" s="6"/>
      <c r="E63" s="19"/>
      <c r="F63" s="2"/>
      <c r="G63" s="7"/>
      <c r="H63" s="2"/>
      <c r="I63" s="2"/>
      <c r="J63" s="81"/>
      <c r="K63" s="81"/>
      <c r="L63" s="81"/>
      <c r="M63" s="8"/>
      <c r="P63" s="55"/>
      <c r="Q63" s="55"/>
      <c r="R63" s="55"/>
      <c r="S63" s="55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 s="54">
        <v>2</v>
      </c>
      <c r="B64" s="54">
        <v>3</v>
      </c>
      <c r="C64" s="55">
        <f>IF(AND(ISNUMBER(J64),ISNUMBER(L64)),1,0)</f>
        <v>1</v>
      </c>
      <c r="D64" s="136">
        <v>3</v>
      </c>
      <c r="E64" s="137"/>
      <c r="F64" s="2" t="str">
        <f>VLOOKUP(A64,$E$4:$F$13,2,FALSE)</f>
        <v>Mike van der Gijp van Bergen</v>
      </c>
      <c r="G64" s="7" t="s">
        <v>1</v>
      </c>
      <c r="H64" s="2" t="str">
        <f>VLOOKUP(B64,$E$4:$F$13,2,FALSE)</f>
        <v>Matthijs van Doodenweerd</v>
      </c>
      <c r="I64" s="2"/>
      <c r="J64" s="14">
        <v>0</v>
      </c>
      <c r="K64" s="81"/>
      <c r="L64" s="14">
        <v>1</v>
      </c>
      <c r="M64" s="8"/>
      <c r="N64" s="54">
        <f>VLOOKUP(A64,$AT$4:$BM$13,7,FALSE)</f>
        <v>2.5</v>
      </c>
      <c r="O64" s="54">
        <f>VLOOKUP(B64,$AT$4:$BM$13,7,FALSE)</f>
        <v>2</v>
      </c>
      <c r="P64" s="55">
        <f>J64*O64</f>
        <v>0</v>
      </c>
      <c r="Q64" s="55">
        <f>L64*N64</f>
        <v>2.5</v>
      </c>
      <c r="R64" s="55">
        <f>A64*100+B64</f>
        <v>203</v>
      </c>
      <c r="S64" s="55">
        <f>B64*100+A64</f>
        <v>302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6.95" customHeight="1" x14ac:dyDescent="0.25">
      <c r="D65" s="6"/>
      <c r="E65" s="19"/>
      <c r="F65" s="2"/>
      <c r="G65" s="7"/>
      <c r="H65" s="2"/>
      <c r="I65" s="2"/>
      <c r="J65" s="81"/>
      <c r="K65" s="81"/>
      <c r="L65" s="81"/>
      <c r="M65" s="8"/>
      <c r="P65" s="55"/>
      <c r="Q65" s="55"/>
      <c r="R65" s="55"/>
      <c r="S65" s="5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 s="54">
        <v>0</v>
      </c>
      <c r="B66" s="54">
        <v>0</v>
      </c>
      <c r="C66" s="55">
        <f>IF(AND(ISNUMBER(J66),ISNUMBER(L66)),1,0)</f>
        <v>0</v>
      </c>
      <c r="D66" s="136"/>
      <c r="E66" s="137"/>
      <c r="F66" s="2"/>
      <c r="G66" s="7"/>
      <c r="H66" s="2"/>
      <c r="I66" s="2"/>
      <c r="J66" s="14"/>
      <c r="K66" s="81"/>
      <c r="L66" s="14"/>
      <c r="M66" s="8"/>
      <c r="N66" s="54" t="e">
        <f>VLOOKUP(A66,$AT$4:$BM$13,7,FALSE)</f>
        <v>#N/A</v>
      </c>
      <c r="O66" s="54" t="e">
        <f>VLOOKUP(B66,$AT$4:$BM$13,7,FALSE)</f>
        <v>#N/A</v>
      </c>
      <c r="P66" s="55" t="e">
        <f>J66*O66</f>
        <v>#N/A</v>
      </c>
      <c r="Q66" s="55" t="e">
        <f>L66*N66</f>
        <v>#N/A</v>
      </c>
      <c r="R66" s="55">
        <f>A66*100+B66</f>
        <v>0</v>
      </c>
      <c r="S66" s="55">
        <f>B66*100+A66</f>
        <v>0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6.95" customHeight="1" x14ac:dyDescent="0.25">
      <c r="D67" s="6"/>
      <c r="E67" s="19"/>
      <c r="F67" s="2"/>
      <c r="G67" s="7"/>
      <c r="H67" s="2"/>
      <c r="I67" s="2"/>
      <c r="J67" s="81"/>
      <c r="K67" s="81"/>
      <c r="L67" s="81"/>
      <c r="M67" s="8"/>
      <c r="P67" s="55"/>
      <c r="Q67" s="55"/>
      <c r="R67" s="55"/>
      <c r="S67" s="55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 s="54">
        <v>0</v>
      </c>
      <c r="B68" s="54">
        <v>0</v>
      </c>
      <c r="C68" s="55">
        <f>IF(AND(ISNUMBER(J68),ISNUMBER(L68)),1,0)</f>
        <v>0</v>
      </c>
      <c r="D68" s="136"/>
      <c r="E68" s="137"/>
      <c r="F68" s="2"/>
      <c r="G68" s="7"/>
      <c r="H68" s="2"/>
      <c r="I68" s="2"/>
      <c r="J68" s="14"/>
      <c r="K68" s="81"/>
      <c r="L68" s="14"/>
      <c r="M68" s="8"/>
      <c r="N68" s="54" t="e">
        <f>VLOOKUP(A68,$AT$4:$BM$13,7,FALSE)</f>
        <v>#N/A</v>
      </c>
      <c r="O68" s="54" t="e">
        <f>VLOOKUP(B68,$AT$4:$BM$13,7,FALSE)</f>
        <v>#N/A</v>
      </c>
      <c r="P68" s="55" t="e">
        <f>J68*O68</f>
        <v>#N/A</v>
      </c>
      <c r="Q68" s="55" t="e">
        <f>L68*N68</f>
        <v>#N/A</v>
      </c>
      <c r="R68" s="55">
        <f>A68*100+B68</f>
        <v>0</v>
      </c>
      <c r="S68" s="55">
        <f>B68*100+A68</f>
        <v>0</v>
      </c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6.95" customHeight="1" x14ac:dyDescent="0.25">
      <c r="D69" s="9"/>
      <c r="E69" s="10"/>
      <c r="F69" s="10"/>
      <c r="G69" s="10"/>
      <c r="H69" s="10"/>
      <c r="I69" s="10"/>
      <c r="J69" s="79"/>
      <c r="K69" s="79"/>
      <c r="L69" s="79"/>
      <c r="M69" s="11"/>
      <c r="P69" s="55"/>
      <c r="Q69" s="55"/>
      <c r="R69" s="55"/>
      <c r="S69" s="55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24.95" customHeight="1" x14ac:dyDescent="0.25">
      <c r="P70" s="55"/>
      <c r="Q70" s="55"/>
      <c r="R70" s="55"/>
      <c r="S70" s="55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24.95" customHeight="1" x14ac:dyDescent="0.25">
      <c r="P71" s="55"/>
      <c r="Q71" s="55"/>
      <c r="R71" s="55"/>
      <c r="S71" s="55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D72" s="21" t="s">
        <v>8</v>
      </c>
      <c r="E72" s="22"/>
      <c r="F72" s="41" t="s">
        <v>7</v>
      </c>
      <c r="G72" s="42">
        <v>5</v>
      </c>
      <c r="H72" s="23" t="str">
        <f>$E$1</f>
        <v>GROEP A</v>
      </c>
      <c r="I72" s="22"/>
      <c r="J72" s="23"/>
      <c r="K72" s="23"/>
      <c r="L72" s="23"/>
      <c r="M72" s="17"/>
      <c r="P72" s="55"/>
      <c r="Q72" s="55"/>
      <c r="R72" s="55"/>
      <c r="S72" s="55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6.95" customHeight="1" x14ac:dyDescent="0.25">
      <c r="D73" s="3"/>
      <c r="E73" s="4"/>
      <c r="F73" s="4"/>
      <c r="G73" s="4"/>
      <c r="H73" s="4"/>
      <c r="I73" s="4"/>
      <c r="J73" s="13"/>
      <c r="K73" s="13"/>
      <c r="L73" s="13"/>
      <c r="M73" s="5"/>
      <c r="P73" s="55"/>
      <c r="Q73" s="55"/>
      <c r="R73" s="55"/>
      <c r="S73" s="55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 s="54">
        <v>3</v>
      </c>
      <c r="B74" s="54">
        <v>6</v>
      </c>
      <c r="C74" s="55">
        <f>IF(AND(ISNUMBER(J74),ISNUMBER(L74)),1,0)</f>
        <v>1</v>
      </c>
      <c r="D74" s="136">
        <v>1</v>
      </c>
      <c r="E74" s="137"/>
      <c r="F74" s="2" t="str">
        <f>VLOOKUP(A74,$E$4:$F$13,2,FALSE)</f>
        <v>Matthijs van Doodenweerd</v>
      </c>
      <c r="G74" s="7" t="s">
        <v>1</v>
      </c>
      <c r="H74" s="2" t="str">
        <f>VLOOKUP(B74,$E$4:$F$13,2,FALSE)</f>
        <v>Katja Tangarife Ramirez</v>
      </c>
      <c r="I74" s="2"/>
      <c r="J74" s="14">
        <v>1</v>
      </c>
      <c r="K74" s="81"/>
      <c r="L74" s="14">
        <v>0</v>
      </c>
      <c r="M74" s="8"/>
      <c r="N74" s="54">
        <f>VLOOKUP(A74,$AT$4:$BM$13,9,FALSE)</f>
        <v>3</v>
      </c>
      <c r="O74" s="54">
        <f>VLOOKUP(B74,$AT$4:$BM$13,9,FALSE)</f>
        <v>1</v>
      </c>
      <c r="P74" s="55">
        <f>J74*O74</f>
        <v>1</v>
      </c>
      <c r="Q74" s="55">
        <f>L74*N74</f>
        <v>0</v>
      </c>
      <c r="R74" s="55">
        <f>A74*100+B74</f>
        <v>306</v>
      </c>
      <c r="S74" s="55">
        <f>B74*100+A74</f>
        <v>603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6.95" customHeight="1" x14ac:dyDescent="0.25">
      <c r="D75" s="6"/>
      <c r="E75" s="19"/>
      <c r="F75" s="2"/>
      <c r="G75" s="7"/>
      <c r="H75" s="2"/>
      <c r="I75" s="2"/>
      <c r="J75" s="81"/>
      <c r="K75" s="81"/>
      <c r="L75" s="81"/>
      <c r="M75" s="8"/>
      <c r="P75" s="55"/>
      <c r="Q75" s="55"/>
      <c r="R75" s="55"/>
      <c r="S75" s="5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 s="54">
        <v>4</v>
      </c>
      <c r="B76" s="54">
        <v>2</v>
      </c>
      <c r="C76" s="55">
        <f>IF(AND(ISNUMBER(J76),ISNUMBER(L76)),1,0)</f>
        <v>1</v>
      </c>
      <c r="D76" s="136">
        <v>2</v>
      </c>
      <c r="E76" s="137"/>
      <c r="F76" s="2" t="str">
        <f>VLOOKUP(A76,$E$4:$F$13,2,FALSE)</f>
        <v>Floris van Capelleveen</v>
      </c>
      <c r="G76" s="7" t="s">
        <v>1</v>
      </c>
      <c r="H76" s="2" t="str">
        <f>VLOOKUP(B76,$E$4:$F$13,2,FALSE)</f>
        <v>Mike van der Gijp van Bergen</v>
      </c>
      <c r="I76" s="2"/>
      <c r="J76" s="14">
        <v>0</v>
      </c>
      <c r="K76" s="81"/>
      <c r="L76" s="14">
        <v>1</v>
      </c>
      <c r="M76" s="8"/>
      <c r="N76" s="54">
        <f>VLOOKUP(A76,$AT$4:$BM$13,9,FALSE)</f>
        <v>2</v>
      </c>
      <c r="O76" s="54">
        <f>VLOOKUP(B76,$AT$4:$BM$13,9,FALSE)</f>
        <v>2.5</v>
      </c>
      <c r="P76" s="55">
        <f>J76*O76</f>
        <v>0</v>
      </c>
      <c r="Q76" s="55">
        <f>L76*N76</f>
        <v>2</v>
      </c>
      <c r="R76" s="55">
        <f>A76*100+B76</f>
        <v>402</v>
      </c>
      <c r="S76" s="55">
        <f>B76*100+A76</f>
        <v>204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6.95" customHeight="1" x14ac:dyDescent="0.25">
      <c r="D77" s="6"/>
      <c r="E77" s="19"/>
      <c r="F77" s="2"/>
      <c r="G77" s="7"/>
      <c r="H77" s="2"/>
      <c r="I77" s="2"/>
      <c r="J77" s="81"/>
      <c r="K77" s="81"/>
      <c r="L77" s="81"/>
      <c r="M77" s="8"/>
      <c r="P77" s="55"/>
      <c r="Q77" s="55"/>
      <c r="R77" s="55"/>
      <c r="S77" s="55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 s="54">
        <v>5</v>
      </c>
      <c r="B78" s="54">
        <v>1</v>
      </c>
      <c r="C78" s="55">
        <f>IF(AND(ISNUMBER(J78),ISNUMBER(L78)),1,0)</f>
        <v>1</v>
      </c>
      <c r="D78" s="136">
        <v>3</v>
      </c>
      <c r="E78" s="137"/>
      <c r="F78" s="2" t="str">
        <f>VLOOKUP(A78,$E$4:$F$13,2,FALSE)</f>
        <v>Luca Da Costa van den Werk</v>
      </c>
      <c r="G78" s="7" t="s">
        <v>1</v>
      </c>
      <c r="H78" s="2" t="str">
        <f>VLOOKUP(B78,$E$4:$F$13,2,FALSE)</f>
        <v>Govert van der Weijden</v>
      </c>
      <c r="I78" s="2"/>
      <c r="J78" s="14">
        <v>0.5</v>
      </c>
      <c r="K78" s="81"/>
      <c r="L78" s="14">
        <v>0.5</v>
      </c>
      <c r="M78" s="8"/>
      <c r="N78" s="54">
        <f>VLOOKUP(A78,$AT$4:$BM$13,9,FALSE)</f>
        <v>0</v>
      </c>
      <c r="O78" s="54">
        <f>VLOOKUP(B78,$AT$4:$BM$13,9,FALSE)</f>
        <v>3.5</v>
      </c>
      <c r="P78" s="55">
        <f>J78*O78</f>
        <v>1.75</v>
      </c>
      <c r="Q78" s="55">
        <f>L78*N78</f>
        <v>0</v>
      </c>
      <c r="R78" s="55">
        <f>A78*100+B78</f>
        <v>501</v>
      </c>
      <c r="S78" s="55">
        <f>B78*100+A78</f>
        <v>105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6.95" customHeight="1" x14ac:dyDescent="0.25">
      <c r="D79" s="6"/>
      <c r="E79" s="19"/>
      <c r="F79" s="2"/>
      <c r="G79" s="7"/>
      <c r="H79" s="2"/>
      <c r="I79" s="2"/>
      <c r="J79" s="81"/>
      <c r="K79" s="81"/>
      <c r="L79" s="81"/>
      <c r="M79" s="8"/>
      <c r="P79" s="55"/>
      <c r="Q79" s="55"/>
      <c r="R79" s="55"/>
      <c r="S79" s="55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 s="54">
        <v>0</v>
      </c>
      <c r="B80" s="54">
        <v>0</v>
      </c>
      <c r="C80" s="55">
        <f>IF(AND(ISNUMBER(J80),ISNUMBER(L80)),1,0)</f>
        <v>0</v>
      </c>
      <c r="D80" s="136"/>
      <c r="E80" s="137"/>
      <c r="F80" s="2"/>
      <c r="G80" s="7"/>
      <c r="H80" s="2"/>
      <c r="I80" s="2"/>
      <c r="J80" s="14"/>
      <c r="K80" s="81"/>
      <c r="L80" s="14"/>
      <c r="M80" s="8"/>
      <c r="N80" s="54" t="e">
        <f>VLOOKUP(A80,$AT$4:$BM$13,9,FALSE)</f>
        <v>#N/A</v>
      </c>
      <c r="O80" s="54" t="e">
        <f>VLOOKUP(B80,$AT$4:$BM$13,9,FALSE)</f>
        <v>#N/A</v>
      </c>
      <c r="P80" s="55" t="e">
        <f>J80*O80</f>
        <v>#N/A</v>
      </c>
      <c r="Q80" s="55" t="e">
        <f>L80*N80</f>
        <v>#N/A</v>
      </c>
      <c r="R80" s="55">
        <f>A80*100+B80</f>
        <v>0</v>
      </c>
      <c r="S80" s="55">
        <f>B80*100+A80</f>
        <v>0</v>
      </c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6.95" customHeight="1" x14ac:dyDescent="0.25">
      <c r="D81" s="6"/>
      <c r="E81" s="19"/>
      <c r="F81" s="2"/>
      <c r="G81" s="7"/>
      <c r="H81" s="2"/>
      <c r="I81" s="2"/>
      <c r="J81" s="81"/>
      <c r="K81" s="81"/>
      <c r="L81" s="81"/>
      <c r="M81" s="8"/>
      <c r="P81" s="55"/>
      <c r="Q81" s="55"/>
      <c r="R81" s="55"/>
      <c r="S81" s="55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 s="54">
        <v>0</v>
      </c>
      <c r="B82" s="54">
        <v>0</v>
      </c>
      <c r="C82" s="55">
        <f>IF(AND(ISNUMBER(J82),ISNUMBER(L82)),1,0)</f>
        <v>0</v>
      </c>
      <c r="D82" s="136"/>
      <c r="E82" s="137"/>
      <c r="F82" s="2"/>
      <c r="G82" s="7"/>
      <c r="H82" s="2"/>
      <c r="I82" s="2"/>
      <c r="J82" s="14"/>
      <c r="K82" s="81"/>
      <c r="L82" s="14"/>
      <c r="M82" s="8"/>
      <c r="N82" s="54" t="e">
        <f>VLOOKUP(A82,$AT$4:$BM$13,9,FALSE)</f>
        <v>#N/A</v>
      </c>
      <c r="O82" s="54" t="e">
        <f>VLOOKUP(B82,$AT$4:$BM$13,9,FALSE)</f>
        <v>#N/A</v>
      </c>
      <c r="P82" s="55" t="e">
        <f>J82*O82</f>
        <v>#N/A</v>
      </c>
      <c r="Q82" s="55" t="e">
        <f>L82*N82</f>
        <v>#N/A</v>
      </c>
      <c r="R82" s="55">
        <f>A82*100+B82</f>
        <v>0</v>
      </c>
      <c r="S82" s="55">
        <f>B82*100+A82</f>
        <v>0</v>
      </c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6.95" customHeight="1" x14ac:dyDescent="0.25">
      <c r="D83" s="9"/>
      <c r="E83" s="10"/>
      <c r="F83" s="10"/>
      <c r="G83" s="10"/>
      <c r="H83" s="10"/>
      <c r="I83" s="10"/>
      <c r="J83" s="79"/>
      <c r="K83" s="79"/>
      <c r="L83" s="79"/>
      <c r="M83" s="11"/>
      <c r="P83" s="55"/>
      <c r="Q83" s="55"/>
      <c r="R83" s="55"/>
      <c r="S83" s="55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P84" s="55"/>
      <c r="Q84" s="55"/>
      <c r="R84" s="55"/>
      <c r="S84" s="55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P85" s="55"/>
      <c r="Q85" s="55"/>
      <c r="R85" s="55"/>
      <c r="S85" s="5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D86" s="21" t="s">
        <v>8</v>
      </c>
      <c r="E86" s="22"/>
      <c r="F86" s="41" t="s">
        <v>7</v>
      </c>
      <c r="G86" s="42">
        <v>6</v>
      </c>
      <c r="H86" s="23" t="str">
        <f>$E$1</f>
        <v>GROEP A</v>
      </c>
      <c r="I86" s="22"/>
      <c r="J86" s="23"/>
      <c r="K86" s="23"/>
      <c r="L86" s="23"/>
      <c r="M86" s="17"/>
      <c r="P86" s="55"/>
      <c r="Q86" s="55"/>
      <c r="R86" s="55"/>
      <c r="S86" s="55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6.95" customHeight="1" x14ac:dyDescent="0.25">
      <c r="D87" s="3"/>
      <c r="E87" s="4"/>
      <c r="F87" s="4"/>
      <c r="G87" s="4"/>
      <c r="H87" s="4"/>
      <c r="I87" s="4"/>
      <c r="J87" s="13"/>
      <c r="K87" s="13"/>
      <c r="L87" s="13"/>
      <c r="M87" s="5"/>
      <c r="P87" s="55"/>
      <c r="Q87" s="55"/>
      <c r="R87" s="55"/>
      <c r="S87" s="55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 s="54">
        <v>0</v>
      </c>
      <c r="B88" s="54">
        <v>0</v>
      </c>
      <c r="C88" s="55">
        <f>IF(AND(ISNUMBER(J88),ISNUMBER(L88)),1,0)</f>
        <v>0</v>
      </c>
      <c r="D88" s="136"/>
      <c r="E88" s="137"/>
      <c r="F88" s="2"/>
      <c r="G88" s="7"/>
      <c r="H88" s="2"/>
      <c r="I88" s="2"/>
      <c r="J88" s="14"/>
      <c r="K88" s="81"/>
      <c r="L88" s="14"/>
      <c r="M88" s="8"/>
      <c r="N88" s="54" t="e">
        <f>VLOOKUP(A88,$AT$4:$BM$13,11,FALSE)</f>
        <v>#N/A</v>
      </c>
      <c r="O88" s="54" t="e">
        <f>VLOOKUP(B88,$AT$4:$BM$13,11,FALSE)</f>
        <v>#N/A</v>
      </c>
      <c r="P88" s="55" t="e">
        <f>J88*O88</f>
        <v>#N/A</v>
      </c>
      <c r="Q88" s="55" t="e">
        <f>L88*N88</f>
        <v>#N/A</v>
      </c>
      <c r="R88" s="55">
        <f>A88*100+B88</f>
        <v>0</v>
      </c>
      <c r="S88" s="55">
        <f>B88*100+A88</f>
        <v>0</v>
      </c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6.95" customHeight="1" x14ac:dyDescent="0.25">
      <c r="D89" s="6"/>
      <c r="E89" s="19"/>
      <c r="F89" s="2"/>
      <c r="G89" s="7"/>
      <c r="H89" s="2"/>
      <c r="I89" s="2"/>
      <c r="J89" s="81"/>
      <c r="K89" s="81"/>
      <c r="L89" s="81"/>
      <c r="M89" s="8"/>
      <c r="P89" s="55"/>
      <c r="Q89" s="55"/>
      <c r="R89" s="55"/>
      <c r="S89" s="55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 s="54">
        <v>0</v>
      </c>
      <c r="B90" s="54">
        <v>0</v>
      </c>
      <c r="C90" s="55">
        <f>IF(AND(ISNUMBER(J90),ISNUMBER(L90)),1,0)</f>
        <v>0</v>
      </c>
      <c r="D90" s="136"/>
      <c r="E90" s="137"/>
      <c r="F90" s="2"/>
      <c r="G90" s="7"/>
      <c r="H90" s="2"/>
      <c r="I90" s="2"/>
      <c r="J90" s="14"/>
      <c r="K90" s="81"/>
      <c r="L90" s="14"/>
      <c r="M90" s="8"/>
      <c r="N90" s="54" t="e">
        <f>VLOOKUP(A90,$AT$4:$BM$13,11,FALSE)</f>
        <v>#N/A</v>
      </c>
      <c r="O90" s="54" t="e">
        <f>VLOOKUP(B90,$AT$4:$BM$13,11,FALSE)</f>
        <v>#N/A</v>
      </c>
      <c r="P90" s="55" t="e">
        <f>J90*O90</f>
        <v>#N/A</v>
      </c>
      <c r="Q90" s="55" t="e">
        <f>L90*N90</f>
        <v>#N/A</v>
      </c>
      <c r="R90" s="55">
        <f>A90*100+B90</f>
        <v>0</v>
      </c>
      <c r="S90" s="55">
        <f>B90*100+A90</f>
        <v>0</v>
      </c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6.95" customHeight="1" x14ac:dyDescent="0.25">
      <c r="D91" s="6"/>
      <c r="E91" s="19"/>
      <c r="F91" s="2"/>
      <c r="G91" s="7"/>
      <c r="H91" s="2"/>
      <c r="I91" s="2"/>
      <c r="J91" s="81"/>
      <c r="K91" s="81"/>
      <c r="L91" s="81"/>
      <c r="M91" s="8"/>
      <c r="P91" s="55"/>
      <c r="Q91" s="55"/>
      <c r="R91" s="55"/>
      <c r="S91" s="55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 s="54">
        <v>0</v>
      </c>
      <c r="B92" s="54">
        <v>0</v>
      </c>
      <c r="C92" s="55">
        <f>IF(AND(ISNUMBER(J92),ISNUMBER(L92)),1,0)</f>
        <v>0</v>
      </c>
      <c r="D92" s="136"/>
      <c r="E92" s="137"/>
      <c r="F92" s="2"/>
      <c r="G92" s="7"/>
      <c r="H92" s="2"/>
      <c r="I92" s="2"/>
      <c r="J92" s="14"/>
      <c r="K92" s="81"/>
      <c r="L92" s="14"/>
      <c r="M92" s="8"/>
      <c r="N92" s="54" t="e">
        <f>VLOOKUP(A92,$AT$4:$BM$13,11,FALSE)</f>
        <v>#N/A</v>
      </c>
      <c r="O92" s="54" t="e">
        <f>VLOOKUP(B92,$AT$4:$BM$13,11,FALSE)</f>
        <v>#N/A</v>
      </c>
      <c r="P92" s="55" t="e">
        <f>J92*O92</f>
        <v>#N/A</v>
      </c>
      <c r="Q92" s="55" t="e">
        <f>L92*N92</f>
        <v>#N/A</v>
      </c>
      <c r="R92" s="55">
        <f>A92*100+B92</f>
        <v>0</v>
      </c>
      <c r="S92" s="55">
        <f>B92*100+A92</f>
        <v>0</v>
      </c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6.95" customHeight="1" x14ac:dyDescent="0.25">
      <c r="D93" s="6"/>
      <c r="E93" s="19"/>
      <c r="F93" s="2"/>
      <c r="G93" s="7"/>
      <c r="H93" s="2"/>
      <c r="I93" s="2"/>
      <c r="J93" s="81"/>
      <c r="K93" s="81"/>
      <c r="L93" s="81"/>
      <c r="M93" s="8"/>
      <c r="P93" s="55"/>
      <c r="Q93" s="55"/>
      <c r="R93" s="55"/>
      <c r="S93" s="55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 s="54">
        <v>0</v>
      </c>
      <c r="B94" s="54">
        <v>0</v>
      </c>
      <c r="C94" s="55">
        <f>IF(AND(ISNUMBER(J94),ISNUMBER(L94)),1,0)</f>
        <v>0</v>
      </c>
      <c r="D94" s="136"/>
      <c r="E94" s="137"/>
      <c r="F94" s="2"/>
      <c r="G94" s="7"/>
      <c r="H94" s="2"/>
      <c r="I94" s="2"/>
      <c r="J94" s="14"/>
      <c r="K94" s="81"/>
      <c r="L94" s="14"/>
      <c r="M94" s="8"/>
      <c r="N94" s="54" t="e">
        <f>VLOOKUP(A94,$AT$4:$BM$13,11,FALSE)</f>
        <v>#N/A</v>
      </c>
      <c r="O94" s="54" t="e">
        <f>VLOOKUP(B94,$AT$4:$BM$13,11,FALSE)</f>
        <v>#N/A</v>
      </c>
      <c r="P94" s="55" t="e">
        <f>J94*O94</f>
        <v>#N/A</v>
      </c>
      <c r="Q94" s="55" t="e">
        <f>L94*N94</f>
        <v>#N/A</v>
      </c>
      <c r="R94" s="55">
        <f>A94*100+B94</f>
        <v>0</v>
      </c>
      <c r="S94" s="55">
        <f>B94*100+A94</f>
        <v>0</v>
      </c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6.95" customHeight="1" x14ac:dyDescent="0.25">
      <c r="D95" s="6"/>
      <c r="E95" s="19"/>
      <c r="F95" s="2"/>
      <c r="G95" s="7"/>
      <c r="H95" s="2"/>
      <c r="I95" s="2"/>
      <c r="J95" s="81"/>
      <c r="K95" s="81"/>
      <c r="L95" s="81"/>
      <c r="M95" s="8"/>
      <c r="P95" s="55"/>
      <c r="Q95" s="55"/>
      <c r="R95" s="55"/>
      <c r="S95" s="5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 s="54">
        <v>0</v>
      </c>
      <c r="B96" s="54">
        <v>0</v>
      </c>
      <c r="C96" s="55">
        <f>IF(AND(ISNUMBER(J96),ISNUMBER(L96)),1,0)</f>
        <v>0</v>
      </c>
      <c r="D96" s="136"/>
      <c r="E96" s="137"/>
      <c r="F96" s="2"/>
      <c r="G96" s="7"/>
      <c r="H96" s="2"/>
      <c r="I96" s="2"/>
      <c r="J96" s="14"/>
      <c r="K96" s="81"/>
      <c r="L96" s="14"/>
      <c r="M96" s="8"/>
      <c r="N96" s="54" t="e">
        <f>VLOOKUP(A96,$AT$4:$BM$13,11,FALSE)</f>
        <v>#N/A</v>
      </c>
      <c r="O96" s="54" t="e">
        <f>VLOOKUP(B96,$AT$4:$BM$13,11,FALSE)</f>
        <v>#N/A</v>
      </c>
      <c r="P96" s="55" t="e">
        <f>J96*O96</f>
        <v>#N/A</v>
      </c>
      <c r="Q96" s="55" t="e">
        <f>L96*N96</f>
        <v>#N/A</v>
      </c>
      <c r="R96" s="55">
        <f>A96*100+B96</f>
        <v>0</v>
      </c>
      <c r="S96" s="55">
        <f>B96*100+A96</f>
        <v>0</v>
      </c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6.95" customHeight="1" x14ac:dyDescent="0.25">
      <c r="D97" s="9"/>
      <c r="E97" s="10"/>
      <c r="F97" s="10"/>
      <c r="G97" s="10"/>
      <c r="H97" s="10"/>
      <c r="I97" s="10"/>
      <c r="J97" s="79"/>
      <c r="K97" s="79"/>
      <c r="L97" s="79"/>
      <c r="M97" s="11"/>
      <c r="P97" s="55"/>
      <c r="Q97" s="55"/>
      <c r="R97" s="55"/>
      <c r="S97" s="55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24.95" customHeight="1" x14ac:dyDescent="0.25">
      <c r="P98" s="55"/>
      <c r="Q98" s="55"/>
      <c r="R98" s="55"/>
      <c r="S98" s="55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24.95" customHeight="1" x14ac:dyDescent="0.25">
      <c r="P99" s="55"/>
      <c r="Q99" s="55"/>
      <c r="R99" s="55"/>
      <c r="S99" s="55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D100" s="21" t="s">
        <v>8</v>
      </c>
      <c r="E100" s="22"/>
      <c r="F100" s="41" t="s">
        <v>7</v>
      </c>
      <c r="G100" s="42">
        <v>7</v>
      </c>
      <c r="H100" s="23" t="str">
        <f>$E$1</f>
        <v>GROEP A</v>
      </c>
      <c r="I100" s="22"/>
      <c r="J100" s="23"/>
      <c r="K100" s="23"/>
      <c r="L100" s="23"/>
      <c r="M100" s="17"/>
      <c r="P100" s="55"/>
      <c r="Q100" s="55"/>
      <c r="R100" s="55"/>
      <c r="S100" s="55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6.95" customHeight="1" x14ac:dyDescent="0.25">
      <c r="D101" s="3"/>
      <c r="E101" s="4"/>
      <c r="F101" s="4"/>
      <c r="G101" s="4"/>
      <c r="H101" s="4"/>
      <c r="I101" s="4"/>
      <c r="J101" s="13"/>
      <c r="K101" s="13"/>
      <c r="L101" s="13"/>
      <c r="M101" s="5"/>
      <c r="P101" s="55"/>
      <c r="Q101" s="55"/>
      <c r="R101" s="55"/>
      <c r="S101" s="55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 s="54">
        <v>0</v>
      </c>
      <c r="B102" s="54">
        <v>0</v>
      </c>
      <c r="C102" s="55">
        <f>IF(AND(ISNUMBER(J102),ISNUMBER(L102)),1,0)</f>
        <v>0</v>
      </c>
      <c r="D102" s="136"/>
      <c r="E102" s="137"/>
      <c r="F102" s="2"/>
      <c r="G102" s="7"/>
      <c r="H102" s="2"/>
      <c r="I102" s="2"/>
      <c r="J102" s="14"/>
      <c r="K102" s="81"/>
      <c r="L102" s="14"/>
      <c r="M102" s="8"/>
      <c r="N102" s="54" t="e">
        <f>VLOOKUP(A102,$AT$4:$BM$13,13,FALSE)</f>
        <v>#N/A</v>
      </c>
      <c r="O102" s="54" t="e">
        <f>VLOOKUP(B102,$AT$4:$BM$13,13,FALSE)</f>
        <v>#N/A</v>
      </c>
      <c r="P102" s="55" t="e">
        <f>J102*O102</f>
        <v>#N/A</v>
      </c>
      <c r="Q102" s="55" t="e">
        <f>L102*N102</f>
        <v>#N/A</v>
      </c>
      <c r="R102" s="55">
        <f>A102*100+B102</f>
        <v>0</v>
      </c>
      <c r="S102" s="55">
        <f>B102*100+A102</f>
        <v>0</v>
      </c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6.95" customHeight="1" x14ac:dyDescent="0.25">
      <c r="D103" s="6"/>
      <c r="E103" s="19"/>
      <c r="F103" s="2"/>
      <c r="G103" s="7"/>
      <c r="H103" s="2"/>
      <c r="I103" s="2"/>
      <c r="J103" s="81"/>
      <c r="K103" s="81"/>
      <c r="L103" s="81"/>
      <c r="M103" s="8"/>
      <c r="P103" s="55"/>
      <c r="Q103" s="55"/>
      <c r="R103" s="55"/>
      <c r="S103" s="55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 s="54">
        <v>0</v>
      </c>
      <c r="B104" s="54">
        <v>0</v>
      </c>
      <c r="C104" s="55">
        <f>IF(AND(ISNUMBER(J104),ISNUMBER(L104)),1,0)</f>
        <v>0</v>
      </c>
      <c r="D104" s="136"/>
      <c r="E104" s="137"/>
      <c r="F104" s="2"/>
      <c r="G104" s="7"/>
      <c r="H104" s="2"/>
      <c r="I104" s="2"/>
      <c r="J104" s="14"/>
      <c r="K104" s="81"/>
      <c r="L104" s="14"/>
      <c r="M104" s="8"/>
      <c r="N104" s="54" t="e">
        <f>VLOOKUP(A104,$AT$4:$BM$13,13,FALSE)</f>
        <v>#N/A</v>
      </c>
      <c r="O104" s="54" t="e">
        <f>VLOOKUP(B104,$AT$4:$BM$13,13,FALSE)</f>
        <v>#N/A</v>
      </c>
      <c r="P104" s="55" t="e">
        <f>J104*O104</f>
        <v>#N/A</v>
      </c>
      <c r="Q104" s="55" t="e">
        <f>L104*N104</f>
        <v>#N/A</v>
      </c>
      <c r="R104" s="55">
        <f>A104*100+B104</f>
        <v>0</v>
      </c>
      <c r="S104" s="55">
        <f>B104*100+A104</f>
        <v>0</v>
      </c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6.95" customHeight="1" x14ac:dyDescent="0.25">
      <c r="D105" s="6"/>
      <c r="E105" s="19"/>
      <c r="F105" s="2"/>
      <c r="G105" s="7"/>
      <c r="H105" s="2"/>
      <c r="I105" s="2"/>
      <c r="J105" s="81"/>
      <c r="K105" s="81"/>
      <c r="L105" s="81"/>
      <c r="M105" s="8"/>
      <c r="P105" s="55"/>
      <c r="Q105" s="55"/>
      <c r="R105" s="55"/>
      <c r="S105" s="5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 s="54">
        <v>0</v>
      </c>
      <c r="B106" s="54">
        <v>0</v>
      </c>
      <c r="C106" s="55">
        <f>IF(AND(ISNUMBER(J106),ISNUMBER(L106)),1,0)</f>
        <v>0</v>
      </c>
      <c r="D106" s="136"/>
      <c r="E106" s="137"/>
      <c r="F106" s="2"/>
      <c r="G106" s="7"/>
      <c r="H106" s="2"/>
      <c r="I106" s="2"/>
      <c r="J106" s="14"/>
      <c r="K106" s="81"/>
      <c r="L106" s="14"/>
      <c r="M106" s="8"/>
      <c r="N106" s="54" t="e">
        <f>VLOOKUP(A106,$AT$4:$BM$13,13,FALSE)</f>
        <v>#N/A</v>
      </c>
      <c r="O106" s="54" t="e">
        <f>VLOOKUP(B106,$AT$4:$BM$13,13,FALSE)</f>
        <v>#N/A</v>
      </c>
      <c r="P106" s="55" t="e">
        <f>J106*O106</f>
        <v>#N/A</v>
      </c>
      <c r="Q106" s="55" t="e">
        <f>L106*N106</f>
        <v>#N/A</v>
      </c>
      <c r="R106" s="55">
        <f>A106*100+B106</f>
        <v>0</v>
      </c>
      <c r="S106" s="55">
        <f>B106*100+A106</f>
        <v>0</v>
      </c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6.95" customHeight="1" x14ac:dyDescent="0.25">
      <c r="D107" s="6"/>
      <c r="E107" s="19"/>
      <c r="F107" s="2"/>
      <c r="G107" s="7"/>
      <c r="H107" s="2"/>
      <c r="I107" s="2"/>
      <c r="J107" s="81"/>
      <c r="K107" s="81"/>
      <c r="L107" s="81"/>
      <c r="M107" s="8"/>
      <c r="P107" s="55"/>
      <c r="Q107" s="55"/>
      <c r="R107" s="55"/>
      <c r="S107" s="55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 s="54">
        <v>0</v>
      </c>
      <c r="B108" s="54">
        <v>0</v>
      </c>
      <c r="C108" s="55">
        <f>IF(AND(ISNUMBER(J108),ISNUMBER(L108)),1,0)</f>
        <v>0</v>
      </c>
      <c r="D108" s="136"/>
      <c r="E108" s="137"/>
      <c r="F108" s="2"/>
      <c r="G108" s="7"/>
      <c r="H108" s="2"/>
      <c r="I108" s="2"/>
      <c r="J108" s="14"/>
      <c r="K108" s="81"/>
      <c r="L108" s="14"/>
      <c r="M108" s="8"/>
      <c r="N108" s="54" t="e">
        <f>VLOOKUP(A108,$AT$4:$BM$13,13,FALSE)</f>
        <v>#N/A</v>
      </c>
      <c r="O108" s="54" t="e">
        <f>VLOOKUP(B108,$AT$4:$BM$13,13,FALSE)</f>
        <v>#N/A</v>
      </c>
      <c r="P108" s="55" t="e">
        <f>J108*O108</f>
        <v>#N/A</v>
      </c>
      <c r="Q108" s="55" t="e">
        <f>L108*N108</f>
        <v>#N/A</v>
      </c>
      <c r="R108" s="55">
        <f>A108*100+B108</f>
        <v>0</v>
      </c>
      <c r="S108" s="55">
        <f>B108*100+A108</f>
        <v>0</v>
      </c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6.95" customHeight="1" x14ac:dyDescent="0.25">
      <c r="D109" s="6"/>
      <c r="E109" s="19"/>
      <c r="F109" s="2"/>
      <c r="G109" s="7"/>
      <c r="H109" s="2"/>
      <c r="I109" s="2"/>
      <c r="J109" s="81"/>
      <c r="K109" s="81"/>
      <c r="L109" s="81"/>
      <c r="M109" s="8"/>
      <c r="P109" s="55"/>
      <c r="Q109" s="55"/>
      <c r="R109" s="55"/>
      <c r="S109" s="55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 s="54">
        <v>0</v>
      </c>
      <c r="B110" s="54">
        <v>0</v>
      </c>
      <c r="C110" s="55">
        <f>IF(AND(ISNUMBER(J110),ISNUMBER(L110)),1,0)</f>
        <v>0</v>
      </c>
      <c r="D110" s="136"/>
      <c r="E110" s="137"/>
      <c r="F110" s="2"/>
      <c r="G110" s="7"/>
      <c r="H110" s="2"/>
      <c r="I110" s="2"/>
      <c r="J110" s="14"/>
      <c r="K110" s="81"/>
      <c r="L110" s="14"/>
      <c r="M110" s="8"/>
      <c r="N110" s="54" t="e">
        <f>VLOOKUP(A110,$AT$4:$BM$13,13,FALSE)</f>
        <v>#N/A</v>
      </c>
      <c r="O110" s="54" t="e">
        <f>VLOOKUP(B110,$AT$4:$BM$13,13,FALSE)</f>
        <v>#N/A</v>
      </c>
      <c r="P110" s="55" t="e">
        <f>J110*O110</f>
        <v>#N/A</v>
      </c>
      <c r="Q110" s="55" t="e">
        <f>L110*N110</f>
        <v>#N/A</v>
      </c>
      <c r="R110" s="55">
        <f>A110*100+B110</f>
        <v>0</v>
      </c>
      <c r="S110" s="55">
        <f>B110*100+A110</f>
        <v>0</v>
      </c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6.95" customHeight="1" x14ac:dyDescent="0.25">
      <c r="D111" s="9"/>
      <c r="E111" s="10"/>
      <c r="F111" s="10"/>
      <c r="G111" s="10"/>
      <c r="H111" s="10"/>
      <c r="I111" s="10"/>
      <c r="J111" s="79"/>
      <c r="K111" s="79"/>
      <c r="L111" s="79"/>
      <c r="M111" s="11"/>
      <c r="P111" s="55"/>
      <c r="Q111" s="55"/>
      <c r="R111" s="55"/>
      <c r="S111" s="55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24.95" customHeight="1" x14ac:dyDescent="0.25">
      <c r="P112" s="55"/>
      <c r="Q112" s="55"/>
      <c r="R112" s="55"/>
      <c r="S112" s="55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24.95" customHeight="1" x14ac:dyDescent="0.25">
      <c r="P113" s="55"/>
      <c r="Q113" s="55"/>
      <c r="R113" s="55"/>
      <c r="S113" s="55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D114" s="21" t="s">
        <v>8</v>
      </c>
      <c r="E114" s="22"/>
      <c r="F114" s="41" t="s">
        <v>7</v>
      </c>
      <c r="G114" s="42">
        <v>8</v>
      </c>
      <c r="H114" s="23" t="str">
        <f>$E$1</f>
        <v>GROEP A</v>
      </c>
      <c r="I114" s="22"/>
      <c r="J114" s="23"/>
      <c r="K114" s="23"/>
      <c r="L114" s="23"/>
      <c r="M114" s="17"/>
      <c r="P114" s="55"/>
      <c r="Q114" s="55"/>
      <c r="R114" s="55"/>
      <c r="S114" s="55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6.95" customHeight="1" x14ac:dyDescent="0.25">
      <c r="D115" s="3"/>
      <c r="E115" s="4"/>
      <c r="F115" s="4"/>
      <c r="G115" s="4"/>
      <c r="H115" s="4"/>
      <c r="I115" s="4"/>
      <c r="J115" s="13"/>
      <c r="K115" s="13"/>
      <c r="L115" s="13"/>
      <c r="M115" s="5"/>
      <c r="P115" s="55"/>
      <c r="Q115" s="55"/>
      <c r="R115" s="55"/>
      <c r="S115" s="5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 s="54">
        <v>0</v>
      </c>
      <c r="B116" s="54">
        <v>0</v>
      </c>
      <c r="C116" s="55">
        <f>IF(AND(ISNUMBER(J116),ISNUMBER(L116)),1,0)</f>
        <v>0</v>
      </c>
      <c r="D116" s="136"/>
      <c r="E116" s="137"/>
      <c r="F116" s="2"/>
      <c r="G116" s="7"/>
      <c r="H116" s="2"/>
      <c r="I116" s="2"/>
      <c r="J116" s="14"/>
      <c r="K116" s="81"/>
      <c r="L116" s="14"/>
      <c r="M116" s="8"/>
      <c r="N116" s="54" t="e">
        <f>VLOOKUP(A116,$AT$4:$BM$13,15,FALSE)</f>
        <v>#N/A</v>
      </c>
      <c r="O116" s="54" t="e">
        <f>VLOOKUP(B116,$AT$4:$BM$13,15,FALSE)</f>
        <v>#N/A</v>
      </c>
      <c r="P116" s="55" t="e">
        <f>J116*O116</f>
        <v>#N/A</v>
      </c>
      <c r="Q116" s="55" t="e">
        <f>L116*N116</f>
        <v>#N/A</v>
      </c>
      <c r="R116" s="55">
        <f>A116*100+B116</f>
        <v>0</v>
      </c>
      <c r="S116" s="55">
        <f>B116*100+A116</f>
        <v>0</v>
      </c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6.95" customHeight="1" x14ac:dyDescent="0.25">
      <c r="D117" s="6"/>
      <c r="E117" s="19"/>
      <c r="F117" s="2"/>
      <c r="G117" s="7"/>
      <c r="H117" s="2"/>
      <c r="I117" s="2"/>
      <c r="J117" s="81"/>
      <c r="K117" s="81"/>
      <c r="L117" s="81"/>
      <c r="M117" s="8"/>
      <c r="P117" s="55"/>
      <c r="Q117" s="55"/>
      <c r="R117" s="55"/>
      <c r="S117" s="55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 s="54">
        <v>0</v>
      </c>
      <c r="B118" s="54">
        <v>0</v>
      </c>
      <c r="C118" s="55">
        <f>IF(AND(ISNUMBER(J118),ISNUMBER(L118)),1,0)</f>
        <v>0</v>
      </c>
      <c r="D118" s="136"/>
      <c r="E118" s="137"/>
      <c r="F118" s="2"/>
      <c r="G118" s="7"/>
      <c r="H118" s="2"/>
      <c r="I118" s="2"/>
      <c r="J118" s="14"/>
      <c r="K118" s="81"/>
      <c r="L118" s="14"/>
      <c r="M118" s="8"/>
      <c r="N118" s="54" t="e">
        <f>VLOOKUP(A118,$AT$4:$BM$13,15,FALSE)</f>
        <v>#N/A</v>
      </c>
      <c r="O118" s="54" t="e">
        <f>VLOOKUP(B118,$AT$4:$BM$13,15,FALSE)</f>
        <v>#N/A</v>
      </c>
      <c r="P118" s="55" t="e">
        <f>J118*O118</f>
        <v>#N/A</v>
      </c>
      <c r="Q118" s="55" t="e">
        <f>L118*N118</f>
        <v>#N/A</v>
      </c>
      <c r="R118" s="55">
        <f>A118*100+B118</f>
        <v>0</v>
      </c>
      <c r="S118" s="55">
        <f>B118*100+A118</f>
        <v>0</v>
      </c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6.95" customHeight="1" x14ac:dyDescent="0.25">
      <c r="D119" s="6"/>
      <c r="E119" s="19"/>
      <c r="F119" s="2"/>
      <c r="G119" s="7"/>
      <c r="H119" s="2"/>
      <c r="I119" s="2"/>
      <c r="J119" s="81"/>
      <c r="K119" s="81"/>
      <c r="L119" s="81"/>
      <c r="M119" s="8"/>
      <c r="P119" s="55"/>
      <c r="Q119" s="55"/>
      <c r="R119" s="55"/>
      <c r="S119" s="55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 s="54">
        <v>0</v>
      </c>
      <c r="B120" s="54">
        <v>0</v>
      </c>
      <c r="C120" s="55">
        <f>IF(AND(ISNUMBER(J120),ISNUMBER(L120)),1,0)</f>
        <v>0</v>
      </c>
      <c r="D120" s="136"/>
      <c r="E120" s="137"/>
      <c r="F120" s="2"/>
      <c r="G120" s="7"/>
      <c r="H120" s="2"/>
      <c r="I120" s="2"/>
      <c r="J120" s="14"/>
      <c r="K120" s="81"/>
      <c r="L120" s="14"/>
      <c r="M120" s="8"/>
      <c r="N120" s="54" t="e">
        <f>VLOOKUP(A120,$AT$4:$BM$13,15,FALSE)</f>
        <v>#N/A</v>
      </c>
      <c r="O120" s="54" t="e">
        <f>VLOOKUP(B120,$AT$4:$BM$13,15,FALSE)</f>
        <v>#N/A</v>
      </c>
      <c r="P120" s="55" t="e">
        <f>J120*O120</f>
        <v>#N/A</v>
      </c>
      <c r="Q120" s="55" t="e">
        <f>L120*N120</f>
        <v>#N/A</v>
      </c>
      <c r="R120" s="55">
        <f>A120*100+B120</f>
        <v>0</v>
      </c>
      <c r="S120" s="55">
        <f>B120*100+A120</f>
        <v>0</v>
      </c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6.95" customHeight="1" x14ac:dyDescent="0.25">
      <c r="D121" s="6"/>
      <c r="E121" s="19"/>
      <c r="F121" s="2"/>
      <c r="G121" s="7"/>
      <c r="H121" s="2"/>
      <c r="I121" s="2"/>
      <c r="J121" s="81"/>
      <c r="K121" s="81"/>
      <c r="L121" s="81"/>
      <c r="M121" s="8"/>
      <c r="P121" s="55"/>
      <c r="Q121" s="55"/>
      <c r="R121" s="55"/>
      <c r="S121" s="55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 s="54">
        <v>0</v>
      </c>
      <c r="B122" s="54">
        <v>0</v>
      </c>
      <c r="C122" s="55">
        <f>IF(AND(ISNUMBER(J122),ISNUMBER(L122)),1,0)</f>
        <v>0</v>
      </c>
      <c r="D122" s="136"/>
      <c r="E122" s="137"/>
      <c r="F122" s="2"/>
      <c r="G122" s="7"/>
      <c r="H122" s="2"/>
      <c r="I122" s="2"/>
      <c r="J122" s="14"/>
      <c r="K122" s="81"/>
      <c r="L122" s="14"/>
      <c r="M122" s="8"/>
      <c r="N122" s="54" t="e">
        <f>VLOOKUP(A122,$AT$4:$BM$13,15,FALSE)</f>
        <v>#N/A</v>
      </c>
      <c r="O122" s="54" t="e">
        <f>VLOOKUP(B122,$AT$4:$BM$13,15,FALSE)</f>
        <v>#N/A</v>
      </c>
      <c r="P122" s="55" t="e">
        <f>J122*O122</f>
        <v>#N/A</v>
      </c>
      <c r="Q122" s="55" t="e">
        <f>L122*N122</f>
        <v>#N/A</v>
      </c>
      <c r="R122" s="55">
        <f>A122*100+B122</f>
        <v>0</v>
      </c>
      <c r="S122" s="55">
        <f>B122*100+A122</f>
        <v>0</v>
      </c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6.95" customHeight="1" x14ac:dyDescent="0.25">
      <c r="D123" s="6"/>
      <c r="E123" s="19"/>
      <c r="F123" s="2"/>
      <c r="G123" s="7"/>
      <c r="H123" s="2"/>
      <c r="I123" s="2"/>
      <c r="J123" s="81"/>
      <c r="K123" s="81"/>
      <c r="L123" s="81"/>
      <c r="M123" s="8"/>
      <c r="P123" s="55"/>
      <c r="Q123" s="55"/>
      <c r="R123" s="55"/>
      <c r="S123" s="55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 s="54">
        <v>0</v>
      </c>
      <c r="B124" s="54">
        <v>0</v>
      </c>
      <c r="C124" s="55">
        <f>IF(AND(ISNUMBER(J124),ISNUMBER(L124)),1,0)</f>
        <v>0</v>
      </c>
      <c r="D124" s="136"/>
      <c r="E124" s="137"/>
      <c r="F124" s="2"/>
      <c r="G124" s="7"/>
      <c r="H124" s="2"/>
      <c r="I124" s="2"/>
      <c r="J124" s="14"/>
      <c r="K124" s="81"/>
      <c r="L124" s="14"/>
      <c r="M124" s="8"/>
      <c r="N124" s="54" t="e">
        <f>VLOOKUP(A124,$AT$4:$BM$13,15,FALSE)</f>
        <v>#N/A</v>
      </c>
      <c r="O124" s="54" t="e">
        <f>VLOOKUP(B124,$AT$4:$BM$13,15,FALSE)</f>
        <v>#N/A</v>
      </c>
      <c r="P124" s="55" t="e">
        <f>J124*O124</f>
        <v>#N/A</v>
      </c>
      <c r="Q124" s="55" t="e">
        <f>L124*N124</f>
        <v>#N/A</v>
      </c>
      <c r="R124" s="55">
        <f>A124*100+B124</f>
        <v>0</v>
      </c>
      <c r="S124" s="55">
        <f>B124*100+A124</f>
        <v>0</v>
      </c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6.95" customHeight="1" x14ac:dyDescent="0.25">
      <c r="D125" s="9"/>
      <c r="E125" s="10"/>
      <c r="F125" s="10"/>
      <c r="G125" s="10"/>
      <c r="H125" s="10"/>
      <c r="I125" s="10"/>
      <c r="J125" s="79"/>
      <c r="K125" s="79"/>
      <c r="L125" s="79"/>
      <c r="M125" s="11"/>
      <c r="P125" s="55"/>
      <c r="Q125" s="55"/>
      <c r="R125" s="55"/>
      <c r="S125" s="5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24.95" customHeight="1" x14ac:dyDescent="0.25">
      <c r="P126" s="55"/>
      <c r="Q126" s="55"/>
      <c r="R126" s="55"/>
      <c r="S126" s="55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24.95" customHeight="1" x14ac:dyDescent="0.25">
      <c r="P127" s="55"/>
      <c r="Q127" s="55"/>
      <c r="R127" s="55"/>
      <c r="S127" s="55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D128" s="21" t="s">
        <v>8</v>
      </c>
      <c r="E128" s="22"/>
      <c r="F128" s="41" t="s">
        <v>7</v>
      </c>
      <c r="G128" s="42">
        <v>9</v>
      </c>
      <c r="H128" s="23" t="str">
        <f>$E$1</f>
        <v>GROEP A</v>
      </c>
      <c r="I128" s="22"/>
      <c r="J128" s="23"/>
      <c r="K128" s="23"/>
      <c r="L128" s="23"/>
      <c r="M128" s="17"/>
      <c r="P128" s="55"/>
      <c r="Q128" s="55"/>
      <c r="R128" s="55"/>
      <c r="S128" s="55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6.95" customHeight="1" x14ac:dyDescent="0.25">
      <c r="D129" s="3"/>
      <c r="E129" s="4"/>
      <c r="F129" s="4"/>
      <c r="G129" s="4"/>
      <c r="H129" s="4"/>
      <c r="I129" s="4"/>
      <c r="J129" s="13"/>
      <c r="K129" s="13"/>
      <c r="L129" s="13"/>
      <c r="M129" s="5"/>
      <c r="P129" s="55"/>
      <c r="Q129" s="55"/>
      <c r="R129" s="55"/>
      <c r="S129" s="55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 s="54">
        <v>0</v>
      </c>
      <c r="B130" s="54">
        <v>0</v>
      </c>
      <c r="C130" s="55">
        <f>IF(AND(ISNUMBER(J130),ISNUMBER(L130)),1,0)</f>
        <v>0</v>
      </c>
      <c r="D130" s="136"/>
      <c r="E130" s="137"/>
      <c r="F130" s="2"/>
      <c r="G130" s="7"/>
      <c r="H130" s="2"/>
      <c r="I130" s="2"/>
      <c r="J130" s="14"/>
      <c r="K130" s="81"/>
      <c r="L130" s="14"/>
      <c r="M130" s="8"/>
      <c r="N130" s="54" t="e">
        <f>VLOOKUP(A130,$AT$4:$BM$13,17,FALSE)</f>
        <v>#N/A</v>
      </c>
      <c r="O130" s="54" t="e">
        <f>VLOOKUP(B130,$AT$4:$BM$13,17,FALSE)</f>
        <v>#N/A</v>
      </c>
      <c r="P130" s="55" t="e">
        <f>J130*O130</f>
        <v>#N/A</v>
      </c>
      <c r="Q130" s="55" t="e">
        <f>L130*N130</f>
        <v>#N/A</v>
      </c>
      <c r="R130" s="55">
        <f>A130*100+B130</f>
        <v>0</v>
      </c>
      <c r="S130" s="55">
        <f>B130*100+A130</f>
        <v>0</v>
      </c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6.95" customHeight="1" x14ac:dyDescent="0.25">
      <c r="D131" s="6"/>
      <c r="E131" s="19"/>
      <c r="F131" s="2"/>
      <c r="G131" s="7"/>
      <c r="H131" s="2"/>
      <c r="I131" s="2"/>
      <c r="J131" s="81"/>
      <c r="K131" s="81"/>
      <c r="L131" s="81"/>
      <c r="M131" s="8"/>
      <c r="P131" s="55"/>
      <c r="Q131" s="55"/>
      <c r="R131" s="55"/>
      <c r="S131" s="55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 s="54">
        <v>0</v>
      </c>
      <c r="B132" s="54">
        <v>0</v>
      </c>
      <c r="C132" s="55">
        <f>IF(AND(ISNUMBER(J132),ISNUMBER(L132)),1,0)</f>
        <v>0</v>
      </c>
      <c r="D132" s="136"/>
      <c r="E132" s="137"/>
      <c r="F132" s="2"/>
      <c r="G132" s="7"/>
      <c r="H132" s="2"/>
      <c r="I132" s="2"/>
      <c r="J132" s="14"/>
      <c r="K132" s="81"/>
      <c r="L132" s="14"/>
      <c r="M132" s="8"/>
      <c r="N132" s="54" t="e">
        <f>VLOOKUP(A132,$AT$4:$BM$13,17,FALSE)</f>
        <v>#N/A</v>
      </c>
      <c r="O132" s="54" t="e">
        <f>VLOOKUP(B132,$AT$4:$BM$13,17,FALSE)</f>
        <v>#N/A</v>
      </c>
      <c r="P132" s="55" t="e">
        <f>J132*O132</f>
        <v>#N/A</v>
      </c>
      <c r="Q132" s="55" t="e">
        <f>L132*N132</f>
        <v>#N/A</v>
      </c>
      <c r="R132" s="55">
        <f>A132*100+B132</f>
        <v>0</v>
      </c>
      <c r="S132" s="55">
        <f>B132*100+A132</f>
        <v>0</v>
      </c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6.95" customHeight="1" x14ac:dyDescent="0.25">
      <c r="D133" s="6"/>
      <c r="E133" s="19"/>
      <c r="F133" s="2"/>
      <c r="G133" s="7"/>
      <c r="H133" s="2"/>
      <c r="I133" s="2"/>
      <c r="J133" s="81"/>
      <c r="K133" s="81"/>
      <c r="L133" s="81"/>
      <c r="M133" s="8"/>
      <c r="P133" s="55"/>
      <c r="Q133" s="55"/>
      <c r="R133" s="55"/>
      <c r="S133" s="55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 s="54">
        <v>0</v>
      </c>
      <c r="B134" s="54">
        <v>0</v>
      </c>
      <c r="C134" s="55">
        <f>IF(AND(ISNUMBER(J134),ISNUMBER(L134)),1,0)</f>
        <v>0</v>
      </c>
      <c r="D134" s="136"/>
      <c r="E134" s="137"/>
      <c r="F134" s="2"/>
      <c r="G134" s="7"/>
      <c r="H134" s="2"/>
      <c r="I134" s="2"/>
      <c r="J134" s="14"/>
      <c r="K134" s="81"/>
      <c r="L134" s="14"/>
      <c r="M134" s="8"/>
      <c r="N134" s="54" t="e">
        <f>VLOOKUP(A134,$AT$4:$BM$13,17,FALSE)</f>
        <v>#N/A</v>
      </c>
      <c r="O134" s="54" t="e">
        <f>VLOOKUP(B134,$AT$4:$BM$13,17,FALSE)</f>
        <v>#N/A</v>
      </c>
      <c r="P134" s="55" t="e">
        <f>J134*O134</f>
        <v>#N/A</v>
      </c>
      <c r="Q134" s="55" t="e">
        <f>L134*N134</f>
        <v>#N/A</v>
      </c>
      <c r="R134" s="55">
        <f>A134*100+B134</f>
        <v>0</v>
      </c>
      <c r="S134" s="55">
        <f>B134*100+A134</f>
        <v>0</v>
      </c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6.95" customHeight="1" x14ac:dyDescent="0.25">
      <c r="D135" s="6"/>
      <c r="E135" s="19"/>
      <c r="F135" s="2"/>
      <c r="G135" s="7"/>
      <c r="H135" s="2"/>
      <c r="I135" s="2"/>
      <c r="J135" s="81"/>
      <c r="K135" s="81"/>
      <c r="L135" s="81"/>
      <c r="M135" s="8"/>
      <c r="P135" s="55"/>
      <c r="Q135" s="55"/>
      <c r="R135" s="55"/>
      <c r="S135" s="5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 s="54">
        <v>0</v>
      </c>
      <c r="B136" s="54">
        <v>0</v>
      </c>
      <c r="C136" s="55">
        <f>IF(AND(ISNUMBER(J136),ISNUMBER(L136)),1,0)</f>
        <v>0</v>
      </c>
      <c r="D136" s="136"/>
      <c r="E136" s="137"/>
      <c r="F136" s="2"/>
      <c r="G136" s="7"/>
      <c r="H136" s="2"/>
      <c r="I136" s="2"/>
      <c r="J136" s="14"/>
      <c r="K136" s="81"/>
      <c r="L136" s="14"/>
      <c r="M136" s="8"/>
      <c r="N136" s="54" t="e">
        <f>VLOOKUP(A136,$AT$4:$BM$13,17,FALSE)</f>
        <v>#N/A</v>
      </c>
      <c r="O136" s="54" t="e">
        <f>VLOOKUP(B136,$AT$4:$BM$13,17,FALSE)</f>
        <v>#N/A</v>
      </c>
      <c r="P136" s="55" t="e">
        <f>J136*O136</f>
        <v>#N/A</v>
      </c>
      <c r="Q136" s="55" t="e">
        <f>L136*N136</f>
        <v>#N/A</v>
      </c>
      <c r="R136" s="55">
        <f>A136*100+B136</f>
        <v>0</v>
      </c>
      <c r="S136" s="55">
        <f>B136*100+A136</f>
        <v>0</v>
      </c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6.95" customHeight="1" x14ac:dyDescent="0.25">
      <c r="D137" s="6"/>
      <c r="E137" s="19"/>
      <c r="F137" s="2"/>
      <c r="G137" s="7"/>
      <c r="H137" s="2"/>
      <c r="I137" s="2"/>
      <c r="J137" s="81"/>
      <c r="K137" s="81"/>
      <c r="L137" s="81"/>
      <c r="M137" s="8"/>
      <c r="P137" s="55"/>
      <c r="Q137" s="55"/>
      <c r="R137" s="55"/>
      <c r="S137" s="55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 s="54">
        <v>0</v>
      </c>
      <c r="B138" s="54">
        <v>0</v>
      </c>
      <c r="C138" s="55">
        <f>IF(AND(ISNUMBER(J138),ISNUMBER(L138)),1,0)</f>
        <v>0</v>
      </c>
      <c r="D138" s="136"/>
      <c r="E138" s="137"/>
      <c r="F138" s="2"/>
      <c r="G138" s="7"/>
      <c r="H138" s="2"/>
      <c r="I138" s="2"/>
      <c r="J138" s="14"/>
      <c r="K138" s="81"/>
      <c r="L138" s="14"/>
      <c r="M138" s="8"/>
      <c r="N138" s="54" t="e">
        <f>VLOOKUP(A138,$AT$4:$BM$13,17,FALSE)</f>
        <v>#N/A</v>
      </c>
      <c r="O138" s="54" t="e">
        <f>VLOOKUP(B138,$AT$4:$BM$13,17,FALSE)</f>
        <v>#N/A</v>
      </c>
      <c r="P138" s="55" t="e">
        <f>J138*O138</f>
        <v>#N/A</v>
      </c>
      <c r="Q138" s="55" t="e">
        <f>L138*N138</f>
        <v>#N/A</v>
      </c>
      <c r="R138" s="55">
        <f>A138*100+B138</f>
        <v>0</v>
      </c>
      <c r="S138" s="55">
        <f>B138*100+A138</f>
        <v>0</v>
      </c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6.95" customHeight="1" x14ac:dyDescent="0.25">
      <c r="D139" s="9"/>
      <c r="E139" s="10"/>
      <c r="F139" s="10"/>
      <c r="G139" s="10"/>
      <c r="H139" s="10"/>
      <c r="I139" s="10"/>
      <c r="J139" s="79"/>
      <c r="K139" s="79"/>
      <c r="L139" s="79"/>
      <c r="M139" s="11"/>
    </row>
  </sheetData>
  <sortState ref="V4:AB11">
    <sortCondition descending="1" ref="X4:X11"/>
    <sortCondition descending="1" ref="Y4:Y11"/>
    <sortCondition descending="1" ref="Z4:Z11"/>
    <sortCondition descending="1" ref="AA4:AA11"/>
  </sortState>
  <mergeCells count="77">
    <mergeCell ref="E1:L1"/>
    <mergeCell ref="U1:AA1"/>
    <mergeCell ref="U2:U3"/>
    <mergeCell ref="V2:V3"/>
    <mergeCell ref="W2:W3"/>
    <mergeCell ref="X2:X3"/>
    <mergeCell ref="Y2:Y3"/>
    <mergeCell ref="Z2:Z3"/>
    <mergeCell ref="AA2:AA3"/>
    <mergeCell ref="I3:L3"/>
    <mergeCell ref="BK2:BL2"/>
    <mergeCell ref="BS2:CC2"/>
    <mergeCell ref="AB2:AB3"/>
    <mergeCell ref="AU2:AV2"/>
    <mergeCell ref="AW2:AX2"/>
    <mergeCell ref="AY2:AZ2"/>
    <mergeCell ref="BA2:BB2"/>
    <mergeCell ref="I9:L9"/>
    <mergeCell ref="BC2:BD2"/>
    <mergeCell ref="BE2:BF2"/>
    <mergeCell ref="BG2:BH2"/>
    <mergeCell ref="BI2:BJ2"/>
    <mergeCell ref="I4:L4"/>
    <mergeCell ref="I5:L5"/>
    <mergeCell ref="I6:L6"/>
    <mergeCell ref="I7:L7"/>
    <mergeCell ref="I8:L8"/>
    <mergeCell ref="D36:E36"/>
    <mergeCell ref="I10:L10"/>
    <mergeCell ref="I11:L11"/>
    <mergeCell ref="I12:L12"/>
    <mergeCell ref="I13:L13"/>
    <mergeCell ref="D18:E18"/>
    <mergeCell ref="D20:E20"/>
    <mergeCell ref="D22:E22"/>
    <mergeCell ref="D24:E24"/>
    <mergeCell ref="D26:E26"/>
    <mergeCell ref="D32:E32"/>
    <mergeCell ref="D34:E34"/>
    <mergeCell ref="D68:E68"/>
    <mergeCell ref="D38:E38"/>
    <mergeCell ref="D40:E40"/>
    <mergeCell ref="D46:E46"/>
    <mergeCell ref="D48:E48"/>
    <mergeCell ref="D50:E50"/>
    <mergeCell ref="D52:E52"/>
    <mergeCell ref="D54:E54"/>
    <mergeCell ref="D60:E60"/>
    <mergeCell ref="D62:E62"/>
    <mergeCell ref="D64:E64"/>
    <mergeCell ref="D66:E66"/>
    <mergeCell ref="D94:E94"/>
    <mergeCell ref="D96:E96"/>
    <mergeCell ref="D102:E102"/>
    <mergeCell ref="D104:E104"/>
    <mergeCell ref="D74:E74"/>
    <mergeCell ref="D76:E76"/>
    <mergeCell ref="D78:E78"/>
    <mergeCell ref="D80:E80"/>
    <mergeCell ref="D82:E82"/>
    <mergeCell ref="D88:E88"/>
    <mergeCell ref="D138:E138"/>
    <mergeCell ref="AF2:AM2"/>
    <mergeCell ref="D122:E122"/>
    <mergeCell ref="D124:E124"/>
    <mergeCell ref="D130:E130"/>
    <mergeCell ref="D132:E132"/>
    <mergeCell ref="D134:E134"/>
    <mergeCell ref="D136:E136"/>
    <mergeCell ref="D106:E106"/>
    <mergeCell ref="D108:E108"/>
    <mergeCell ref="D110:E110"/>
    <mergeCell ref="D116:E116"/>
    <mergeCell ref="D118:E118"/>
    <mergeCell ref="D120:E120"/>
    <mergeCell ref="D90:E90"/>
    <mergeCell ref="D92:E92"/>
  </mergeCells>
  <conditionalFormatting sqref="AT14:BP14">
    <cfRule type="cellIs" dxfId="3" priority="1" stopIfTrue="1" operator="equal">
      <formula>"NOK"</formula>
    </cfRule>
    <cfRule type="cellIs" dxfId="2" priority="2" stopIfTrue="1" operator="equal">
      <formula>"OK"</formula>
    </cfRule>
  </conditionalFormatting>
  <pageMargins left="0.7" right="0.7" top="0.75" bottom="0.75" header="0.3" footer="0.3"/>
  <pageSetup paperSize="9" scale="97" fitToHeight="0" orientation="portrait" horizontalDpi="4294967293" verticalDpi="4294967293" r:id="rId1"/>
  <rowBreaks count="3" manualBreakCount="3">
    <brk id="14" min="3" max="12" man="1"/>
    <brk id="70" min="3" max="12" man="1"/>
    <brk id="126" min="3" max="12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pageSetUpPr fitToPage="1"/>
  </sheetPr>
  <dimension ref="A1:CC139"/>
  <sheetViews>
    <sheetView view="pageBreakPreview" zoomScale="80" zoomScaleNormal="90" zoomScaleSheetLayoutView="80" workbookViewId="0">
      <selection activeCell="A8" sqref="A8"/>
    </sheetView>
  </sheetViews>
  <sheetFormatPr defaultRowHeight="15" x14ac:dyDescent="0.25"/>
  <cols>
    <col min="1" max="1" width="4.42578125" style="54" customWidth="1"/>
    <col min="2" max="2" width="2.85546875" style="54" customWidth="1"/>
    <col min="3" max="3" width="2" style="55" customWidth="1"/>
    <col min="4" max="4" width="4.28515625" customWidth="1"/>
    <col min="5" max="5" width="3" bestFit="1" customWidth="1"/>
    <col min="6" max="6" width="27.28515625" bestFit="1" customWidth="1"/>
    <col min="7" max="7" width="2" bestFit="1" customWidth="1"/>
    <col min="8" max="8" width="27.28515625" bestFit="1" customWidth="1"/>
    <col min="9" max="9" width="4.7109375" customWidth="1"/>
    <col min="10" max="10" width="4.7109375" style="80" customWidth="1"/>
    <col min="11" max="11" width="1.7109375" style="80" customWidth="1"/>
    <col min="12" max="12" width="4.7109375" style="80" customWidth="1"/>
    <col min="13" max="13" width="1.5703125" customWidth="1"/>
    <col min="14" max="14" width="4.85546875" style="54" customWidth="1"/>
    <col min="15" max="17" width="4.28515625" style="54" customWidth="1"/>
    <col min="18" max="19" width="5" style="54" bestFit="1" customWidth="1"/>
    <col min="20" max="20" width="4.28515625" style="80" customWidth="1"/>
    <col min="21" max="21" width="7.140625" style="80" bestFit="1" customWidth="1"/>
    <col min="22" max="22" width="3.85546875" style="80" bestFit="1" customWidth="1"/>
    <col min="23" max="23" width="30.28515625" style="80" bestFit="1" customWidth="1"/>
    <col min="24" max="28" width="9.7109375" style="80" customWidth="1"/>
    <col min="29" max="29" width="1.5703125" style="80" customWidth="1"/>
    <col min="30" max="31" width="4.28515625" style="80" customWidth="1"/>
    <col min="32" max="32" width="27.28515625" style="80" bestFit="1" customWidth="1"/>
    <col min="33" max="45" width="4.28515625" style="80" customWidth="1"/>
    <col min="46" max="46" width="2.85546875" customWidth="1"/>
    <col min="47" max="64" width="3.7109375" customWidth="1"/>
    <col min="65" max="65" width="5.28515625" customWidth="1"/>
    <col min="66" max="69" width="7" customWidth="1"/>
    <col min="71" max="85" width="4.7109375" customWidth="1"/>
  </cols>
  <sheetData>
    <row r="1" spans="1:81" ht="15.75" thickBot="1" x14ac:dyDescent="0.3">
      <c r="E1" s="113" t="s">
        <v>49</v>
      </c>
      <c r="F1" s="113"/>
      <c r="G1" s="113"/>
      <c r="H1" s="113"/>
      <c r="I1" s="113"/>
      <c r="J1" s="113"/>
      <c r="K1" s="113"/>
      <c r="L1" s="113"/>
      <c r="U1" s="114" t="str">
        <f>$E$1</f>
        <v>GROEP A</v>
      </c>
      <c r="V1" s="114"/>
      <c r="W1" s="114"/>
      <c r="X1" s="114"/>
      <c r="Y1" s="115"/>
      <c r="Z1" s="115"/>
      <c r="AA1" s="115"/>
      <c r="AB1" s="78"/>
    </row>
    <row r="2" spans="1:81" ht="15" customHeight="1" thickTop="1" thickBot="1" x14ac:dyDescent="0.3">
      <c r="U2" s="116" t="s">
        <v>20</v>
      </c>
      <c r="V2" s="118"/>
      <c r="W2" s="120" t="s">
        <v>6</v>
      </c>
      <c r="X2" s="122" t="s">
        <v>4</v>
      </c>
      <c r="Y2" s="124" t="s">
        <v>22</v>
      </c>
      <c r="Z2" s="126" t="s">
        <v>21</v>
      </c>
      <c r="AA2" s="126" t="s">
        <v>23</v>
      </c>
      <c r="AB2" s="132" t="s">
        <v>37</v>
      </c>
      <c r="AF2" s="134" t="str">
        <f>CONCATENATE("Resultaatmatrix ",$E$1)</f>
        <v>Resultaatmatrix GROEP A</v>
      </c>
      <c r="AG2" s="134"/>
      <c r="AH2" s="134"/>
      <c r="AI2" s="134"/>
      <c r="AJ2" s="134"/>
      <c r="AK2" s="134"/>
      <c r="AL2" s="112"/>
      <c r="AM2" s="112"/>
      <c r="AN2" s="112"/>
      <c r="AO2" s="112"/>
      <c r="AP2" s="112"/>
      <c r="AQ2" s="112"/>
      <c r="AR2" s="81"/>
      <c r="AS2" s="81"/>
      <c r="AT2" t="s">
        <v>0</v>
      </c>
      <c r="AU2" s="135">
        <v>1</v>
      </c>
      <c r="AV2" s="135"/>
      <c r="AW2" s="135">
        <v>2</v>
      </c>
      <c r="AX2" s="135"/>
      <c r="AY2" s="135">
        <v>3</v>
      </c>
      <c r="AZ2" s="135"/>
      <c r="BA2" s="135">
        <v>4</v>
      </c>
      <c r="BB2" s="135"/>
      <c r="BC2" s="135">
        <v>5</v>
      </c>
      <c r="BD2" s="135"/>
      <c r="BE2" s="135">
        <v>6</v>
      </c>
      <c r="BF2" s="135"/>
      <c r="BG2" s="135">
        <v>7</v>
      </c>
      <c r="BH2" s="135"/>
      <c r="BI2" s="135">
        <v>8</v>
      </c>
      <c r="BJ2" s="135"/>
      <c r="BK2" s="135">
        <v>9</v>
      </c>
      <c r="BL2" s="135"/>
      <c r="BM2" t="s">
        <v>19</v>
      </c>
      <c r="BN2" t="s">
        <v>2</v>
      </c>
      <c r="BO2" t="s">
        <v>3</v>
      </c>
      <c r="BP2" t="s">
        <v>16</v>
      </c>
      <c r="BS2" s="131" t="s">
        <v>25</v>
      </c>
      <c r="BT2" s="131"/>
      <c r="BU2" s="131"/>
      <c r="BV2" s="131"/>
      <c r="BW2" s="131"/>
      <c r="BX2" s="131"/>
      <c r="BY2" s="131"/>
      <c r="BZ2" s="131"/>
      <c r="CA2" s="131"/>
      <c r="CB2" s="131"/>
      <c r="CC2" s="131"/>
    </row>
    <row r="3" spans="1:81" ht="16.5" thickTop="1" thickBot="1" x14ac:dyDescent="0.3">
      <c r="E3" s="44"/>
      <c r="F3" s="63" t="s">
        <v>6</v>
      </c>
      <c r="G3" s="64"/>
      <c r="H3" s="63" t="s">
        <v>36</v>
      </c>
      <c r="I3" s="128" t="s">
        <v>37</v>
      </c>
      <c r="J3" s="129"/>
      <c r="K3" s="129"/>
      <c r="L3" s="130"/>
      <c r="U3" s="117"/>
      <c r="V3" s="119"/>
      <c r="W3" s="121"/>
      <c r="X3" s="123"/>
      <c r="Y3" s="125"/>
      <c r="Z3" s="127"/>
      <c r="AA3" s="127"/>
      <c r="AB3" s="133"/>
      <c r="AF3" s="57"/>
      <c r="AG3" s="57"/>
      <c r="AH3" s="57">
        <v>1</v>
      </c>
      <c r="AI3" s="57">
        <v>2</v>
      </c>
      <c r="AJ3" s="57">
        <v>3</v>
      </c>
      <c r="AK3" s="57">
        <v>4</v>
      </c>
      <c r="AL3" s="78"/>
      <c r="AM3" s="78"/>
      <c r="AN3" s="87"/>
      <c r="AO3" s="87"/>
      <c r="AP3" s="78"/>
      <c r="AQ3" s="78"/>
      <c r="AR3" s="78"/>
      <c r="AS3" s="78"/>
      <c r="AU3" s="26" t="s">
        <v>10</v>
      </c>
      <c r="AV3" s="26" t="s">
        <v>11</v>
      </c>
      <c r="AW3" s="26" t="s">
        <v>10</v>
      </c>
      <c r="AX3" s="26" t="s">
        <v>11</v>
      </c>
      <c r="AY3" s="26" t="s">
        <v>10</v>
      </c>
      <c r="AZ3" s="26" t="s">
        <v>11</v>
      </c>
      <c r="BA3" s="26" t="s">
        <v>10</v>
      </c>
      <c r="BB3" s="26" t="s">
        <v>11</v>
      </c>
      <c r="BC3" s="26" t="s">
        <v>10</v>
      </c>
      <c r="BD3" s="26" t="s">
        <v>11</v>
      </c>
      <c r="BE3" s="26" t="s">
        <v>10</v>
      </c>
      <c r="BF3" s="26" t="s">
        <v>11</v>
      </c>
      <c r="BG3" s="26" t="s">
        <v>10</v>
      </c>
      <c r="BH3" s="26" t="s">
        <v>11</v>
      </c>
      <c r="BI3" s="26" t="s">
        <v>10</v>
      </c>
      <c r="BJ3" s="26" t="s">
        <v>11</v>
      </c>
      <c r="BK3" s="26" t="s">
        <v>10</v>
      </c>
      <c r="BL3" s="26" t="s">
        <v>11</v>
      </c>
      <c r="BM3" s="26" t="s">
        <v>9</v>
      </c>
      <c r="BS3" s="57"/>
      <c r="BT3" s="57">
        <v>1</v>
      </c>
      <c r="BU3" s="57">
        <v>2</v>
      </c>
      <c r="BV3" s="57">
        <v>3</v>
      </c>
      <c r="BW3" s="57">
        <v>4</v>
      </c>
      <c r="BX3" s="57">
        <v>5</v>
      </c>
      <c r="BY3" s="57">
        <v>6</v>
      </c>
      <c r="BZ3" s="57">
        <v>7</v>
      </c>
      <c r="CA3" s="57">
        <v>8</v>
      </c>
      <c r="CB3" s="57">
        <v>9</v>
      </c>
      <c r="CC3" s="57">
        <v>10</v>
      </c>
    </row>
    <row r="4" spans="1:81" ht="15.75" thickTop="1" x14ac:dyDescent="0.25">
      <c r="E4" s="35">
        <v>1</v>
      </c>
      <c r="F4" s="82" t="s">
        <v>26</v>
      </c>
      <c r="G4" s="30"/>
      <c r="H4" s="83">
        <v>85679456</v>
      </c>
      <c r="I4" s="147">
        <v>1800</v>
      </c>
      <c r="J4" s="148"/>
      <c r="K4" s="148"/>
      <c r="L4" s="149"/>
      <c r="U4" s="35">
        <v>1</v>
      </c>
      <c r="V4" s="36">
        <v>2</v>
      </c>
      <c r="W4" s="30" t="str">
        <f>VLOOKUP(V4,$E$4:$F$13,2,FALSE)</f>
        <v>Mike van der Gijp van Bergen</v>
      </c>
      <c r="X4" s="71">
        <f ca="1">VLOOKUP($V4,$AT$4:$BP$13,20,FALSE)</f>
        <v>3</v>
      </c>
      <c r="Y4" s="75">
        <f>VLOOKUP($V4,$AT$4:$BP$13,21,FALSE)</f>
        <v>1</v>
      </c>
      <c r="Z4" s="48">
        <f>VLOOKUP($V4,$AT$4:$BP$13,22,FALSE)</f>
        <v>1</v>
      </c>
      <c r="AA4" s="49">
        <f ca="1">VLOOKUP($V4,$AT$4:$BP$13,23,FALSE)</f>
        <v>24</v>
      </c>
      <c r="AB4" s="31">
        <f>VLOOKUP(V4,$E$4:$L$13,5,FALSE)</f>
        <v>1200</v>
      </c>
      <c r="AF4" s="60" t="str">
        <f t="shared" ref="AF4:AF7" si="0">F4</f>
        <v>Govert van der Weijden</v>
      </c>
      <c r="AG4" s="57">
        <v>1</v>
      </c>
      <c r="AH4" s="58" t="str">
        <f t="shared" ref="AH4:AK7" si="1">IF(BT4=1,SUMIF($R$18:$R$139,$AG4*100+AH$3,$J$18:$J$139)+SUMIF($R$18:$R$139,$AG4+AH$3*100,$L$18:$L$139),"")</f>
        <v/>
      </c>
      <c r="AI4" s="14">
        <f t="shared" si="1"/>
        <v>0</v>
      </c>
      <c r="AJ4" s="14">
        <f t="shared" si="1"/>
        <v>1</v>
      </c>
      <c r="AK4" s="14">
        <f t="shared" si="1"/>
        <v>1</v>
      </c>
      <c r="AL4" s="81"/>
      <c r="AM4" s="81"/>
      <c r="AN4" s="27"/>
      <c r="AO4" s="27"/>
      <c r="AP4" s="81"/>
      <c r="AQ4" s="81"/>
      <c r="AR4" s="81"/>
      <c r="AS4" s="81"/>
      <c r="AT4">
        <v>1</v>
      </c>
      <c r="AU4">
        <f t="shared" ref="AU4:AU7" si="2">SUMIF($A$16:$A$27,$AT4,$J$16:$J$27)+SUMIF($B$16:$B$27,$AT4,$L$16:$L$27)</f>
        <v>1</v>
      </c>
      <c r="AV4" s="25">
        <f t="shared" ref="AV4:AV7" si="3">AU4</f>
        <v>1</v>
      </c>
      <c r="AW4">
        <f t="shared" ref="AW4:AW7" si="4">SUMIF($A$30:$A$41,$AT4,$J$30:$J$41)+SUMIF($B$30:$B$41,$AT4,$L$30:$L$41)</f>
        <v>0</v>
      </c>
      <c r="AX4" s="25">
        <f t="shared" ref="AX4:AX7" si="5">AW4+AV4</f>
        <v>1</v>
      </c>
      <c r="AY4">
        <f t="shared" ref="AY4:AY7" si="6">SUMIF($A$44:$A$55,$AT4,$J$44:$J$55)+SUMIF($B$44:$B$55,$AT4,$L$44:$L$55)</f>
        <v>1</v>
      </c>
      <c r="AZ4" s="25">
        <f t="shared" ref="AZ4:AZ7" si="7">AY4+AX4</f>
        <v>2</v>
      </c>
      <c r="BA4">
        <f t="shared" ref="BA4:BA7" si="8">SUMIF($A$58:$A$69,$AT4,$J$58:$J$69)+SUMIF($B$58:$B$69,$AT4,$L$58:$L$69)</f>
        <v>0</v>
      </c>
      <c r="BB4" s="25">
        <f t="shared" ref="BB4:BB7" si="9">BA4+AZ4</f>
        <v>2</v>
      </c>
      <c r="BC4">
        <f t="shared" ref="BC4:BC7" si="10">SUMIF($A$72:$A$83,$AT4,$J$72:$J$83)+SUMIF($B$72:$B$83,$AT4,$L$72:$L$83)</f>
        <v>0</v>
      </c>
      <c r="BD4" s="25">
        <f t="shared" ref="BD4:BD7" si="11">BC4+BB4</f>
        <v>2</v>
      </c>
      <c r="BE4">
        <f>SUMIF($A$86:$A$97,$AT4,$J$86:$J$97)+SUMIF($B$86:$B$97,$AT4,$L$86:$L$97)</f>
        <v>0</v>
      </c>
      <c r="BF4" s="25">
        <f t="shared" ref="BF4:BF7" si="12">BE4+BD4</f>
        <v>2</v>
      </c>
      <c r="BG4">
        <f t="shared" ref="BG4:BG7" si="13">SUMIF($A$100:$A$111,$AT4,$J$100:$J$111)+SUMIF($B$100:$B$111,$AT4,$L$100:$L$111)</f>
        <v>0</v>
      </c>
      <c r="BH4" s="25">
        <f t="shared" ref="BH4:BH7" si="14">BG4+BF4</f>
        <v>2</v>
      </c>
      <c r="BI4">
        <f t="shared" ref="BI4:BI7" si="15">SUMIF($A$114:$A$125,$AT4,$J$114:$J$125)+SUMIF($B$114:$B$125,$AT4,$L$114:$L$125)</f>
        <v>0</v>
      </c>
      <c r="BJ4" s="25">
        <f t="shared" ref="BJ4:BJ7" si="16">BI4+BH4</f>
        <v>2</v>
      </c>
      <c r="BK4">
        <f t="shared" ref="BK4:BK7" si="17">SUMIF($A$128:$A$139,$AT4,$J$128:$J$139)+SUMIF($B$128:$B$139,$AT4,$L$128:$L$139)</f>
        <v>0</v>
      </c>
      <c r="BL4" s="25">
        <f t="shared" ref="BL4:BL7" si="18">BK4+BJ4</f>
        <v>2</v>
      </c>
      <c r="BM4" s="80">
        <f t="shared" ref="BM4:BM7" si="19">BL4</f>
        <v>2</v>
      </c>
      <c r="BN4" s="28">
        <f t="shared" ref="BN4:BN7" si="20">SUMIF($A$16:$A$139,$AT4,$O$16:$O$139)+SUMIF($B$16:$B$139,$AT4,$N$16:$N$139)</f>
        <v>2</v>
      </c>
      <c r="BO4" s="29">
        <f t="shared" ref="BO4:BO7" si="21">SUMIF($A$16:$A$139,$AT4,$P$16:$P$139)+SUMIF($B$16:$B$139,$AT4,$Q$16:$Q$139)</f>
        <v>1</v>
      </c>
      <c r="BP4" s="28">
        <f>AV4+AX4+AZ4+BB4+BD4+BF4+BH4+BJ4+BL4</f>
        <v>16</v>
      </c>
      <c r="BS4" s="57">
        <v>1</v>
      </c>
      <c r="BT4" s="58">
        <f t="shared" ref="BT4:CC13" si="22">SUMIF($R$18:$R$139,$AG4*100+BT$3,$C$18:$C$139)+SUMIF($R$18:$R$139,$AG4+BT$3*100,$C$18:$C$139)</f>
        <v>0</v>
      </c>
      <c r="BU4" s="14">
        <f t="shared" si="22"/>
        <v>1</v>
      </c>
      <c r="BV4" s="14">
        <f t="shared" si="22"/>
        <v>1</v>
      </c>
      <c r="BW4" s="14">
        <f t="shared" si="22"/>
        <v>1</v>
      </c>
      <c r="BX4" s="14">
        <f t="shared" si="22"/>
        <v>0</v>
      </c>
      <c r="BY4" s="14">
        <f t="shared" si="22"/>
        <v>0</v>
      </c>
      <c r="BZ4" s="14">
        <f t="shared" si="22"/>
        <v>0</v>
      </c>
      <c r="CA4" s="14">
        <f t="shared" si="22"/>
        <v>0</v>
      </c>
      <c r="CB4" s="14">
        <f t="shared" si="22"/>
        <v>0</v>
      </c>
      <c r="CC4" s="14">
        <f t="shared" si="22"/>
        <v>0</v>
      </c>
    </row>
    <row r="5" spans="1:81" x14ac:dyDescent="0.25">
      <c r="E5" s="37">
        <v>2</v>
      </c>
      <c r="F5" s="21" t="s">
        <v>35</v>
      </c>
      <c r="G5" s="17"/>
      <c r="H5" s="65">
        <v>87849324</v>
      </c>
      <c r="I5" s="141">
        <v>1200</v>
      </c>
      <c r="J5" s="142"/>
      <c r="K5" s="142"/>
      <c r="L5" s="143"/>
      <c r="U5" s="37">
        <v>2</v>
      </c>
      <c r="V5" s="38">
        <v>1</v>
      </c>
      <c r="W5" s="17" t="str">
        <f>VLOOKUP(V5,$E$4:$F$13,2,FALSE)</f>
        <v>Govert van der Weijden</v>
      </c>
      <c r="X5" s="72">
        <f>VLOOKUP($V5,$AT$4:$BP$13,20,FALSE)</f>
        <v>2</v>
      </c>
      <c r="Y5" s="76">
        <f>VLOOKUP($V5,$AT$4:$BP$13,21,FALSE)</f>
        <v>2</v>
      </c>
      <c r="Z5" s="50">
        <f>VLOOKUP($V5,$AT$4:$BP$13,22,FALSE)</f>
        <v>1</v>
      </c>
      <c r="AA5" s="51">
        <f>VLOOKUP($V5,$AT$4:$BP$13,23,FALSE)</f>
        <v>16</v>
      </c>
      <c r="AB5" s="32">
        <f>VLOOKUP(V5,$E$4:$L$13,5,FALSE)</f>
        <v>1800</v>
      </c>
      <c r="AF5" s="60" t="str">
        <f t="shared" si="0"/>
        <v>Mike van der Gijp van Bergen</v>
      </c>
      <c r="AG5" s="57">
        <v>2</v>
      </c>
      <c r="AH5" s="14">
        <f t="shared" si="1"/>
        <v>1</v>
      </c>
      <c r="AI5" s="58" t="str">
        <f t="shared" si="1"/>
        <v/>
      </c>
      <c r="AJ5" s="14">
        <f t="shared" si="1"/>
        <v>1</v>
      </c>
      <c r="AK5" s="14">
        <f t="shared" si="1"/>
        <v>1</v>
      </c>
      <c r="AL5" s="81"/>
      <c r="AM5" s="81"/>
      <c r="AN5" s="27"/>
      <c r="AO5" s="27"/>
      <c r="AP5" s="81"/>
      <c r="AQ5" s="81"/>
      <c r="AR5" s="81"/>
      <c r="AS5" s="81"/>
      <c r="AT5">
        <v>2</v>
      </c>
      <c r="AU5">
        <f t="shared" si="2"/>
        <v>1</v>
      </c>
      <c r="AV5" s="25">
        <f t="shared" si="3"/>
        <v>1</v>
      </c>
      <c r="AW5">
        <f t="shared" si="4"/>
        <v>1</v>
      </c>
      <c r="AX5" s="25">
        <f t="shared" si="5"/>
        <v>2</v>
      </c>
      <c r="AY5">
        <f t="shared" si="6"/>
        <v>1</v>
      </c>
      <c r="AZ5" s="25">
        <f t="shared" si="7"/>
        <v>3</v>
      </c>
      <c r="BA5">
        <f t="shared" si="8"/>
        <v>0</v>
      </c>
      <c r="BB5" s="25">
        <f t="shared" si="9"/>
        <v>3</v>
      </c>
      <c r="BC5">
        <f t="shared" si="10"/>
        <v>0</v>
      </c>
      <c r="BD5" s="25">
        <f t="shared" si="11"/>
        <v>3</v>
      </c>
      <c r="BE5">
        <f t="shared" ref="BE5:BE7" ca="1" si="23">SUMIF($A$86:$A$97,$AT5,$J$86:$J$87)+SUMIF($B$86:$B$97,$AT5,$L$86:$L$97)</f>
        <v>0</v>
      </c>
      <c r="BF5" s="25">
        <f t="shared" ca="1" si="12"/>
        <v>3</v>
      </c>
      <c r="BG5">
        <f t="shared" si="13"/>
        <v>0</v>
      </c>
      <c r="BH5" s="25">
        <f t="shared" ca="1" si="14"/>
        <v>3</v>
      </c>
      <c r="BI5">
        <f t="shared" si="15"/>
        <v>0</v>
      </c>
      <c r="BJ5" s="25">
        <f t="shared" ca="1" si="16"/>
        <v>3</v>
      </c>
      <c r="BK5">
        <f t="shared" si="17"/>
        <v>0</v>
      </c>
      <c r="BL5" s="25">
        <f t="shared" ca="1" si="18"/>
        <v>3</v>
      </c>
      <c r="BM5" s="80">
        <f t="shared" ca="1" si="19"/>
        <v>3</v>
      </c>
      <c r="BN5" s="28">
        <f t="shared" si="20"/>
        <v>1</v>
      </c>
      <c r="BO5" s="29">
        <f t="shared" si="21"/>
        <v>1</v>
      </c>
      <c r="BP5" s="28">
        <f t="shared" ref="BP5:BP7" ca="1" si="24">AV5+AX5+AZ5+BB5+BD5+BF5+BH5+BJ5+BL5</f>
        <v>24</v>
      </c>
      <c r="BS5" s="57">
        <v>2</v>
      </c>
      <c r="BT5" s="14">
        <f t="shared" si="22"/>
        <v>1</v>
      </c>
      <c r="BU5" s="58">
        <f t="shared" si="22"/>
        <v>0</v>
      </c>
      <c r="BV5" s="14">
        <f t="shared" si="22"/>
        <v>1</v>
      </c>
      <c r="BW5" s="14">
        <f t="shared" si="22"/>
        <v>1</v>
      </c>
      <c r="BX5" s="14">
        <f t="shared" si="22"/>
        <v>0</v>
      </c>
      <c r="BY5" s="14">
        <f t="shared" si="22"/>
        <v>0</v>
      </c>
      <c r="BZ5" s="14">
        <f t="shared" si="22"/>
        <v>0</v>
      </c>
      <c r="CA5" s="14">
        <f t="shared" si="22"/>
        <v>0</v>
      </c>
      <c r="CB5" s="14">
        <f t="shared" si="22"/>
        <v>0</v>
      </c>
      <c r="CC5" s="14">
        <f t="shared" si="22"/>
        <v>0</v>
      </c>
    </row>
    <row r="6" spans="1:81" x14ac:dyDescent="0.25">
      <c r="E6" s="37">
        <v>3</v>
      </c>
      <c r="F6" s="21" t="s">
        <v>27</v>
      </c>
      <c r="G6" s="17"/>
      <c r="H6" s="65">
        <v>84521464</v>
      </c>
      <c r="I6" s="141">
        <v>300</v>
      </c>
      <c r="J6" s="142"/>
      <c r="K6" s="142"/>
      <c r="L6" s="143"/>
      <c r="U6" s="37">
        <v>3</v>
      </c>
      <c r="V6" s="38">
        <v>3</v>
      </c>
      <c r="W6" s="17" t="str">
        <f>VLOOKUP(V6,$E$4:$F$13,2,FALSE)</f>
        <v>Matthijs van Doodenweerd</v>
      </c>
      <c r="X6" s="72">
        <f ca="1">VLOOKUP($V6,$AT$4:$BP$13,20,FALSE)</f>
        <v>1</v>
      </c>
      <c r="Y6" s="76">
        <f>VLOOKUP($V6,$AT$4:$BP$13,21,FALSE)</f>
        <v>1</v>
      </c>
      <c r="Z6" s="50">
        <f>VLOOKUP($V6,$AT$4:$BP$13,22,FALSE)</f>
        <v>0</v>
      </c>
      <c r="AA6" s="51">
        <f ca="1">VLOOKUP($V6,$AT$4:$BP$13,23,FALSE)</f>
        <v>8</v>
      </c>
      <c r="AB6" s="32">
        <f>VLOOKUP(V6,$E$4:$L$13,5,FALSE)</f>
        <v>300</v>
      </c>
      <c r="AF6" s="60" t="str">
        <f t="shared" si="0"/>
        <v>Matthijs van Doodenweerd</v>
      </c>
      <c r="AG6" s="57">
        <v>3</v>
      </c>
      <c r="AH6" s="14">
        <f t="shared" si="1"/>
        <v>0</v>
      </c>
      <c r="AI6" s="14">
        <f t="shared" si="1"/>
        <v>0</v>
      </c>
      <c r="AJ6" s="58" t="str">
        <f t="shared" si="1"/>
        <v/>
      </c>
      <c r="AK6" s="14">
        <f t="shared" si="1"/>
        <v>1</v>
      </c>
      <c r="AL6" s="81"/>
      <c r="AM6" s="81"/>
      <c r="AN6" s="27"/>
      <c r="AO6" s="27"/>
      <c r="AP6" s="81"/>
      <c r="AQ6" s="81"/>
      <c r="AR6" s="81"/>
      <c r="AS6" s="81"/>
      <c r="AT6">
        <v>3</v>
      </c>
      <c r="AU6">
        <f t="shared" si="2"/>
        <v>0</v>
      </c>
      <c r="AV6" s="25">
        <f t="shared" si="3"/>
        <v>0</v>
      </c>
      <c r="AW6">
        <f t="shared" si="4"/>
        <v>1</v>
      </c>
      <c r="AX6" s="25">
        <f t="shared" si="5"/>
        <v>1</v>
      </c>
      <c r="AY6">
        <f t="shared" si="6"/>
        <v>0</v>
      </c>
      <c r="AZ6" s="25">
        <f t="shared" si="7"/>
        <v>1</v>
      </c>
      <c r="BA6">
        <f t="shared" si="8"/>
        <v>0</v>
      </c>
      <c r="BB6" s="25">
        <f t="shared" si="9"/>
        <v>1</v>
      </c>
      <c r="BC6">
        <f t="shared" si="10"/>
        <v>0</v>
      </c>
      <c r="BD6" s="25">
        <f t="shared" si="11"/>
        <v>1</v>
      </c>
      <c r="BE6">
        <f t="shared" ca="1" si="23"/>
        <v>0</v>
      </c>
      <c r="BF6" s="25">
        <f t="shared" ca="1" si="12"/>
        <v>1</v>
      </c>
      <c r="BG6">
        <f t="shared" si="13"/>
        <v>0</v>
      </c>
      <c r="BH6" s="25">
        <f t="shared" ca="1" si="14"/>
        <v>1</v>
      </c>
      <c r="BI6">
        <f t="shared" si="15"/>
        <v>0</v>
      </c>
      <c r="BJ6" s="25">
        <f t="shared" ca="1" si="16"/>
        <v>1</v>
      </c>
      <c r="BK6">
        <f t="shared" si="17"/>
        <v>0</v>
      </c>
      <c r="BL6" s="25">
        <f t="shared" ca="1" si="18"/>
        <v>1</v>
      </c>
      <c r="BM6" s="80">
        <f t="shared" ca="1" si="19"/>
        <v>1</v>
      </c>
      <c r="BN6" s="28">
        <f t="shared" si="20"/>
        <v>1</v>
      </c>
      <c r="BO6" s="29">
        <f t="shared" si="21"/>
        <v>0</v>
      </c>
      <c r="BP6" s="28">
        <f t="shared" ca="1" si="24"/>
        <v>8</v>
      </c>
      <c r="BS6" s="57">
        <v>3</v>
      </c>
      <c r="BT6" s="14">
        <f t="shared" si="22"/>
        <v>1</v>
      </c>
      <c r="BU6" s="14">
        <f t="shared" si="22"/>
        <v>1</v>
      </c>
      <c r="BV6" s="58">
        <f t="shared" si="22"/>
        <v>0</v>
      </c>
      <c r="BW6" s="14">
        <f t="shared" si="22"/>
        <v>1</v>
      </c>
      <c r="BX6" s="14">
        <f t="shared" si="22"/>
        <v>0</v>
      </c>
      <c r="BY6" s="14">
        <f t="shared" si="22"/>
        <v>0</v>
      </c>
      <c r="BZ6" s="14">
        <f t="shared" si="22"/>
        <v>0</v>
      </c>
      <c r="CA6" s="14">
        <f t="shared" si="22"/>
        <v>0</v>
      </c>
      <c r="CB6" s="14">
        <f t="shared" si="22"/>
        <v>0</v>
      </c>
      <c r="CC6" s="14">
        <f t="shared" si="22"/>
        <v>0</v>
      </c>
    </row>
    <row r="7" spans="1:81" ht="15.75" thickBot="1" x14ac:dyDescent="0.3">
      <c r="E7" s="84">
        <v>4</v>
      </c>
      <c r="F7" s="3" t="s">
        <v>28</v>
      </c>
      <c r="G7" s="5"/>
      <c r="H7" s="85">
        <v>82637457</v>
      </c>
      <c r="I7" s="152">
        <v>400</v>
      </c>
      <c r="J7" s="153"/>
      <c r="K7" s="153"/>
      <c r="L7" s="154"/>
      <c r="U7" s="84">
        <v>4</v>
      </c>
      <c r="V7" s="90">
        <v>4</v>
      </c>
      <c r="W7" s="5" t="str">
        <f>VLOOKUP(V7,$E$4:$F$13,2,FALSE)</f>
        <v>Floris van Capelleveen</v>
      </c>
      <c r="X7" s="91">
        <f ca="1">VLOOKUP($V7,$AT$4:$BP$13,20,FALSE)</f>
        <v>0</v>
      </c>
      <c r="Y7" s="92">
        <f>VLOOKUP($V7,$AT$4:$BP$13,21,FALSE)</f>
        <v>2</v>
      </c>
      <c r="Z7" s="93">
        <f>VLOOKUP($V7,$AT$4:$BP$13,22,FALSE)</f>
        <v>0</v>
      </c>
      <c r="AA7" s="94">
        <f ca="1">VLOOKUP($V7,$AT$4:$BP$13,23,FALSE)</f>
        <v>0</v>
      </c>
      <c r="AB7" s="95">
        <f>VLOOKUP(V7,$E$4:$L$13,5,FALSE)</f>
        <v>400</v>
      </c>
      <c r="AF7" s="60" t="str">
        <f t="shared" si="0"/>
        <v>Floris van Capelleveen</v>
      </c>
      <c r="AG7" s="57">
        <v>4</v>
      </c>
      <c r="AH7" s="14">
        <f t="shared" si="1"/>
        <v>0</v>
      </c>
      <c r="AI7" s="14">
        <f t="shared" si="1"/>
        <v>0</v>
      </c>
      <c r="AJ7" s="14">
        <f t="shared" si="1"/>
        <v>0</v>
      </c>
      <c r="AK7" s="58" t="str">
        <f t="shared" si="1"/>
        <v/>
      </c>
      <c r="AL7" s="81"/>
      <c r="AM7" s="81"/>
      <c r="AN7" s="27"/>
      <c r="AO7" s="27"/>
      <c r="AP7" s="81"/>
      <c r="AQ7" s="81"/>
      <c r="AR7" s="81"/>
      <c r="AS7" s="81"/>
      <c r="AT7">
        <v>4</v>
      </c>
      <c r="AU7">
        <f t="shared" si="2"/>
        <v>0</v>
      </c>
      <c r="AV7" s="25">
        <f t="shared" si="3"/>
        <v>0</v>
      </c>
      <c r="AW7">
        <f t="shared" si="4"/>
        <v>0</v>
      </c>
      <c r="AX7" s="25">
        <f t="shared" si="5"/>
        <v>0</v>
      </c>
      <c r="AY7">
        <f t="shared" si="6"/>
        <v>0</v>
      </c>
      <c r="AZ7" s="25">
        <f t="shared" si="7"/>
        <v>0</v>
      </c>
      <c r="BA7">
        <f t="shared" si="8"/>
        <v>0</v>
      </c>
      <c r="BB7" s="25">
        <f t="shared" si="9"/>
        <v>0</v>
      </c>
      <c r="BC7">
        <f t="shared" si="10"/>
        <v>0</v>
      </c>
      <c r="BD7" s="25">
        <f t="shared" si="11"/>
        <v>0</v>
      </c>
      <c r="BE7">
        <f t="shared" ca="1" si="23"/>
        <v>0</v>
      </c>
      <c r="BF7" s="25">
        <f t="shared" ca="1" si="12"/>
        <v>0</v>
      </c>
      <c r="BG7">
        <f t="shared" si="13"/>
        <v>0</v>
      </c>
      <c r="BH7" s="25">
        <f t="shared" ca="1" si="14"/>
        <v>0</v>
      </c>
      <c r="BI7">
        <f t="shared" si="15"/>
        <v>0</v>
      </c>
      <c r="BJ7" s="25">
        <f t="shared" ca="1" si="16"/>
        <v>0</v>
      </c>
      <c r="BK7">
        <f t="shared" si="17"/>
        <v>0</v>
      </c>
      <c r="BL7" s="25">
        <f t="shared" ca="1" si="18"/>
        <v>0</v>
      </c>
      <c r="BM7" s="80">
        <f t="shared" ca="1" si="19"/>
        <v>0</v>
      </c>
      <c r="BN7" s="28">
        <f t="shared" si="20"/>
        <v>2</v>
      </c>
      <c r="BO7" s="29">
        <f t="shared" si="21"/>
        <v>0</v>
      </c>
      <c r="BP7" s="28">
        <f t="shared" ca="1" si="24"/>
        <v>0</v>
      </c>
      <c r="BS7" s="57">
        <v>4</v>
      </c>
      <c r="BT7" s="14">
        <f t="shared" si="22"/>
        <v>1</v>
      </c>
      <c r="BU7" s="14">
        <f t="shared" si="22"/>
        <v>1</v>
      </c>
      <c r="BV7" s="14">
        <f t="shared" si="22"/>
        <v>1</v>
      </c>
      <c r="BW7" s="58">
        <f t="shared" si="22"/>
        <v>0</v>
      </c>
      <c r="BX7" s="14">
        <f t="shared" si="22"/>
        <v>0</v>
      </c>
      <c r="BY7" s="14">
        <f t="shared" si="22"/>
        <v>0</v>
      </c>
      <c r="BZ7" s="14">
        <f t="shared" si="22"/>
        <v>0</v>
      </c>
      <c r="CA7" s="14">
        <f t="shared" si="22"/>
        <v>0</v>
      </c>
      <c r="CB7" s="14">
        <f t="shared" si="22"/>
        <v>0</v>
      </c>
      <c r="CC7" s="14">
        <f t="shared" si="22"/>
        <v>0</v>
      </c>
    </row>
    <row r="8" spans="1:81" ht="15.75" thickTop="1" x14ac:dyDescent="0.25">
      <c r="E8" s="96"/>
      <c r="F8" s="96"/>
      <c r="G8" s="96"/>
      <c r="H8" s="105"/>
      <c r="I8" s="151"/>
      <c r="J8" s="151"/>
      <c r="K8" s="151"/>
      <c r="L8" s="151"/>
      <c r="U8" s="96"/>
      <c r="V8" s="97"/>
      <c r="W8" s="96"/>
      <c r="X8" s="98"/>
      <c r="Y8" s="99"/>
      <c r="Z8" s="100"/>
      <c r="AA8" s="99"/>
      <c r="AB8" s="96"/>
      <c r="AF8" s="86"/>
      <c r="AG8" s="87"/>
      <c r="AH8" s="27"/>
      <c r="AI8" s="27"/>
      <c r="AJ8" s="27"/>
      <c r="AK8" s="27"/>
      <c r="AL8" s="56"/>
      <c r="AM8" s="27"/>
      <c r="AN8" s="27"/>
      <c r="AO8" s="27"/>
      <c r="AP8" s="81"/>
      <c r="AQ8" s="81"/>
      <c r="AR8" s="81"/>
      <c r="AS8" s="81"/>
      <c r="AV8" s="25"/>
      <c r="AX8" s="25"/>
      <c r="AZ8" s="25"/>
      <c r="BB8" s="25"/>
      <c r="BD8" s="25"/>
      <c r="BF8" s="25"/>
      <c r="BH8" s="25"/>
      <c r="BJ8" s="25"/>
      <c r="BL8" s="25"/>
      <c r="BM8" s="80"/>
      <c r="BN8" s="28"/>
      <c r="BO8" s="29"/>
      <c r="BP8" s="28"/>
      <c r="BS8" s="57">
        <v>5</v>
      </c>
      <c r="BT8" s="14">
        <f t="shared" si="22"/>
        <v>0</v>
      </c>
      <c r="BU8" s="14">
        <f t="shared" si="22"/>
        <v>0</v>
      </c>
      <c r="BV8" s="14">
        <f t="shared" si="22"/>
        <v>0</v>
      </c>
      <c r="BW8" s="14">
        <f t="shared" si="22"/>
        <v>0</v>
      </c>
      <c r="BX8" s="58">
        <f t="shared" si="22"/>
        <v>0</v>
      </c>
      <c r="BY8" s="14">
        <f t="shared" si="22"/>
        <v>0</v>
      </c>
      <c r="BZ8" s="14">
        <f t="shared" si="22"/>
        <v>0</v>
      </c>
      <c r="CA8" s="14">
        <f t="shared" si="22"/>
        <v>0</v>
      </c>
      <c r="CB8" s="14">
        <f t="shared" si="22"/>
        <v>0</v>
      </c>
      <c r="CC8" s="14">
        <f t="shared" si="22"/>
        <v>0</v>
      </c>
    </row>
    <row r="9" spans="1:81" x14ac:dyDescent="0.25">
      <c r="E9" s="2"/>
      <c r="F9" s="2"/>
      <c r="G9" s="2"/>
      <c r="H9" s="19"/>
      <c r="I9" s="150"/>
      <c r="J9" s="150"/>
      <c r="K9" s="150"/>
      <c r="L9" s="150"/>
      <c r="U9" s="2"/>
      <c r="V9" s="101"/>
      <c r="W9" s="2"/>
      <c r="X9" s="102"/>
      <c r="Y9" s="103"/>
      <c r="Z9" s="104"/>
      <c r="AA9" s="103"/>
      <c r="AB9" s="2"/>
      <c r="AF9" s="86"/>
      <c r="AG9" s="87"/>
      <c r="AH9" s="27"/>
      <c r="AI9" s="27"/>
      <c r="AJ9" s="27"/>
      <c r="AK9" s="27"/>
      <c r="AL9" s="27"/>
      <c r="AM9" s="56"/>
      <c r="AN9" s="27"/>
      <c r="AO9" s="27"/>
      <c r="AP9" s="81"/>
      <c r="AQ9" s="81"/>
      <c r="AR9" s="81"/>
      <c r="AS9" s="81"/>
      <c r="AV9" s="25"/>
      <c r="AX9" s="25"/>
      <c r="AZ9" s="25"/>
      <c r="BB9" s="25"/>
      <c r="BD9" s="25"/>
      <c r="BF9" s="25"/>
      <c r="BH9" s="25"/>
      <c r="BJ9" s="25"/>
      <c r="BL9" s="25"/>
      <c r="BM9" s="80"/>
      <c r="BN9" s="28"/>
      <c r="BO9" s="29"/>
      <c r="BP9" s="28"/>
      <c r="BS9" s="57">
        <v>6</v>
      </c>
      <c r="BT9" s="14">
        <f t="shared" si="22"/>
        <v>0</v>
      </c>
      <c r="BU9" s="14">
        <f t="shared" si="22"/>
        <v>0</v>
      </c>
      <c r="BV9" s="14">
        <f t="shared" si="22"/>
        <v>0</v>
      </c>
      <c r="BW9" s="14">
        <f t="shared" si="22"/>
        <v>0</v>
      </c>
      <c r="BX9" s="14">
        <f t="shared" si="22"/>
        <v>0</v>
      </c>
      <c r="BY9" s="58">
        <f t="shared" si="22"/>
        <v>0</v>
      </c>
      <c r="BZ9" s="14">
        <f t="shared" si="22"/>
        <v>0</v>
      </c>
      <c r="CA9" s="14">
        <f t="shared" si="22"/>
        <v>0</v>
      </c>
      <c r="CB9" s="14">
        <f t="shared" si="22"/>
        <v>0</v>
      </c>
      <c r="CC9" s="14">
        <f t="shared" si="22"/>
        <v>0</v>
      </c>
    </row>
    <row r="10" spans="1:81" x14ac:dyDescent="0.25">
      <c r="E10" s="2"/>
      <c r="F10" s="2"/>
      <c r="G10" s="2"/>
      <c r="H10" s="19"/>
      <c r="I10" s="150"/>
      <c r="J10" s="150"/>
      <c r="K10" s="150"/>
      <c r="L10" s="150"/>
      <c r="U10" s="2"/>
      <c r="V10" s="101"/>
      <c r="W10" s="2"/>
      <c r="X10" s="102"/>
      <c r="Y10" s="103"/>
      <c r="Z10" s="104"/>
      <c r="AA10" s="103"/>
      <c r="AB10" s="2"/>
      <c r="AF10" s="108"/>
      <c r="AG10" s="78"/>
      <c r="AH10" s="81"/>
      <c r="AI10" s="81"/>
      <c r="AJ10" s="81"/>
      <c r="AK10" s="81"/>
      <c r="AL10" s="81"/>
      <c r="AM10" s="81"/>
      <c r="AN10" s="56"/>
      <c r="AO10" s="27"/>
      <c r="AP10" s="81"/>
      <c r="AQ10" s="81"/>
      <c r="AR10" s="81"/>
      <c r="AS10" s="81"/>
      <c r="AV10" s="25"/>
      <c r="AX10" s="25"/>
      <c r="AZ10" s="25"/>
      <c r="BB10" s="25"/>
      <c r="BD10" s="25"/>
      <c r="BF10" s="25"/>
      <c r="BH10" s="25"/>
      <c r="BJ10" s="25"/>
      <c r="BL10" s="25"/>
      <c r="BM10" s="80"/>
      <c r="BN10" s="28"/>
      <c r="BO10" s="29"/>
      <c r="BP10" s="28"/>
      <c r="BS10" s="57">
        <v>7</v>
      </c>
      <c r="BT10" s="14">
        <f t="shared" si="22"/>
        <v>0</v>
      </c>
      <c r="BU10" s="14">
        <f t="shared" si="22"/>
        <v>0</v>
      </c>
      <c r="BV10" s="14">
        <f t="shared" si="22"/>
        <v>0</v>
      </c>
      <c r="BW10" s="14">
        <f t="shared" si="22"/>
        <v>0</v>
      </c>
      <c r="BX10" s="14">
        <f t="shared" si="22"/>
        <v>0</v>
      </c>
      <c r="BY10" s="14">
        <f t="shared" si="22"/>
        <v>0</v>
      </c>
      <c r="BZ10" s="58">
        <f t="shared" si="22"/>
        <v>0</v>
      </c>
      <c r="CA10" s="14">
        <f t="shared" si="22"/>
        <v>0</v>
      </c>
      <c r="CB10" s="14">
        <f t="shared" si="22"/>
        <v>0</v>
      </c>
      <c r="CC10" s="14">
        <f t="shared" si="22"/>
        <v>0</v>
      </c>
    </row>
    <row r="11" spans="1:81" x14ac:dyDescent="0.25">
      <c r="E11" s="2"/>
      <c r="F11" s="2"/>
      <c r="G11" s="2"/>
      <c r="H11" s="19"/>
      <c r="I11" s="150"/>
      <c r="J11" s="150"/>
      <c r="K11" s="150"/>
      <c r="L11" s="150"/>
      <c r="U11" s="2"/>
      <c r="V11" s="101"/>
      <c r="W11" s="2"/>
      <c r="X11" s="102"/>
      <c r="Y11" s="103"/>
      <c r="Z11" s="104"/>
      <c r="AA11" s="103"/>
      <c r="AB11" s="2"/>
      <c r="AF11" s="108"/>
      <c r="AG11" s="78"/>
      <c r="AH11" s="81"/>
      <c r="AI11" s="81"/>
      <c r="AJ11" s="81"/>
      <c r="AK11" s="81"/>
      <c r="AL11" s="81"/>
      <c r="AM11" s="81"/>
      <c r="AN11" s="27"/>
      <c r="AO11" s="56"/>
      <c r="AP11" s="81"/>
      <c r="AQ11" s="81"/>
      <c r="AR11" s="81"/>
      <c r="AS11" s="81"/>
      <c r="AV11" s="25"/>
      <c r="AX11" s="25"/>
      <c r="AZ11" s="25"/>
      <c r="BB11" s="25"/>
      <c r="BD11" s="25"/>
      <c r="BF11" s="25"/>
      <c r="BH11" s="25"/>
      <c r="BJ11" s="25"/>
      <c r="BL11" s="25"/>
      <c r="BM11" s="80"/>
      <c r="BN11" s="28"/>
      <c r="BO11" s="29"/>
      <c r="BP11" s="28"/>
      <c r="BS11" s="57">
        <v>8</v>
      </c>
      <c r="BT11" s="14">
        <f t="shared" si="22"/>
        <v>0</v>
      </c>
      <c r="BU11" s="14">
        <f t="shared" si="22"/>
        <v>0</v>
      </c>
      <c r="BV11" s="14">
        <f t="shared" si="22"/>
        <v>0</v>
      </c>
      <c r="BW11" s="14">
        <f t="shared" si="22"/>
        <v>0</v>
      </c>
      <c r="BX11" s="14">
        <f t="shared" si="22"/>
        <v>0</v>
      </c>
      <c r="BY11" s="14">
        <f t="shared" si="22"/>
        <v>0</v>
      </c>
      <c r="BZ11" s="14">
        <f t="shared" si="22"/>
        <v>0</v>
      </c>
      <c r="CA11" s="58">
        <f t="shared" si="22"/>
        <v>0</v>
      </c>
      <c r="CB11" s="14">
        <f t="shared" si="22"/>
        <v>0</v>
      </c>
      <c r="CC11" s="14">
        <f t="shared" si="22"/>
        <v>0</v>
      </c>
    </row>
    <row r="12" spans="1:81" x14ac:dyDescent="0.25">
      <c r="E12" s="2"/>
      <c r="F12" s="2"/>
      <c r="G12" s="2"/>
      <c r="H12" s="19"/>
      <c r="I12" s="150"/>
      <c r="J12" s="150"/>
      <c r="K12" s="150"/>
      <c r="L12" s="150"/>
      <c r="U12" s="2"/>
      <c r="V12" s="101"/>
      <c r="W12" s="2"/>
      <c r="X12" s="102"/>
      <c r="Y12" s="103"/>
      <c r="Z12" s="104"/>
      <c r="AA12" s="103"/>
      <c r="AB12" s="2"/>
      <c r="AF12" s="86"/>
      <c r="AG12" s="87"/>
      <c r="AH12" s="27"/>
      <c r="AI12" s="27"/>
      <c r="AJ12" s="27"/>
      <c r="AK12" s="27"/>
      <c r="AL12" s="27"/>
      <c r="AM12" s="27"/>
      <c r="AN12" s="27"/>
      <c r="AO12" s="27"/>
      <c r="AP12" s="56"/>
      <c r="AQ12" s="27"/>
      <c r="AR12" s="81"/>
      <c r="AS12" s="81"/>
      <c r="AV12" s="25"/>
      <c r="AX12" s="25"/>
      <c r="AZ12" s="25"/>
      <c r="BB12" s="25"/>
      <c r="BD12" s="25"/>
      <c r="BF12" s="25"/>
      <c r="BH12" s="25"/>
      <c r="BJ12" s="25"/>
      <c r="BL12" s="25"/>
      <c r="BM12" s="80"/>
      <c r="BN12" s="28"/>
      <c r="BO12" s="29"/>
      <c r="BP12" s="28"/>
      <c r="BS12" s="57">
        <v>9</v>
      </c>
      <c r="BT12" s="14">
        <f t="shared" si="22"/>
        <v>0</v>
      </c>
      <c r="BU12" s="14">
        <f t="shared" si="22"/>
        <v>0</v>
      </c>
      <c r="BV12" s="14">
        <f t="shared" si="22"/>
        <v>0</v>
      </c>
      <c r="BW12" s="14">
        <f t="shared" si="22"/>
        <v>0</v>
      </c>
      <c r="BX12" s="14">
        <f t="shared" si="22"/>
        <v>0</v>
      </c>
      <c r="BY12" s="14">
        <f t="shared" si="22"/>
        <v>0</v>
      </c>
      <c r="BZ12" s="14">
        <f t="shared" si="22"/>
        <v>0</v>
      </c>
      <c r="CA12" s="14">
        <f t="shared" si="22"/>
        <v>0</v>
      </c>
      <c r="CB12" s="58">
        <f t="shared" si="22"/>
        <v>0</v>
      </c>
      <c r="CC12" s="14">
        <f t="shared" si="22"/>
        <v>0</v>
      </c>
    </row>
    <row r="13" spans="1:81" x14ac:dyDescent="0.25">
      <c r="E13" s="2"/>
      <c r="F13" s="2"/>
      <c r="G13" s="2"/>
      <c r="H13" s="19"/>
      <c r="I13" s="150"/>
      <c r="J13" s="150"/>
      <c r="K13" s="150"/>
      <c r="L13" s="150"/>
      <c r="U13" s="2"/>
      <c r="V13" s="101"/>
      <c r="W13" s="2"/>
      <c r="X13" s="102"/>
      <c r="Y13" s="103"/>
      <c r="Z13" s="104"/>
      <c r="AA13" s="103"/>
      <c r="AB13" s="2"/>
      <c r="AF13" s="86"/>
      <c r="AG13" s="87"/>
      <c r="AH13" s="27"/>
      <c r="AI13" s="27"/>
      <c r="AJ13" s="27"/>
      <c r="AK13" s="27"/>
      <c r="AL13" s="27"/>
      <c r="AM13" s="27"/>
      <c r="AN13" s="27"/>
      <c r="AO13" s="27"/>
      <c r="AP13" s="27"/>
      <c r="AQ13" s="56"/>
      <c r="AR13" s="56"/>
      <c r="AS13" s="56"/>
      <c r="AV13" s="25"/>
      <c r="AX13" s="25"/>
      <c r="AZ13" s="25"/>
      <c r="BB13" s="25"/>
      <c r="BD13" s="25"/>
      <c r="BF13" s="25"/>
      <c r="BH13" s="25"/>
      <c r="BJ13" s="25"/>
      <c r="BL13" s="25"/>
      <c r="BM13" s="80"/>
      <c r="BN13" s="28"/>
      <c r="BO13" s="29"/>
      <c r="BP13" s="28"/>
      <c r="BS13" s="57">
        <v>10</v>
      </c>
      <c r="BT13" s="14">
        <f t="shared" si="22"/>
        <v>0</v>
      </c>
      <c r="BU13" s="14">
        <f t="shared" si="22"/>
        <v>0</v>
      </c>
      <c r="BV13" s="14">
        <f t="shared" si="22"/>
        <v>0</v>
      </c>
      <c r="BW13" s="14">
        <f t="shared" si="22"/>
        <v>0</v>
      </c>
      <c r="BX13" s="14">
        <f t="shared" si="22"/>
        <v>0</v>
      </c>
      <c r="BY13" s="14">
        <f t="shared" si="22"/>
        <v>0</v>
      </c>
      <c r="BZ13" s="14">
        <f t="shared" si="22"/>
        <v>0</v>
      </c>
      <c r="CA13" s="14">
        <f t="shared" si="22"/>
        <v>0</v>
      </c>
      <c r="CB13" s="14">
        <f t="shared" si="22"/>
        <v>0</v>
      </c>
      <c r="CC13" s="58">
        <f t="shared" si="22"/>
        <v>0</v>
      </c>
    </row>
    <row r="14" spans="1:81" x14ac:dyDescent="0.25">
      <c r="AT14" s="46"/>
      <c r="AU14" s="46" t="str">
        <f>IF(((SUM(AU4:AU13)*2)=MAX($AT4:$AT13)),"OK","NOK")</f>
        <v>OK</v>
      </c>
      <c r="AV14" s="47"/>
      <c r="AW14" s="46" t="str">
        <f>IF(((SUM(AW4:AW13)*2)=MAX($AT4:$AT13)),"OK","NOK")</f>
        <v>OK</v>
      </c>
      <c r="AX14" s="46"/>
      <c r="AY14" s="46" t="str">
        <f>IF(((SUM(AY4:AY13)*2)=MAX($AT4:$AT13)),"OK","NOK")</f>
        <v>OK</v>
      </c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5"/>
      <c r="BO14" s="45"/>
      <c r="BP14" s="45"/>
    </row>
    <row r="15" spans="1:81" x14ac:dyDescent="0.25">
      <c r="W15" s="70" t="s">
        <v>38</v>
      </c>
    </row>
    <row r="16" spans="1:81" x14ac:dyDescent="0.25">
      <c r="A16" s="54" t="s">
        <v>12</v>
      </c>
      <c r="B16" s="54" t="s">
        <v>13</v>
      </c>
      <c r="C16" s="55" t="s">
        <v>24</v>
      </c>
      <c r="D16" s="21" t="s">
        <v>8</v>
      </c>
      <c r="E16" s="22"/>
      <c r="F16" s="41" t="s">
        <v>7</v>
      </c>
      <c r="G16" s="42">
        <v>1</v>
      </c>
      <c r="H16" s="23" t="str">
        <f>$E$1</f>
        <v>GROEP A</v>
      </c>
      <c r="I16" s="22"/>
      <c r="J16" s="23"/>
      <c r="K16" s="23"/>
      <c r="L16" s="23"/>
      <c r="M16" s="17"/>
      <c r="N16" s="54" t="s">
        <v>14</v>
      </c>
      <c r="O16" s="54" t="s">
        <v>15</v>
      </c>
      <c r="P16" s="55" t="s">
        <v>17</v>
      </c>
      <c r="Q16" s="56" t="s">
        <v>18</v>
      </c>
      <c r="R16" s="56"/>
      <c r="S16" s="56"/>
      <c r="T16" s="27"/>
      <c r="U16" s="27"/>
      <c r="V16" s="69" t="s">
        <v>39</v>
      </c>
      <c r="W16" s="68" t="s">
        <v>4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</row>
    <row r="17" spans="1:45" ht="6.95" customHeight="1" x14ac:dyDescent="0.25">
      <c r="D17" s="3"/>
      <c r="E17" s="4"/>
      <c r="F17" s="4"/>
      <c r="G17" s="4"/>
      <c r="H17" s="4"/>
      <c r="I17" s="4"/>
      <c r="J17" s="13"/>
      <c r="K17" s="13"/>
      <c r="L17" s="13"/>
      <c r="M17" s="5"/>
      <c r="P17" s="55"/>
      <c r="Q17" s="55"/>
      <c r="R17" s="55"/>
      <c r="S17" s="55"/>
      <c r="T17"/>
      <c r="U17"/>
      <c r="V17" s="1"/>
      <c r="W17" s="1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x14ac:dyDescent="0.25">
      <c r="A18" s="54">
        <v>1</v>
      </c>
      <c r="B18" s="54">
        <v>4</v>
      </c>
      <c r="C18" s="55">
        <f>IF(AND(ISNUMBER(J18),ISNUMBER(L18)),1,0)</f>
        <v>1</v>
      </c>
      <c r="D18" s="136">
        <v>1</v>
      </c>
      <c r="E18" s="137"/>
      <c r="F18" s="2" t="str">
        <f>VLOOKUP(A18,$E$4:$F$13,2,FALSE)</f>
        <v>Govert van der Weijden</v>
      </c>
      <c r="G18" s="7" t="s">
        <v>1</v>
      </c>
      <c r="H18" s="2" t="str">
        <f>VLOOKUP(B18,$E$4:$F$13,2,FALSE)</f>
        <v>Floris van Capelleveen</v>
      </c>
      <c r="I18" s="2"/>
      <c r="J18" s="14">
        <v>1</v>
      </c>
      <c r="K18" s="81"/>
      <c r="L18" s="14">
        <v>0</v>
      </c>
      <c r="M18" s="8"/>
      <c r="N18" s="54">
        <v>0</v>
      </c>
      <c r="O18" s="54">
        <v>0</v>
      </c>
      <c r="P18" s="55">
        <f>J18*O18</f>
        <v>0</v>
      </c>
      <c r="Q18" s="55">
        <f>L18*N18</f>
        <v>0</v>
      </c>
      <c r="R18" s="55">
        <f>A18*100+B18</f>
        <v>104</v>
      </c>
      <c r="S18" s="55">
        <f>B18*100+A18</f>
        <v>401</v>
      </c>
      <c r="T18"/>
      <c r="U18"/>
      <c r="V18" s="1" t="s">
        <v>40</v>
      </c>
      <c r="W18" s="18" t="s">
        <v>41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ht="6.95" customHeight="1" x14ac:dyDescent="0.25">
      <c r="D19" s="6"/>
      <c r="E19" s="19"/>
      <c r="F19" s="2"/>
      <c r="G19" s="7"/>
      <c r="H19" s="2"/>
      <c r="I19" s="2"/>
      <c r="J19" s="81"/>
      <c r="K19" s="81"/>
      <c r="L19" s="81"/>
      <c r="M19" s="8"/>
      <c r="P19" s="55"/>
      <c r="Q19" s="55"/>
      <c r="R19" s="55"/>
      <c r="S19" s="55"/>
      <c r="T19"/>
      <c r="U19"/>
      <c r="V19" s="1"/>
      <c r="W19" s="1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25">
      <c r="A20" s="54">
        <v>2</v>
      </c>
      <c r="B20" s="54">
        <v>3</v>
      </c>
      <c r="C20" s="55">
        <f>IF(AND(ISNUMBER(J20),ISNUMBER(L20)),1,0)</f>
        <v>1</v>
      </c>
      <c r="D20" s="136">
        <v>2</v>
      </c>
      <c r="E20" s="137"/>
      <c r="F20" s="2" t="str">
        <f t="shared" ref="F20" si="25">VLOOKUP(A20,$E$4:$F$13,2,FALSE)</f>
        <v>Mike van der Gijp van Bergen</v>
      </c>
      <c r="G20" s="7" t="s">
        <v>1</v>
      </c>
      <c r="H20" s="2" t="str">
        <f t="shared" ref="H20" si="26">VLOOKUP(B20,$E$4:$F$13,2,FALSE)</f>
        <v>Matthijs van Doodenweerd</v>
      </c>
      <c r="I20" s="2"/>
      <c r="J20" s="14">
        <v>1</v>
      </c>
      <c r="K20" s="81"/>
      <c r="L20" s="14">
        <v>0</v>
      </c>
      <c r="M20" s="8"/>
      <c r="N20" s="54">
        <v>0</v>
      </c>
      <c r="O20" s="54">
        <v>0</v>
      </c>
      <c r="P20" s="55">
        <f>J20*O20</f>
        <v>0</v>
      </c>
      <c r="Q20" s="55">
        <f>L20*N20</f>
        <v>0</v>
      </c>
      <c r="R20" s="55">
        <f>A20*100+B20</f>
        <v>203</v>
      </c>
      <c r="S20" s="55">
        <f>B20*100+A20</f>
        <v>302</v>
      </c>
      <c r="T20"/>
      <c r="U20"/>
      <c r="V20" s="1" t="s">
        <v>42</v>
      </c>
      <c r="W20" s="18" t="s">
        <v>43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ht="6.95" customHeight="1" x14ac:dyDescent="0.25">
      <c r="D21" s="6"/>
      <c r="E21" s="19"/>
      <c r="F21" s="2"/>
      <c r="G21" s="7"/>
      <c r="H21" s="2"/>
      <c r="I21" s="2"/>
      <c r="J21" s="81"/>
      <c r="K21" s="81"/>
      <c r="L21" s="81"/>
      <c r="M21" s="8"/>
      <c r="P21" s="55"/>
      <c r="Q21" s="55"/>
      <c r="R21" s="55"/>
      <c r="S21" s="55"/>
      <c r="T21"/>
      <c r="U21"/>
      <c r="V21" s="1"/>
      <c r="W21" s="18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25">
      <c r="A22" s="54">
        <v>0</v>
      </c>
      <c r="B22" s="54">
        <v>0</v>
      </c>
      <c r="C22" s="55">
        <f>IF(AND(ISNUMBER(J22),ISNUMBER(L22)),1,0)</f>
        <v>0</v>
      </c>
      <c r="D22" s="136"/>
      <c r="E22" s="137"/>
      <c r="F22" s="2"/>
      <c r="G22" s="7"/>
      <c r="H22" s="2"/>
      <c r="I22" s="2"/>
      <c r="J22" s="14"/>
      <c r="K22" s="81"/>
      <c r="L22" s="14"/>
      <c r="M22" s="8"/>
      <c r="N22" s="54">
        <v>0</v>
      </c>
      <c r="O22" s="54">
        <v>0</v>
      </c>
      <c r="P22" s="55">
        <f>J22*O22</f>
        <v>0</v>
      </c>
      <c r="Q22" s="55">
        <f>L22*N22</f>
        <v>0</v>
      </c>
      <c r="R22" s="55">
        <f>A22*100+B22</f>
        <v>0</v>
      </c>
      <c r="S22" s="55">
        <f>B22*100+A22</f>
        <v>0</v>
      </c>
      <c r="T22"/>
      <c r="U22"/>
      <c r="V22" s="1" t="s">
        <v>44</v>
      </c>
      <c r="W22" s="18" t="s">
        <v>45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ht="6.95" customHeight="1" x14ac:dyDescent="0.25">
      <c r="D23" s="6"/>
      <c r="E23" s="19"/>
      <c r="F23" s="2"/>
      <c r="G23" s="7"/>
      <c r="H23" s="2"/>
      <c r="I23" s="2"/>
      <c r="J23" s="81"/>
      <c r="K23" s="81"/>
      <c r="L23" s="81"/>
      <c r="M23" s="8"/>
      <c r="P23" s="55"/>
      <c r="Q23" s="55"/>
      <c r="R23" s="55"/>
      <c r="S23" s="55"/>
      <c r="T23"/>
      <c r="U23"/>
      <c r="V23" s="1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25">
      <c r="A24" s="54">
        <v>0</v>
      </c>
      <c r="B24" s="54">
        <v>0</v>
      </c>
      <c r="C24" s="55">
        <f>IF(AND(ISNUMBER(J24),ISNUMBER(L24)),1,0)</f>
        <v>0</v>
      </c>
      <c r="D24" s="136"/>
      <c r="E24" s="137"/>
      <c r="F24" s="2"/>
      <c r="G24" s="7"/>
      <c r="H24" s="2"/>
      <c r="I24" s="2"/>
      <c r="J24" s="14"/>
      <c r="K24" s="81"/>
      <c r="L24" s="14"/>
      <c r="M24" s="8"/>
      <c r="N24" s="54">
        <v>0</v>
      </c>
      <c r="O24" s="54">
        <v>0</v>
      </c>
      <c r="P24" s="55">
        <f>J24*O24</f>
        <v>0</v>
      </c>
      <c r="Q24" s="55">
        <f>L24*N24</f>
        <v>0</v>
      </c>
      <c r="R24" s="55">
        <f>A24*100+B24</f>
        <v>0</v>
      </c>
      <c r="S24" s="55">
        <f>B24*100+A24</f>
        <v>0</v>
      </c>
      <c r="T24"/>
      <c r="U24"/>
      <c r="V24" s="1" t="s">
        <v>46</v>
      </c>
      <c r="W24" t="s">
        <v>47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ht="6.95" customHeight="1" x14ac:dyDescent="0.25">
      <c r="D25" s="6"/>
      <c r="E25" s="19"/>
      <c r="F25" s="2"/>
      <c r="G25" s="7"/>
      <c r="H25" s="2"/>
      <c r="I25" s="2"/>
      <c r="J25" s="81"/>
      <c r="K25" s="81"/>
      <c r="L25" s="81"/>
      <c r="M25" s="8"/>
      <c r="P25" s="55"/>
      <c r="Q25" s="55"/>
      <c r="R25" s="55"/>
      <c r="S25" s="55"/>
      <c r="T25"/>
      <c r="U25"/>
      <c r="V25" s="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25">
      <c r="A26" s="54">
        <v>0</v>
      </c>
      <c r="B26" s="54">
        <v>0</v>
      </c>
      <c r="C26" s="55">
        <f>IF(AND(ISNUMBER(J26),ISNUMBER(L26)),1,0)</f>
        <v>0</v>
      </c>
      <c r="D26" s="136"/>
      <c r="E26" s="137"/>
      <c r="F26" s="2"/>
      <c r="G26" s="7"/>
      <c r="H26" s="2"/>
      <c r="I26" s="2"/>
      <c r="J26" s="14"/>
      <c r="K26" s="81"/>
      <c r="L26" s="14"/>
      <c r="M26" s="8"/>
      <c r="N26" s="54">
        <v>0</v>
      </c>
      <c r="O26" s="54">
        <v>0</v>
      </c>
      <c r="P26" s="55">
        <f>J26*O26</f>
        <v>0</v>
      </c>
      <c r="Q26" s="55">
        <f>L26*N26</f>
        <v>0</v>
      </c>
      <c r="R26" s="55">
        <f>A26*100+B26</f>
        <v>0</v>
      </c>
      <c r="S26" s="55">
        <f>B26*100+A26</f>
        <v>0</v>
      </c>
      <c r="T26"/>
      <c r="U26"/>
      <c r="V26" s="1" t="s">
        <v>48</v>
      </c>
      <c r="W26" t="s">
        <v>5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ht="6.95" customHeight="1" x14ac:dyDescent="0.25">
      <c r="D27" s="9"/>
      <c r="E27" s="10"/>
      <c r="F27" s="10"/>
      <c r="G27" s="10"/>
      <c r="H27" s="10"/>
      <c r="I27" s="10"/>
      <c r="J27" s="79"/>
      <c r="K27" s="79"/>
      <c r="L27" s="79"/>
      <c r="M27" s="11"/>
      <c r="P27" s="55"/>
      <c r="Q27" s="55"/>
      <c r="R27" s="55"/>
      <c r="S27" s="55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ht="24.95" customHeight="1" x14ac:dyDescent="0.25">
      <c r="P28" s="55"/>
      <c r="Q28" s="55"/>
      <c r="R28" s="55"/>
      <c r="S28" s="55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ht="24.95" customHeight="1" x14ac:dyDescent="0.25">
      <c r="P29" s="55"/>
      <c r="Q29" s="55"/>
      <c r="R29" s="55"/>
      <c r="S29" s="55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25">
      <c r="D30" s="21" t="s">
        <v>8</v>
      </c>
      <c r="E30" s="22"/>
      <c r="F30" s="41" t="s">
        <v>7</v>
      </c>
      <c r="G30" s="42">
        <v>2</v>
      </c>
      <c r="H30" s="23" t="str">
        <f>$E$1</f>
        <v>GROEP A</v>
      </c>
      <c r="I30" s="22"/>
      <c r="J30" s="23"/>
      <c r="K30" s="23"/>
      <c r="L30" s="23"/>
      <c r="M30" s="17"/>
      <c r="P30" s="55"/>
      <c r="Q30" s="55"/>
      <c r="R30" s="55"/>
      <c r="S30" s="55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ht="6.95" customHeight="1" x14ac:dyDescent="0.25">
      <c r="D31" s="3"/>
      <c r="E31" s="4"/>
      <c r="F31" s="4"/>
      <c r="G31" s="4"/>
      <c r="H31" s="4"/>
      <c r="I31" s="4"/>
      <c r="J31" s="13"/>
      <c r="K31" s="13"/>
      <c r="L31" s="13"/>
      <c r="M31" s="5"/>
      <c r="P31" s="55"/>
      <c r="Q31" s="55"/>
      <c r="R31" s="55"/>
      <c r="S31" s="55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25">
      <c r="A32" s="54">
        <v>4</v>
      </c>
      <c r="B32" s="54">
        <v>3</v>
      </c>
      <c r="C32" s="55">
        <f>IF(AND(ISNUMBER(J32),ISNUMBER(L32)),1,0)</f>
        <v>1</v>
      </c>
      <c r="D32" s="136">
        <v>1</v>
      </c>
      <c r="E32" s="137"/>
      <c r="F32" s="2" t="str">
        <f>VLOOKUP(A32,$E$4:$F$13,2,FALSE)</f>
        <v>Floris van Capelleveen</v>
      </c>
      <c r="G32" s="7" t="s">
        <v>1</v>
      </c>
      <c r="H32" s="2" t="str">
        <f>VLOOKUP(B32,$E$4:$F$13,2,FALSE)</f>
        <v>Matthijs van Doodenweerd</v>
      </c>
      <c r="I32" s="2"/>
      <c r="J32" s="14">
        <v>0</v>
      </c>
      <c r="K32" s="81"/>
      <c r="L32" s="14">
        <v>1</v>
      </c>
      <c r="M32" s="8"/>
      <c r="N32" s="54">
        <f>VLOOKUP(A32,$AT$4:$BM$13,3,FALSE)</f>
        <v>0</v>
      </c>
      <c r="O32" s="54">
        <f>VLOOKUP(B32,$AT$4:$BM$13,3,FALSE)</f>
        <v>0</v>
      </c>
      <c r="P32" s="55">
        <f>J32*O32</f>
        <v>0</v>
      </c>
      <c r="Q32" s="55">
        <f>L32*N32</f>
        <v>0</v>
      </c>
      <c r="R32" s="55">
        <f>A32*100+B32</f>
        <v>403</v>
      </c>
      <c r="S32" s="55">
        <f>B32*100+A32</f>
        <v>304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1:45" ht="6.95" customHeight="1" x14ac:dyDescent="0.25">
      <c r="D33" s="6"/>
      <c r="E33" s="19"/>
      <c r="F33" s="2"/>
      <c r="G33" s="7"/>
      <c r="H33" s="2"/>
      <c r="I33" s="2"/>
      <c r="J33" s="81"/>
      <c r="K33" s="81"/>
      <c r="L33" s="81"/>
      <c r="M33" s="8"/>
      <c r="P33" s="55"/>
      <c r="Q33" s="55"/>
      <c r="R33" s="55"/>
      <c r="S33" s="55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1:45" x14ac:dyDescent="0.25">
      <c r="A34" s="54">
        <v>1</v>
      </c>
      <c r="B34" s="54">
        <v>2</v>
      </c>
      <c r="C34" s="55">
        <f>IF(AND(ISNUMBER(J34),ISNUMBER(L34)),1,0)</f>
        <v>1</v>
      </c>
      <c r="D34" s="136">
        <v>2</v>
      </c>
      <c r="E34" s="137"/>
      <c r="F34" s="2" t="str">
        <f>VLOOKUP(A34,$E$4:$F$13,2,FALSE)</f>
        <v>Govert van der Weijden</v>
      </c>
      <c r="G34" s="7" t="s">
        <v>1</v>
      </c>
      <c r="H34" s="2" t="str">
        <f>VLOOKUP(B34,$E$4:$F$13,2,FALSE)</f>
        <v>Mike van der Gijp van Bergen</v>
      </c>
      <c r="I34" s="2"/>
      <c r="J34" s="14">
        <v>0</v>
      </c>
      <c r="K34" s="81"/>
      <c r="L34" s="14">
        <v>1</v>
      </c>
      <c r="M34" s="8"/>
      <c r="N34" s="54">
        <f>VLOOKUP(A34,$AT$4:$BM$13,3,FALSE)</f>
        <v>1</v>
      </c>
      <c r="O34" s="54">
        <f>VLOOKUP(B34,$AT$4:$BM$13,3,FALSE)</f>
        <v>1</v>
      </c>
      <c r="P34" s="55">
        <f>J34*O34</f>
        <v>0</v>
      </c>
      <c r="Q34" s="55">
        <f>L34*N34</f>
        <v>1</v>
      </c>
      <c r="R34" s="55">
        <f>A34*100+B34</f>
        <v>102</v>
      </c>
      <c r="S34" s="55">
        <f>B34*100+A34</f>
        <v>201</v>
      </c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45" ht="6.95" customHeight="1" x14ac:dyDescent="0.25">
      <c r="D35" s="6"/>
      <c r="E35" s="19"/>
      <c r="F35" s="2"/>
      <c r="G35" s="7"/>
      <c r="H35" s="2"/>
      <c r="I35" s="2"/>
      <c r="J35" s="81"/>
      <c r="K35" s="81"/>
      <c r="L35" s="81"/>
      <c r="M35" s="8"/>
      <c r="P35" s="55"/>
      <c r="Q35" s="55"/>
      <c r="R35" s="55"/>
      <c r="S35" s="5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x14ac:dyDescent="0.25">
      <c r="A36" s="54">
        <v>0</v>
      </c>
      <c r="B36" s="54">
        <v>0</v>
      </c>
      <c r="C36" s="55">
        <f>IF(AND(ISNUMBER(J36),ISNUMBER(L36)),1,0)</f>
        <v>0</v>
      </c>
      <c r="D36" s="136"/>
      <c r="E36" s="137"/>
      <c r="F36" s="2"/>
      <c r="G36" s="7"/>
      <c r="H36" s="2"/>
      <c r="I36" s="2"/>
      <c r="J36" s="14"/>
      <c r="K36" s="81"/>
      <c r="L36" s="14"/>
      <c r="M36" s="8"/>
      <c r="N36" s="54" t="e">
        <f>VLOOKUP(A36,$AT$4:$BM$13,3,FALSE)</f>
        <v>#N/A</v>
      </c>
      <c r="O36" s="54" t="e">
        <f>VLOOKUP(B36,$AT$4:$BM$13,3,FALSE)</f>
        <v>#N/A</v>
      </c>
      <c r="P36" s="55" t="e">
        <f>J36*O36</f>
        <v>#N/A</v>
      </c>
      <c r="Q36" s="55" t="e">
        <f>L36*N36</f>
        <v>#N/A</v>
      </c>
      <c r="R36" s="55">
        <f>A36*100+B36</f>
        <v>0</v>
      </c>
      <c r="S36" s="55">
        <f>B36*100+A36</f>
        <v>0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1:45" ht="6.95" customHeight="1" x14ac:dyDescent="0.25">
      <c r="D37" s="6"/>
      <c r="E37" s="19"/>
      <c r="F37" s="2"/>
      <c r="G37" s="7"/>
      <c r="H37" s="2"/>
      <c r="I37" s="2"/>
      <c r="J37" s="81"/>
      <c r="K37" s="81"/>
      <c r="L37" s="81"/>
      <c r="M37" s="8"/>
      <c r="P37" s="55"/>
      <c r="Q37" s="55"/>
      <c r="R37" s="55"/>
      <c r="S37" s="55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45" x14ac:dyDescent="0.25">
      <c r="A38" s="54">
        <v>0</v>
      </c>
      <c r="B38" s="54">
        <v>0</v>
      </c>
      <c r="C38" s="55">
        <f>IF(AND(ISNUMBER(J38),ISNUMBER(L38)),1,0)</f>
        <v>0</v>
      </c>
      <c r="D38" s="136"/>
      <c r="E38" s="137"/>
      <c r="F38" s="2"/>
      <c r="G38" s="7"/>
      <c r="H38" s="2"/>
      <c r="I38" s="2"/>
      <c r="J38" s="14"/>
      <c r="K38" s="81"/>
      <c r="L38" s="14"/>
      <c r="M38" s="8"/>
      <c r="N38" s="54" t="e">
        <f>VLOOKUP(A38,$AT$4:$BM$13,3,FALSE)</f>
        <v>#N/A</v>
      </c>
      <c r="O38" s="54" t="e">
        <f>VLOOKUP(B38,$AT$4:$BM$13,3,FALSE)</f>
        <v>#N/A</v>
      </c>
      <c r="P38" s="55" t="e">
        <f>J38*O38</f>
        <v>#N/A</v>
      </c>
      <c r="Q38" s="55" t="e">
        <f>L38*N38</f>
        <v>#N/A</v>
      </c>
      <c r="R38" s="55">
        <f>A38*100+B38</f>
        <v>0</v>
      </c>
      <c r="S38" s="55">
        <f>B38*100+A38</f>
        <v>0</v>
      </c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45" ht="6.95" customHeight="1" x14ac:dyDescent="0.25">
      <c r="D39" s="6"/>
      <c r="E39" s="19"/>
      <c r="F39" s="2"/>
      <c r="G39" s="7"/>
      <c r="H39" s="2"/>
      <c r="I39" s="2"/>
      <c r="J39" s="81"/>
      <c r="K39" s="81"/>
      <c r="L39" s="81"/>
      <c r="M39" s="8"/>
      <c r="P39" s="55"/>
      <c r="Q39" s="55"/>
      <c r="R39" s="55"/>
      <c r="S39" s="55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45" x14ac:dyDescent="0.25">
      <c r="A40" s="54">
        <v>0</v>
      </c>
      <c r="B40" s="54">
        <v>0</v>
      </c>
      <c r="C40" s="55">
        <f>IF(AND(ISNUMBER(J40),ISNUMBER(L40)),1,0)</f>
        <v>0</v>
      </c>
      <c r="D40" s="136"/>
      <c r="E40" s="137"/>
      <c r="F40" s="2"/>
      <c r="G40" s="7"/>
      <c r="H40" s="2"/>
      <c r="I40" s="2"/>
      <c r="J40" s="14"/>
      <c r="K40" s="81"/>
      <c r="L40" s="14"/>
      <c r="M40" s="8"/>
      <c r="N40" s="54" t="e">
        <f>VLOOKUP(A40,$AT$4:$BM$13,3,FALSE)</f>
        <v>#N/A</v>
      </c>
      <c r="O40" s="54" t="e">
        <f>VLOOKUP(B40,$AT$4:$BM$13,3,FALSE)</f>
        <v>#N/A</v>
      </c>
      <c r="P40" s="55" t="e">
        <f>J40*O40</f>
        <v>#N/A</v>
      </c>
      <c r="Q40" s="55" t="e">
        <f>L40*N40</f>
        <v>#N/A</v>
      </c>
      <c r="R40" s="55">
        <f>A40*100+B40</f>
        <v>0</v>
      </c>
      <c r="S40" s="55">
        <f>B40*100+A40</f>
        <v>0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45" ht="6.95" customHeight="1" x14ac:dyDescent="0.25">
      <c r="D41" s="9"/>
      <c r="E41" s="10"/>
      <c r="F41" s="10"/>
      <c r="G41" s="10"/>
      <c r="H41" s="10"/>
      <c r="I41" s="10"/>
      <c r="J41" s="79"/>
      <c r="K41" s="79"/>
      <c r="L41" s="79"/>
      <c r="M41" s="11"/>
      <c r="P41" s="55"/>
      <c r="Q41" s="55"/>
      <c r="R41" s="55"/>
      <c r="S41" s="55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1:45" ht="24.95" customHeight="1" x14ac:dyDescent="0.25">
      <c r="P42" s="55"/>
      <c r="Q42" s="55"/>
      <c r="R42" s="55"/>
      <c r="S42" s="55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1:45" ht="24.95" customHeight="1" x14ac:dyDescent="0.25">
      <c r="P43" s="55"/>
      <c r="Q43" s="55"/>
      <c r="R43" s="55"/>
      <c r="S43" s="55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45" x14ac:dyDescent="0.25">
      <c r="D44" s="21" t="s">
        <v>8</v>
      </c>
      <c r="E44" s="22"/>
      <c r="F44" s="41" t="s">
        <v>7</v>
      </c>
      <c r="G44" s="42">
        <v>3</v>
      </c>
      <c r="H44" s="23" t="str">
        <f>$E$1</f>
        <v>GROEP A</v>
      </c>
      <c r="I44" s="22"/>
      <c r="J44" s="23"/>
      <c r="K44" s="23"/>
      <c r="L44" s="23"/>
      <c r="M44" s="17"/>
      <c r="P44" s="55"/>
      <c r="Q44" s="55"/>
      <c r="R44" s="55"/>
      <c r="S44" s="55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1:45" ht="6.95" customHeight="1" x14ac:dyDescent="0.25">
      <c r="D45" s="3"/>
      <c r="E45" s="4"/>
      <c r="F45" s="4"/>
      <c r="G45" s="4"/>
      <c r="H45" s="4"/>
      <c r="I45" s="4"/>
      <c r="J45" s="13"/>
      <c r="K45" s="13"/>
      <c r="L45" s="13"/>
      <c r="M45" s="5"/>
      <c r="P45" s="55"/>
      <c r="Q45" s="55"/>
      <c r="R45" s="55"/>
      <c r="S45" s="5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 x14ac:dyDescent="0.25">
      <c r="A46" s="54">
        <v>2</v>
      </c>
      <c r="B46" s="54">
        <v>4</v>
      </c>
      <c r="C46" s="55">
        <f>IF(AND(ISNUMBER(J46),ISNUMBER(L46)),1,0)</f>
        <v>1</v>
      </c>
      <c r="D46" s="136">
        <v>1</v>
      </c>
      <c r="E46" s="137"/>
      <c r="F46" s="2" t="str">
        <f>VLOOKUP(A46,$E$4:$F$13,2,FALSE)</f>
        <v>Mike van der Gijp van Bergen</v>
      </c>
      <c r="G46" s="7" t="s">
        <v>1</v>
      </c>
      <c r="H46" s="2" t="str">
        <f>VLOOKUP(B46,$E$4:$F$13,2,FALSE)</f>
        <v>Floris van Capelleveen</v>
      </c>
      <c r="I46" s="2"/>
      <c r="J46" s="14">
        <v>1</v>
      </c>
      <c r="K46" s="81"/>
      <c r="L46" s="14">
        <v>0</v>
      </c>
      <c r="M46" s="8"/>
      <c r="N46" s="54">
        <f>VLOOKUP(A46,$AT$4:$BM$13,5,FALSE)</f>
        <v>2</v>
      </c>
      <c r="O46" s="54">
        <f>VLOOKUP(B46,$AT$4:$BM$13,5,FALSE)</f>
        <v>0</v>
      </c>
      <c r="P46" s="55">
        <f>J46*O46</f>
        <v>0</v>
      </c>
      <c r="Q46" s="55">
        <f>L46*N46</f>
        <v>0</v>
      </c>
      <c r="R46" s="55">
        <f>A46*100+B46</f>
        <v>204</v>
      </c>
      <c r="S46" s="55">
        <f>B46*100+A46</f>
        <v>402</v>
      </c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 ht="6.95" customHeight="1" x14ac:dyDescent="0.25">
      <c r="D47" s="6"/>
      <c r="E47" s="19"/>
      <c r="F47" s="2"/>
      <c r="G47" s="7"/>
      <c r="H47" s="2"/>
      <c r="I47" s="2"/>
      <c r="J47" s="81"/>
      <c r="K47" s="81"/>
      <c r="L47" s="81"/>
      <c r="M47" s="8"/>
      <c r="P47" s="55"/>
      <c r="Q47" s="55"/>
      <c r="R47" s="55"/>
      <c r="S47" s="55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 x14ac:dyDescent="0.25">
      <c r="A48" s="54">
        <v>3</v>
      </c>
      <c r="B48" s="54">
        <v>1</v>
      </c>
      <c r="C48" s="55">
        <f>IF(AND(ISNUMBER(J48),ISNUMBER(L48)),1,0)</f>
        <v>1</v>
      </c>
      <c r="D48" s="136">
        <v>2</v>
      </c>
      <c r="E48" s="137"/>
      <c r="F48" s="2" t="str">
        <f>VLOOKUP(A48,$E$4:$F$13,2,FALSE)</f>
        <v>Matthijs van Doodenweerd</v>
      </c>
      <c r="G48" s="7" t="s">
        <v>1</v>
      </c>
      <c r="H48" s="2" t="str">
        <f>VLOOKUP(B48,$E$4:$F$13,2,FALSE)</f>
        <v>Govert van der Weijden</v>
      </c>
      <c r="I48" s="2"/>
      <c r="J48" s="14">
        <v>0</v>
      </c>
      <c r="K48" s="81"/>
      <c r="L48" s="14">
        <v>1</v>
      </c>
      <c r="M48" s="8"/>
      <c r="N48" s="54">
        <f>VLOOKUP(A48,$AT$4:$BM$13,5,FALSE)</f>
        <v>1</v>
      </c>
      <c r="O48" s="54">
        <f>VLOOKUP(B48,$AT$4:$BM$13,5,FALSE)</f>
        <v>1</v>
      </c>
      <c r="P48" s="55">
        <f>J48*O48</f>
        <v>0</v>
      </c>
      <c r="Q48" s="55">
        <f>L48*N48</f>
        <v>1</v>
      </c>
      <c r="R48" s="55">
        <f>A48*100+B48</f>
        <v>301</v>
      </c>
      <c r="S48" s="55">
        <f>B48*100+A48</f>
        <v>103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ht="6.95" customHeight="1" x14ac:dyDescent="0.25">
      <c r="D49" s="6"/>
      <c r="E49" s="19"/>
      <c r="F49" s="2"/>
      <c r="G49" s="7"/>
      <c r="H49" s="2"/>
      <c r="I49" s="2"/>
      <c r="J49" s="81"/>
      <c r="K49" s="81"/>
      <c r="L49" s="81"/>
      <c r="M49" s="8"/>
      <c r="P49" s="55"/>
      <c r="Q49" s="55"/>
      <c r="R49" s="55"/>
      <c r="S49" s="55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 s="54">
        <v>0</v>
      </c>
      <c r="B50" s="54">
        <v>0</v>
      </c>
      <c r="C50" s="55">
        <f>IF(AND(ISNUMBER(J50),ISNUMBER(L50)),1,0)</f>
        <v>0</v>
      </c>
      <c r="D50" s="136"/>
      <c r="E50" s="137"/>
      <c r="F50" s="2"/>
      <c r="G50" s="7"/>
      <c r="H50" s="2"/>
      <c r="I50" s="2"/>
      <c r="J50" s="14"/>
      <c r="K50" s="81"/>
      <c r="L50" s="14"/>
      <c r="M50" s="8"/>
      <c r="N50" s="54" t="e">
        <f>VLOOKUP(A50,$AT$4:$BM$13,5,FALSE)</f>
        <v>#N/A</v>
      </c>
      <c r="O50" s="54" t="e">
        <f>VLOOKUP(B50,$AT$4:$BM$13,5,FALSE)</f>
        <v>#N/A</v>
      </c>
      <c r="P50" s="55" t="e">
        <f>J50*O50</f>
        <v>#N/A</v>
      </c>
      <c r="Q50" s="55" t="e">
        <f>L50*N50</f>
        <v>#N/A</v>
      </c>
      <c r="R50" s="55">
        <f>A50*100+B50</f>
        <v>0</v>
      </c>
      <c r="S50" s="55">
        <f>B50*100+A50</f>
        <v>0</v>
      </c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ht="6.95" customHeight="1" x14ac:dyDescent="0.25">
      <c r="D51" s="6"/>
      <c r="E51" s="19"/>
      <c r="F51" s="2"/>
      <c r="G51" s="7"/>
      <c r="H51" s="2"/>
      <c r="I51" s="2"/>
      <c r="J51" s="81"/>
      <c r="K51" s="81"/>
      <c r="L51" s="81"/>
      <c r="M51" s="8"/>
      <c r="P51" s="55"/>
      <c r="Q51" s="55"/>
      <c r="R51" s="55"/>
      <c r="S51" s="55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 s="54">
        <v>0</v>
      </c>
      <c r="B52" s="54">
        <v>0</v>
      </c>
      <c r="C52" s="55">
        <f>IF(AND(ISNUMBER(J52),ISNUMBER(L52)),1,0)</f>
        <v>0</v>
      </c>
      <c r="D52" s="136"/>
      <c r="E52" s="137"/>
      <c r="F52" s="2"/>
      <c r="G52" s="7"/>
      <c r="H52" s="2"/>
      <c r="I52" s="2"/>
      <c r="J52" s="14"/>
      <c r="K52" s="81"/>
      <c r="L52" s="14"/>
      <c r="M52" s="8"/>
      <c r="N52" s="54" t="e">
        <f>VLOOKUP(A52,$AT$4:$BM$13,5,FALSE)</f>
        <v>#N/A</v>
      </c>
      <c r="O52" s="54" t="e">
        <f>VLOOKUP(B52,$AT$4:$BM$13,5,FALSE)</f>
        <v>#N/A</v>
      </c>
      <c r="P52" s="55" t="e">
        <f>J52*O52</f>
        <v>#N/A</v>
      </c>
      <c r="Q52" s="55" t="e">
        <f>L52*N52</f>
        <v>#N/A</v>
      </c>
      <c r="R52" s="55">
        <f>A52*100+B52</f>
        <v>0</v>
      </c>
      <c r="S52" s="55">
        <f>B52*100+A52</f>
        <v>0</v>
      </c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ht="6.95" customHeight="1" x14ac:dyDescent="0.25">
      <c r="D53" s="6"/>
      <c r="E53" s="19"/>
      <c r="F53" s="2"/>
      <c r="G53" s="7"/>
      <c r="H53" s="2"/>
      <c r="I53" s="2"/>
      <c r="J53" s="81"/>
      <c r="K53" s="81"/>
      <c r="L53" s="81"/>
      <c r="M53" s="8"/>
      <c r="P53" s="55"/>
      <c r="Q53" s="55"/>
      <c r="R53" s="55"/>
      <c r="S53" s="55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 s="54">
        <v>0</v>
      </c>
      <c r="B54" s="54">
        <v>0</v>
      </c>
      <c r="C54" s="55">
        <f>IF(AND(ISNUMBER(J54),ISNUMBER(L54)),1,0)</f>
        <v>0</v>
      </c>
      <c r="D54" s="136"/>
      <c r="E54" s="137"/>
      <c r="F54" s="2"/>
      <c r="G54" s="7"/>
      <c r="H54" s="2"/>
      <c r="I54" s="2"/>
      <c r="J54" s="14"/>
      <c r="K54" s="81"/>
      <c r="L54" s="14"/>
      <c r="M54" s="8"/>
      <c r="N54" s="54" t="e">
        <f>VLOOKUP(A54,$AT$4:$BM$13,5,FALSE)</f>
        <v>#N/A</v>
      </c>
      <c r="O54" s="54" t="e">
        <f>VLOOKUP(B54,$AT$4:$BM$13,5,FALSE)</f>
        <v>#N/A</v>
      </c>
      <c r="P54" s="55" t="e">
        <f>J54*O54</f>
        <v>#N/A</v>
      </c>
      <c r="Q54" s="55" t="e">
        <f>L54*N54</f>
        <v>#N/A</v>
      </c>
      <c r="R54" s="55">
        <f>A54*100+B54</f>
        <v>0</v>
      </c>
      <c r="S54" s="55">
        <f>B54*100+A54</f>
        <v>0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ht="6.95" customHeight="1" x14ac:dyDescent="0.25">
      <c r="D55" s="9"/>
      <c r="E55" s="10"/>
      <c r="F55" s="10"/>
      <c r="G55" s="10"/>
      <c r="H55" s="10"/>
      <c r="I55" s="10"/>
      <c r="J55" s="79"/>
      <c r="K55" s="79"/>
      <c r="L55" s="79"/>
      <c r="M55" s="11"/>
      <c r="P55" s="55"/>
      <c r="Q55" s="55"/>
      <c r="R55" s="55"/>
      <c r="S55" s="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ht="24.95" customHeight="1" x14ac:dyDescent="0.25">
      <c r="P56" s="55"/>
      <c r="Q56" s="55"/>
      <c r="R56" s="55"/>
      <c r="S56" s="55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24.95" customHeight="1" x14ac:dyDescent="0.25">
      <c r="P57" s="55"/>
      <c r="Q57" s="55"/>
      <c r="R57" s="55"/>
      <c r="S57" s="55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D58" s="21" t="s">
        <v>8</v>
      </c>
      <c r="E58" s="22"/>
      <c r="F58" s="41" t="s">
        <v>7</v>
      </c>
      <c r="G58" s="42">
        <v>4</v>
      </c>
      <c r="H58" s="23" t="str">
        <f>$E$1</f>
        <v>GROEP A</v>
      </c>
      <c r="I58" s="22"/>
      <c r="J58" s="23"/>
      <c r="K58" s="23"/>
      <c r="L58" s="23"/>
      <c r="M58" s="17"/>
      <c r="P58" s="55"/>
      <c r="Q58" s="55"/>
      <c r="R58" s="55"/>
      <c r="S58" s="55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6.95" customHeight="1" x14ac:dyDescent="0.25">
      <c r="D59" s="3"/>
      <c r="E59" s="4"/>
      <c r="F59" s="4"/>
      <c r="G59" s="4"/>
      <c r="H59" s="4"/>
      <c r="I59" s="4"/>
      <c r="J59" s="13"/>
      <c r="K59" s="13"/>
      <c r="L59" s="13"/>
      <c r="M59" s="5"/>
      <c r="P59" s="55"/>
      <c r="Q59" s="55"/>
      <c r="R59" s="55"/>
      <c r="S59" s="55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 s="54">
        <v>0</v>
      </c>
      <c r="B60" s="54">
        <v>0</v>
      </c>
      <c r="C60" s="55">
        <f>IF(AND(ISNUMBER(J60),ISNUMBER(L60)),1,0)</f>
        <v>0</v>
      </c>
      <c r="D60" s="136"/>
      <c r="E60" s="137"/>
      <c r="F60" s="2"/>
      <c r="G60" s="7"/>
      <c r="H60" s="2"/>
      <c r="I60" s="2"/>
      <c r="J60" s="14"/>
      <c r="K60" s="81"/>
      <c r="L60" s="14"/>
      <c r="M60" s="8"/>
      <c r="N60" s="54" t="e">
        <f>VLOOKUP(A60,$AT$4:$BM$13,7,FALSE)</f>
        <v>#N/A</v>
      </c>
      <c r="O60" s="54" t="e">
        <f>VLOOKUP(B60,$AT$4:$BM$13,7,FALSE)</f>
        <v>#N/A</v>
      </c>
      <c r="P60" s="55" t="e">
        <f>J60*O60</f>
        <v>#N/A</v>
      </c>
      <c r="Q60" s="55" t="e">
        <f>L60*N60</f>
        <v>#N/A</v>
      </c>
      <c r="R60" s="55">
        <f>A60*100+B60</f>
        <v>0</v>
      </c>
      <c r="S60" s="55">
        <f>B60*100+A60</f>
        <v>0</v>
      </c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6.95" customHeight="1" x14ac:dyDescent="0.25">
      <c r="D61" s="6"/>
      <c r="E61" s="19"/>
      <c r="F61" s="2"/>
      <c r="G61" s="7"/>
      <c r="H61" s="2"/>
      <c r="I61" s="2"/>
      <c r="J61" s="81"/>
      <c r="K61" s="81"/>
      <c r="L61" s="81"/>
      <c r="M61" s="8"/>
      <c r="P61" s="55"/>
      <c r="Q61" s="55"/>
      <c r="R61" s="55"/>
      <c r="S61" s="55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 s="54">
        <v>0</v>
      </c>
      <c r="B62" s="54">
        <v>0</v>
      </c>
      <c r="C62" s="55">
        <f>IF(AND(ISNUMBER(J62),ISNUMBER(L62)),1,0)</f>
        <v>0</v>
      </c>
      <c r="D62" s="136"/>
      <c r="E62" s="137"/>
      <c r="F62" s="2"/>
      <c r="G62" s="7"/>
      <c r="H62" s="2"/>
      <c r="I62" s="2"/>
      <c r="J62" s="14"/>
      <c r="K62" s="81"/>
      <c r="L62" s="14"/>
      <c r="M62" s="8"/>
      <c r="N62" s="54" t="e">
        <f>VLOOKUP(A62,$AT$4:$BM$13,7,FALSE)</f>
        <v>#N/A</v>
      </c>
      <c r="O62" s="54" t="e">
        <f>VLOOKUP(B62,$AT$4:$BM$13,7,FALSE)</f>
        <v>#N/A</v>
      </c>
      <c r="P62" s="55" t="e">
        <f>J62*O62</f>
        <v>#N/A</v>
      </c>
      <c r="Q62" s="55" t="e">
        <f>L62*N62</f>
        <v>#N/A</v>
      </c>
      <c r="R62" s="55">
        <f>A62*100+B62</f>
        <v>0</v>
      </c>
      <c r="S62" s="55">
        <f>B62*100+A62</f>
        <v>0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6.95" customHeight="1" x14ac:dyDescent="0.25">
      <c r="D63" s="6"/>
      <c r="E63" s="19"/>
      <c r="F63" s="2"/>
      <c r="G63" s="7"/>
      <c r="H63" s="2"/>
      <c r="I63" s="2"/>
      <c r="J63" s="81"/>
      <c r="K63" s="81"/>
      <c r="L63" s="81"/>
      <c r="M63" s="8"/>
      <c r="P63" s="55"/>
      <c r="Q63" s="55"/>
      <c r="R63" s="55"/>
      <c r="S63" s="55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 s="54">
        <v>0</v>
      </c>
      <c r="B64" s="54">
        <v>0</v>
      </c>
      <c r="C64" s="55">
        <f>IF(AND(ISNUMBER(J64),ISNUMBER(L64)),1,0)</f>
        <v>0</v>
      </c>
      <c r="D64" s="136"/>
      <c r="E64" s="137"/>
      <c r="F64" s="2"/>
      <c r="G64" s="7"/>
      <c r="H64" s="2"/>
      <c r="I64" s="2"/>
      <c r="J64" s="14"/>
      <c r="K64" s="81"/>
      <c r="L64" s="14"/>
      <c r="M64" s="8"/>
      <c r="N64" s="54" t="e">
        <f>VLOOKUP(A64,$AT$4:$BM$13,7,FALSE)</f>
        <v>#N/A</v>
      </c>
      <c r="O64" s="54" t="e">
        <f>VLOOKUP(B64,$AT$4:$BM$13,7,FALSE)</f>
        <v>#N/A</v>
      </c>
      <c r="P64" s="55" t="e">
        <f>J64*O64</f>
        <v>#N/A</v>
      </c>
      <c r="Q64" s="55" t="e">
        <f>L64*N64</f>
        <v>#N/A</v>
      </c>
      <c r="R64" s="55">
        <f>A64*100+B64</f>
        <v>0</v>
      </c>
      <c r="S64" s="55">
        <f>B64*100+A64</f>
        <v>0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6.95" customHeight="1" x14ac:dyDescent="0.25">
      <c r="D65" s="6"/>
      <c r="E65" s="19"/>
      <c r="F65" s="2"/>
      <c r="G65" s="7"/>
      <c r="H65" s="2"/>
      <c r="I65" s="2"/>
      <c r="J65" s="81"/>
      <c r="K65" s="81"/>
      <c r="L65" s="81"/>
      <c r="M65" s="8"/>
      <c r="P65" s="55"/>
      <c r="Q65" s="55"/>
      <c r="R65" s="55"/>
      <c r="S65" s="5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 s="54">
        <v>0</v>
      </c>
      <c r="B66" s="54">
        <v>0</v>
      </c>
      <c r="C66" s="55">
        <f>IF(AND(ISNUMBER(J66),ISNUMBER(L66)),1,0)</f>
        <v>0</v>
      </c>
      <c r="D66" s="136"/>
      <c r="E66" s="137"/>
      <c r="F66" s="2"/>
      <c r="G66" s="7"/>
      <c r="H66" s="2"/>
      <c r="I66" s="2"/>
      <c r="J66" s="14"/>
      <c r="K66" s="81"/>
      <c r="L66" s="14"/>
      <c r="M66" s="8"/>
      <c r="N66" s="54" t="e">
        <f>VLOOKUP(A66,$AT$4:$BM$13,7,FALSE)</f>
        <v>#N/A</v>
      </c>
      <c r="O66" s="54" t="e">
        <f>VLOOKUP(B66,$AT$4:$BM$13,7,FALSE)</f>
        <v>#N/A</v>
      </c>
      <c r="P66" s="55" t="e">
        <f>J66*O66</f>
        <v>#N/A</v>
      </c>
      <c r="Q66" s="55" t="e">
        <f>L66*N66</f>
        <v>#N/A</v>
      </c>
      <c r="R66" s="55">
        <f>A66*100+B66</f>
        <v>0</v>
      </c>
      <c r="S66" s="55">
        <f>B66*100+A66</f>
        <v>0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6.95" customHeight="1" x14ac:dyDescent="0.25">
      <c r="D67" s="6"/>
      <c r="E67" s="19"/>
      <c r="F67" s="2"/>
      <c r="G67" s="7"/>
      <c r="H67" s="2"/>
      <c r="I67" s="2"/>
      <c r="J67" s="81"/>
      <c r="K67" s="81"/>
      <c r="L67" s="81"/>
      <c r="M67" s="8"/>
      <c r="P67" s="55"/>
      <c r="Q67" s="55"/>
      <c r="R67" s="55"/>
      <c r="S67" s="55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 s="54">
        <v>0</v>
      </c>
      <c r="B68" s="54">
        <v>0</v>
      </c>
      <c r="C68" s="55">
        <f>IF(AND(ISNUMBER(J68),ISNUMBER(L68)),1,0)</f>
        <v>0</v>
      </c>
      <c r="D68" s="136"/>
      <c r="E68" s="137"/>
      <c r="F68" s="2"/>
      <c r="G68" s="7"/>
      <c r="H68" s="2"/>
      <c r="I68" s="2"/>
      <c r="J68" s="14"/>
      <c r="K68" s="81"/>
      <c r="L68" s="14"/>
      <c r="M68" s="8"/>
      <c r="N68" s="54" t="e">
        <f>VLOOKUP(A68,$AT$4:$BM$13,7,FALSE)</f>
        <v>#N/A</v>
      </c>
      <c r="O68" s="54" t="e">
        <f>VLOOKUP(B68,$AT$4:$BM$13,7,FALSE)</f>
        <v>#N/A</v>
      </c>
      <c r="P68" s="55" t="e">
        <f>J68*O68</f>
        <v>#N/A</v>
      </c>
      <c r="Q68" s="55" t="e">
        <f>L68*N68</f>
        <v>#N/A</v>
      </c>
      <c r="R68" s="55">
        <f>A68*100+B68</f>
        <v>0</v>
      </c>
      <c r="S68" s="55">
        <f>B68*100+A68</f>
        <v>0</v>
      </c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6.95" customHeight="1" x14ac:dyDescent="0.25">
      <c r="D69" s="9"/>
      <c r="E69" s="10"/>
      <c r="F69" s="10"/>
      <c r="G69" s="10"/>
      <c r="H69" s="10"/>
      <c r="I69" s="10"/>
      <c r="J69" s="79"/>
      <c r="K69" s="79"/>
      <c r="L69" s="79"/>
      <c r="M69" s="11"/>
      <c r="P69" s="55"/>
      <c r="Q69" s="55"/>
      <c r="R69" s="55"/>
      <c r="S69" s="55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24.95" customHeight="1" x14ac:dyDescent="0.25">
      <c r="P70" s="55"/>
      <c r="Q70" s="55"/>
      <c r="R70" s="55"/>
      <c r="S70" s="55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24.95" customHeight="1" x14ac:dyDescent="0.25">
      <c r="P71" s="55"/>
      <c r="Q71" s="55"/>
      <c r="R71" s="55"/>
      <c r="S71" s="55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D72" s="21" t="s">
        <v>8</v>
      </c>
      <c r="E72" s="22"/>
      <c r="F72" s="41" t="s">
        <v>7</v>
      </c>
      <c r="G72" s="42">
        <v>5</v>
      </c>
      <c r="H72" s="23" t="str">
        <f>$E$1</f>
        <v>GROEP A</v>
      </c>
      <c r="I72" s="22"/>
      <c r="J72" s="23"/>
      <c r="K72" s="23"/>
      <c r="L72" s="23"/>
      <c r="M72" s="17"/>
      <c r="P72" s="55"/>
      <c r="Q72" s="55"/>
      <c r="R72" s="55"/>
      <c r="S72" s="55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6.95" customHeight="1" x14ac:dyDescent="0.25">
      <c r="D73" s="3"/>
      <c r="E73" s="4"/>
      <c r="F73" s="4"/>
      <c r="G73" s="4"/>
      <c r="H73" s="4"/>
      <c r="I73" s="4"/>
      <c r="J73" s="13"/>
      <c r="K73" s="13"/>
      <c r="L73" s="13"/>
      <c r="M73" s="5"/>
      <c r="P73" s="55"/>
      <c r="Q73" s="55"/>
      <c r="R73" s="55"/>
      <c r="S73" s="55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 s="54">
        <v>0</v>
      </c>
      <c r="B74" s="54">
        <v>0</v>
      </c>
      <c r="C74" s="55">
        <f>IF(AND(ISNUMBER(J74),ISNUMBER(L74)),1,0)</f>
        <v>0</v>
      </c>
      <c r="D74" s="136"/>
      <c r="E74" s="137"/>
      <c r="F74" s="2"/>
      <c r="G74" s="7"/>
      <c r="H74" s="2"/>
      <c r="I74" s="2"/>
      <c r="J74" s="14"/>
      <c r="K74" s="81"/>
      <c r="L74" s="14"/>
      <c r="M74" s="8"/>
      <c r="N74" s="54" t="e">
        <f>VLOOKUP(A74,$AT$4:$BM$13,9,FALSE)</f>
        <v>#N/A</v>
      </c>
      <c r="O74" s="54" t="e">
        <f>VLOOKUP(B74,$AT$4:$BM$13,9,FALSE)</f>
        <v>#N/A</v>
      </c>
      <c r="P74" s="55" t="e">
        <f>J74*O74</f>
        <v>#N/A</v>
      </c>
      <c r="Q74" s="55" t="e">
        <f>L74*N74</f>
        <v>#N/A</v>
      </c>
      <c r="R74" s="55">
        <f>A74*100+B74</f>
        <v>0</v>
      </c>
      <c r="S74" s="55">
        <f>B74*100+A74</f>
        <v>0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6.95" customHeight="1" x14ac:dyDescent="0.25">
      <c r="D75" s="6"/>
      <c r="E75" s="19"/>
      <c r="F75" s="2"/>
      <c r="G75" s="7"/>
      <c r="H75" s="2"/>
      <c r="I75" s="2"/>
      <c r="J75" s="81"/>
      <c r="K75" s="81"/>
      <c r="L75" s="81"/>
      <c r="M75" s="8"/>
      <c r="P75" s="55"/>
      <c r="Q75" s="55"/>
      <c r="R75" s="55"/>
      <c r="S75" s="5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 s="54">
        <v>0</v>
      </c>
      <c r="B76" s="54">
        <v>0</v>
      </c>
      <c r="C76" s="55">
        <f>IF(AND(ISNUMBER(J76),ISNUMBER(L76)),1,0)</f>
        <v>0</v>
      </c>
      <c r="D76" s="136"/>
      <c r="E76" s="137"/>
      <c r="F76" s="2"/>
      <c r="G76" s="7"/>
      <c r="H76" s="2"/>
      <c r="I76" s="2"/>
      <c r="J76" s="14"/>
      <c r="K76" s="81"/>
      <c r="L76" s="14"/>
      <c r="M76" s="8"/>
      <c r="N76" s="54" t="e">
        <f>VLOOKUP(A76,$AT$4:$BM$13,9,FALSE)</f>
        <v>#N/A</v>
      </c>
      <c r="O76" s="54" t="e">
        <f>VLOOKUP(B76,$AT$4:$BM$13,9,FALSE)</f>
        <v>#N/A</v>
      </c>
      <c r="P76" s="55" t="e">
        <f>J76*O76</f>
        <v>#N/A</v>
      </c>
      <c r="Q76" s="55" t="e">
        <f>L76*N76</f>
        <v>#N/A</v>
      </c>
      <c r="R76" s="55">
        <f>A76*100+B76</f>
        <v>0</v>
      </c>
      <c r="S76" s="55">
        <f>B76*100+A76</f>
        <v>0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6.95" customHeight="1" x14ac:dyDescent="0.25">
      <c r="D77" s="6"/>
      <c r="E77" s="19"/>
      <c r="F77" s="2"/>
      <c r="G77" s="7"/>
      <c r="H77" s="2"/>
      <c r="I77" s="2"/>
      <c r="J77" s="81"/>
      <c r="K77" s="81"/>
      <c r="L77" s="81"/>
      <c r="M77" s="8"/>
      <c r="P77" s="55"/>
      <c r="Q77" s="55"/>
      <c r="R77" s="55"/>
      <c r="S77" s="55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 s="54">
        <v>0</v>
      </c>
      <c r="B78" s="54">
        <v>0</v>
      </c>
      <c r="C78" s="55">
        <f>IF(AND(ISNUMBER(J78),ISNUMBER(L78)),1,0)</f>
        <v>0</v>
      </c>
      <c r="D78" s="136"/>
      <c r="E78" s="137"/>
      <c r="F78" s="2"/>
      <c r="G78" s="7"/>
      <c r="H78" s="2"/>
      <c r="I78" s="2"/>
      <c r="J78" s="14"/>
      <c r="K78" s="81"/>
      <c r="L78" s="14"/>
      <c r="M78" s="8"/>
      <c r="N78" s="54" t="e">
        <f>VLOOKUP(A78,$AT$4:$BM$13,9,FALSE)</f>
        <v>#N/A</v>
      </c>
      <c r="O78" s="54" t="e">
        <f>VLOOKUP(B78,$AT$4:$BM$13,9,FALSE)</f>
        <v>#N/A</v>
      </c>
      <c r="P78" s="55" t="e">
        <f>J78*O78</f>
        <v>#N/A</v>
      </c>
      <c r="Q78" s="55" t="e">
        <f>L78*N78</f>
        <v>#N/A</v>
      </c>
      <c r="R78" s="55">
        <f>A78*100+B78</f>
        <v>0</v>
      </c>
      <c r="S78" s="55">
        <f>B78*100+A78</f>
        <v>0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6.95" customHeight="1" x14ac:dyDescent="0.25">
      <c r="D79" s="6"/>
      <c r="E79" s="19"/>
      <c r="F79" s="2"/>
      <c r="G79" s="7"/>
      <c r="H79" s="2"/>
      <c r="I79" s="2"/>
      <c r="J79" s="81"/>
      <c r="K79" s="81"/>
      <c r="L79" s="81"/>
      <c r="M79" s="8"/>
      <c r="P79" s="55"/>
      <c r="Q79" s="55"/>
      <c r="R79" s="55"/>
      <c r="S79" s="55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 s="54">
        <v>0</v>
      </c>
      <c r="B80" s="54">
        <v>0</v>
      </c>
      <c r="C80" s="55">
        <f>IF(AND(ISNUMBER(J80),ISNUMBER(L80)),1,0)</f>
        <v>0</v>
      </c>
      <c r="D80" s="136"/>
      <c r="E80" s="137"/>
      <c r="F80" s="2"/>
      <c r="G80" s="7"/>
      <c r="H80" s="2"/>
      <c r="I80" s="2"/>
      <c r="J80" s="14"/>
      <c r="K80" s="81"/>
      <c r="L80" s="14"/>
      <c r="M80" s="8"/>
      <c r="N80" s="54" t="e">
        <f>VLOOKUP(A80,$AT$4:$BM$13,9,FALSE)</f>
        <v>#N/A</v>
      </c>
      <c r="O80" s="54" t="e">
        <f>VLOOKUP(B80,$AT$4:$BM$13,9,FALSE)</f>
        <v>#N/A</v>
      </c>
      <c r="P80" s="55" t="e">
        <f>J80*O80</f>
        <v>#N/A</v>
      </c>
      <c r="Q80" s="55" t="e">
        <f>L80*N80</f>
        <v>#N/A</v>
      </c>
      <c r="R80" s="55">
        <f>A80*100+B80</f>
        <v>0</v>
      </c>
      <c r="S80" s="55">
        <f>B80*100+A80</f>
        <v>0</v>
      </c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6.95" customHeight="1" x14ac:dyDescent="0.25">
      <c r="D81" s="6"/>
      <c r="E81" s="19"/>
      <c r="F81" s="2"/>
      <c r="G81" s="7"/>
      <c r="H81" s="2"/>
      <c r="I81" s="2"/>
      <c r="J81" s="81"/>
      <c r="K81" s="81"/>
      <c r="L81" s="81"/>
      <c r="M81" s="8"/>
      <c r="P81" s="55"/>
      <c r="Q81" s="55"/>
      <c r="R81" s="55"/>
      <c r="S81" s="55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 s="54">
        <v>0</v>
      </c>
      <c r="B82" s="54">
        <v>0</v>
      </c>
      <c r="C82" s="55">
        <f>IF(AND(ISNUMBER(J82),ISNUMBER(L82)),1,0)</f>
        <v>0</v>
      </c>
      <c r="D82" s="136"/>
      <c r="E82" s="137"/>
      <c r="F82" s="2"/>
      <c r="G82" s="7"/>
      <c r="H82" s="2"/>
      <c r="I82" s="2"/>
      <c r="J82" s="14"/>
      <c r="K82" s="81"/>
      <c r="L82" s="14"/>
      <c r="M82" s="8"/>
      <c r="N82" s="54" t="e">
        <f>VLOOKUP(A82,$AT$4:$BM$13,9,FALSE)</f>
        <v>#N/A</v>
      </c>
      <c r="O82" s="54" t="e">
        <f>VLOOKUP(B82,$AT$4:$BM$13,9,FALSE)</f>
        <v>#N/A</v>
      </c>
      <c r="P82" s="55" t="e">
        <f>J82*O82</f>
        <v>#N/A</v>
      </c>
      <c r="Q82" s="55" t="e">
        <f>L82*N82</f>
        <v>#N/A</v>
      </c>
      <c r="R82" s="55">
        <f>A82*100+B82</f>
        <v>0</v>
      </c>
      <c r="S82" s="55">
        <f>B82*100+A82</f>
        <v>0</v>
      </c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6.95" customHeight="1" x14ac:dyDescent="0.25">
      <c r="D83" s="9"/>
      <c r="E83" s="10"/>
      <c r="F83" s="10"/>
      <c r="G83" s="10"/>
      <c r="H83" s="10"/>
      <c r="I83" s="10"/>
      <c r="J83" s="79"/>
      <c r="K83" s="79"/>
      <c r="L83" s="79"/>
      <c r="M83" s="11"/>
      <c r="P83" s="55"/>
      <c r="Q83" s="55"/>
      <c r="R83" s="55"/>
      <c r="S83" s="55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P84" s="55"/>
      <c r="Q84" s="55"/>
      <c r="R84" s="55"/>
      <c r="S84" s="55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P85" s="55"/>
      <c r="Q85" s="55"/>
      <c r="R85" s="55"/>
      <c r="S85" s="5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D86" s="21" t="s">
        <v>8</v>
      </c>
      <c r="E86" s="22"/>
      <c r="F86" s="41" t="s">
        <v>7</v>
      </c>
      <c r="G86" s="42">
        <v>6</v>
      </c>
      <c r="H86" s="23" t="str">
        <f>$E$1</f>
        <v>GROEP A</v>
      </c>
      <c r="I86" s="22"/>
      <c r="J86" s="23"/>
      <c r="K86" s="23"/>
      <c r="L86" s="23"/>
      <c r="M86" s="17"/>
      <c r="P86" s="55"/>
      <c r="Q86" s="55"/>
      <c r="R86" s="55"/>
      <c r="S86" s="55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6.95" customHeight="1" x14ac:dyDescent="0.25">
      <c r="D87" s="3"/>
      <c r="E87" s="4"/>
      <c r="F87" s="4"/>
      <c r="G87" s="4"/>
      <c r="H87" s="4"/>
      <c r="I87" s="4"/>
      <c r="J87" s="13"/>
      <c r="K87" s="13"/>
      <c r="L87" s="13"/>
      <c r="M87" s="5"/>
      <c r="P87" s="55"/>
      <c r="Q87" s="55"/>
      <c r="R87" s="55"/>
      <c r="S87" s="55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 s="54">
        <v>0</v>
      </c>
      <c r="B88" s="54">
        <v>0</v>
      </c>
      <c r="C88" s="55">
        <f>IF(AND(ISNUMBER(J88),ISNUMBER(L88)),1,0)</f>
        <v>0</v>
      </c>
      <c r="D88" s="136"/>
      <c r="E88" s="137"/>
      <c r="F88" s="2"/>
      <c r="G88" s="7"/>
      <c r="H88" s="2"/>
      <c r="I88" s="2"/>
      <c r="J88" s="14"/>
      <c r="K88" s="81"/>
      <c r="L88" s="14"/>
      <c r="M88" s="8"/>
      <c r="N88" s="54" t="e">
        <f>VLOOKUP(A88,$AT$4:$BM$13,11,FALSE)</f>
        <v>#N/A</v>
      </c>
      <c r="O88" s="54" t="e">
        <f>VLOOKUP(B88,$AT$4:$BM$13,11,FALSE)</f>
        <v>#N/A</v>
      </c>
      <c r="P88" s="55" t="e">
        <f>J88*O88</f>
        <v>#N/A</v>
      </c>
      <c r="Q88" s="55" t="e">
        <f>L88*N88</f>
        <v>#N/A</v>
      </c>
      <c r="R88" s="55">
        <f>A88*100+B88</f>
        <v>0</v>
      </c>
      <c r="S88" s="55">
        <f>B88*100+A88</f>
        <v>0</v>
      </c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6.95" customHeight="1" x14ac:dyDescent="0.25">
      <c r="D89" s="6"/>
      <c r="E89" s="19"/>
      <c r="F89" s="2"/>
      <c r="G89" s="7"/>
      <c r="H89" s="2"/>
      <c r="I89" s="2"/>
      <c r="J89" s="81"/>
      <c r="K89" s="81"/>
      <c r="L89" s="81"/>
      <c r="M89" s="8"/>
      <c r="P89" s="55"/>
      <c r="Q89" s="55"/>
      <c r="R89" s="55"/>
      <c r="S89" s="55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 s="54">
        <v>0</v>
      </c>
      <c r="B90" s="54">
        <v>0</v>
      </c>
      <c r="C90" s="55">
        <f>IF(AND(ISNUMBER(J90),ISNUMBER(L90)),1,0)</f>
        <v>0</v>
      </c>
      <c r="D90" s="136"/>
      <c r="E90" s="137"/>
      <c r="F90" s="2"/>
      <c r="G90" s="7"/>
      <c r="H90" s="2"/>
      <c r="I90" s="2"/>
      <c r="J90" s="14"/>
      <c r="K90" s="81"/>
      <c r="L90" s="14"/>
      <c r="M90" s="8"/>
      <c r="N90" s="54" t="e">
        <f>VLOOKUP(A90,$AT$4:$BM$13,11,FALSE)</f>
        <v>#N/A</v>
      </c>
      <c r="O90" s="54" t="e">
        <f>VLOOKUP(B90,$AT$4:$BM$13,11,FALSE)</f>
        <v>#N/A</v>
      </c>
      <c r="P90" s="55" t="e">
        <f>J90*O90</f>
        <v>#N/A</v>
      </c>
      <c r="Q90" s="55" t="e">
        <f>L90*N90</f>
        <v>#N/A</v>
      </c>
      <c r="R90" s="55">
        <f>A90*100+B90</f>
        <v>0</v>
      </c>
      <c r="S90" s="55">
        <f>B90*100+A90</f>
        <v>0</v>
      </c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6.95" customHeight="1" x14ac:dyDescent="0.25">
      <c r="D91" s="6"/>
      <c r="E91" s="19"/>
      <c r="F91" s="2"/>
      <c r="G91" s="7"/>
      <c r="H91" s="2"/>
      <c r="I91" s="2"/>
      <c r="J91" s="81"/>
      <c r="K91" s="81"/>
      <c r="L91" s="81"/>
      <c r="M91" s="8"/>
      <c r="P91" s="55"/>
      <c r="Q91" s="55"/>
      <c r="R91" s="55"/>
      <c r="S91" s="55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 s="54">
        <v>0</v>
      </c>
      <c r="B92" s="54">
        <v>0</v>
      </c>
      <c r="C92" s="55">
        <f>IF(AND(ISNUMBER(J92),ISNUMBER(L92)),1,0)</f>
        <v>0</v>
      </c>
      <c r="D92" s="136"/>
      <c r="E92" s="137"/>
      <c r="F92" s="2"/>
      <c r="G92" s="7"/>
      <c r="H92" s="2"/>
      <c r="I92" s="2"/>
      <c r="J92" s="14"/>
      <c r="K92" s="81"/>
      <c r="L92" s="14"/>
      <c r="M92" s="8"/>
      <c r="N92" s="54" t="e">
        <f>VLOOKUP(A92,$AT$4:$BM$13,11,FALSE)</f>
        <v>#N/A</v>
      </c>
      <c r="O92" s="54" t="e">
        <f>VLOOKUP(B92,$AT$4:$BM$13,11,FALSE)</f>
        <v>#N/A</v>
      </c>
      <c r="P92" s="55" t="e">
        <f>J92*O92</f>
        <v>#N/A</v>
      </c>
      <c r="Q92" s="55" t="e">
        <f>L92*N92</f>
        <v>#N/A</v>
      </c>
      <c r="R92" s="55">
        <f>A92*100+B92</f>
        <v>0</v>
      </c>
      <c r="S92" s="55">
        <f>B92*100+A92</f>
        <v>0</v>
      </c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6.95" customHeight="1" x14ac:dyDescent="0.25">
      <c r="D93" s="6"/>
      <c r="E93" s="19"/>
      <c r="F93" s="2"/>
      <c r="G93" s="7"/>
      <c r="H93" s="2"/>
      <c r="I93" s="2"/>
      <c r="J93" s="81"/>
      <c r="K93" s="81"/>
      <c r="L93" s="81"/>
      <c r="M93" s="8"/>
      <c r="P93" s="55"/>
      <c r="Q93" s="55"/>
      <c r="R93" s="55"/>
      <c r="S93" s="55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 s="54">
        <v>0</v>
      </c>
      <c r="B94" s="54">
        <v>0</v>
      </c>
      <c r="C94" s="55">
        <f>IF(AND(ISNUMBER(J94),ISNUMBER(L94)),1,0)</f>
        <v>0</v>
      </c>
      <c r="D94" s="136"/>
      <c r="E94" s="137"/>
      <c r="F94" s="2"/>
      <c r="G94" s="7"/>
      <c r="H94" s="2"/>
      <c r="I94" s="2"/>
      <c r="J94" s="14"/>
      <c r="K94" s="81"/>
      <c r="L94" s="14"/>
      <c r="M94" s="8"/>
      <c r="N94" s="54" t="e">
        <f>VLOOKUP(A94,$AT$4:$BM$13,11,FALSE)</f>
        <v>#N/A</v>
      </c>
      <c r="O94" s="54" t="e">
        <f>VLOOKUP(B94,$AT$4:$BM$13,11,FALSE)</f>
        <v>#N/A</v>
      </c>
      <c r="P94" s="55" t="e">
        <f>J94*O94</f>
        <v>#N/A</v>
      </c>
      <c r="Q94" s="55" t="e">
        <f>L94*N94</f>
        <v>#N/A</v>
      </c>
      <c r="R94" s="55">
        <f>A94*100+B94</f>
        <v>0</v>
      </c>
      <c r="S94" s="55">
        <f>B94*100+A94</f>
        <v>0</v>
      </c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6.95" customHeight="1" x14ac:dyDescent="0.25">
      <c r="D95" s="6"/>
      <c r="E95" s="19"/>
      <c r="F95" s="2"/>
      <c r="G95" s="7"/>
      <c r="H95" s="2"/>
      <c r="I95" s="2"/>
      <c r="J95" s="81"/>
      <c r="K95" s="81"/>
      <c r="L95" s="81"/>
      <c r="M95" s="8"/>
      <c r="P95" s="55"/>
      <c r="Q95" s="55"/>
      <c r="R95" s="55"/>
      <c r="S95" s="5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 s="54">
        <v>0</v>
      </c>
      <c r="B96" s="54">
        <v>0</v>
      </c>
      <c r="C96" s="55">
        <f>IF(AND(ISNUMBER(J96),ISNUMBER(L96)),1,0)</f>
        <v>0</v>
      </c>
      <c r="D96" s="136"/>
      <c r="E96" s="137"/>
      <c r="F96" s="2"/>
      <c r="G96" s="7"/>
      <c r="H96" s="2"/>
      <c r="I96" s="2"/>
      <c r="J96" s="14"/>
      <c r="K96" s="81"/>
      <c r="L96" s="14"/>
      <c r="M96" s="8"/>
      <c r="N96" s="54" t="e">
        <f>VLOOKUP(A96,$AT$4:$BM$13,11,FALSE)</f>
        <v>#N/A</v>
      </c>
      <c r="O96" s="54" t="e">
        <f>VLOOKUP(B96,$AT$4:$BM$13,11,FALSE)</f>
        <v>#N/A</v>
      </c>
      <c r="P96" s="55" t="e">
        <f>J96*O96</f>
        <v>#N/A</v>
      </c>
      <c r="Q96" s="55" t="e">
        <f>L96*N96</f>
        <v>#N/A</v>
      </c>
      <c r="R96" s="55">
        <f>A96*100+B96</f>
        <v>0</v>
      </c>
      <c r="S96" s="55">
        <f>B96*100+A96</f>
        <v>0</v>
      </c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6.95" customHeight="1" x14ac:dyDescent="0.25">
      <c r="D97" s="9"/>
      <c r="E97" s="10"/>
      <c r="F97" s="10"/>
      <c r="G97" s="10"/>
      <c r="H97" s="10"/>
      <c r="I97" s="10"/>
      <c r="J97" s="79"/>
      <c r="K97" s="79"/>
      <c r="L97" s="79"/>
      <c r="M97" s="11"/>
      <c r="P97" s="55"/>
      <c r="Q97" s="55"/>
      <c r="R97" s="55"/>
      <c r="S97" s="55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24.95" customHeight="1" x14ac:dyDescent="0.25">
      <c r="P98" s="55"/>
      <c r="Q98" s="55"/>
      <c r="R98" s="55"/>
      <c r="S98" s="55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24.95" customHeight="1" x14ac:dyDescent="0.25">
      <c r="P99" s="55"/>
      <c r="Q99" s="55"/>
      <c r="R99" s="55"/>
      <c r="S99" s="55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D100" s="21" t="s">
        <v>8</v>
      </c>
      <c r="E100" s="22"/>
      <c r="F100" s="41" t="s">
        <v>7</v>
      </c>
      <c r="G100" s="42">
        <v>7</v>
      </c>
      <c r="H100" s="23" t="str">
        <f>$E$1</f>
        <v>GROEP A</v>
      </c>
      <c r="I100" s="22"/>
      <c r="J100" s="23"/>
      <c r="K100" s="23"/>
      <c r="L100" s="23"/>
      <c r="M100" s="17"/>
      <c r="P100" s="55"/>
      <c r="Q100" s="55"/>
      <c r="R100" s="55"/>
      <c r="S100" s="55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6.95" customHeight="1" x14ac:dyDescent="0.25">
      <c r="D101" s="3"/>
      <c r="E101" s="4"/>
      <c r="F101" s="4"/>
      <c r="G101" s="4"/>
      <c r="H101" s="4"/>
      <c r="I101" s="4"/>
      <c r="J101" s="13"/>
      <c r="K101" s="13"/>
      <c r="L101" s="13"/>
      <c r="M101" s="5"/>
      <c r="P101" s="55"/>
      <c r="Q101" s="55"/>
      <c r="R101" s="55"/>
      <c r="S101" s="55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 s="54">
        <v>0</v>
      </c>
      <c r="B102" s="54">
        <v>0</v>
      </c>
      <c r="C102" s="55">
        <f>IF(AND(ISNUMBER(J102),ISNUMBER(L102)),1,0)</f>
        <v>0</v>
      </c>
      <c r="D102" s="136"/>
      <c r="E102" s="137"/>
      <c r="F102" s="2"/>
      <c r="G102" s="7"/>
      <c r="H102" s="2"/>
      <c r="I102" s="2"/>
      <c r="J102" s="14"/>
      <c r="K102" s="81"/>
      <c r="L102" s="14"/>
      <c r="M102" s="8"/>
      <c r="N102" s="54" t="e">
        <f>VLOOKUP(A102,$AT$4:$BM$13,13,FALSE)</f>
        <v>#N/A</v>
      </c>
      <c r="O102" s="54" t="e">
        <f>VLOOKUP(B102,$AT$4:$BM$13,13,FALSE)</f>
        <v>#N/A</v>
      </c>
      <c r="P102" s="55" t="e">
        <f>J102*O102</f>
        <v>#N/A</v>
      </c>
      <c r="Q102" s="55" t="e">
        <f>L102*N102</f>
        <v>#N/A</v>
      </c>
      <c r="R102" s="55">
        <f>A102*100+B102</f>
        <v>0</v>
      </c>
      <c r="S102" s="55">
        <f>B102*100+A102</f>
        <v>0</v>
      </c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6.95" customHeight="1" x14ac:dyDescent="0.25">
      <c r="D103" s="6"/>
      <c r="E103" s="19"/>
      <c r="F103" s="2"/>
      <c r="G103" s="7"/>
      <c r="H103" s="2"/>
      <c r="I103" s="2"/>
      <c r="J103" s="81"/>
      <c r="K103" s="81"/>
      <c r="L103" s="81"/>
      <c r="M103" s="8"/>
      <c r="P103" s="55"/>
      <c r="Q103" s="55"/>
      <c r="R103" s="55"/>
      <c r="S103" s="55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 s="54">
        <v>0</v>
      </c>
      <c r="B104" s="54">
        <v>0</v>
      </c>
      <c r="C104" s="55">
        <f>IF(AND(ISNUMBER(J104),ISNUMBER(L104)),1,0)</f>
        <v>0</v>
      </c>
      <c r="D104" s="136"/>
      <c r="E104" s="137"/>
      <c r="F104" s="2"/>
      <c r="G104" s="7"/>
      <c r="H104" s="2"/>
      <c r="I104" s="2"/>
      <c r="J104" s="14"/>
      <c r="K104" s="81"/>
      <c r="L104" s="14"/>
      <c r="M104" s="8"/>
      <c r="N104" s="54" t="e">
        <f>VLOOKUP(A104,$AT$4:$BM$13,13,FALSE)</f>
        <v>#N/A</v>
      </c>
      <c r="O104" s="54" t="e">
        <f>VLOOKUP(B104,$AT$4:$BM$13,13,FALSE)</f>
        <v>#N/A</v>
      </c>
      <c r="P104" s="55" t="e">
        <f>J104*O104</f>
        <v>#N/A</v>
      </c>
      <c r="Q104" s="55" t="e">
        <f>L104*N104</f>
        <v>#N/A</v>
      </c>
      <c r="R104" s="55">
        <f>A104*100+B104</f>
        <v>0</v>
      </c>
      <c r="S104" s="55">
        <f>B104*100+A104</f>
        <v>0</v>
      </c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6.95" customHeight="1" x14ac:dyDescent="0.25">
      <c r="D105" s="6"/>
      <c r="E105" s="19"/>
      <c r="F105" s="2"/>
      <c r="G105" s="7"/>
      <c r="H105" s="2"/>
      <c r="I105" s="2"/>
      <c r="J105" s="81"/>
      <c r="K105" s="81"/>
      <c r="L105" s="81"/>
      <c r="M105" s="8"/>
      <c r="P105" s="55"/>
      <c r="Q105" s="55"/>
      <c r="R105" s="55"/>
      <c r="S105" s="5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 s="54">
        <v>0</v>
      </c>
      <c r="B106" s="54">
        <v>0</v>
      </c>
      <c r="C106" s="55">
        <f>IF(AND(ISNUMBER(J106),ISNUMBER(L106)),1,0)</f>
        <v>0</v>
      </c>
      <c r="D106" s="136"/>
      <c r="E106" s="137"/>
      <c r="F106" s="2"/>
      <c r="G106" s="7"/>
      <c r="H106" s="2"/>
      <c r="I106" s="2"/>
      <c r="J106" s="14"/>
      <c r="K106" s="81"/>
      <c r="L106" s="14"/>
      <c r="M106" s="8"/>
      <c r="N106" s="54" t="e">
        <f>VLOOKUP(A106,$AT$4:$BM$13,13,FALSE)</f>
        <v>#N/A</v>
      </c>
      <c r="O106" s="54" t="e">
        <f>VLOOKUP(B106,$AT$4:$BM$13,13,FALSE)</f>
        <v>#N/A</v>
      </c>
      <c r="P106" s="55" t="e">
        <f>J106*O106</f>
        <v>#N/A</v>
      </c>
      <c r="Q106" s="55" t="e">
        <f>L106*N106</f>
        <v>#N/A</v>
      </c>
      <c r="R106" s="55">
        <f>A106*100+B106</f>
        <v>0</v>
      </c>
      <c r="S106" s="55">
        <f>B106*100+A106</f>
        <v>0</v>
      </c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6.95" customHeight="1" x14ac:dyDescent="0.25">
      <c r="D107" s="6"/>
      <c r="E107" s="19"/>
      <c r="F107" s="2"/>
      <c r="G107" s="7"/>
      <c r="H107" s="2"/>
      <c r="I107" s="2"/>
      <c r="J107" s="81"/>
      <c r="K107" s="81"/>
      <c r="L107" s="81"/>
      <c r="M107" s="8"/>
      <c r="P107" s="55"/>
      <c r="Q107" s="55"/>
      <c r="R107" s="55"/>
      <c r="S107" s="55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 s="54">
        <v>0</v>
      </c>
      <c r="B108" s="54">
        <v>0</v>
      </c>
      <c r="C108" s="55">
        <f>IF(AND(ISNUMBER(J108),ISNUMBER(L108)),1,0)</f>
        <v>0</v>
      </c>
      <c r="D108" s="136"/>
      <c r="E108" s="137"/>
      <c r="F108" s="2"/>
      <c r="G108" s="7"/>
      <c r="H108" s="2"/>
      <c r="I108" s="2"/>
      <c r="J108" s="14"/>
      <c r="K108" s="81"/>
      <c r="L108" s="14"/>
      <c r="M108" s="8"/>
      <c r="N108" s="54" t="e">
        <f>VLOOKUP(A108,$AT$4:$BM$13,13,FALSE)</f>
        <v>#N/A</v>
      </c>
      <c r="O108" s="54" t="e">
        <f>VLOOKUP(B108,$AT$4:$BM$13,13,FALSE)</f>
        <v>#N/A</v>
      </c>
      <c r="P108" s="55" t="e">
        <f>J108*O108</f>
        <v>#N/A</v>
      </c>
      <c r="Q108" s="55" t="e">
        <f>L108*N108</f>
        <v>#N/A</v>
      </c>
      <c r="R108" s="55">
        <f>A108*100+B108</f>
        <v>0</v>
      </c>
      <c r="S108" s="55">
        <f>B108*100+A108</f>
        <v>0</v>
      </c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6.95" customHeight="1" x14ac:dyDescent="0.25">
      <c r="D109" s="6"/>
      <c r="E109" s="19"/>
      <c r="F109" s="2"/>
      <c r="G109" s="7"/>
      <c r="H109" s="2"/>
      <c r="I109" s="2"/>
      <c r="J109" s="81"/>
      <c r="K109" s="81"/>
      <c r="L109" s="81"/>
      <c r="M109" s="8"/>
      <c r="P109" s="55"/>
      <c r="Q109" s="55"/>
      <c r="R109" s="55"/>
      <c r="S109" s="55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 s="54">
        <v>0</v>
      </c>
      <c r="B110" s="54">
        <v>0</v>
      </c>
      <c r="C110" s="55">
        <f>IF(AND(ISNUMBER(J110),ISNUMBER(L110)),1,0)</f>
        <v>0</v>
      </c>
      <c r="D110" s="136"/>
      <c r="E110" s="137"/>
      <c r="F110" s="2"/>
      <c r="G110" s="7"/>
      <c r="H110" s="2"/>
      <c r="I110" s="2"/>
      <c r="J110" s="14"/>
      <c r="K110" s="81"/>
      <c r="L110" s="14"/>
      <c r="M110" s="8"/>
      <c r="N110" s="54" t="e">
        <f>VLOOKUP(A110,$AT$4:$BM$13,13,FALSE)</f>
        <v>#N/A</v>
      </c>
      <c r="O110" s="54" t="e">
        <f>VLOOKUP(B110,$AT$4:$BM$13,13,FALSE)</f>
        <v>#N/A</v>
      </c>
      <c r="P110" s="55" t="e">
        <f>J110*O110</f>
        <v>#N/A</v>
      </c>
      <c r="Q110" s="55" t="e">
        <f>L110*N110</f>
        <v>#N/A</v>
      </c>
      <c r="R110" s="55">
        <f>A110*100+B110</f>
        <v>0</v>
      </c>
      <c r="S110" s="55">
        <f>B110*100+A110</f>
        <v>0</v>
      </c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6.95" customHeight="1" x14ac:dyDescent="0.25">
      <c r="D111" s="9"/>
      <c r="E111" s="10"/>
      <c r="F111" s="10"/>
      <c r="G111" s="10"/>
      <c r="H111" s="10"/>
      <c r="I111" s="10"/>
      <c r="J111" s="79"/>
      <c r="K111" s="79"/>
      <c r="L111" s="79"/>
      <c r="M111" s="11"/>
      <c r="P111" s="55"/>
      <c r="Q111" s="55"/>
      <c r="R111" s="55"/>
      <c r="S111" s="55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24.95" customHeight="1" x14ac:dyDescent="0.25">
      <c r="P112" s="55"/>
      <c r="Q112" s="55"/>
      <c r="R112" s="55"/>
      <c r="S112" s="55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24.95" customHeight="1" x14ac:dyDescent="0.25">
      <c r="P113" s="55"/>
      <c r="Q113" s="55"/>
      <c r="R113" s="55"/>
      <c r="S113" s="55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D114" s="21" t="s">
        <v>8</v>
      </c>
      <c r="E114" s="22"/>
      <c r="F114" s="41" t="s">
        <v>7</v>
      </c>
      <c r="G114" s="42">
        <v>8</v>
      </c>
      <c r="H114" s="23" t="str">
        <f>$E$1</f>
        <v>GROEP A</v>
      </c>
      <c r="I114" s="22"/>
      <c r="J114" s="23"/>
      <c r="K114" s="23"/>
      <c r="L114" s="23"/>
      <c r="M114" s="17"/>
      <c r="P114" s="55"/>
      <c r="Q114" s="55"/>
      <c r="R114" s="55"/>
      <c r="S114" s="55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6.95" customHeight="1" x14ac:dyDescent="0.25">
      <c r="D115" s="3"/>
      <c r="E115" s="4"/>
      <c r="F115" s="4"/>
      <c r="G115" s="4"/>
      <c r="H115" s="4"/>
      <c r="I115" s="4"/>
      <c r="J115" s="13"/>
      <c r="K115" s="13"/>
      <c r="L115" s="13"/>
      <c r="M115" s="5"/>
      <c r="P115" s="55"/>
      <c r="Q115" s="55"/>
      <c r="R115" s="55"/>
      <c r="S115" s="5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 s="54">
        <v>0</v>
      </c>
      <c r="B116" s="54">
        <v>0</v>
      </c>
      <c r="C116" s="55">
        <f>IF(AND(ISNUMBER(J116),ISNUMBER(L116)),1,0)</f>
        <v>0</v>
      </c>
      <c r="D116" s="136"/>
      <c r="E116" s="137"/>
      <c r="F116" s="2"/>
      <c r="G116" s="7"/>
      <c r="H116" s="2"/>
      <c r="I116" s="2"/>
      <c r="J116" s="14"/>
      <c r="K116" s="81"/>
      <c r="L116" s="14"/>
      <c r="M116" s="8"/>
      <c r="N116" s="54" t="e">
        <f>VLOOKUP(A116,$AT$4:$BM$13,15,FALSE)</f>
        <v>#N/A</v>
      </c>
      <c r="O116" s="54" t="e">
        <f>VLOOKUP(B116,$AT$4:$BM$13,15,FALSE)</f>
        <v>#N/A</v>
      </c>
      <c r="P116" s="55" t="e">
        <f>J116*O116</f>
        <v>#N/A</v>
      </c>
      <c r="Q116" s="55" t="e">
        <f>L116*N116</f>
        <v>#N/A</v>
      </c>
      <c r="R116" s="55">
        <f>A116*100+B116</f>
        <v>0</v>
      </c>
      <c r="S116" s="55">
        <f>B116*100+A116</f>
        <v>0</v>
      </c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6.95" customHeight="1" x14ac:dyDescent="0.25">
      <c r="D117" s="6"/>
      <c r="E117" s="19"/>
      <c r="F117" s="2"/>
      <c r="G117" s="7"/>
      <c r="H117" s="2"/>
      <c r="I117" s="2"/>
      <c r="J117" s="81"/>
      <c r="K117" s="81"/>
      <c r="L117" s="81"/>
      <c r="M117" s="8"/>
      <c r="P117" s="55"/>
      <c r="Q117" s="55"/>
      <c r="R117" s="55"/>
      <c r="S117" s="55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 s="54">
        <v>0</v>
      </c>
      <c r="B118" s="54">
        <v>0</v>
      </c>
      <c r="C118" s="55">
        <f>IF(AND(ISNUMBER(J118),ISNUMBER(L118)),1,0)</f>
        <v>0</v>
      </c>
      <c r="D118" s="136"/>
      <c r="E118" s="137"/>
      <c r="F118" s="2"/>
      <c r="G118" s="7"/>
      <c r="H118" s="2"/>
      <c r="I118" s="2"/>
      <c r="J118" s="14"/>
      <c r="K118" s="81"/>
      <c r="L118" s="14"/>
      <c r="M118" s="8"/>
      <c r="N118" s="54" t="e">
        <f>VLOOKUP(A118,$AT$4:$BM$13,15,FALSE)</f>
        <v>#N/A</v>
      </c>
      <c r="O118" s="54" t="e">
        <f>VLOOKUP(B118,$AT$4:$BM$13,15,FALSE)</f>
        <v>#N/A</v>
      </c>
      <c r="P118" s="55" t="e">
        <f>J118*O118</f>
        <v>#N/A</v>
      </c>
      <c r="Q118" s="55" t="e">
        <f>L118*N118</f>
        <v>#N/A</v>
      </c>
      <c r="R118" s="55">
        <f>A118*100+B118</f>
        <v>0</v>
      </c>
      <c r="S118" s="55">
        <f>B118*100+A118</f>
        <v>0</v>
      </c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6.95" customHeight="1" x14ac:dyDescent="0.25">
      <c r="D119" s="6"/>
      <c r="E119" s="19"/>
      <c r="F119" s="2"/>
      <c r="G119" s="7"/>
      <c r="H119" s="2"/>
      <c r="I119" s="2"/>
      <c r="J119" s="81"/>
      <c r="K119" s="81"/>
      <c r="L119" s="81"/>
      <c r="M119" s="8"/>
      <c r="P119" s="55"/>
      <c r="Q119" s="55"/>
      <c r="R119" s="55"/>
      <c r="S119" s="55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 s="54">
        <v>0</v>
      </c>
      <c r="B120" s="54">
        <v>0</v>
      </c>
      <c r="C120" s="55">
        <f>IF(AND(ISNUMBER(J120),ISNUMBER(L120)),1,0)</f>
        <v>0</v>
      </c>
      <c r="D120" s="136"/>
      <c r="E120" s="137"/>
      <c r="F120" s="2"/>
      <c r="G120" s="7"/>
      <c r="H120" s="2"/>
      <c r="I120" s="2"/>
      <c r="J120" s="14"/>
      <c r="K120" s="81"/>
      <c r="L120" s="14"/>
      <c r="M120" s="8"/>
      <c r="N120" s="54" t="e">
        <f>VLOOKUP(A120,$AT$4:$BM$13,15,FALSE)</f>
        <v>#N/A</v>
      </c>
      <c r="O120" s="54" t="e">
        <f>VLOOKUP(B120,$AT$4:$BM$13,15,FALSE)</f>
        <v>#N/A</v>
      </c>
      <c r="P120" s="55" t="e">
        <f>J120*O120</f>
        <v>#N/A</v>
      </c>
      <c r="Q120" s="55" t="e">
        <f>L120*N120</f>
        <v>#N/A</v>
      </c>
      <c r="R120" s="55">
        <f>A120*100+B120</f>
        <v>0</v>
      </c>
      <c r="S120" s="55">
        <f>B120*100+A120</f>
        <v>0</v>
      </c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6.95" customHeight="1" x14ac:dyDescent="0.25">
      <c r="D121" s="6"/>
      <c r="E121" s="19"/>
      <c r="F121" s="2"/>
      <c r="G121" s="7"/>
      <c r="H121" s="2"/>
      <c r="I121" s="2"/>
      <c r="J121" s="81"/>
      <c r="K121" s="81"/>
      <c r="L121" s="81"/>
      <c r="M121" s="8"/>
      <c r="P121" s="55"/>
      <c r="Q121" s="55"/>
      <c r="R121" s="55"/>
      <c r="S121" s="55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 s="54">
        <v>0</v>
      </c>
      <c r="B122" s="54">
        <v>0</v>
      </c>
      <c r="C122" s="55">
        <f>IF(AND(ISNUMBER(J122),ISNUMBER(L122)),1,0)</f>
        <v>0</v>
      </c>
      <c r="D122" s="136"/>
      <c r="E122" s="137"/>
      <c r="F122" s="2"/>
      <c r="G122" s="7"/>
      <c r="H122" s="2"/>
      <c r="I122" s="2"/>
      <c r="J122" s="14"/>
      <c r="K122" s="81"/>
      <c r="L122" s="14"/>
      <c r="M122" s="8"/>
      <c r="N122" s="54" t="e">
        <f>VLOOKUP(A122,$AT$4:$BM$13,15,FALSE)</f>
        <v>#N/A</v>
      </c>
      <c r="O122" s="54" t="e">
        <f>VLOOKUP(B122,$AT$4:$BM$13,15,FALSE)</f>
        <v>#N/A</v>
      </c>
      <c r="P122" s="55" t="e">
        <f>J122*O122</f>
        <v>#N/A</v>
      </c>
      <c r="Q122" s="55" t="e">
        <f>L122*N122</f>
        <v>#N/A</v>
      </c>
      <c r="R122" s="55">
        <f>A122*100+B122</f>
        <v>0</v>
      </c>
      <c r="S122" s="55">
        <f>B122*100+A122</f>
        <v>0</v>
      </c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6.95" customHeight="1" x14ac:dyDescent="0.25">
      <c r="D123" s="6"/>
      <c r="E123" s="19"/>
      <c r="F123" s="2"/>
      <c r="G123" s="7"/>
      <c r="H123" s="2"/>
      <c r="I123" s="2"/>
      <c r="J123" s="81"/>
      <c r="K123" s="81"/>
      <c r="L123" s="81"/>
      <c r="M123" s="8"/>
      <c r="P123" s="55"/>
      <c r="Q123" s="55"/>
      <c r="R123" s="55"/>
      <c r="S123" s="55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 s="54">
        <v>0</v>
      </c>
      <c r="B124" s="54">
        <v>0</v>
      </c>
      <c r="C124" s="55">
        <f>IF(AND(ISNUMBER(J124),ISNUMBER(L124)),1,0)</f>
        <v>0</v>
      </c>
      <c r="D124" s="136"/>
      <c r="E124" s="137"/>
      <c r="F124" s="2"/>
      <c r="G124" s="7"/>
      <c r="H124" s="2"/>
      <c r="I124" s="2"/>
      <c r="J124" s="14"/>
      <c r="K124" s="81"/>
      <c r="L124" s="14"/>
      <c r="M124" s="8"/>
      <c r="N124" s="54" t="e">
        <f>VLOOKUP(A124,$AT$4:$BM$13,15,FALSE)</f>
        <v>#N/A</v>
      </c>
      <c r="O124" s="54" t="e">
        <f>VLOOKUP(B124,$AT$4:$BM$13,15,FALSE)</f>
        <v>#N/A</v>
      </c>
      <c r="P124" s="55" t="e">
        <f>J124*O124</f>
        <v>#N/A</v>
      </c>
      <c r="Q124" s="55" t="e">
        <f>L124*N124</f>
        <v>#N/A</v>
      </c>
      <c r="R124" s="55">
        <f>A124*100+B124</f>
        <v>0</v>
      </c>
      <c r="S124" s="55">
        <f>B124*100+A124</f>
        <v>0</v>
      </c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6.95" customHeight="1" x14ac:dyDescent="0.25">
      <c r="D125" s="9"/>
      <c r="E125" s="10"/>
      <c r="F125" s="10"/>
      <c r="G125" s="10"/>
      <c r="H125" s="10"/>
      <c r="I125" s="10"/>
      <c r="J125" s="79"/>
      <c r="K125" s="79"/>
      <c r="L125" s="79"/>
      <c r="M125" s="11"/>
      <c r="P125" s="55"/>
      <c r="Q125" s="55"/>
      <c r="R125" s="55"/>
      <c r="S125" s="5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24.95" customHeight="1" x14ac:dyDescent="0.25">
      <c r="P126" s="55"/>
      <c r="Q126" s="55"/>
      <c r="R126" s="55"/>
      <c r="S126" s="55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24.95" customHeight="1" x14ac:dyDescent="0.25">
      <c r="P127" s="55"/>
      <c r="Q127" s="55"/>
      <c r="R127" s="55"/>
      <c r="S127" s="55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D128" s="21" t="s">
        <v>8</v>
      </c>
      <c r="E128" s="22"/>
      <c r="F128" s="41" t="s">
        <v>7</v>
      </c>
      <c r="G128" s="42">
        <v>9</v>
      </c>
      <c r="H128" s="23" t="str">
        <f>$E$1</f>
        <v>GROEP A</v>
      </c>
      <c r="I128" s="22"/>
      <c r="J128" s="23"/>
      <c r="K128" s="23"/>
      <c r="L128" s="23"/>
      <c r="M128" s="17"/>
      <c r="P128" s="55"/>
      <c r="Q128" s="55"/>
      <c r="R128" s="55"/>
      <c r="S128" s="55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6.95" customHeight="1" x14ac:dyDescent="0.25">
      <c r="D129" s="3"/>
      <c r="E129" s="4"/>
      <c r="F129" s="4"/>
      <c r="G129" s="4"/>
      <c r="H129" s="4"/>
      <c r="I129" s="4"/>
      <c r="J129" s="13"/>
      <c r="K129" s="13"/>
      <c r="L129" s="13"/>
      <c r="M129" s="5"/>
      <c r="P129" s="55"/>
      <c r="Q129" s="55"/>
      <c r="R129" s="55"/>
      <c r="S129" s="55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 s="54">
        <v>0</v>
      </c>
      <c r="B130" s="54">
        <v>0</v>
      </c>
      <c r="C130" s="55">
        <f>IF(AND(ISNUMBER(J130),ISNUMBER(L130)),1,0)</f>
        <v>0</v>
      </c>
      <c r="D130" s="136"/>
      <c r="E130" s="137"/>
      <c r="F130" s="2"/>
      <c r="G130" s="7"/>
      <c r="H130" s="2"/>
      <c r="I130" s="2"/>
      <c r="J130" s="14"/>
      <c r="K130" s="81"/>
      <c r="L130" s="14"/>
      <c r="M130" s="8"/>
      <c r="N130" s="54" t="e">
        <f>VLOOKUP(A130,$AT$4:$BM$13,17,FALSE)</f>
        <v>#N/A</v>
      </c>
      <c r="O130" s="54" t="e">
        <f>VLOOKUP(B130,$AT$4:$BM$13,17,FALSE)</f>
        <v>#N/A</v>
      </c>
      <c r="P130" s="55" t="e">
        <f>J130*O130</f>
        <v>#N/A</v>
      </c>
      <c r="Q130" s="55" t="e">
        <f>L130*N130</f>
        <v>#N/A</v>
      </c>
      <c r="R130" s="55">
        <f>A130*100+B130</f>
        <v>0</v>
      </c>
      <c r="S130" s="55">
        <f>B130*100+A130</f>
        <v>0</v>
      </c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6.95" customHeight="1" x14ac:dyDescent="0.25">
      <c r="D131" s="6"/>
      <c r="E131" s="19"/>
      <c r="F131" s="2"/>
      <c r="G131" s="7"/>
      <c r="H131" s="2"/>
      <c r="I131" s="2"/>
      <c r="J131" s="81"/>
      <c r="K131" s="81"/>
      <c r="L131" s="81"/>
      <c r="M131" s="8"/>
      <c r="P131" s="55"/>
      <c r="Q131" s="55"/>
      <c r="R131" s="55"/>
      <c r="S131" s="55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 s="54">
        <v>0</v>
      </c>
      <c r="B132" s="54">
        <v>0</v>
      </c>
      <c r="C132" s="55">
        <f>IF(AND(ISNUMBER(J132),ISNUMBER(L132)),1,0)</f>
        <v>0</v>
      </c>
      <c r="D132" s="136"/>
      <c r="E132" s="137"/>
      <c r="F132" s="2"/>
      <c r="G132" s="7"/>
      <c r="H132" s="2"/>
      <c r="I132" s="2"/>
      <c r="J132" s="14"/>
      <c r="K132" s="81"/>
      <c r="L132" s="14"/>
      <c r="M132" s="8"/>
      <c r="N132" s="54" t="e">
        <f>VLOOKUP(A132,$AT$4:$BM$13,17,FALSE)</f>
        <v>#N/A</v>
      </c>
      <c r="O132" s="54" t="e">
        <f>VLOOKUP(B132,$AT$4:$BM$13,17,FALSE)</f>
        <v>#N/A</v>
      </c>
      <c r="P132" s="55" t="e">
        <f>J132*O132</f>
        <v>#N/A</v>
      </c>
      <c r="Q132" s="55" t="e">
        <f>L132*N132</f>
        <v>#N/A</v>
      </c>
      <c r="R132" s="55">
        <f>A132*100+B132</f>
        <v>0</v>
      </c>
      <c r="S132" s="55">
        <f>B132*100+A132</f>
        <v>0</v>
      </c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6.95" customHeight="1" x14ac:dyDescent="0.25">
      <c r="D133" s="6"/>
      <c r="E133" s="19"/>
      <c r="F133" s="2"/>
      <c r="G133" s="7"/>
      <c r="H133" s="2"/>
      <c r="I133" s="2"/>
      <c r="J133" s="81"/>
      <c r="K133" s="81"/>
      <c r="L133" s="81"/>
      <c r="M133" s="8"/>
      <c r="P133" s="55"/>
      <c r="Q133" s="55"/>
      <c r="R133" s="55"/>
      <c r="S133" s="55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 s="54">
        <v>0</v>
      </c>
      <c r="B134" s="54">
        <v>0</v>
      </c>
      <c r="C134" s="55">
        <f>IF(AND(ISNUMBER(J134),ISNUMBER(L134)),1,0)</f>
        <v>0</v>
      </c>
      <c r="D134" s="136"/>
      <c r="E134" s="137"/>
      <c r="F134" s="2"/>
      <c r="G134" s="7"/>
      <c r="H134" s="2"/>
      <c r="I134" s="2"/>
      <c r="J134" s="14"/>
      <c r="K134" s="81"/>
      <c r="L134" s="14"/>
      <c r="M134" s="8"/>
      <c r="N134" s="54" t="e">
        <f>VLOOKUP(A134,$AT$4:$BM$13,17,FALSE)</f>
        <v>#N/A</v>
      </c>
      <c r="O134" s="54" t="e">
        <f>VLOOKUP(B134,$AT$4:$BM$13,17,FALSE)</f>
        <v>#N/A</v>
      </c>
      <c r="P134" s="55" t="e">
        <f>J134*O134</f>
        <v>#N/A</v>
      </c>
      <c r="Q134" s="55" t="e">
        <f>L134*N134</f>
        <v>#N/A</v>
      </c>
      <c r="R134" s="55">
        <f>A134*100+B134</f>
        <v>0</v>
      </c>
      <c r="S134" s="55">
        <f>B134*100+A134</f>
        <v>0</v>
      </c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6.95" customHeight="1" x14ac:dyDescent="0.25">
      <c r="D135" s="6"/>
      <c r="E135" s="19"/>
      <c r="F135" s="2"/>
      <c r="G135" s="7"/>
      <c r="H135" s="2"/>
      <c r="I135" s="2"/>
      <c r="J135" s="81"/>
      <c r="K135" s="81"/>
      <c r="L135" s="81"/>
      <c r="M135" s="8"/>
      <c r="P135" s="55"/>
      <c r="Q135" s="55"/>
      <c r="R135" s="55"/>
      <c r="S135" s="5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 s="54">
        <v>0</v>
      </c>
      <c r="B136" s="54">
        <v>0</v>
      </c>
      <c r="C136" s="55">
        <f>IF(AND(ISNUMBER(J136),ISNUMBER(L136)),1,0)</f>
        <v>0</v>
      </c>
      <c r="D136" s="136"/>
      <c r="E136" s="137"/>
      <c r="F136" s="2"/>
      <c r="G136" s="7"/>
      <c r="H136" s="2"/>
      <c r="I136" s="2"/>
      <c r="J136" s="14"/>
      <c r="K136" s="81"/>
      <c r="L136" s="14"/>
      <c r="M136" s="8"/>
      <c r="N136" s="54" t="e">
        <f>VLOOKUP(A136,$AT$4:$BM$13,17,FALSE)</f>
        <v>#N/A</v>
      </c>
      <c r="O136" s="54" t="e">
        <f>VLOOKUP(B136,$AT$4:$BM$13,17,FALSE)</f>
        <v>#N/A</v>
      </c>
      <c r="P136" s="55" t="e">
        <f>J136*O136</f>
        <v>#N/A</v>
      </c>
      <c r="Q136" s="55" t="e">
        <f>L136*N136</f>
        <v>#N/A</v>
      </c>
      <c r="R136" s="55">
        <f>A136*100+B136</f>
        <v>0</v>
      </c>
      <c r="S136" s="55">
        <f>B136*100+A136</f>
        <v>0</v>
      </c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6.95" customHeight="1" x14ac:dyDescent="0.25">
      <c r="D137" s="6"/>
      <c r="E137" s="19"/>
      <c r="F137" s="2"/>
      <c r="G137" s="7"/>
      <c r="H137" s="2"/>
      <c r="I137" s="2"/>
      <c r="J137" s="81"/>
      <c r="K137" s="81"/>
      <c r="L137" s="81"/>
      <c r="M137" s="8"/>
      <c r="P137" s="55"/>
      <c r="Q137" s="55"/>
      <c r="R137" s="55"/>
      <c r="S137" s="55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 s="54">
        <v>0</v>
      </c>
      <c r="B138" s="54">
        <v>0</v>
      </c>
      <c r="C138" s="55">
        <f>IF(AND(ISNUMBER(J138),ISNUMBER(L138)),1,0)</f>
        <v>0</v>
      </c>
      <c r="D138" s="136"/>
      <c r="E138" s="137"/>
      <c r="F138" s="2"/>
      <c r="G138" s="7"/>
      <c r="H138" s="2"/>
      <c r="I138" s="2"/>
      <c r="J138" s="14"/>
      <c r="K138" s="81"/>
      <c r="L138" s="14"/>
      <c r="M138" s="8"/>
      <c r="N138" s="54" t="e">
        <f>VLOOKUP(A138,$AT$4:$BM$13,17,FALSE)</f>
        <v>#N/A</v>
      </c>
      <c r="O138" s="54" t="e">
        <f>VLOOKUP(B138,$AT$4:$BM$13,17,FALSE)</f>
        <v>#N/A</v>
      </c>
      <c r="P138" s="55" t="e">
        <f>J138*O138</f>
        <v>#N/A</v>
      </c>
      <c r="Q138" s="55" t="e">
        <f>L138*N138</f>
        <v>#N/A</v>
      </c>
      <c r="R138" s="55">
        <f>A138*100+B138</f>
        <v>0</v>
      </c>
      <c r="S138" s="55">
        <f>B138*100+A138</f>
        <v>0</v>
      </c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6.95" customHeight="1" x14ac:dyDescent="0.25">
      <c r="D139" s="9"/>
      <c r="E139" s="10"/>
      <c r="F139" s="10"/>
      <c r="G139" s="10"/>
      <c r="H139" s="10"/>
      <c r="I139" s="10"/>
      <c r="J139" s="79"/>
      <c r="K139" s="79"/>
      <c r="L139" s="79"/>
      <c r="M139" s="11"/>
    </row>
  </sheetData>
  <sortState ref="V4:AB9">
    <sortCondition descending="1" ref="X4:X9"/>
    <sortCondition descending="1" ref="Y4:Y9"/>
    <sortCondition descending="1" ref="Z4:Z9"/>
    <sortCondition descending="1" ref="AA4:AA9"/>
  </sortState>
  <mergeCells count="77">
    <mergeCell ref="E1:L1"/>
    <mergeCell ref="U1:AA1"/>
    <mergeCell ref="U2:U3"/>
    <mergeCell ref="V2:V3"/>
    <mergeCell ref="W2:W3"/>
    <mergeCell ref="X2:X3"/>
    <mergeCell ref="Y2:Y3"/>
    <mergeCell ref="Z2:Z3"/>
    <mergeCell ref="AA2:AA3"/>
    <mergeCell ref="I3:L3"/>
    <mergeCell ref="BK2:BL2"/>
    <mergeCell ref="BS2:CC2"/>
    <mergeCell ref="AB2:AB3"/>
    <mergeCell ref="AU2:AV2"/>
    <mergeCell ref="AW2:AX2"/>
    <mergeCell ref="AY2:AZ2"/>
    <mergeCell ref="BA2:BB2"/>
    <mergeCell ref="I9:L9"/>
    <mergeCell ref="BC2:BD2"/>
    <mergeCell ref="BE2:BF2"/>
    <mergeCell ref="BG2:BH2"/>
    <mergeCell ref="BI2:BJ2"/>
    <mergeCell ref="I4:L4"/>
    <mergeCell ref="I5:L5"/>
    <mergeCell ref="I6:L6"/>
    <mergeCell ref="I7:L7"/>
    <mergeCell ref="I8:L8"/>
    <mergeCell ref="D36:E36"/>
    <mergeCell ref="I10:L10"/>
    <mergeCell ref="I11:L11"/>
    <mergeCell ref="I12:L12"/>
    <mergeCell ref="I13:L13"/>
    <mergeCell ref="D18:E18"/>
    <mergeCell ref="D20:E20"/>
    <mergeCell ref="D22:E22"/>
    <mergeCell ref="D24:E24"/>
    <mergeCell ref="D26:E26"/>
    <mergeCell ref="D32:E32"/>
    <mergeCell ref="D34:E34"/>
    <mergeCell ref="D68:E68"/>
    <mergeCell ref="D38:E38"/>
    <mergeCell ref="D40:E40"/>
    <mergeCell ref="D46:E46"/>
    <mergeCell ref="D48:E48"/>
    <mergeCell ref="D50:E50"/>
    <mergeCell ref="D52:E52"/>
    <mergeCell ref="D54:E54"/>
    <mergeCell ref="D60:E60"/>
    <mergeCell ref="D62:E62"/>
    <mergeCell ref="D64:E64"/>
    <mergeCell ref="D66:E66"/>
    <mergeCell ref="D94:E94"/>
    <mergeCell ref="D96:E96"/>
    <mergeCell ref="D102:E102"/>
    <mergeCell ref="D104:E104"/>
    <mergeCell ref="D74:E74"/>
    <mergeCell ref="D76:E76"/>
    <mergeCell ref="D78:E78"/>
    <mergeCell ref="D80:E80"/>
    <mergeCell ref="D82:E82"/>
    <mergeCell ref="D88:E88"/>
    <mergeCell ref="D138:E138"/>
    <mergeCell ref="AF2:AK2"/>
    <mergeCell ref="D122:E122"/>
    <mergeCell ref="D124:E124"/>
    <mergeCell ref="D130:E130"/>
    <mergeCell ref="D132:E132"/>
    <mergeCell ref="D134:E134"/>
    <mergeCell ref="D136:E136"/>
    <mergeCell ref="D106:E106"/>
    <mergeCell ref="D108:E108"/>
    <mergeCell ref="D110:E110"/>
    <mergeCell ref="D116:E116"/>
    <mergeCell ref="D118:E118"/>
    <mergeCell ref="D120:E120"/>
    <mergeCell ref="D90:E90"/>
    <mergeCell ref="D92:E92"/>
  </mergeCells>
  <conditionalFormatting sqref="AT14:BP14">
    <cfRule type="cellIs" dxfId="1" priority="1" stopIfTrue="1" operator="equal">
      <formula>"NOK"</formula>
    </cfRule>
    <cfRule type="cellIs" dxfId="0" priority="2" stopIfTrue="1" operator="equal">
      <formula>"OK"</formula>
    </cfRule>
  </conditionalFormatting>
  <pageMargins left="0.7" right="0.7" top="0.75" bottom="0.75" header="0.3" footer="0.3"/>
  <pageSetup paperSize="9" scale="97" fitToHeight="0" orientation="portrait" horizontalDpi="4294967293" verticalDpi="4294967293" r:id="rId1"/>
  <rowBreaks count="3" manualBreakCount="3">
    <brk id="14" min="3" max="12" man="1"/>
    <brk id="56" min="3" max="12" man="1"/>
    <brk id="126" min="3" max="12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4</vt:i4>
      </vt:variant>
    </vt:vector>
  </HeadingPairs>
  <TitlesOfParts>
    <vt:vector size="8" baseType="lpstr">
      <vt:lpstr>10</vt:lpstr>
      <vt:lpstr>8</vt:lpstr>
      <vt:lpstr>6</vt:lpstr>
      <vt:lpstr>4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Meulen van der, Leo L (INT)</dc:creator>
  <cp:lastModifiedBy>Meulen van der, Leo L (INT)</cp:lastModifiedBy>
  <cp:lastPrinted>2017-03-04T09:37:07Z</cp:lastPrinted>
  <dcterms:created xsi:type="dcterms:W3CDTF">2017-03-02T19:39:26Z</dcterms:created>
  <dcterms:modified xsi:type="dcterms:W3CDTF">2017-03-10T13:00:46Z</dcterms:modified>
</cp:coreProperties>
</file>