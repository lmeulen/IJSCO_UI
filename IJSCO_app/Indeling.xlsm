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D852" lockStructure="1"/>
  <bookViews>
    <workbookView xWindow="10305" yWindow="-15" windowWidth="10200" windowHeight="7260" activeTab="3"/>
  </bookViews>
  <sheets>
    <sheet name="10" sheetId="1" r:id="rId1"/>
    <sheet name="8" sheetId="2" r:id="rId2"/>
    <sheet name="6" sheetId="3" r:id="rId3"/>
    <sheet name="4" sheetId="4" r:id="rId4"/>
    <sheet name="Groepsindeling" sheetId="6" r:id="rId5"/>
    <sheet name="Deelnemerslijst" sheetId="5" r:id="rId6"/>
    <sheet name="Configuratie" sheetId="7" r:id="rId7"/>
  </sheets>
  <definedNames>
    <definedName name="_xlnm.Print_Area" localSheetId="0">'10'!$B$1:$T$78,'10'!$V$1:$AA$78</definedName>
    <definedName name="_xlnm.Print_Area" localSheetId="3">'4'!$B$1:$S$21,'4'!$U$1:$AB$21</definedName>
    <definedName name="_xlnm.Print_Area" localSheetId="2">'6'!$B$1:$T$36,'6'!$V$1:$AA$36</definedName>
    <definedName name="_xlnm.Print_Area" localSheetId="1">'8'!$B$1:$T$55,'8'!$W$1:$AC$55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45621"/>
</workbook>
</file>

<file path=xl/calcChain.xml><?xml version="1.0" encoding="utf-8"?>
<calcChain xmlns="http://schemas.openxmlformats.org/spreadsheetml/2006/main">
  <c r="R78" i="1" l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9" i="1"/>
  <c r="R28" i="1"/>
  <c r="R27" i="1"/>
  <c r="R26" i="1"/>
  <c r="R25" i="1"/>
  <c r="R19" i="1"/>
  <c r="R20" i="1"/>
  <c r="R21" i="1"/>
  <c r="R22" i="1"/>
  <c r="R18" i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19" i="1"/>
  <c r="M20" i="1"/>
  <c r="M21" i="1"/>
  <c r="M22" i="1"/>
  <c r="M18" i="1"/>
  <c r="J78" i="1"/>
  <c r="J77" i="1"/>
  <c r="J76" i="1"/>
  <c r="J75" i="1"/>
  <c r="J74" i="1"/>
  <c r="J71" i="1"/>
  <c r="J70" i="1"/>
  <c r="J69" i="1"/>
  <c r="J68" i="1"/>
  <c r="J67" i="1"/>
  <c r="J64" i="1"/>
  <c r="J63" i="1"/>
  <c r="J62" i="1"/>
  <c r="J61" i="1"/>
  <c r="J60" i="1"/>
  <c r="J57" i="1"/>
  <c r="J56" i="1"/>
  <c r="J55" i="1"/>
  <c r="J54" i="1"/>
  <c r="J53" i="1"/>
  <c r="J50" i="1"/>
  <c r="J49" i="1"/>
  <c r="J48" i="1"/>
  <c r="J47" i="1"/>
  <c r="J46" i="1"/>
  <c r="J43" i="1"/>
  <c r="J42" i="1"/>
  <c r="J41" i="1"/>
  <c r="J40" i="1"/>
  <c r="J39" i="1"/>
  <c r="J36" i="1"/>
  <c r="J35" i="1"/>
  <c r="J34" i="1"/>
  <c r="J33" i="1"/>
  <c r="J32" i="1"/>
  <c r="J29" i="1"/>
  <c r="J28" i="1"/>
  <c r="J27" i="1"/>
  <c r="J26" i="1"/>
  <c r="J25" i="1"/>
  <c r="J19" i="1"/>
  <c r="J20" i="1"/>
  <c r="J21" i="1"/>
  <c r="J22" i="1"/>
  <c r="J18" i="1"/>
  <c r="R55" i="2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7" i="2"/>
  <c r="R18" i="2"/>
  <c r="R19" i="2"/>
  <c r="R16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M17" i="2"/>
  <c r="M18" i="2"/>
  <c r="M19" i="2"/>
  <c r="M16" i="2"/>
  <c r="J55" i="2"/>
  <c r="J54" i="2"/>
  <c r="J53" i="2"/>
  <c r="J52" i="2"/>
  <c r="J49" i="2"/>
  <c r="J48" i="2"/>
  <c r="J47" i="2"/>
  <c r="J46" i="2"/>
  <c r="J43" i="2"/>
  <c r="J42" i="2"/>
  <c r="J41" i="2"/>
  <c r="J40" i="2"/>
  <c r="J37" i="2"/>
  <c r="J36" i="2"/>
  <c r="J35" i="2"/>
  <c r="J34" i="2"/>
  <c r="J31" i="2"/>
  <c r="J30" i="2"/>
  <c r="J29" i="2"/>
  <c r="J28" i="2"/>
  <c r="J25" i="2"/>
  <c r="J24" i="2"/>
  <c r="J23" i="2"/>
  <c r="J22" i="2"/>
  <c r="J17" i="2"/>
  <c r="J18" i="2"/>
  <c r="J19" i="2"/>
  <c r="J16" i="2"/>
  <c r="R36" i="3"/>
  <c r="R35" i="3"/>
  <c r="R34" i="3"/>
  <c r="R31" i="3"/>
  <c r="R30" i="3"/>
  <c r="R29" i="3"/>
  <c r="R26" i="3"/>
  <c r="R25" i="3"/>
  <c r="R24" i="3"/>
  <c r="R21" i="3"/>
  <c r="R20" i="3"/>
  <c r="R19" i="3"/>
  <c r="R15" i="3"/>
  <c r="R16" i="3"/>
  <c r="R14" i="3"/>
  <c r="M36" i="3"/>
  <c r="M35" i="3"/>
  <c r="M34" i="3"/>
  <c r="M31" i="3"/>
  <c r="M30" i="3"/>
  <c r="M29" i="3"/>
  <c r="M26" i="3"/>
  <c r="M25" i="3"/>
  <c r="M24" i="3"/>
  <c r="M21" i="3"/>
  <c r="M20" i="3"/>
  <c r="M19" i="3"/>
  <c r="M15" i="3"/>
  <c r="M16" i="3"/>
  <c r="M14" i="3"/>
  <c r="J36" i="3"/>
  <c r="J35" i="3"/>
  <c r="J34" i="3"/>
  <c r="J31" i="3"/>
  <c r="J30" i="3"/>
  <c r="J29" i="3"/>
  <c r="J26" i="3"/>
  <c r="J25" i="3"/>
  <c r="J24" i="3"/>
  <c r="J21" i="3"/>
  <c r="J20" i="3"/>
  <c r="J19" i="3"/>
  <c r="J15" i="3"/>
  <c r="J16" i="3"/>
  <c r="J14" i="3"/>
  <c r="E5" i="7"/>
  <c r="E4" i="7"/>
  <c r="E6" i="7"/>
  <c r="D6" i="7"/>
  <c r="J16" i="4" s="1"/>
  <c r="D5" i="7"/>
  <c r="D4" i="7"/>
  <c r="C6" i="7"/>
  <c r="C5" i="7"/>
  <c r="C4" i="7"/>
  <c r="Q21" i="4"/>
  <c r="Q20" i="4"/>
  <c r="Q17" i="4"/>
  <c r="Q16" i="4"/>
  <c r="Q13" i="4"/>
  <c r="Q12" i="4"/>
  <c r="N21" i="4"/>
  <c r="N20" i="4"/>
  <c r="N17" i="4"/>
  <c r="N16" i="4"/>
  <c r="N13" i="4"/>
  <c r="N12" i="4"/>
  <c r="J21" i="4"/>
  <c r="J20" i="4"/>
  <c r="J17" i="4"/>
  <c r="J13" i="4"/>
  <c r="J12" i="4"/>
  <c r="V1" i="1" l="1"/>
  <c r="AW79" i="1"/>
  <c r="AW72" i="1"/>
  <c r="AW65" i="1"/>
  <c r="AW58" i="1"/>
  <c r="AW51" i="1"/>
  <c r="AW44" i="1"/>
  <c r="AW37" i="1"/>
  <c r="AW30" i="1"/>
  <c r="AW23" i="1"/>
  <c r="V1" i="3"/>
  <c r="U1" i="4" l="1"/>
  <c r="S8" i="4"/>
  <c r="W1" i="2" l="1"/>
  <c r="X5" i="2" l="1"/>
  <c r="X6" i="2"/>
  <c r="X7" i="2"/>
  <c r="X8" i="2"/>
  <c r="X9" i="2"/>
  <c r="X10" i="2"/>
  <c r="X11" i="2"/>
  <c r="X4" i="2"/>
  <c r="E23" i="2"/>
  <c r="E24" i="2"/>
  <c r="E25" i="2"/>
  <c r="E22" i="2"/>
  <c r="E17" i="2"/>
  <c r="E18" i="2"/>
  <c r="E19" i="2"/>
  <c r="E16" i="2"/>
  <c r="C17" i="2"/>
  <c r="C18" i="2"/>
  <c r="C19" i="2"/>
  <c r="C16" i="2"/>
  <c r="AS21" i="4" l="1"/>
  <c r="AS20" i="4"/>
  <c r="AS12" i="4"/>
  <c r="AW53" i="1"/>
  <c r="AW47" i="1"/>
  <c r="AW41" i="1"/>
  <c r="AW19" i="1"/>
  <c r="AW28" i="1" l="1"/>
  <c r="AW34" i="1"/>
  <c r="AW50" i="1"/>
  <c r="AW62" i="1"/>
  <c r="AW68" i="1"/>
  <c r="AW74" i="1"/>
  <c r="AW78" i="1"/>
  <c r="AW75" i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S17" i="4"/>
  <c r="AS16" i="4"/>
  <c r="AS13" i="4"/>
  <c r="BA55" i="2"/>
  <c r="I4" i="2" s="1"/>
  <c r="BA54" i="2"/>
  <c r="BA53" i="2"/>
  <c r="BA52" i="2"/>
  <c r="BA48" i="2"/>
  <c r="BA47" i="2"/>
  <c r="BA43" i="2"/>
  <c r="BA41" i="2"/>
  <c r="BA37" i="2"/>
  <c r="BA35" i="2"/>
  <c r="BA30" i="2"/>
  <c r="BA29" i="2"/>
  <c r="BA28" i="2"/>
  <c r="BA25" i="2"/>
  <c r="BA24" i="2"/>
  <c r="BA23" i="2"/>
  <c r="BA46" i="2" l="1"/>
  <c r="BA16" i="2"/>
  <c r="BA49" i="2"/>
  <c r="BA40" i="2"/>
  <c r="BA36" i="2"/>
  <c r="BA34" i="2"/>
  <c r="BA22" i="2"/>
  <c r="BA18" i="2"/>
  <c r="BA31" i="2"/>
  <c r="BA42" i="2"/>
  <c r="BA19" i="2"/>
  <c r="BA17" i="2"/>
  <c r="AW36" i="3"/>
  <c r="AW34" i="3"/>
  <c r="AW30" i="3"/>
  <c r="AW29" i="3"/>
  <c r="AW26" i="3"/>
  <c r="AW24" i="3"/>
  <c r="AW21" i="3"/>
  <c r="AW20" i="3"/>
  <c r="AW19" i="3" l="1"/>
  <c r="AW35" i="3"/>
  <c r="AW25" i="3"/>
  <c r="AW31" i="3"/>
  <c r="AW14" i="3"/>
  <c r="AW15" i="3"/>
  <c r="AW16" i="3"/>
  <c r="AV21" i="4"/>
  <c r="AU21" i="4"/>
  <c r="E21" i="4"/>
  <c r="C21" i="4"/>
  <c r="AV20" i="4"/>
  <c r="AU20" i="4"/>
  <c r="E20" i="4"/>
  <c r="C20" i="4"/>
  <c r="AV17" i="4"/>
  <c r="AU17" i="4"/>
  <c r="E17" i="4"/>
  <c r="C17" i="4"/>
  <c r="AV16" i="4"/>
  <c r="AU16" i="4"/>
  <c r="E16" i="4"/>
  <c r="C16" i="4"/>
  <c r="AZ13" i="4"/>
  <c r="AY13" i="4"/>
  <c r="AV13" i="4"/>
  <c r="AU13" i="4"/>
  <c r="E13" i="4"/>
  <c r="C13" i="4"/>
  <c r="AZ12" i="4"/>
  <c r="AY12" i="4"/>
  <c r="AV12" i="4"/>
  <c r="AU12" i="4"/>
  <c r="M4" i="4" s="1"/>
  <c r="E12" i="4"/>
  <c r="C12" i="4"/>
  <c r="AB6" i="4"/>
  <c r="BD7" i="4"/>
  <c r="BC7" i="4"/>
  <c r="BB7" i="4"/>
  <c r="BA7" i="4"/>
  <c r="AZ7" i="4"/>
  <c r="AY7" i="4"/>
  <c r="AX7" i="4"/>
  <c r="AW7" i="4"/>
  <c r="AV7" i="4"/>
  <c r="BG7" i="4" s="1"/>
  <c r="AB7" i="4"/>
  <c r="BD6" i="4"/>
  <c r="BC6" i="4"/>
  <c r="BB6" i="4"/>
  <c r="BA6" i="4"/>
  <c r="AZ6" i="4"/>
  <c r="AY6" i="4"/>
  <c r="AX6" i="4"/>
  <c r="AW6" i="4"/>
  <c r="AV6" i="4"/>
  <c r="BG6" i="4" s="1"/>
  <c r="BD5" i="4"/>
  <c r="BC5" i="4"/>
  <c r="BB5" i="4"/>
  <c r="BA5" i="4"/>
  <c r="AZ5" i="4"/>
  <c r="AY5" i="4"/>
  <c r="AX5" i="4"/>
  <c r="AW5" i="4"/>
  <c r="AV5" i="4"/>
  <c r="BG5" i="4" s="1"/>
  <c r="AB4" i="4"/>
  <c r="BD4" i="4"/>
  <c r="BC4" i="4"/>
  <c r="BB4" i="4"/>
  <c r="BA4" i="4"/>
  <c r="AZ4" i="4"/>
  <c r="AY4" i="4"/>
  <c r="AX4" i="4"/>
  <c r="AW4" i="4"/>
  <c r="AV4" i="4"/>
  <c r="BG4" i="4" s="1"/>
  <c r="AB5" i="4"/>
  <c r="AC7" i="3"/>
  <c r="AZ36" i="3"/>
  <c r="AY36" i="3"/>
  <c r="E36" i="3"/>
  <c r="C36" i="3"/>
  <c r="AZ35" i="3"/>
  <c r="AY35" i="3"/>
  <c r="E35" i="3"/>
  <c r="C35" i="3"/>
  <c r="AZ34" i="3"/>
  <c r="AY34" i="3"/>
  <c r="E34" i="3"/>
  <c r="C34" i="3"/>
  <c r="AZ31" i="3"/>
  <c r="AY31" i="3"/>
  <c r="E31" i="3"/>
  <c r="C31" i="3"/>
  <c r="AZ30" i="3"/>
  <c r="AY30" i="3"/>
  <c r="E30" i="3"/>
  <c r="C30" i="3"/>
  <c r="AZ29" i="3"/>
  <c r="AY29" i="3"/>
  <c r="E29" i="3"/>
  <c r="C29" i="3"/>
  <c r="AZ26" i="3"/>
  <c r="AY26" i="3"/>
  <c r="E26" i="3"/>
  <c r="C26" i="3"/>
  <c r="AZ25" i="3"/>
  <c r="AY25" i="3"/>
  <c r="E25" i="3"/>
  <c r="C25" i="3"/>
  <c r="AZ24" i="3"/>
  <c r="AY24" i="3"/>
  <c r="E24" i="3"/>
  <c r="C24" i="3"/>
  <c r="AZ21" i="3"/>
  <c r="AY21" i="3"/>
  <c r="E21" i="3"/>
  <c r="C21" i="3"/>
  <c r="AZ20" i="3"/>
  <c r="AY20" i="3"/>
  <c r="E20" i="3"/>
  <c r="C20" i="3"/>
  <c r="AZ19" i="3"/>
  <c r="AY19" i="3"/>
  <c r="E19" i="3"/>
  <c r="C19" i="3"/>
  <c r="BD16" i="3"/>
  <c r="BC16" i="3"/>
  <c r="AZ16" i="3"/>
  <c r="AY16" i="3"/>
  <c r="E16" i="3"/>
  <c r="C16" i="3"/>
  <c r="BD15" i="3"/>
  <c r="BC15" i="3"/>
  <c r="AZ15" i="3"/>
  <c r="AY15" i="3"/>
  <c r="E15" i="3"/>
  <c r="C15" i="3"/>
  <c r="BD14" i="3"/>
  <c r="BC14" i="3"/>
  <c r="AZ14" i="3"/>
  <c r="AY14" i="3"/>
  <c r="E14" i="3"/>
  <c r="C14" i="3"/>
  <c r="BH9" i="3"/>
  <c r="BG9" i="3"/>
  <c r="BF9" i="3"/>
  <c r="BE9" i="3"/>
  <c r="BD9" i="3"/>
  <c r="BC9" i="3"/>
  <c r="BB9" i="3"/>
  <c r="BA9" i="3"/>
  <c r="AZ9" i="3"/>
  <c r="BK9" i="3" s="1"/>
  <c r="AC5" i="3"/>
  <c r="BH8" i="3"/>
  <c r="BG8" i="3"/>
  <c r="BF8" i="3"/>
  <c r="BE8" i="3"/>
  <c r="BD8" i="3"/>
  <c r="BC8" i="3"/>
  <c r="BB8" i="3"/>
  <c r="BA8" i="3"/>
  <c r="AZ8" i="3"/>
  <c r="BK8" i="3" s="1"/>
  <c r="AC8" i="3"/>
  <c r="BH7" i="3"/>
  <c r="BG7" i="3"/>
  <c r="BF7" i="3"/>
  <c r="BE7" i="3"/>
  <c r="BD7" i="3"/>
  <c r="BC7" i="3"/>
  <c r="BB7" i="3"/>
  <c r="BA7" i="3"/>
  <c r="AZ7" i="3"/>
  <c r="BK7" i="3" s="1"/>
  <c r="AC9" i="3"/>
  <c r="BH6" i="3"/>
  <c r="BG6" i="3"/>
  <c r="BF6" i="3"/>
  <c r="BE6" i="3"/>
  <c r="BD6" i="3"/>
  <c r="BC6" i="3"/>
  <c r="BB6" i="3"/>
  <c r="BA6" i="3"/>
  <c r="AZ6" i="3"/>
  <c r="BK6" i="3" s="1"/>
  <c r="AC4" i="3"/>
  <c r="BH5" i="3"/>
  <c r="BG5" i="3"/>
  <c r="BF5" i="3"/>
  <c r="BE5" i="3"/>
  <c r="BD5" i="3"/>
  <c r="BC5" i="3"/>
  <c r="BB5" i="3"/>
  <c r="BA5" i="3"/>
  <c r="AZ5" i="3"/>
  <c r="BK5" i="3" s="1"/>
  <c r="BH4" i="3"/>
  <c r="BG4" i="3"/>
  <c r="BF4" i="3"/>
  <c r="BE4" i="3"/>
  <c r="BD4" i="3"/>
  <c r="BC4" i="3"/>
  <c r="BB4" i="3"/>
  <c r="BA4" i="3"/>
  <c r="AZ4" i="3"/>
  <c r="BK4" i="3" s="1"/>
  <c r="BA21" i="3" s="1"/>
  <c r="AC6" i="3"/>
  <c r="BD55" i="2"/>
  <c r="BC55" i="2"/>
  <c r="E55" i="2"/>
  <c r="C55" i="2"/>
  <c r="BD54" i="2"/>
  <c r="BC54" i="2"/>
  <c r="E54" i="2"/>
  <c r="C54" i="2"/>
  <c r="BD53" i="2"/>
  <c r="BC53" i="2"/>
  <c r="E53" i="2"/>
  <c r="C53" i="2"/>
  <c r="BD52" i="2"/>
  <c r="BC52" i="2"/>
  <c r="E52" i="2"/>
  <c r="C52" i="2"/>
  <c r="BD49" i="2"/>
  <c r="BC49" i="2"/>
  <c r="E49" i="2"/>
  <c r="C49" i="2"/>
  <c r="BD48" i="2"/>
  <c r="BC48" i="2"/>
  <c r="E48" i="2"/>
  <c r="C48" i="2"/>
  <c r="BD47" i="2"/>
  <c r="BC47" i="2"/>
  <c r="E47" i="2"/>
  <c r="C47" i="2"/>
  <c r="BD46" i="2"/>
  <c r="BC46" i="2"/>
  <c r="E46" i="2"/>
  <c r="C46" i="2"/>
  <c r="BD43" i="2"/>
  <c r="BC43" i="2"/>
  <c r="E43" i="2"/>
  <c r="C43" i="2"/>
  <c r="BD42" i="2"/>
  <c r="BC42" i="2"/>
  <c r="E42" i="2"/>
  <c r="C42" i="2"/>
  <c r="BD41" i="2"/>
  <c r="BC41" i="2"/>
  <c r="E41" i="2"/>
  <c r="C41" i="2"/>
  <c r="BD40" i="2"/>
  <c r="BC40" i="2"/>
  <c r="E40" i="2"/>
  <c r="C40" i="2"/>
  <c r="BD37" i="2"/>
  <c r="BC37" i="2"/>
  <c r="E37" i="2"/>
  <c r="C37" i="2"/>
  <c r="BD36" i="2"/>
  <c r="BC36" i="2"/>
  <c r="E36" i="2"/>
  <c r="C36" i="2"/>
  <c r="BD35" i="2"/>
  <c r="BC35" i="2"/>
  <c r="E35" i="2"/>
  <c r="C35" i="2"/>
  <c r="BD34" i="2"/>
  <c r="BC34" i="2"/>
  <c r="E34" i="2"/>
  <c r="C34" i="2"/>
  <c r="BD31" i="2"/>
  <c r="BC31" i="2"/>
  <c r="E31" i="2"/>
  <c r="C31" i="2"/>
  <c r="BD30" i="2"/>
  <c r="BC30" i="2"/>
  <c r="E30" i="2"/>
  <c r="C30" i="2"/>
  <c r="BD29" i="2"/>
  <c r="BC29" i="2"/>
  <c r="E29" i="2"/>
  <c r="C29" i="2"/>
  <c r="BD28" i="2"/>
  <c r="BC28" i="2"/>
  <c r="E28" i="2"/>
  <c r="C28" i="2"/>
  <c r="BD25" i="2"/>
  <c r="BC25" i="2"/>
  <c r="C25" i="2"/>
  <c r="BD24" i="2"/>
  <c r="BC24" i="2"/>
  <c r="C24" i="2"/>
  <c r="BD23" i="2"/>
  <c r="BC23" i="2"/>
  <c r="C23" i="2"/>
  <c r="BD22" i="2"/>
  <c r="BC22" i="2"/>
  <c r="C22" i="2"/>
  <c r="BH19" i="2"/>
  <c r="BG19" i="2"/>
  <c r="BD19" i="2"/>
  <c r="BC19" i="2"/>
  <c r="BH18" i="2"/>
  <c r="BG18" i="2"/>
  <c r="BD18" i="2"/>
  <c r="BC18" i="2"/>
  <c r="BH17" i="2"/>
  <c r="BG17" i="2"/>
  <c r="BD17" i="2"/>
  <c r="BC17" i="2"/>
  <c r="BH16" i="2"/>
  <c r="BG16" i="2"/>
  <c r="BD16" i="2"/>
  <c r="BC16" i="2"/>
  <c r="AE6" i="2"/>
  <c r="BL11" i="2"/>
  <c r="BK11" i="2"/>
  <c r="BJ11" i="2"/>
  <c r="BI11" i="2"/>
  <c r="BH11" i="2"/>
  <c r="BG11" i="2"/>
  <c r="BF11" i="2"/>
  <c r="BE11" i="2"/>
  <c r="BD11" i="2"/>
  <c r="BO11" i="2" s="1"/>
  <c r="AE10" i="2"/>
  <c r="BL10" i="2"/>
  <c r="BK10" i="2"/>
  <c r="BJ10" i="2"/>
  <c r="BI10" i="2"/>
  <c r="BH10" i="2"/>
  <c r="BG10" i="2"/>
  <c r="BF10" i="2"/>
  <c r="BE10" i="2"/>
  <c r="BD10" i="2"/>
  <c r="BO10" i="2" s="1"/>
  <c r="AE8" i="2"/>
  <c r="BL9" i="2"/>
  <c r="BK9" i="2"/>
  <c r="BJ9" i="2"/>
  <c r="BI9" i="2"/>
  <c r="BH9" i="2"/>
  <c r="BG9" i="2"/>
  <c r="BF9" i="2"/>
  <c r="BE9" i="2"/>
  <c r="BD9" i="2"/>
  <c r="BO9" i="2" s="1"/>
  <c r="AE9" i="2"/>
  <c r="BL8" i="2"/>
  <c r="BK8" i="2"/>
  <c r="BJ8" i="2"/>
  <c r="BI8" i="2"/>
  <c r="BH8" i="2"/>
  <c r="BG8" i="2"/>
  <c r="BF8" i="2"/>
  <c r="BE8" i="2"/>
  <c r="BD8" i="2"/>
  <c r="BO8" i="2" s="1"/>
  <c r="BL7" i="2"/>
  <c r="BK7" i="2"/>
  <c r="BJ7" i="2"/>
  <c r="BI7" i="2"/>
  <c r="BH7" i="2"/>
  <c r="BG7" i="2"/>
  <c r="BF7" i="2"/>
  <c r="BE7" i="2"/>
  <c r="BD7" i="2"/>
  <c r="BO7" i="2" s="1"/>
  <c r="AE5" i="2"/>
  <c r="BL6" i="2"/>
  <c r="BK6" i="2"/>
  <c r="BJ6" i="2"/>
  <c r="BI6" i="2"/>
  <c r="BH6" i="2"/>
  <c r="BG6" i="2"/>
  <c r="BF6" i="2"/>
  <c r="BE6" i="2"/>
  <c r="BD6" i="2"/>
  <c r="BO6" i="2" s="1"/>
  <c r="AE4" i="2"/>
  <c r="BL5" i="2"/>
  <c r="BK5" i="2"/>
  <c r="BJ5" i="2"/>
  <c r="BI5" i="2"/>
  <c r="BH5" i="2"/>
  <c r="BG5" i="2"/>
  <c r="BF5" i="2"/>
  <c r="BE5" i="2"/>
  <c r="BD5" i="2"/>
  <c r="BO5" i="2" s="1"/>
  <c r="AE11" i="2"/>
  <c r="BL4" i="2"/>
  <c r="BK4" i="2"/>
  <c r="BJ4" i="2"/>
  <c r="BI4" i="2"/>
  <c r="BH4" i="2"/>
  <c r="BG4" i="2"/>
  <c r="BF4" i="2"/>
  <c r="BE4" i="2"/>
  <c r="BD4" i="2"/>
  <c r="BO4" i="2" s="1"/>
  <c r="AE7" i="2"/>
  <c r="O4" i="2" l="1"/>
  <c r="H4" i="2"/>
  <c r="L8" i="2"/>
  <c r="I5" i="2"/>
  <c r="M9" i="2"/>
  <c r="J6" i="2"/>
  <c r="N10" i="2"/>
  <c r="K7" i="2"/>
  <c r="O11" i="2"/>
  <c r="K8" i="2"/>
  <c r="L7" i="2"/>
  <c r="J4" i="2"/>
  <c r="H6" i="2"/>
  <c r="I7" i="2"/>
  <c r="K5" i="2"/>
  <c r="M4" i="2"/>
  <c r="H9" i="2"/>
  <c r="M6" i="2"/>
  <c r="J9" i="2"/>
  <c r="N6" i="2"/>
  <c r="J10" i="2"/>
  <c r="N7" i="2"/>
  <c r="K10" i="2"/>
  <c r="K4" i="2"/>
  <c r="H7" i="2"/>
  <c r="L4" i="2"/>
  <c r="H8" i="2"/>
  <c r="I8" i="2"/>
  <c r="L5" i="2"/>
  <c r="M5" i="2"/>
  <c r="I9" i="2"/>
  <c r="I10" i="2"/>
  <c r="N5" i="2"/>
  <c r="H5" i="2"/>
  <c r="M8" i="2"/>
  <c r="L9" i="2"/>
  <c r="I6" i="2"/>
  <c r="J5" i="2"/>
  <c r="M10" i="2"/>
  <c r="N9" i="2"/>
  <c r="J7" i="2"/>
  <c r="K6" i="2"/>
  <c r="N4" i="2"/>
  <c r="H10" i="2"/>
  <c r="M7" i="2"/>
  <c r="K9" i="2"/>
  <c r="N8" i="2"/>
  <c r="L10" i="2"/>
  <c r="J8" i="2"/>
  <c r="L6" i="2"/>
  <c r="H11" i="2"/>
  <c r="O8" i="2"/>
  <c r="L11" i="2"/>
  <c r="O5" i="2"/>
  <c r="I11" i="2"/>
  <c r="M11" i="2"/>
  <c r="O9" i="2"/>
  <c r="J11" i="2"/>
  <c r="O6" i="2"/>
  <c r="N11" i="2"/>
  <c r="O10" i="2"/>
  <c r="O7" i="2"/>
  <c r="K11" i="2"/>
  <c r="N4" i="4"/>
  <c r="O4" i="4"/>
  <c r="P5" i="4"/>
  <c r="N6" i="4"/>
  <c r="P7" i="4"/>
  <c r="AW16" i="4"/>
  <c r="AX17" i="4"/>
  <c r="AY17" i="4" s="1"/>
  <c r="BH6" i="4"/>
  <c r="BH7" i="4"/>
  <c r="AX16" i="4"/>
  <c r="AY16" i="4" s="1"/>
  <c r="BH4" i="4"/>
  <c r="BH5" i="4"/>
  <c r="AW17" i="4"/>
  <c r="M5" i="4"/>
  <c r="O6" i="4"/>
  <c r="M7" i="4"/>
  <c r="P4" i="4"/>
  <c r="N5" i="4"/>
  <c r="P6" i="4"/>
  <c r="N7" i="4"/>
  <c r="O5" i="4"/>
  <c r="M6" i="4"/>
  <c r="O7" i="4"/>
  <c r="BB20" i="3"/>
  <c r="BC20" i="3" s="1"/>
  <c r="BB19" i="3"/>
  <c r="BC19" i="3" s="1"/>
  <c r="BA20" i="3"/>
  <c r="BD20" i="3" s="1"/>
  <c r="BA19" i="3"/>
  <c r="BD19" i="3" s="1"/>
  <c r="I9" i="3"/>
  <c r="BL5" i="3"/>
  <c r="BL6" i="3"/>
  <c r="BM6" i="3" s="1"/>
  <c r="BN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4" i="3"/>
  <c r="I6" i="3"/>
  <c r="I5" i="3"/>
  <c r="I7" i="3"/>
  <c r="BD21" i="3"/>
  <c r="BB21" i="3"/>
  <c r="BC21" i="3" s="1"/>
  <c r="BL4" i="3"/>
  <c r="BL7" i="3"/>
  <c r="BL8" i="3"/>
  <c r="BL9" i="3"/>
  <c r="BF23" i="2"/>
  <c r="BG23" i="2" s="1"/>
  <c r="BE23" i="2"/>
  <c r="BH23" i="2" s="1"/>
  <c r="BE25" i="2"/>
  <c r="BP8" i="2"/>
  <c r="BQ8" i="2" s="1"/>
  <c r="BP7" i="2"/>
  <c r="BF24" i="2"/>
  <c r="BG24" i="2" s="1"/>
  <c r="BF25" i="2"/>
  <c r="BG25" i="2" s="1"/>
  <c r="BP11" i="2"/>
  <c r="BE24" i="2"/>
  <c r="BP4" i="2"/>
  <c r="BP5" i="2"/>
  <c r="BP6" i="2"/>
  <c r="BF22" i="2"/>
  <c r="BG22" i="2" s="1"/>
  <c r="BP9" i="2"/>
  <c r="BE22" i="2"/>
  <c r="BP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Q6" i="4" l="1"/>
  <c r="Q5" i="4"/>
  <c r="Q7" i="4"/>
  <c r="Q4" i="4"/>
  <c r="BF30" i="2"/>
  <c r="BG30" i="2" s="1"/>
  <c r="BH25" i="2"/>
  <c r="R7" i="3"/>
  <c r="R4" i="3"/>
  <c r="R8" i="3"/>
  <c r="R6" i="3"/>
  <c r="R5" i="3"/>
  <c r="R9" i="3"/>
  <c r="AZ17" i="4"/>
  <c r="AX21" i="4"/>
  <c r="AY21" i="4" s="1"/>
  <c r="BI4" i="4"/>
  <c r="AZ16" i="4"/>
  <c r="AX20" i="4"/>
  <c r="AY20" i="4" s="1"/>
  <c r="BI7" i="4"/>
  <c r="BI6" i="4"/>
  <c r="AW21" i="4"/>
  <c r="AW20" i="4"/>
  <c r="BI5" i="4"/>
  <c r="BA25" i="3"/>
  <c r="BD25" i="3" s="1"/>
  <c r="BM5" i="3"/>
  <c r="BA24" i="3"/>
  <c r="BD24" i="3" s="1"/>
  <c r="BM8" i="3"/>
  <c r="BB26" i="3"/>
  <c r="BC26" i="3" s="1"/>
  <c r="BB25" i="3"/>
  <c r="BC25" i="3" s="1"/>
  <c r="BM4" i="3"/>
  <c r="BM9" i="3"/>
  <c r="BB24" i="3"/>
  <c r="BC24" i="3" s="1"/>
  <c r="BA26" i="3"/>
  <c r="BM7" i="3"/>
  <c r="BO6" i="3"/>
  <c r="BE31" i="2"/>
  <c r="BH31" i="2" s="1"/>
  <c r="R11" i="2"/>
  <c r="R9" i="2"/>
  <c r="R8" i="2"/>
  <c r="R5" i="2"/>
  <c r="BE30" i="2"/>
  <c r="BQ7" i="2"/>
  <c r="BF36" i="2" s="1"/>
  <c r="BG36" i="2" s="1"/>
  <c r="R10" i="2"/>
  <c r="BF28" i="2"/>
  <c r="BG28" i="2" s="1"/>
  <c r="R6" i="2"/>
  <c r="BQ4" i="2"/>
  <c r="BF29" i="2"/>
  <c r="BG29" i="2" s="1"/>
  <c r="BH24" i="2"/>
  <c r="BH22" i="2"/>
  <c r="BQ9" i="2"/>
  <c r="BR8" i="2"/>
  <c r="R7" i="2"/>
  <c r="BE28" i="2"/>
  <c r="BQ5" i="2"/>
  <c r="BF31" i="2"/>
  <c r="BG31" i="2" s="1"/>
  <c r="BQ11" i="2"/>
  <c r="BQ10" i="2"/>
  <c r="BE29" i="2"/>
  <c r="BQ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I4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AE8" i="3" l="1"/>
  <c r="AE9" i="3"/>
  <c r="AE4" i="3"/>
  <c r="AE5" i="3"/>
  <c r="AE7" i="3"/>
  <c r="AE6" i="3"/>
  <c r="S8" i="3"/>
  <c r="S4" i="3"/>
  <c r="S9" i="3"/>
  <c r="S7" i="3"/>
  <c r="S5" i="3"/>
  <c r="S6" i="3"/>
  <c r="R5" i="4"/>
  <c r="R8" i="4"/>
  <c r="AL8" i="4" s="1"/>
  <c r="R4" i="4"/>
  <c r="R6" i="4"/>
  <c r="R7" i="4"/>
  <c r="S4" i="2"/>
  <c r="AG4" i="2"/>
  <c r="AG9" i="2"/>
  <c r="AG6" i="2"/>
  <c r="AG11" i="2"/>
  <c r="AG7" i="2"/>
  <c r="AG5" i="2"/>
  <c r="AG10" i="2"/>
  <c r="AG8" i="2"/>
  <c r="S5" i="2"/>
  <c r="S10" i="2"/>
  <c r="S9" i="2"/>
  <c r="S6" i="2"/>
  <c r="S8" i="2"/>
  <c r="S7" i="2"/>
  <c r="S11" i="2"/>
  <c r="AZ20" i="4"/>
  <c r="AZ21" i="4"/>
  <c r="BJ6" i="4"/>
  <c r="BJ4" i="4"/>
  <c r="BJ5" i="4"/>
  <c r="BJ7" i="4"/>
  <c r="BN5" i="3"/>
  <c r="BD26" i="3"/>
  <c r="BB29" i="3"/>
  <c r="BC29" i="3" s="1"/>
  <c r="BN9" i="3"/>
  <c r="BA29" i="3"/>
  <c r="BA30" i="3"/>
  <c r="BN7" i="3"/>
  <c r="BA34" i="3" s="1"/>
  <c r="BD34" i="3" s="1"/>
  <c r="BB31" i="3"/>
  <c r="BC31" i="3" s="1"/>
  <c r="BB30" i="3"/>
  <c r="BC30" i="3" s="1"/>
  <c r="BN8" i="3"/>
  <c r="BA31" i="3"/>
  <c r="BN4" i="3"/>
  <c r="BP6" i="3"/>
  <c r="BE36" i="2"/>
  <c r="BH29" i="2"/>
  <c r="BS8" i="2"/>
  <c r="BH30" i="2"/>
  <c r="BR5" i="2"/>
  <c r="BE34" i="2"/>
  <c r="BR10" i="2"/>
  <c r="BF34" i="2"/>
  <c r="BG34" i="2" s="1"/>
  <c r="BH28" i="2"/>
  <c r="BE37" i="2"/>
  <c r="BR4" i="2"/>
  <c r="BR6" i="2"/>
  <c r="BR11" i="2"/>
  <c r="BE35" i="2"/>
  <c r="BF35" i="2"/>
  <c r="BG35" i="2" s="1"/>
  <c r="BR9" i="2"/>
  <c r="BR7" i="2"/>
  <c r="BE42" i="2" s="1"/>
  <c r="BF37" i="2"/>
  <c r="BG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AE7" i="1" l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M7" i="3"/>
  <c r="AM6" i="3"/>
  <c r="AM4" i="3"/>
  <c r="AE11" i="3"/>
  <c r="AM5" i="3"/>
  <c r="AM8" i="3"/>
  <c r="AM9" i="3"/>
  <c r="AD6" i="4"/>
  <c r="AL6" i="4"/>
  <c r="AD4" i="4"/>
  <c r="AL4" i="4"/>
  <c r="AD7" i="4"/>
  <c r="AL7" i="4"/>
  <c r="AL5" i="4"/>
  <c r="AD5" i="4"/>
  <c r="BF43" i="2"/>
  <c r="BG43" i="2" s="1"/>
  <c r="BH36" i="2"/>
  <c r="AO11" i="2"/>
  <c r="AO9" i="2"/>
  <c r="AG13" i="2"/>
  <c r="AO7" i="2"/>
  <c r="AO10" i="2"/>
  <c r="AO8" i="2"/>
  <c r="AO5" i="2"/>
  <c r="AO6" i="2"/>
  <c r="AO12" i="2"/>
  <c r="AP12" i="2" s="1"/>
  <c r="AO4" i="2"/>
  <c r="BK5" i="4"/>
  <c r="BL5" i="4" s="1"/>
  <c r="BM5" i="4" s="1"/>
  <c r="BN5" i="4" s="1"/>
  <c r="BO5" i="4" s="1"/>
  <c r="AR7" i="4"/>
  <c r="BK4" i="4"/>
  <c r="AR6" i="4"/>
  <c r="BK7" i="4"/>
  <c r="BL7" i="4" s="1"/>
  <c r="BM7" i="4" s="1"/>
  <c r="BN7" i="4" s="1"/>
  <c r="BO7" i="4" s="1"/>
  <c r="BK6" i="4"/>
  <c r="BB35" i="3"/>
  <c r="BC35" i="3" s="1"/>
  <c r="BO5" i="3"/>
  <c r="BD31" i="3"/>
  <c r="BB34" i="3"/>
  <c r="BC34" i="3" s="1"/>
  <c r="BO4" i="3"/>
  <c r="BB36" i="3"/>
  <c r="BC36" i="3" s="1"/>
  <c r="BD30" i="3"/>
  <c r="BQ6" i="3"/>
  <c r="BA36" i="3"/>
  <c r="BO8" i="3"/>
  <c r="BO7" i="3"/>
  <c r="BA35" i="3"/>
  <c r="BD29" i="3"/>
  <c r="BO9" i="3"/>
  <c r="BH34" i="2"/>
  <c r="BF41" i="2"/>
  <c r="BG41" i="2" s="1"/>
  <c r="BS5" i="2"/>
  <c r="BS4" i="2"/>
  <c r="BE47" i="2" s="1"/>
  <c r="BF42" i="2"/>
  <c r="BG42" i="2" s="1"/>
  <c r="BH35" i="2"/>
  <c r="BS6" i="2"/>
  <c r="BE40" i="2"/>
  <c r="BH37" i="2"/>
  <c r="BS10" i="2"/>
  <c r="BT8" i="2"/>
  <c r="BE43" i="2"/>
  <c r="BS9" i="2"/>
  <c r="BE41" i="2"/>
  <c r="BS7" i="2"/>
  <c r="BF49" i="2" s="1"/>
  <c r="BG49" i="2" s="1"/>
  <c r="BS11" i="2"/>
  <c r="BF40" i="2"/>
  <c r="BG40" i="2" s="1"/>
  <c r="BH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AH8" i="2" l="1"/>
  <c r="AH4" i="2"/>
  <c r="AM10" i="1"/>
  <c r="AM7" i="1"/>
  <c r="AM4" i="1"/>
  <c r="AM12" i="1"/>
  <c r="AM9" i="1"/>
  <c r="AM5" i="1"/>
  <c r="AM13" i="1"/>
  <c r="AM11" i="1"/>
  <c r="AE15" i="1"/>
  <c r="AM6" i="1"/>
  <c r="AM8" i="1"/>
  <c r="AF7" i="3"/>
  <c r="AF4" i="3"/>
  <c r="AF8" i="3"/>
  <c r="AF9" i="3"/>
  <c r="AF5" i="3"/>
  <c r="AF6" i="3"/>
  <c r="AD9" i="4"/>
  <c r="AE5" i="4" s="1"/>
  <c r="AH10" i="2"/>
  <c r="AH11" i="2"/>
  <c r="AH6" i="2"/>
  <c r="AH7" i="2"/>
  <c r="AH9" i="2"/>
  <c r="AH5" i="2"/>
  <c r="AQ4" i="4"/>
  <c r="AS7" i="4"/>
  <c r="AA4" i="4" s="1"/>
  <c r="AR4" i="4"/>
  <c r="BL4" i="4"/>
  <c r="BM4" i="4" s="1"/>
  <c r="BN4" i="4" s="1"/>
  <c r="BO4" i="4" s="1"/>
  <c r="AR5" i="4"/>
  <c r="AQ7" i="4"/>
  <c r="BL6" i="4"/>
  <c r="BM6" i="4" s="1"/>
  <c r="BN6" i="4" s="1"/>
  <c r="BO6" i="4" s="1"/>
  <c r="AS6" i="4" s="1"/>
  <c r="AA5" i="4" s="1"/>
  <c r="AQ6" i="4"/>
  <c r="AQ5" i="4"/>
  <c r="AS5" i="4"/>
  <c r="AA6" i="4" s="1"/>
  <c r="BP5" i="3"/>
  <c r="AV8" i="3"/>
  <c r="BP9" i="3"/>
  <c r="BP7" i="3"/>
  <c r="BD36" i="3"/>
  <c r="BD35" i="3"/>
  <c r="BR6" i="3"/>
  <c r="BS6" i="3" s="1"/>
  <c r="BP4" i="3"/>
  <c r="BP8" i="3"/>
  <c r="AU6" i="3"/>
  <c r="Z7" i="3" s="1"/>
  <c r="BT9" i="2"/>
  <c r="BF48" i="2"/>
  <c r="BG48" i="2" s="1"/>
  <c r="BE48" i="2"/>
  <c r="BT4" i="2"/>
  <c r="BH47" i="2"/>
  <c r="BT7" i="2"/>
  <c r="BE53" i="2" s="1"/>
  <c r="BH43" i="2"/>
  <c r="BH40" i="2"/>
  <c r="BF46" i="2"/>
  <c r="BG46" i="2" s="1"/>
  <c r="BT11" i="2"/>
  <c r="BH41" i="2"/>
  <c r="BU8" i="2"/>
  <c r="BF47" i="2"/>
  <c r="BG47" i="2" s="1"/>
  <c r="BT10" i="2"/>
  <c r="BT6" i="2"/>
  <c r="BE46" i="2"/>
  <c r="BE49" i="2"/>
  <c r="BT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G9" i="3"/>
  <c r="AG8" i="3"/>
  <c r="AG6" i="3"/>
  <c r="AG4" i="3"/>
  <c r="AG5" i="3"/>
  <c r="AG7" i="3"/>
  <c r="AE7" i="4"/>
  <c r="AE6" i="4"/>
  <c r="AE4" i="4"/>
  <c r="AI10" i="2"/>
  <c r="AI8" i="2"/>
  <c r="AI9" i="2"/>
  <c r="AI11" i="2"/>
  <c r="AI4" i="2"/>
  <c r="AI6" i="2"/>
  <c r="AI5" i="2"/>
  <c r="AI7" i="2"/>
  <c r="AS4" i="4"/>
  <c r="AA7" i="4" s="1"/>
  <c r="BQ5" i="3"/>
  <c r="BR5" i="3" s="1"/>
  <c r="BS5" i="3" s="1"/>
  <c r="AW5" i="3" s="1"/>
  <c r="BQ9" i="3"/>
  <c r="AV7" i="3"/>
  <c r="BQ7" i="3"/>
  <c r="BQ8" i="3"/>
  <c r="BR8" i="3" s="1"/>
  <c r="BS8" i="3" s="1"/>
  <c r="BQ4" i="3"/>
  <c r="BR4" i="3" s="1"/>
  <c r="BS4" i="3" s="1"/>
  <c r="AW4" i="3" s="1"/>
  <c r="AW6" i="3"/>
  <c r="AB8" i="3" s="1"/>
  <c r="BH46" i="2"/>
  <c r="BV8" i="2"/>
  <c r="BU11" i="2"/>
  <c r="BE52" i="2"/>
  <c r="BU7" i="2"/>
  <c r="BE55" i="2"/>
  <c r="BU10" i="2"/>
  <c r="BH53" i="2"/>
  <c r="BE54" i="2"/>
  <c r="BU9" i="2"/>
  <c r="BF54" i="2"/>
  <c r="BG54" i="2" s="1"/>
  <c r="BU5" i="2"/>
  <c r="BF55" i="2"/>
  <c r="BU4" i="2"/>
  <c r="BH49" i="2"/>
  <c r="BF52" i="2"/>
  <c r="BG52" i="2" s="1"/>
  <c r="BU6" i="2"/>
  <c r="BF53" i="2"/>
  <c r="BG53" i="2" s="1"/>
  <c r="BH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AF7" i="4" l="1"/>
  <c r="AF6" i="4"/>
  <c r="AG8" i="1"/>
  <c r="AG11" i="1"/>
  <c r="AG6" i="1"/>
  <c r="AG7" i="1"/>
  <c r="AG13" i="1"/>
  <c r="AG12" i="1"/>
  <c r="AG4" i="1"/>
  <c r="AG9" i="1"/>
  <c r="AG10" i="1"/>
  <c r="AG5" i="1"/>
  <c r="AG11" i="3"/>
  <c r="AF5" i="4"/>
  <c r="AF4" i="4"/>
  <c r="BG55" i="2"/>
  <c r="AY4" i="2"/>
  <c r="AI13" i="2"/>
  <c r="AJ4" i="2" s="1"/>
  <c r="AV9" i="3"/>
  <c r="AU5" i="3"/>
  <c r="Z8" i="3" s="1"/>
  <c r="BR7" i="3"/>
  <c r="BS7" i="3" s="1"/>
  <c r="BR9" i="3"/>
  <c r="BS9" i="3" s="1"/>
  <c r="AW8" i="3"/>
  <c r="AB5" i="3" s="1"/>
  <c r="AV6" i="3"/>
  <c r="AU8" i="3"/>
  <c r="Z5" i="3" s="1"/>
  <c r="AV5" i="3"/>
  <c r="AU9" i="3"/>
  <c r="Z4" i="3" s="1"/>
  <c r="AU4" i="3"/>
  <c r="Z9" i="3" s="1"/>
  <c r="AU7" i="3"/>
  <c r="Z6" i="3" s="1"/>
  <c r="BV4" i="2"/>
  <c r="BV5" i="2"/>
  <c r="BH54" i="2"/>
  <c r="BV10" i="2"/>
  <c r="BH52" i="2"/>
  <c r="BW8" i="2"/>
  <c r="BA8" i="2" s="1"/>
  <c r="AD9" i="2" s="1"/>
  <c r="BH55" i="2"/>
  <c r="BV11" i="2"/>
  <c r="BV6" i="2"/>
  <c r="BV9" i="2"/>
  <c r="BV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AF9" i="4" l="1"/>
  <c r="AG7" i="4" s="1"/>
  <c r="AG15" i="1"/>
  <c r="AH6" i="3"/>
  <c r="AH9" i="3"/>
  <c r="AH4" i="3"/>
  <c r="AH5" i="3"/>
  <c r="AH7" i="3"/>
  <c r="AH8" i="3"/>
  <c r="AJ10" i="2"/>
  <c r="AJ8" i="2"/>
  <c r="AJ6" i="2"/>
  <c r="AJ5" i="2"/>
  <c r="AJ11" i="2"/>
  <c r="AJ9" i="2"/>
  <c r="AJ7" i="2"/>
  <c r="AV4" i="3"/>
  <c r="AW9" i="3"/>
  <c r="AW7" i="3"/>
  <c r="BW11" i="2"/>
  <c r="BA11" i="2" s="1"/>
  <c r="AD11" i="2" s="1"/>
  <c r="BW7" i="2"/>
  <c r="BA7" i="2" s="1"/>
  <c r="AD10" i="2" s="1"/>
  <c r="BW9" i="2"/>
  <c r="BA9" i="2" s="1"/>
  <c r="AD7" i="2" s="1"/>
  <c r="AY8" i="2"/>
  <c r="AB9" i="2" s="1"/>
  <c r="BW4" i="2"/>
  <c r="BA4" i="2" s="1"/>
  <c r="AD6" i="2" s="1"/>
  <c r="BW6" i="2"/>
  <c r="BA6" i="2" s="1"/>
  <c r="AD8" i="2" s="1"/>
  <c r="BW10" i="2"/>
  <c r="BA10" i="2" s="1"/>
  <c r="AD5" i="2" s="1"/>
  <c r="BW5" i="2"/>
  <c r="BA5" i="2" s="1"/>
  <c r="AD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G6" i="4" l="1"/>
  <c r="AG5" i="4"/>
  <c r="AG4" i="4"/>
  <c r="AB7" i="3"/>
  <c r="AB6" i="3"/>
  <c r="AB9" i="3"/>
  <c r="AB4" i="3"/>
  <c r="AK4" i="2"/>
  <c r="AH5" i="1"/>
  <c r="AI5" i="1" s="1"/>
  <c r="AH9" i="1"/>
  <c r="AI9" i="1" s="1"/>
  <c r="AJ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J5" i="1"/>
  <c r="AH8" i="1"/>
  <c r="AI8" i="1" s="1"/>
  <c r="AH12" i="1"/>
  <c r="AI12" i="1" s="1"/>
  <c r="AI5" i="3"/>
  <c r="AI4" i="3"/>
  <c r="AI8" i="3"/>
  <c r="AI9" i="3"/>
  <c r="AI7" i="3"/>
  <c r="AI6" i="3"/>
  <c r="AK5" i="2"/>
  <c r="AK6" i="2" s="1"/>
  <c r="AK7" i="2" s="1"/>
  <c r="AK8" i="2" s="1"/>
  <c r="AK9" i="2" s="1"/>
  <c r="AK10" i="2" s="1"/>
  <c r="AK11" i="2" s="1"/>
  <c r="AK12" i="2" s="1"/>
  <c r="AZ11" i="2"/>
  <c r="AZ4" i="2"/>
  <c r="AZ10" i="2"/>
  <c r="AZ8" i="2"/>
  <c r="AY10" i="2"/>
  <c r="AB5" i="2" s="1"/>
  <c r="AY5" i="2"/>
  <c r="AZ9" i="2"/>
  <c r="AY7" i="2"/>
  <c r="AB10" i="2" s="1"/>
  <c r="AZ7" i="2"/>
  <c r="AY9" i="2"/>
  <c r="AB7" i="2" s="1"/>
  <c r="AB6" i="2"/>
  <c r="AZ6" i="2"/>
  <c r="AY11" i="2"/>
  <c r="AB11" i="2" s="1"/>
  <c r="AY6" i="2"/>
  <c r="AB8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J13" i="1" l="1"/>
  <c r="AH4" i="4"/>
  <c r="AH7" i="4"/>
  <c r="AH5" i="4"/>
  <c r="AH6" i="4"/>
  <c r="AB7" i="1"/>
  <c r="AJ12" i="1"/>
  <c r="AJ8" i="1"/>
  <c r="AJ11" i="1"/>
  <c r="AI15" i="1"/>
  <c r="AJ7" i="1"/>
  <c r="AJ4" i="1"/>
  <c r="AJ10" i="1"/>
  <c r="AJ6" i="1"/>
  <c r="AB5" i="1"/>
  <c r="AB11" i="1"/>
  <c r="AI11" i="3"/>
  <c r="AK13" i="2"/>
  <c r="AL6" i="2" s="1"/>
  <c r="AZ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H9" i="4" l="1"/>
  <c r="AI4" i="4" s="1"/>
  <c r="AL6" i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J5" i="3"/>
  <c r="AJ7" i="3"/>
  <c r="AJ9" i="3"/>
  <c r="AJ8" i="3"/>
  <c r="AJ6" i="3"/>
  <c r="AJ4" i="3"/>
  <c r="AL5" i="2"/>
  <c r="AL10" i="2"/>
  <c r="AL11" i="2"/>
  <c r="AL4" i="2"/>
  <c r="AL8" i="2"/>
  <c r="AL7" i="2"/>
  <c r="AL9" i="2"/>
  <c r="Z11" i="1"/>
  <c r="Z4" i="1"/>
  <c r="Z6" i="1"/>
  <c r="Z10" i="1"/>
  <c r="Z12" i="1"/>
  <c r="Z8" i="1"/>
  <c r="Z5" i="1"/>
  <c r="Z13" i="1"/>
  <c r="Z9" i="1"/>
  <c r="Z7" i="1"/>
  <c r="AV6" i="1"/>
  <c r="AV4" i="1"/>
  <c r="AI6" i="4" l="1"/>
  <c r="AK6" i="4" s="1"/>
  <c r="AM6" i="4" s="1"/>
  <c r="AI5" i="4"/>
  <c r="AI7" i="4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L8" i="3"/>
  <c r="AN8" i="3" s="1"/>
  <c r="AL9" i="3"/>
  <c r="AN9" i="3" s="1"/>
  <c r="AL4" i="3"/>
  <c r="AN4" i="3" s="1"/>
  <c r="AL7" i="3"/>
  <c r="AN7" i="3" s="1"/>
  <c r="AL6" i="3"/>
  <c r="AN6" i="3" s="1"/>
  <c r="AL5" i="3"/>
  <c r="AN5" i="3" s="1"/>
  <c r="AK5" i="4"/>
  <c r="AM5" i="4" s="1"/>
  <c r="AN11" i="2"/>
  <c r="AP11" i="2" s="1"/>
  <c r="AN9" i="2"/>
  <c r="AP9" i="2" s="1"/>
  <c r="AN5" i="2"/>
  <c r="AP5" i="2" s="1"/>
  <c r="AN7" i="2"/>
  <c r="AP7" i="2" s="1"/>
  <c r="AN10" i="2"/>
  <c r="AP10" i="2" s="1"/>
  <c r="AN8" i="2"/>
  <c r="AP8" i="2" s="1"/>
  <c r="AN6" i="2"/>
  <c r="AP6" i="2" s="1"/>
  <c r="AN4" i="2"/>
  <c r="AP4" i="2" s="1"/>
  <c r="AK4" i="4" l="1"/>
  <c r="AM4" i="4" s="1"/>
  <c r="AN5" i="4" s="1"/>
  <c r="S5" i="4" s="1"/>
  <c r="A5" i="4" s="1"/>
  <c r="AK7" i="4"/>
  <c r="AM7" i="4" s="1"/>
  <c r="AN4" i="4"/>
  <c r="S4" i="4" s="1"/>
  <c r="A4" i="4" s="1"/>
  <c r="AA4" i="1"/>
  <c r="X4" i="1"/>
  <c r="Y4" i="1"/>
  <c r="Y8" i="1"/>
  <c r="Y6" i="1"/>
  <c r="Y10" i="1"/>
  <c r="X8" i="1"/>
  <c r="X6" i="1"/>
  <c r="AA9" i="1"/>
  <c r="Y11" i="1"/>
  <c r="AA8" i="1"/>
  <c r="X12" i="1"/>
  <c r="Y13" i="1"/>
  <c r="X10" i="1"/>
  <c r="AA13" i="1"/>
  <c r="AA11" i="1"/>
  <c r="Y14" i="1"/>
  <c r="AA6" i="1"/>
  <c r="Y9" i="1"/>
  <c r="Y7" i="1"/>
  <c r="AA7" i="1"/>
  <c r="Y5" i="1"/>
  <c r="X7" i="1"/>
  <c r="X5" i="1"/>
  <c r="AA5" i="1"/>
  <c r="X13" i="1"/>
  <c r="X11" i="1"/>
  <c r="Y12" i="1"/>
  <c r="X9" i="1"/>
  <c r="AA12" i="1"/>
  <c r="AA10" i="1"/>
  <c r="AO4" i="3"/>
  <c r="T4" i="3" s="1"/>
  <c r="A4" i="3" s="1"/>
  <c r="AO7" i="3"/>
  <c r="T7" i="3" s="1"/>
  <c r="A7" i="3" s="1"/>
  <c r="AO5" i="3"/>
  <c r="T5" i="3" s="1"/>
  <c r="A5" i="3" s="1"/>
  <c r="AO9" i="3"/>
  <c r="T9" i="3" s="1"/>
  <c r="A9" i="3" s="1"/>
  <c r="AO6" i="3"/>
  <c r="T6" i="3" s="1"/>
  <c r="A6" i="3" s="1"/>
  <c r="AO8" i="3"/>
  <c r="T8" i="3" s="1"/>
  <c r="A8" i="3" s="1"/>
  <c r="AN7" i="4"/>
  <c r="S7" i="4" s="1"/>
  <c r="A7" i="4" s="1"/>
  <c r="AQ9" i="2"/>
  <c r="T9" i="2" s="1"/>
  <c r="A9" i="2" s="1"/>
  <c r="AQ4" i="2"/>
  <c r="T4" i="2" s="1"/>
  <c r="A4" i="2" s="1"/>
  <c r="AQ12" i="2"/>
  <c r="T12" i="2" s="1"/>
  <c r="A12" i="2" s="1"/>
  <c r="AQ11" i="2"/>
  <c r="T11" i="2" s="1"/>
  <c r="A11" i="2" s="1"/>
  <c r="AQ10" i="2"/>
  <c r="T10" i="2" s="1"/>
  <c r="A10" i="2" s="1"/>
  <c r="AQ5" i="2"/>
  <c r="T5" i="2" s="1"/>
  <c r="A5" i="2" s="1"/>
  <c r="AQ7" i="2"/>
  <c r="T7" i="2" s="1"/>
  <c r="A7" i="2" s="1"/>
  <c r="AQ6" i="2"/>
  <c r="T6" i="2" s="1"/>
  <c r="A6" i="2" s="1"/>
  <c r="AQ8" i="2"/>
  <c r="T8" i="2" s="1"/>
  <c r="A8" i="2" s="1"/>
  <c r="AN6" i="4" l="1"/>
  <c r="S6" i="4" s="1"/>
  <c r="A6" i="4" s="1"/>
  <c r="Z5" i="4" s="1"/>
  <c r="W4" i="4"/>
  <c r="Y4" i="4"/>
  <c r="Z4" i="4"/>
  <c r="Y6" i="4"/>
  <c r="Z7" i="4"/>
  <c r="W5" i="4"/>
  <c r="X4" i="4"/>
  <c r="W7" i="4"/>
  <c r="Z4" i="2"/>
  <c r="AA5" i="3"/>
  <c r="AA4" i="3"/>
  <c r="Y6" i="3"/>
  <c r="X7" i="3"/>
  <c r="AA8" i="3"/>
  <c r="AA9" i="3"/>
  <c r="Y7" i="3"/>
  <c r="X5" i="3"/>
  <c r="X4" i="3"/>
  <c r="AA6" i="3"/>
  <c r="Y5" i="3"/>
  <c r="Y4" i="3"/>
  <c r="X8" i="3"/>
  <c r="X10" i="3"/>
  <c r="AA7" i="3"/>
  <c r="Y8" i="3"/>
  <c r="Y9" i="3"/>
  <c r="X6" i="3"/>
  <c r="X9" i="3"/>
  <c r="AC5" i="2"/>
  <c r="AC9" i="2"/>
  <c r="AA5" i="2"/>
  <c r="AA9" i="2"/>
  <c r="AC6" i="2"/>
  <c r="AC10" i="2"/>
  <c r="AA6" i="2"/>
  <c r="AA10" i="2"/>
  <c r="Z6" i="2"/>
  <c r="Z10" i="2"/>
  <c r="Z7" i="2"/>
  <c r="Z5" i="2"/>
  <c r="AC7" i="2"/>
  <c r="AC11" i="2"/>
  <c r="AA7" i="2"/>
  <c r="AA11" i="2"/>
  <c r="Z11" i="2"/>
  <c r="AC8" i="2"/>
  <c r="AC4" i="2"/>
  <c r="AA8" i="2"/>
  <c r="AA4" i="2"/>
  <c r="Z8" i="2"/>
  <c r="Z12" i="2"/>
  <c r="Z9" i="2"/>
  <c r="AA12" i="2"/>
  <c r="AB4" i="2"/>
  <c r="Z6" i="4" l="1"/>
  <c r="Y5" i="4"/>
  <c r="X6" i="4"/>
  <c r="X5" i="4"/>
  <c r="X7" i="4"/>
  <c r="W6" i="4"/>
  <c r="Y7" i="4"/>
</calcChain>
</file>

<file path=xl/sharedStrings.xml><?xml version="1.0" encoding="utf-8"?>
<sst xmlns="http://schemas.openxmlformats.org/spreadsheetml/2006/main" count="444" uniqueCount="71">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</sst>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82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4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left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4" borderId="1" xfId="0" applyFill="1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right"/>
    </xf>
    <xf numFmtId="0" fontId="5" fillId="0" borderId="0" xfId="0" applyFont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5" fillId="0" borderId="0" xfId="0" applyFont="1" applyAlignment="1">
      <alignment horizontal="center"/>
    </xf>
  </cellXfs>
  <cellStyles count="2">
    <cellStyle name="Standaard" xfId="0" builtinId="0"/>
    <cellStyle name="Standaard_Kopie van Uitslagen" xfId="1"/>
  </cellStyles>
  <dxfs count="13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BT79"/>
  <sheetViews>
    <sheetView view="pageBreakPreview" zoomScaleNormal="100" zoomScaleSheetLayoutView="100" workbookViewId="0">
      <selection activeCell="T18" sqref="T18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7" width="3.7109375" style="6" customWidth="1"/>
    <col min="18" max="20" width="10.5703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29" width="6.7109375" style="6" hidden="1" customWidth="1"/>
    <col min="30" max="30" width="6.7109375" style="6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6" width="6.7109375" style="6" hidden="1" customWidth="1"/>
    <col min="37" max="37" width="3.2851562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10</v>
      </c>
      <c r="B1" s="74" t="s">
        <v>31</v>
      </c>
      <c r="C1" s="74"/>
      <c r="D1" s="74"/>
      <c r="E1" s="74"/>
      <c r="F1" s="74"/>
      <c r="G1" s="75" t="s">
        <v>32</v>
      </c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15"/>
      <c r="T1" s="15"/>
      <c r="U1" s="15"/>
      <c r="V1" s="68" t="str">
        <f>"UITSLAG " &amp; G1</f>
        <v>UITSLAG GROEP A</v>
      </c>
      <c r="W1" s="69"/>
      <c r="X1" s="69"/>
      <c r="Y1" s="69"/>
      <c r="Z1" s="69"/>
      <c r="AA1" s="69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69" t="s">
        <v>22</v>
      </c>
      <c r="BA2" s="69"/>
      <c r="BB2" s="69"/>
      <c r="BC2" s="69"/>
      <c r="BD2" s="69"/>
      <c r="BE2" s="69"/>
      <c r="BF2" s="69"/>
      <c r="BG2" s="69"/>
      <c r="BH2" s="69"/>
      <c r="BI2" s="17"/>
      <c r="BJ2" s="18"/>
      <c r="BK2" s="69" t="s">
        <v>23</v>
      </c>
      <c r="BL2" s="69"/>
      <c r="BM2" s="69"/>
      <c r="BN2" s="69"/>
      <c r="BO2" s="69"/>
      <c r="BP2" s="69"/>
      <c r="BQ2" s="69"/>
      <c r="BR2" s="69"/>
      <c r="BS2" s="69"/>
    </row>
    <row r="3" spans="1:71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70"/>
      <c r="E4" s="71"/>
      <c r="F4" s="25">
        <v>1000</v>
      </c>
      <c r="H4" s="26" t="str">
        <f t="shared" ref="H4:Q13" si="0">IF((SUMIF($AY$15:$AY$78,$B4*100+H$3,$AW$15:$AW$78)+SUMIF($AY$15:$AY$78,$B4+H$3*100,$AW$15:$AW$78))=1,(SUMIF($AY$15:$AY$78,$B4*100+H$3,$J$15:$J$78)+SUMIF($AZ$15:$AZ$78,$B4*100+H$3,$M$15:$M$78)),"")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8">
        <f>SUM(H4:Q4)</f>
        <v>0</v>
      </c>
      <c r="S4" s="8">
        <f>IF(H4="",0,H4)*$R$4+IF(I4="",0,I4)*$R$5+IF(J4="",0,J4)*$R$6+IF(K4="",0,K4)*$R$7+IF(L4="",0,L4)*$R$8+IF(M4="",0,M4)*$R$9+IF(N4="",0,N4)*$R$10+IF(O4="",0,O4)*$R$11+IF(P4="",0,P4)*R12+IF(Q4="",0,Q4)*R13</f>
        <v>0</v>
      </c>
      <c r="T4" s="59">
        <f>AO4</f>
        <v>1</v>
      </c>
      <c r="U4" s="30"/>
      <c r="V4" s="31">
        <v>1</v>
      </c>
      <c r="W4" s="32">
        <v>10</v>
      </c>
      <c r="X4" s="33" t="str">
        <f>IF(ISNA(VLOOKUP(B4,$A$4:$S$13,3,FALSE)),C4,VLOOKUP(B4,$A$4:$S$13,3,FALSE))</f>
        <v>A</v>
      </c>
      <c r="Y4" s="34">
        <f>IF(ISNA(VLOOKUP(B4,$A$4:$S$13,18,FALSE)),0,VLOOKUP(B4,$A$4:$S$13,18,FALSE))</f>
        <v>0</v>
      </c>
      <c r="Z4" s="34">
        <f t="shared" ref="Z4:Z13" si="1">VLOOKUP($W4,$AT$4:$AW$13,2,FALSE)</f>
        <v>0</v>
      </c>
      <c r="AA4" s="55">
        <f>IF(ISNA(VLOOKUP(B4,$A$4:$S$13,19,FALSE)),0,VLOOKUP(B4,$A$4:$S$13,19,FALSE))</f>
        <v>0</v>
      </c>
      <c r="AB4" s="34">
        <f t="shared" ref="AB4:AB13" si="2">VLOOKUP($W4,$AT$4:$AW$13,4,FALSE)</f>
        <v>0</v>
      </c>
      <c r="AC4" s="35">
        <f t="shared" ref="AC4:AC13" si="3">VLOOKUP($W4,$B$4:$R$13,5,FALSE)</f>
        <v>1000</v>
      </c>
      <c r="AD4" s="56"/>
      <c r="AE4" s="12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12">
        <f>$AE$15*R4+AE4</f>
        <v>0</v>
      </c>
      <c r="AG4" s="12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12">
        <f>$AG$15*AF4+AG4</f>
        <v>0</v>
      </c>
      <c r="AI4" s="12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12">
        <f>$AG$15*AH4+AI4</f>
        <v>0</v>
      </c>
      <c r="AK4" s="12"/>
      <c r="AL4" s="12">
        <f>RANK(AJ4,$AJ$4:$AJ$13,1)-1</f>
        <v>0</v>
      </c>
      <c r="AM4" s="12">
        <f>RANK(S4,$S$4:$S$13,1)-1</f>
        <v>0</v>
      </c>
      <c r="AN4" s="12">
        <f>10*AL4+AM4</f>
        <v>0</v>
      </c>
      <c r="AO4" s="12">
        <f>RANK(AN4,$AN$4:$AN$13)</f>
        <v>1</v>
      </c>
      <c r="AP4" s="56"/>
      <c r="AQ4" s="56"/>
      <c r="AR4" s="56"/>
      <c r="AS4" s="30"/>
      <c r="AT4" s="37">
        <v>1</v>
      </c>
      <c r="AU4" s="38">
        <f t="shared" ref="AU4:AU13" si="4">SUMIF($AU$15:$AU$78,B4,$BA$15:$BA$78)+SUMIF($AV$15:$AV$78,B4,$BB$15:$BB$78)</f>
        <v>0</v>
      </c>
      <c r="AV4" s="39" t="e">
        <f t="shared" ref="AV4:AV13" si="5">SUMIF($AU$15:$AU$78,B4,$BC$15:$BC$78)+SUMIF($AV$15:$AV$78,B4,$BD$15:$BD$78)</f>
        <v>#VALUE!</v>
      </c>
      <c r="AW4" s="39">
        <f>SUM(BK4:BS4)</f>
        <v>0</v>
      </c>
      <c r="AY4" s="6">
        <v>1</v>
      </c>
      <c r="AZ4" s="6">
        <f t="shared" ref="AZ4:BH13" si="6" xml:space="preserve"> SUMIFS( $J$18:$J$78, $AU$18:$AU$78,$AY4, $AT$18:$AT$78,AZ$3) + SUMIFS( $M$18:$M$78, $AV$18:$AV$78,$AY4, $AT$18:$AT$78,AZ$3)</f>
        <v>0</v>
      </c>
      <c r="BA4" s="6">
        <f t="shared" si="6"/>
        <v>0</v>
      </c>
      <c r="BB4" s="6">
        <f t="shared" si="6"/>
        <v>0</v>
      </c>
      <c r="BC4" s="6">
        <f t="shared" si="6"/>
        <v>0</v>
      </c>
      <c r="BD4" s="6">
        <f t="shared" si="6"/>
        <v>0</v>
      </c>
      <c r="BE4" s="6">
        <f t="shared" si="6"/>
        <v>0</v>
      </c>
      <c r="BF4" s="6">
        <f t="shared" si="6"/>
        <v>0</v>
      </c>
      <c r="BG4" s="6">
        <f t="shared" si="6"/>
        <v>0</v>
      </c>
      <c r="BH4" s="6">
        <f t="shared" si="6"/>
        <v>0</v>
      </c>
      <c r="BJ4" s="6">
        <v>1</v>
      </c>
      <c r="BK4" s="6">
        <f>AZ4</f>
        <v>0</v>
      </c>
      <c r="BL4" s="6">
        <f t="shared" ref="BL4:BL13" si="7">BK4+BA4</f>
        <v>0</v>
      </c>
      <c r="BM4" s="6">
        <f t="shared" ref="BM4:BM13" si="8">BL4+BB4</f>
        <v>0</v>
      </c>
      <c r="BN4" s="6">
        <f t="shared" ref="BN4:BN13" si="9">BM4+BC4</f>
        <v>0</v>
      </c>
      <c r="BO4" s="6">
        <f t="shared" ref="BO4:BO13" si="10">BN4+BD4</f>
        <v>0</v>
      </c>
      <c r="BP4" s="6">
        <f t="shared" ref="BP4:BP13" si="11">BO4+BE4</f>
        <v>0</v>
      </c>
      <c r="BQ4" s="6">
        <f t="shared" ref="BQ4:BQ13" si="12">BP4+BF4</f>
        <v>0</v>
      </c>
      <c r="BR4" s="6">
        <f t="shared" ref="BR4:BR13" si="13">BQ4+BG4</f>
        <v>0</v>
      </c>
      <c r="BS4" s="6">
        <f t="shared" ref="BS4:BS13" si="14">BR4+BH4</f>
        <v>0</v>
      </c>
    </row>
    <row r="5" spans="1:71" x14ac:dyDescent="0.25">
      <c r="A5" s="51">
        <f t="shared" ref="A5:A13" si="15">T5</f>
        <v>1</v>
      </c>
      <c r="B5" s="25">
        <v>2</v>
      </c>
      <c r="C5" s="25" t="s">
        <v>41</v>
      </c>
      <c r="D5" s="70"/>
      <c r="E5" s="71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8">
        <f t="shared" ref="R5:R13" si="16">SUM(H5:Q5)</f>
        <v>0</v>
      </c>
      <c r="S5" s="8">
        <f t="shared" ref="S5:S8" si="17">IF(H5="",0,H5)*$R$4+IF(I5="",0,I5)*$R$5+IF(J5="",0,J5)*$R$6+IF(K5="",0,K5)*$R$7+IF(L5="",0,L5)*$R$8+IF(M5="",0,M5)*$R$9+IF(N5="",0,N5)*$R$10+IF(O5="",0,O5)*$R$11+IF(P5="",0,P5)*R13+IF(Q5="",0,Q5)*R14</f>
        <v>0</v>
      </c>
      <c r="T5" s="59">
        <f t="shared" ref="T5:T13" si="18">AO5</f>
        <v>1</v>
      </c>
      <c r="U5" s="30"/>
      <c r="V5" s="31">
        <v>2</v>
      </c>
      <c r="W5" s="32">
        <v>9</v>
      </c>
      <c r="X5" s="33" t="str">
        <f t="shared" ref="X5:X13" si="19">IF(ISNA(VLOOKUP(B5,$A$4:$S$13,3,FALSE)),C5,VLOOKUP(B5,$A$4:$S$13,3,FALSE))</f>
        <v>B</v>
      </c>
      <c r="Y5" s="34">
        <f t="shared" ref="Y5:Y14" si="20">IF(ISNA(VLOOKUP(B5,$A$4:$S$13,18,FALSE)),0,VLOOKUP(B5,$A$4:$S$13,18,FALSE))</f>
        <v>0</v>
      </c>
      <c r="Z5" s="34">
        <f t="shared" si="1"/>
        <v>0</v>
      </c>
      <c r="AA5" s="55">
        <f t="shared" ref="AA5:AA13" si="21">IF(ISNA(VLOOKUP(B5,$A$4:$S$13,19,FALSE)),0,VLOOKUP(B5,$A$4:$S$13,19,FALSE))</f>
        <v>0</v>
      </c>
      <c r="AB5" s="34">
        <f t="shared" si="2"/>
        <v>0</v>
      </c>
      <c r="AC5" s="35">
        <f t="shared" si="3"/>
        <v>1000</v>
      </c>
      <c r="AD5" s="56"/>
      <c r="AE5" s="12">
        <f t="shared" ref="AE5:AE13" si="22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12">
        <f t="shared" ref="AF5:AF13" si="23">$AE$15*R5+AE5</f>
        <v>0</v>
      </c>
      <c r="AG5" s="12">
        <f t="shared" ref="AG5:AG13" si="24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12">
        <f t="shared" ref="AH5:AH13" si="25">$AG$15*AF5+AG5</f>
        <v>0</v>
      </c>
      <c r="AI5" s="12">
        <f t="shared" ref="AI5:AI13" si="26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12">
        <f t="shared" ref="AJ5:AJ13" si="27">$AG$15*AH5+AI5</f>
        <v>0</v>
      </c>
      <c r="AK5" s="12"/>
      <c r="AL5" s="12">
        <f t="shared" ref="AL5:AL13" si="28">RANK(AJ5,$AJ$4:$AJ$13,1)-1</f>
        <v>0</v>
      </c>
      <c r="AM5" s="12">
        <f t="shared" ref="AM5:AM13" si="29">RANK(S5,$S$4:$S$13,1)-1</f>
        <v>0</v>
      </c>
      <c r="AN5" s="12">
        <f t="shared" ref="AN5:AN13" si="30">10*AL5+AM5</f>
        <v>0</v>
      </c>
      <c r="AO5" s="12">
        <f t="shared" ref="AO5:AO14" si="31">RANK(AN5,$AN$4:$AN$13)</f>
        <v>1</v>
      </c>
      <c r="AP5" s="56"/>
      <c r="AQ5" s="56"/>
      <c r="AR5" s="56"/>
      <c r="AS5" s="30"/>
      <c r="AT5" s="37">
        <v>2</v>
      </c>
      <c r="AU5" s="38">
        <f t="shared" si="4"/>
        <v>0</v>
      </c>
      <c r="AV5" s="39" t="e">
        <f t="shared" si="5"/>
        <v>#VALUE!</v>
      </c>
      <c r="AW5" s="39">
        <f t="shared" ref="AW5:AW13" si="32">SUM(BK5:BS5)</f>
        <v>0</v>
      </c>
      <c r="AY5" s="6">
        <v>2</v>
      </c>
      <c r="AZ5" s="6">
        <f t="shared" si="6"/>
        <v>0</v>
      </c>
      <c r="BA5" s="6">
        <f t="shared" si="6"/>
        <v>0</v>
      </c>
      <c r="BB5" s="6">
        <f t="shared" si="6"/>
        <v>0</v>
      </c>
      <c r="BC5" s="6">
        <f t="shared" si="6"/>
        <v>0</v>
      </c>
      <c r="BD5" s="6">
        <f t="shared" si="6"/>
        <v>0</v>
      </c>
      <c r="BE5" s="6">
        <f t="shared" si="6"/>
        <v>0</v>
      </c>
      <c r="BF5" s="6">
        <f t="shared" si="6"/>
        <v>0</v>
      </c>
      <c r="BG5" s="6">
        <f t="shared" si="6"/>
        <v>0</v>
      </c>
      <c r="BH5" s="6">
        <f t="shared" si="6"/>
        <v>0</v>
      </c>
      <c r="BJ5" s="6">
        <v>2</v>
      </c>
      <c r="BK5" s="6">
        <f t="shared" ref="BK5:BK13" si="33">AZ5</f>
        <v>0</v>
      </c>
      <c r="BL5" s="6">
        <f t="shared" si="7"/>
        <v>0</v>
      </c>
      <c r="BM5" s="6">
        <f t="shared" si="8"/>
        <v>0</v>
      </c>
      <c r="BN5" s="6">
        <f t="shared" si="9"/>
        <v>0</v>
      </c>
      <c r="BO5" s="6">
        <f t="shared" si="10"/>
        <v>0</v>
      </c>
      <c r="BP5" s="6">
        <f t="shared" si="11"/>
        <v>0</v>
      </c>
      <c r="BQ5" s="6">
        <f t="shared" si="12"/>
        <v>0</v>
      </c>
      <c r="BR5" s="6">
        <f t="shared" si="13"/>
        <v>0</v>
      </c>
      <c r="BS5" s="6">
        <f t="shared" si="14"/>
        <v>0</v>
      </c>
    </row>
    <row r="6" spans="1:71" x14ac:dyDescent="0.25">
      <c r="A6" s="51">
        <f t="shared" si="15"/>
        <v>1</v>
      </c>
      <c r="B6" s="25">
        <v>3</v>
      </c>
      <c r="C6" s="25" t="s">
        <v>42</v>
      </c>
      <c r="D6" s="70"/>
      <c r="E6" s="71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7" t="str">
        <f t="shared" si="0"/>
        <v/>
      </c>
      <c r="Q6" s="27" t="str">
        <f t="shared" si="0"/>
        <v/>
      </c>
      <c r="R6" s="8">
        <f t="shared" si="16"/>
        <v>0</v>
      </c>
      <c r="S6" s="8">
        <f t="shared" si="17"/>
        <v>0</v>
      </c>
      <c r="T6" s="59">
        <f t="shared" si="18"/>
        <v>1</v>
      </c>
      <c r="U6" s="30"/>
      <c r="V6" s="31">
        <v>3</v>
      </c>
      <c r="W6" s="32">
        <v>8</v>
      </c>
      <c r="X6" s="33" t="str">
        <f t="shared" si="19"/>
        <v>C</v>
      </c>
      <c r="Y6" s="34">
        <f t="shared" si="20"/>
        <v>0</v>
      </c>
      <c r="Z6" s="34">
        <f t="shared" si="1"/>
        <v>0</v>
      </c>
      <c r="AA6" s="55">
        <f t="shared" si="21"/>
        <v>0</v>
      </c>
      <c r="AB6" s="34">
        <f t="shared" si="2"/>
        <v>0</v>
      </c>
      <c r="AC6" s="35">
        <f t="shared" si="3"/>
        <v>1000</v>
      </c>
      <c r="AD6" s="56"/>
      <c r="AE6" s="12">
        <f t="shared" si="22"/>
        <v>0</v>
      </c>
      <c r="AF6" s="12">
        <f t="shared" si="23"/>
        <v>0</v>
      </c>
      <c r="AG6" s="12">
        <f t="shared" si="24"/>
        <v>0</v>
      </c>
      <c r="AH6" s="12">
        <f t="shared" si="25"/>
        <v>0</v>
      </c>
      <c r="AI6" s="12">
        <f t="shared" si="26"/>
        <v>0</v>
      </c>
      <c r="AJ6" s="12">
        <f t="shared" si="27"/>
        <v>0</v>
      </c>
      <c r="AK6" s="12"/>
      <c r="AL6" s="12">
        <f t="shared" si="28"/>
        <v>0</v>
      </c>
      <c r="AM6" s="12">
        <f t="shared" si="29"/>
        <v>0</v>
      </c>
      <c r="AN6" s="12">
        <f t="shared" si="30"/>
        <v>0</v>
      </c>
      <c r="AO6" s="12">
        <f t="shared" si="31"/>
        <v>1</v>
      </c>
      <c r="AP6" s="56"/>
      <c r="AQ6" s="56"/>
      <c r="AR6" s="56"/>
      <c r="AS6" s="30"/>
      <c r="AT6" s="37">
        <v>3</v>
      </c>
      <c r="AU6" s="38">
        <f t="shared" si="4"/>
        <v>0</v>
      </c>
      <c r="AV6" s="39" t="e">
        <f t="shared" si="5"/>
        <v>#VALUE!</v>
      </c>
      <c r="AW6" s="39">
        <f t="shared" si="32"/>
        <v>0</v>
      </c>
      <c r="AY6" s="6">
        <v>3</v>
      </c>
      <c r="AZ6" s="6">
        <f t="shared" si="6"/>
        <v>0</v>
      </c>
      <c r="BA6" s="6">
        <f t="shared" si="6"/>
        <v>0</v>
      </c>
      <c r="BB6" s="6">
        <f t="shared" si="6"/>
        <v>0</v>
      </c>
      <c r="BC6" s="6">
        <f t="shared" si="6"/>
        <v>0</v>
      </c>
      <c r="BD6" s="6">
        <f t="shared" si="6"/>
        <v>0</v>
      </c>
      <c r="BE6" s="6">
        <f t="shared" si="6"/>
        <v>0</v>
      </c>
      <c r="BF6" s="6">
        <f t="shared" si="6"/>
        <v>0</v>
      </c>
      <c r="BG6" s="6">
        <f t="shared" si="6"/>
        <v>0</v>
      </c>
      <c r="BH6" s="6">
        <f t="shared" si="6"/>
        <v>0</v>
      </c>
      <c r="BJ6" s="6">
        <v>3</v>
      </c>
      <c r="BK6" s="6">
        <f t="shared" si="33"/>
        <v>0</v>
      </c>
      <c r="BL6" s="6">
        <f t="shared" si="7"/>
        <v>0</v>
      </c>
      <c r="BM6" s="6">
        <f t="shared" si="8"/>
        <v>0</v>
      </c>
      <c r="BN6" s="6">
        <f t="shared" si="9"/>
        <v>0</v>
      </c>
      <c r="BO6" s="6">
        <f t="shared" si="10"/>
        <v>0</v>
      </c>
      <c r="BP6" s="6">
        <f t="shared" si="11"/>
        <v>0</v>
      </c>
      <c r="BQ6" s="6">
        <f t="shared" si="12"/>
        <v>0</v>
      </c>
      <c r="BR6" s="6">
        <f t="shared" si="13"/>
        <v>0</v>
      </c>
      <c r="BS6" s="6">
        <f t="shared" si="14"/>
        <v>0</v>
      </c>
    </row>
    <row r="7" spans="1:71" x14ac:dyDescent="0.25">
      <c r="A7" s="51">
        <f t="shared" si="15"/>
        <v>1</v>
      </c>
      <c r="B7" s="25">
        <v>4</v>
      </c>
      <c r="C7" s="25" t="s">
        <v>43</v>
      </c>
      <c r="D7" s="70"/>
      <c r="E7" s="71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7" t="str">
        <f t="shared" si="0"/>
        <v/>
      </c>
      <c r="Q7" s="27" t="str">
        <f t="shared" si="0"/>
        <v/>
      </c>
      <c r="R7" s="8">
        <f t="shared" si="16"/>
        <v>0</v>
      </c>
      <c r="S7" s="8">
        <f t="shared" si="17"/>
        <v>0</v>
      </c>
      <c r="T7" s="59">
        <f t="shared" si="18"/>
        <v>1</v>
      </c>
      <c r="U7" s="30"/>
      <c r="V7" s="31">
        <v>4</v>
      </c>
      <c r="W7" s="32">
        <v>7</v>
      </c>
      <c r="X7" s="33" t="str">
        <f t="shared" si="19"/>
        <v>D</v>
      </c>
      <c r="Y7" s="34">
        <f t="shared" si="20"/>
        <v>0</v>
      </c>
      <c r="Z7" s="34">
        <f t="shared" si="1"/>
        <v>0</v>
      </c>
      <c r="AA7" s="55">
        <f t="shared" si="21"/>
        <v>0</v>
      </c>
      <c r="AB7" s="34">
        <f t="shared" si="2"/>
        <v>0</v>
      </c>
      <c r="AC7" s="35">
        <f t="shared" si="3"/>
        <v>1000</v>
      </c>
      <c r="AD7" s="56"/>
      <c r="AE7" s="12">
        <f t="shared" si="22"/>
        <v>0</v>
      </c>
      <c r="AF7" s="12">
        <f t="shared" si="23"/>
        <v>0</v>
      </c>
      <c r="AG7" s="12">
        <f t="shared" si="24"/>
        <v>0</v>
      </c>
      <c r="AH7" s="12">
        <f t="shared" si="25"/>
        <v>0</v>
      </c>
      <c r="AI7" s="12">
        <f t="shared" si="26"/>
        <v>0</v>
      </c>
      <c r="AJ7" s="12">
        <f t="shared" si="27"/>
        <v>0</v>
      </c>
      <c r="AK7" s="12"/>
      <c r="AL7" s="12">
        <f t="shared" si="28"/>
        <v>0</v>
      </c>
      <c r="AM7" s="12">
        <f t="shared" si="29"/>
        <v>0</v>
      </c>
      <c r="AN7" s="12">
        <f t="shared" si="30"/>
        <v>0</v>
      </c>
      <c r="AO7" s="12">
        <f t="shared" si="31"/>
        <v>1</v>
      </c>
      <c r="AP7" s="56"/>
      <c r="AQ7" s="56"/>
      <c r="AR7" s="56"/>
      <c r="AS7" s="30"/>
      <c r="AT7" s="37">
        <v>4</v>
      </c>
      <c r="AU7" s="38">
        <f t="shared" si="4"/>
        <v>0</v>
      </c>
      <c r="AV7" s="39" t="e">
        <f t="shared" si="5"/>
        <v>#VALUE!</v>
      </c>
      <c r="AW7" s="39">
        <f t="shared" si="32"/>
        <v>0</v>
      </c>
      <c r="AY7" s="6">
        <v>4</v>
      </c>
      <c r="AZ7" s="6">
        <f t="shared" si="6"/>
        <v>0</v>
      </c>
      <c r="BA7" s="6">
        <f t="shared" si="6"/>
        <v>0</v>
      </c>
      <c r="BB7" s="6">
        <f t="shared" si="6"/>
        <v>0</v>
      </c>
      <c r="BC7" s="6">
        <f t="shared" si="6"/>
        <v>0</v>
      </c>
      <c r="BD7" s="6">
        <f t="shared" si="6"/>
        <v>0</v>
      </c>
      <c r="BE7" s="6">
        <f t="shared" si="6"/>
        <v>0</v>
      </c>
      <c r="BF7" s="6">
        <f t="shared" si="6"/>
        <v>0</v>
      </c>
      <c r="BG7" s="6">
        <f t="shared" si="6"/>
        <v>0</v>
      </c>
      <c r="BH7" s="6">
        <f t="shared" si="6"/>
        <v>0</v>
      </c>
      <c r="BJ7" s="6">
        <v>4</v>
      </c>
      <c r="BK7" s="6">
        <f t="shared" si="33"/>
        <v>0</v>
      </c>
      <c r="BL7" s="6">
        <f t="shared" si="7"/>
        <v>0</v>
      </c>
      <c r="BM7" s="6">
        <f t="shared" si="8"/>
        <v>0</v>
      </c>
      <c r="BN7" s="6">
        <f t="shared" si="9"/>
        <v>0</v>
      </c>
      <c r="BO7" s="6">
        <f t="shared" si="10"/>
        <v>0</v>
      </c>
      <c r="BP7" s="6">
        <f t="shared" si="11"/>
        <v>0</v>
      </c>
      <c r="BQ7" s="6">
        <f t="shared" si="12"/>
        <v>0</v>
      </c>
      <c r="BR7" s="6">
        <f t="shared" si="13"/>
        <v>0</v>
      </c>
      <c r="BS7" s="6">
        <f t="shared" si="14"/>
        <v>0</v>
      </c>
    </row>
    <row r="8" spans="1:71" x14ac:dyDescent="0.25">
      <c r="A8" s="51">
        <f t="shared" si="15"/>
        <v>1</v>
      </c>
      <c r="B8" s="25">
        <v>5</v>
      </c>
      <c r="C8" s="25" t="s">
        <v>47</v>
      </c>
      <c r="D8" s="70"/>
      <c r="E8" s="71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7" t="str">
        <f t="shared" si="0"/>
        <v/>
      </c>
      <c r="Q8" s="27" t="str">
        <f t="shared" si="0"/>
        <v/>
      </c>
      <c r="R8" s="8">
        <f t="shared" si="16"/>
        <v>0</v>
      </c>
      <c r="S8" s="8">
        <f t="shared" si="17"/>
        <v>0</v>
      </c>
      <c r="T8" s="59">
        <f t="shared" si="18"/>
        <v>1</v>
      </c>
      <c r="U8" s="30"/>
      <c r="V8" s="31">
        <v>5</v>
      </c>
      <c r="W8" s="32">
        <v>6</v>
      </c>
      <c r="X8" s="33" t="str">
        <f t="shared" si="19"/>
        <v>E</v>
      </c>
      <c r="Y8" s="34">
        <f t="shared" si="20"/>
        <v>0</v>
      </c>
      <c r="Z8" s="34">
        <f t="shared" si="1"/>
        <v>0</v>
      </c>
      <c r="AA8" s="55">
        <f t="shared" si="21"/>
        <v>0</v>
      </c>
      <c r="AB8" s="34">
        <f t="shared" si="2"/>
        <v>0</v>
      </c>
      <c r="AC8" s="35">
        <f t="shared" si="3"/>
        <v>1000</v>
      </c>
      <c r="AD8" s="56"/>
      <c r="AE8" s="12">
        <f t="shared" si="22"/>
        <v>0</v>
      </c>
      <c r="AF8" s="12">
        <f t="shared" si="23"/>
        <v>0</v>
      </c>
      <c r="AG8" s="12">
        <f t="shared" si="24"/>
        <v>0</v>
      </c>
      <c r="AH8" s="12">
        <f t="shared" si="25"/>
        <v>0</v>
      </c>
      <c r="AI8" s="12">
        <f t="shared" si="26"/>
        <v>0</v>
      </c>
      <c r="AJ8" s="12">
        <f t="shared" si="27"/>
        <v>0</v>
      </c>
      <c r="AK8" s="12"/>
      <c r="AL8" s="12">
        <f t="shared" si="28"/>
        <v>0</v>
      </c>
      <c r="AM8" s="12">
        <f t="shared" si="29"/>
        <v>0</v>
      </c>
      <c r="AN8" s="12">
        <f t="shared" si="30"/>
        <v>0</v>
      </c>
      <c r="AO8" s="12">
        <f t="shared" si="31"/>
        <v>1</v>
      </c>
      <c r="AP8" s="56"/>
      <c r="AQ8" s="56"/>
      <c r="AR8" s="56"/>
      <c r="AS8" s="30"/>
      <c r="AT8" s="37">
        <v>5</v>
      </c>
      <c r="AU8" s="38">
        <f t="shared" si="4"/>
        <v>0</v>
      </c>
      <c r="AV8" s="39" t="e">
        <f t="shared" si="5"/>
        <v>#VALUE!</v>
      </c>
      <c r="AW8" s="39">
        <f t="shared" si="32"/>
        <v>0</v>
      </c>
      <c r="AY8" s="6">
        <v>5</v>
      </c>
      <c r="AZ8" s="6">
        <f t="shared" si="6"/>
        <v>0</v>
      </c>
      <c r="BA8" s="6">
        <f t="shared" si="6"/>
        <v>0</v>
      </c>
      <c r="BB8" s="6">
        <f t="shared" si="6"/>
        <v>0</v>
      </c>
      <c r="BC8" s="6">
        <f t="shared" si="6"/>
        <v>0</v>
      </c>
      <c r="BD8" s="6">
        <f t="shared" si="6"/>
        <v>0</v>
      </c>
      <c r="BE8" s="6">
        <f t="shared" si="6"/>
        <v>0</v>
      </c>
      <c r="BF8" s="6">
        <f t="shared" si="6"/>
        <v>0</v>
      </c>
      <c r="BG8" s="6">
        <f t="shared" si="6"/>
        <v>0</v>
      </c>
      <c r="BH8" s="6">
        <f t="shared" si="6"/>
        <v>0</v>
      </c>
      <c r="BJ8" s="6">
        <v>5</v>
      </c>
      <c r="BK8" s="6">
        <f t="shared" si="33"/>
        <v>0</v>
      </c>
      <c r="BL8" s="6">
        <f t="shared" si="7"/>
        <v>0</v>
      </c>
      <c r="BM8" s="6">
        <f t="shared" si="8"/>
        <v>0</v>
      </c>
      <c r="BN8" s="6">
        <f t="shared" si="9"/>
        <v>0</v>
      </c>
      <c r="BO8" s="6">
        <f t="shared" si="10"/>
        <v>0</v>
      </c>
      <c r="BP8" s="6">
        <f t="shared" si="11"/>
        <v>0</v>
      </c>
      <c r="BQ8" s="6">
        <f t="shared" si="12"/>
        <v>0</v>
      </c>
      <c r="BR8" s="6">
        <f t="shared" si="13"/>
        <v>0</v>
      </c>
      <c r="BS8" s="6">
        <f t="shared" si="14"/>
        <v>0</v>
      </c>
    </row>
    <row r="9" spans="1:71" x14ac:dyDescent="0.25">
      <c r="A9" s="51">
        <f t="shared" si="15"/>
        <v>1</v>
      </c>
      <c r="B9" s="25">
        <v>6</v>
      </c>
      <c r="C9" s="25" t="s">
        <v>44</v>
      </c>
      <c r="D9" s="70"/>
      <c r="E9" s="71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7" t="str">
        <f t="shared" si="0"/>
        <v/>
      </c>
      <c r="Q9" s="27" t="str">
        <f t="shared" si="0"/>
        <v/>
      </c>
      <c r="R9" s="8">
        <f t="shared" si="16"/>
        <v>0</v>
      </c>
      <c r="S9" s="8">
        <f>IF(H9="",0,H9)*$R$4+IF(I9="",0,I9)*$R$5+IF(J9="",0,J9)*$R$6+IF(K9="",0,K9)*$R$7+IF(L9="",0,L9)*$R$8+IF(M9="",0,M9)*$R$9+IF(N9="",0,N9)*$R$10+IF(O9="",0,O9)*$R$11+IF(P9="",0,P9)*R17+IF(Q9="",0,Q9)*T18</f>
        <v>0</v>
      </c>
      <c r="T9" s="59">
        <f t="shared" si="18"/>
        <v>1</v>
      </c>
      <c r="U9" s="30"/>
      <c r="V9" s="31">
        <v>6</v>
      </c>
      <c r="W9" s="32">
        <v>5</v>
      </c>
      <c r="X9" s="33" t="str">
        <f t="shared" si="19"/>
        <v>F</v>
      </c>
      <c r="Y9" s="34">
        <f t="shared" si="20"/>
        <v>0</v>
      </c>
      <c r="Z9" s="34">
        <f t="shared" si="1"/>
        <v>0</v>
      </c>
      <c r="AA9" s="55">
        <f t="shared" si="21"/>
        <v>0</v>
      </c>
      <c r="AB9" s="34">
        <f t="shared" si="2"/>
        <v>0</v>
      </c>
      <c r="AC9" s="35">
        <f t="shared" si="3"/>
        <v>1000</v>
      </c>
      <c r="AD9" s="56"/>
      <c r="AE9" s="12">
        <f t="shared" si="22"/>
        <v>0</v>
      </c>
      <c r="AF9" s="12">
        <f t="shared" si="23"/>
        <v>0</v>
      </c>
      <c r="AG9" s="12">
        <f t="shared" si="24"/>
        <v>0</v>
      </c>
      <c r="AH9" s="12">
        <f t="shared" si="25"/>
        <v>0</v>
      </c>
      <c r="AI9" s="12">
        <f t="shared" si="26"/>
        <v>0</v>
      </c>
      <c r="AJ9" s="12">
        <f t="shared" si="27"/>
        <v>0</v>
      </c>
      <c r="AK9" s="12"/>
      <c r="AL9" s="12">
        <f t="shared" si="28"/>
        <v>0</v>
      </c>
      <c r="AM9" s="12">
        <f t="shared" si="29"/>
        <v>0</v>
      </c>
      <c r="AN9" s="12">
        <f t="shared" si="30"/>
        <v>0</v>
      </c>
      <c r="AO9" s="12">
        <f t="shared" si="31"/>
        <v>1</v>
      </c>
      <c r="AP9" s="56"/>
      <c r="AQ9" s="56"/>
      <c r="AR9" s="56"/>
      <c r="AS9" s="30"/>
      <c r="AT9" s="37">
        <v>6</v>
      </c>
      <c r="AU9" s="38">
        <f t="shared" si="4"/>
        <v>0</v>
      </c>
      <c r="AV9" s="39" t="e">
        <f t="shared" si="5"/>
        <v>#VALUE!</v>
      </c>
      <c r="AW9" s="39">
        <f t="shared" si="32"/>
        <v>0</v>
      </c>
      <c r="AY9" s="6">
        <v>6</v>
      </c>
      <c r="AZ9" s="6">
        <f t="shared" si="6"/>
        <v>0</v>
      </c>
      <c r="BA9" s="6">
        <f t="shared" si="6"/>
        <v>0</v>
      </c>
      <c r="BB9" s="6">
        <f t="shared" si="6"/>
        <v>0</v>
      </c>
      <c r="BC9" s="6">
        <f t="shared" si="6"/>
        <v>0</v>
      </c>
      <c r="BD9" s="6">
        <f t="shared" si="6"/>
        <v>0</v>
      </c>
      <c r="BE9" s="6">
        <f t="shared" si="6"/>
        <v>0</v>
      </c>
      <c r="BF9" s="6">
        <f t="shared" si="6"/>
        <v>0</v>
      </c>
      <c r="BG9" s="6">
        <f t="shared" si="6"/>
        <v>0</v>
      </c>
      <c r="BH9" s="6">
        <f t="shared" si="6"/>
        <v>0</v>
      </c>
      <c r="BJ9" s="6">
        <v>6</v>
      </c>
      <c r="BK9" s="6">
        <f t="shared" si="33"/>
        <v>0</v>
      </c>
      <c r="BL9" s="6">
        <f t="shared" si="7"/>
        <v>0</v>
      </c>
      <c r="BM9" s="6">
        <f t="shared" si="8"/>
        <v>0</v>
      </c>
      <c r="BN9" s="6">
        <f t="shared" si="9"/>
        <v>0</v>
      </c>
      <c r="BO9" s="6">
        <f t="shared" si="10"/>
        <v>0</v>
      </c>
      <c r="BP9" s="6">
        <f t="shared" si="11"/>
        <v>0</v>
      </c>
      <c r="BQ9" s="6">
        <f t="shared" si="12"/>
        <v>0</v>
      </c>
      <c r="BR9" s="6">
        <f t="shared" si="13"/>
        <v>0</v>
      </c>
      <c r="BS9" s="6">
        <f t="shared" si="14"/>
        <v>0</v>
      </c>
    </row>
    <row r="10" spans="1:71" x14ac:dyDescent="0.25">
      <c r="A10" s="51">
        <f t="shared" si="15"/>
        <v>1</v>
      </c>
      <c r="B10" s="25">
        <v>7</v>
      </c>
      <c r="C10" s="25" t="s">
        <v>45</v>
      </c>
      <c r="D10" s="70"/>
      <c r="E10" s="71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7" t="str">
        <f t="shared" si="0"/>
        <v/>
      </c>
      <c r="Q10" s="27" t="str">
        <f t="shared" si="0"/>
        <v/>
      </c>
      <c r="R10" s="8">
        <f t="shared" si="16"/>
        <v>0</v>
      </c>
      <c r="S10" s="8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59">
        <f t="shared" si="18"/>
        <v>1</v>
      </c>
      <c r="U10" s="30"/>
      <c r="V10" s="31">
        <v>7</v>
      </c>
      <c r="W10" s="32">
        <v>4</v>
      </c>
      <c r="X10" s="33" t="str">
        <f t="shared" si="19"/>
        <v>G</v>
      </c>
      <c r="Y10" s="34">
        <f t="shared" si="20"/>
        <v>0</v>
      </c>
      <c r="Z10" s="34">
        <f t="shared" si="1"/>
        <v>0</v>
      </c>
      <c r="AA10" s="55">
        <f t="shared" si="21"/>
        <v>0</v>
      </c>
      <c r="AB10" s="34">
        <f t="shared" si="2"/>
        <v>0</v>
      </c>
      <c r="AC10" s="35">
        <f t="shared" si="3"/>
        <v>1000</v>
      </c>
      <c r="AD10" s="56"/>
      <c r="AE10" s="12">
        <f t="shared" si="22"/>
        <v>0</v>
      </c>
      <c r="AF10" s="12">
        <f t="shared" si="23"/>
        <v>0</v>
      </c>
      <c r="AG10" s="12">
        <f t="shared" si="24"/>
        <v>0</v>
      </c>
      <c r="AH10" s="12">
        <f t="shared" si="25"/>
        <v>0</v>
      </c>
      <c r="AI10" s="12">
        <f t="shared" si="26"/>
        <v>0</v>
      </c>
      <c r="AJ10" s="12">
        <f t="shared" si="27"/>
        <v>0</v>
      </c>
      <c r="AK10" s="12"/>
      <c r="AL10" s="12">
        <f t="shared" si="28"/>
        <v>0</v>
      </c>
      <c r="AM10" s="12">
        <f t="shared" si="29"/>
        <v>0</v>
      </c>
      <c r="AN10" s="12">
        <f t="shared" si="30"/>
        <v>0</v>
      </c>
      <c r="AO10" s="12">
        <f t="shared" si="31"/>
        <v>1</v>
      </c>
      <c r="AP10" s="56"/>
      <c r="AQ10" s="56"/>
      <c r="AR10" s="56"/>
      <c r="AS10" s="30"/>
      <c r="AT10" s="37">
        <v>7</v>
      </c>
      <c r="AU10" s="38">
        <f t="shared" si="4"/>
        <v>0</v>
      </c>
      <c r="AV10" s="39" t="e">
        <f t="shared" si="5"/>
        <v>#VALUE!</v>
      </c>
      <c r="AW10" s="39">
        <f t="shared" si="32"/>
        <v>0</v>
      </c>
      <c r="AY10" s="6">
        <v>7</v>
      </c>
      <c r="AZ10" s="6">
        <f t="shared" si="6"/>
        <v>0</v>
      </c>
      <c r="BA10" s="6">
        <f t="shared" si="6"/>
        <v>0</v>
      </c>
      <c r="BB10" s="6">
        <f t="shared" si="6"/>
        <v>0</v>
      </c>
      <c r="BC10" s="6">
        <f t="shared" si="6"/>
        <v>0</v>
      </c>
      <c r="BD10" s="6">
        <f t="shared" si="6"/>
        <v>0</v>
      </c>
      <c r="BE10" s="6">
        <f t="shared" si="6"/>
        <v>0</v>
      </c>
      <c r="BF10" s="6">
        <f t="shared" si="6"/>
        <v>0</v>
      </c>
      <c r="BG10" s="6">
        <f t="shared" si="6"/>
        <v>0</v>
      </c>
      <c r="BH10" s="6">
        <f t="shared" si="6"/>
        <v>0</v>
      </c>
      <c r="BJ10" s="6">
        <v>7</v>
      </c>
      <c r="BK10" s="6">
        <f t="shared" si="33"/>
        <v>0</v>
      </c>
      <c r="BL10" s="6">
        <f t="shared" si="7"/>
        <v>0</v>
      </c>
      <c r="BM10" s="6">
        <f t="shared" si="8"/>
        <v>0</v>
      </c>
      <c r="BN10" s="6">
        <f t="shared" si="9"/>
        <v>0</v>
      </c>
      <c r="BO10" s="6">
        <f t="shared" si="10"/>
        <v>0</v>
      </c>
      <c r="BP10" s="6">
        <f t="shared" si="11"/>
        <v>0</v>
      </c>
      <c r="BQ10" s="6">
        <f t="shared" si="12"/>
        <v>0</v>
      </c>
      <c r="BR10" s="6">
        <f t="shared" si="13"/>
        <v>0</v>
      </c>
      <c r="BS10" s="6">
        <f t="shared" si="14"/>
        <v>0</v>
      </c>
    </row>
    <row r="11" spans="1:71" x14ac:dyDescent="0.25">
      <c r="A11" s="51">
        <f t="shared" si="15"/>
        <v>1</v>
      </c>
      <c r="B11" s="25">
        <v>8</v>
      </c>
      <c r="C11" s="25" t="s">
        <v>46</v>
      </c>
      <c r="D11" s="70"/>
      <c r="E11" s="71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7" t="str">
        <f t="shared" si="0"/>
        <v/>
      </c>
      <c r="Q11" s="27" t="str">
        <f t="shared" si="0"/>
        <v/>
      </c>
      <c r="R11" s="8">
        <f t="shared" si="16"/>
        <v>0</v>
      </c>
      <c r="S11" s="8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59">
        <f t="shared" si="18"/>
        <v>1</v>
      </c>
      <c r="U11" s="30"/>
      <c r="V11" s="31">
        <v>8</v>
      </c>
      <c r="W11" s="32">
        <v>3</v>
      </c>
      <c r="X11" s="33" t="str">
        <f t="shared" si="19"/>
        <v>H</v>
      </c>
      <c r="Y11" s="34">
        <f t="shared" si="20"/>
        <v>0</v>
      </c>
      <c r="Z11" s="34">
        <f t="shared" si="1"/>
        <v>0</v>
      </c>
      <c r="AA11" s="55">
        <f t="shared" si="21"/>
        <v>0</v>
      </c>
      <c r="AB11" s="34">
        <f t="shared" si="2"/>
        <v>0</v>
      </c>
      <c r="AC11" s="35">
        <f t="shared" si="3"/>
        <v>1000</v>
      </c>
      <c r="AD11" s="56"/>
      <c r="AE11" s="12">
        <f t="shared" si="22"/>
        <v>0</v>
      </c>
      <c r="AF11" s="12">
        <f t="shared" si="23"/>
        <v>0</v>
      </c>
      <c r="AG11" s="12">
        <f t="shared" si="24"/>
        <v>0</v>
      </c>
      <c r="AH11" s="12">
        <f t="shared" si="25"/>
        <v>0</v>
      </c>
      <c r="AI11" s="12">
        <f t="shared" si="26"/>
        <v>0</v>
      </c>
      <c r="AJ11" s="12">
        <f t="shared" si="27"/>
        <v>0</v>
      </c>
      <c r="AK11" s="12"/>
      <c r="AL11" s="12">
        <f t="shared" si="28"/>
        <v>0</v>
      </c>
      <c r="AM11" s="12">
        <f t="shared" si="29"/>
        <v>0</v>
      </c>
      <c r="AN11" s="12">
        <f t="shared" si="30"/>
        <v>0</v>
      </c>
      <c r="AO11" s="12">
        <f t="shared" si="31"/>
        <v>1</v>
      </c>
      <c r="AP11" s="56"/>
      <c r="AQ11" s="56"/>
      <c r="AR11" s="56"/>
      <c r="AS11" s="30"/>
      <c r="AT11" s="37">
        <v>8</v>
      </c>
      <c r="AU11" s="38">
        <f t="shared" si="4"/>
        <v>0</v>
      </c>
      <c r="AV11" s="39" t="e">
        <f t="shared" si="5"/>
        <v>#VALUE!</v>
      </c>
      <c r="AW11" s="39">
        <f t="shared" si="32"/>
        <v>0</v>
      </c>
      <c r="AY11" s="6">
        <v>8</v>
      </c>
      <c r="AZ11" s="6">
        <f t="shared" si="6"/>
        <v>0</v>
      </c>
      <c r="BA11" s="6">
        <f t="shared" si="6"/>
        <v>0</v>
      </c>
      <c r="BB11" s="6">
        <f t="shared" si="6"/>
        <v>0</v>
      </c>
      <c r="BC11" s="6">
        <f t="shared" si="6"/>
        <v>0</v>
      </c>
      <c r="BD11" s="6">
        <f t="shared" si="6"/>
        <v>0</v>
      </c>
      <c r="BE11" s="6">
        <f t="shared" si="6"/>
        <v>0</v>
      </c>
      <c r="BF11" s="6">
        <f t="shared" si="6"/>
        <v>0</v>
      </c>
      <c r="BG11" s="6">
        <f t="shared" si="6"/>
        <v>0</v>
      </c>
      <c r="BH11" s="6">
        <f t="shared" si="6"/>
        <v>0</v>
      </c>
      <c r="BJ11" s="6">
        <v>8</v>
      </c>
      <c r="BK11" s="6">
        <f t="shared" si="33"/>
        <v>0</v>
      </c>
      <c r="BL11" s="6">
        <f t="shared" si="7"/>
        <v>0</v>
      </c>
      <c r="BM11" s="6">
        <f t="shared" si="8"/>
        <v>0</v>
      </c>
      <c r="BN11" s="6">
        <f t="shared" si="9"/>
        <v>0</v>
      </c>
      <c r="BO11" s="6">
        <f t="shared" si="10"/>
        <v>0</v>
      </c>
      <c r="BP11" s="6">
        <f t="shared" si="11"/>
        <v>0</v>
      </c>
      <c r="BQ11" s="6">
        <f t="shared" si="12"/>
        <v>0</v>
      </c>
      <c r="BR11" s="6">
        <f t="shared" si="13"/>
        <v>0</v>
      </c>
      <c r="BS11" s="6">
        <f t="shared" si="14"/>
        <v>0</v>
      </c>
    </row>
    <row r="12" spans="1:71" x14ac:dyDescent="0.25">
      <c r="A12" s="51">
        <f t="shared" si="15"/>
        <v>1</v>
      </c>
      <c r="B12" s="25">
        <v>9</v>
      </c>
      <c r="C12" s="25" t="s">
        <v>48</v>
      </c>
      <c r="D12" s="70"/>
      <c r="E12" s="71"/>
      <c r="F12" s="25">
        <v>1000</v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6" t="str">
        <f t="shared" si="0"/>
        <v/>
      </c>
      <c r="Q12" s="27" t="str">
        <f t="shared" si="0"/>
        <v/>
      </c>
      <c r="R12" s="8">
        <f t="shared" si="16"/>
        <v>0</v>
      </c>
      <c r="S12" s="8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59">
        <f t="shared" si="18"/>
        <v>1</v>
      </c>
      <c r="U12" s="30"/>
      <c r="V12" s="31">
        <v>9</v>
      </c>
      <c r="W12" s="32">
        <v>2</v>
      </c>
      <c r="X12" s="33" t="str">
        <f t="shared" si="19"/>
        <v>I</v>
      </c>
      <c r="Y12" s="34">
        <f t="shared" si="20"/>
        <v>0</v>
      </c>
      <c r="Z12" s="34">
        <f t="shared" si="1"/>
        <v>0</v>
      </c>
      <c r="AA12" s="55">
        <f t="shared" si="21"/>
        <v>0</v>
      </c>
      <c r="AB12" s="34">
        <f t="shared" si="2"/>
        <v>0</v>
      </c>
      <c r="AC12" s="35">
        <f t="shared" si="3"/>
        <v>1000</v>
      </c>
      <c r="AD12" s="56"/>
      <c r="AE12" s="12">
        <f t="shared" si="22"/>
        <v>0</v>
      </c>
      <c r="AF12" s="12">
        <f t="shared" si="23"/>
        <v>0</v>
      </c>
      <c r="AG12" s="12">
        <f t="shared" si="24"/>
        <v>0</v>
      </c>
      <c r="AH12" s="12">
        <f t="shared" si="25"/>
        <v>0</v>
      </c>
      <c r="AI12" s="12">
        <f t="shared" si="26"/>
        <v>0</v>
      </c>
      <c r="AJ12" s="12">
        <f t="shared" si="27"/>
        <v>0</v>
      </c>
      <c r="AK12" s="12"/>
      <c r="AL12" s="12">
        <f t="shared" si="28"/>
        <v>0</v>
      </c>
      <c r="AM12" s="12">
        <f t="shared" si="29"/>
        <v>0</v>
      </c>
      <c r="AN12" s="12">
        <f t="shared" si="30"/>
        <v>0</v>
      </c>
      <c r="AO12" s="12">
        <f t="shared" si="31"/>
        <v>1</v>
      </c>
      <c r="AP12" s="56"/>
      <c r="AQ12" s="56"/>
      <c r="AR12" s="56"/>
      <c r="AS12" s="30"/>
      <c r="AT12" s="37">
        <v>9</v>
      </c>
      <c r="AU12" s="38">
        <f t="shared" si="4"/>
        <v>0</v>
      </c>
      <c r="AV12" s="39" t="e">
        <f t="shared" si="5"/>
        <v>#VALUE!</v>
      </c>
      <c r="AW12" s="39">
        <f t="shared" si="32"/>
        <v>0</v>
      </c>
      <c r="AY12" s="6">
        <v>9</v>
      </c>
      <c r="AZ12" s="6">
        <f t="shared" si="6"/>
        <v>0</v>
      </c>
      <c r="BA12" s="6">
        <f t="shared" si="6"/>
        <v>0</v>
      </c>
      <c r="BB12" s="6">
        <f t="shared" si="6"/>
        <v>0</v>
      </c>
      <c r="BC12" s="6">
        <f t="shared" si="6"/>
        <v>0</v>
      </c>
      <c r="BD12" s="6">
        <f t="shared" si="6"/>
        <v>0</v>
      </c>
      <c r="BE12" s="6">
        <f t="shared" si="6"/>
        <v>0</v>
      </c>
      <c r="BF12" s="6">
        <f t="shared" si="6"/>
        <v>0</v>
      </c>
      <c r="BG12" s="6">
        <f t="shared" si="6"/>
        <v>0</v>
      </c>
      <c r="BH12" s="6">
        <f t="shared" si="6"/>
        <v>0</v>
      </c>
      <c r="BJ12" s="6">
        <v>9</v>
      </c>
      <c r="BK12" s="6">
        <f t="shared" si="33"/>
        <v>0</v>
      </c>
      <c r="BL12" s="6">
        <f t="shared" si="7"/>
        <v>0</v>
      </c>
      <c r="BM12" s="6">
        <f t="shared" si="8"/>
        <v>0</v>
      </c>
      <c r="BN12" s="6">
        <f t="shared" si="9"/>
        <v>0</v>
      </c>
      <c r="BO12" s="6">
        <f t="shared" si="10"/>
        <v>0</v>
      </c>
      <c r="BP12" s="6">
        <f t="shared" si="11"/>
        <v>0</v>
      </c>
      <c r="BQ12" s="6">
        <f t="shared" si="12"/>
        <v>0</v>
      </c>
      <c r="BR12" s="6">
        <f t="shared" si="13"/>
        <v>0</v>
      </c>
      <c r="BS12" s="6">
        <f t="shared" si="14"/>
        <v>0</v>
      </c>
    </row>
    <row r="13" spans="1:71" x14ac:dyDescent="0.25">
      <c r="A13" s="51">
        <f t="shared" si="15"/>
        <v>1</v>
      </c>
      <c r="B13" s="25">
        <v>10</v>
      </c>
      <c r="C13" s="25" t="s">
        <v>49</v>
      </c>
      <c r="D13" s="70"/>
      <c r="E13" s="71"/>
      <c r="F13" s="25">
        <v>1000</v>
      </c>
      <c r="H13" s="27" t="str">
        <f t="shared" si="0"/>
        <v/>
      </c>
      <c r="I13" s="27" t="str">
        <f t="shared" si="0"/>
        <v/>
      </c>
      <c r="J13" s="27" t="str">
        <f t="shared" si="0"/>
        <v/>
      </c>
      <c r="K13" s="27" t="str">
        <f t="shared" si="0"/>
        <v/>
      </c>
      <c r="L13" s="27" t="str">
        <f t="shared" si="0"/>
        <v/>
      </c>
      <c r="M13" s="27" t="str">
        <f t="shared" si="0"/>
        <v/>
      </c>
      <c r="N13" s="27" t="str">
        <f t="shared" si="0"/>
        <v/>
      </c>
      <c r="O13" s="27" t="str">
        <f t="shared" si="0"/>
        <v/>
      </c>
      <c r="P13" s="27" t="str">
        <f t="shared" si="0"/>
        <v/>
      </c>
      <c r="Q13" s="26" t="str">
        <f t="shared" si="0"/>
        <v/>
      </c>
      <c r="R13" s="8">
        <f t="shared" si="16"/>
        <v>0</v>
      </c>
      <c r="S13" s="8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59">
        <f t="shared" si="18"/>
        <v>1</v>
      </c>
      <c r="U13" s="30"/>
      <c r="V13" s="31">
        <v>10</v>
      </c>
      <c r="W13" s="32">
        <v>1</v>
      </c>
      <c r="X13" s="33" t="str">
        <f t="shared" si="19"/>
        <v>J</v>
      </c>
      <c r="Y13" s="34">
        <f t="shared" si="20"/>
        <v>0</v>
      </c>
      <c r="Z13" s="34">
        <f t="shared" si="1"/>
        <v>0</v>
      </c>
      <c r="AA13" s="55">
        <f t="shared" si="21"/>
        <v>0</v>
      </c>
      <c r="AB13" s="34">
        <f t="shared" si="2"/>
        <v>0</v>
      </c>
      <c r="AC13" s="35">
        <f t="shared" si="3"/>
        <v>1000</v>
      </c>
      <c r="AD13" s="56"/>
      <c r="AE13" s="12">
        <f t="shared" si="22"/>
        <v>0</v>
      </c>
      <c r="AF13" s="12">
        <f t="shared" si="23"/>
        <v>0</v>
      </c>
      <c r="AG13" s="12">
        <f t="shared" si="24"/>
        <v>0</v>
      </c>
      <c r="AH13" s="12">
        <f t="shared" si="25"/>
        <v>0</v>
      </c>
      <c r="AI13" s="12">
        <f t="shared" si="26"/>
        <v>0</v>
      </c>
      <c r="AJ13" s="12">
        <f t="shared" si="27"/>
        <v>0</v>
      </c>
      <c r="AK13" s="12"/>
      <c r="AL13" s="12">
        <f t="shared" si="28"/>
        <v>0</v>
      </c>
      <c r="AM13" s="12">
        <f t="shared" si="29"/>
        <v>0</v>
      </c>
      <c r="AN13" s="12">
        <f t="shared" si="30"/>
        <v>0</v>
      </c>
      <c r="AO13" s="12">
        <f t="shared" si="31"/>
        <v>1</v>
      </c>
      <c r="AP13" s="56"/>
      <c r="AQ13" s="56"/>
      <c r="AR13" s="56"/>
      <c r="AS13" s="30"/>
      <c r="AT13" s="37">
        <v>10</v>
      </c>
      <c r="AU13" s="38">
        <f t="shared" si="4"/>
        <v>0</v>
      </c>
      <c r="AV13" s="39" t="e">
        <f t="shared" si="5"/>
        <v>#VALUE!</v>
      </c>
      <c r="AW13" s="39">
        <f t="shared" si="32"/>
        <v>0</v>
      </c>
      <c r="AY13" s="6">
        <v>10</v>
      </c>
      <c r="AZ13" s="6">
        <f t="shared" si="6"/>
        <v>0</v>
      </c>
      <c r="BA13" s="6">
        <f t="shared" si="6"/>
        <v>0</v>
      </c>
      <c r="BB13" s="6">
        <f t="shared" si="6"/>
        <v>0</v>
      </c>
      <c r="BC13" s="6">
        <f t="shared" si="6"/>
        <v>0</v>
      </c>
      <c r="BD13" s="6">
        <f t="shared" si="6"/>
        <v>0</v>
      </c>
      <c r="BE13" s="6">
        <f t="shared" si="6"/>
        <v>0</v>
      </c>
      <c r="BF13" s="6">
        <f t="shared" si="6"/>
        <v>0</v>
      </c>
      <c r="BG13" s="6">
        <f t="shared" si="6"/>
        <v>0</v>
      </c>
      <c r="BH13" s="6">
        <f t="shared" si="6"/>
        <v>0</v>
      </c>
      <c r="BJ13" s="6">
        <v>10</v>
      </c>
      <c r="BK13" s="6">
        <f t="shared" si="33"/>
        <v>0</v>
      </c>
      <c r="BL13" s="6">
        <f t="shared" si="7"/>
        <v>0</v>
      </c>
      <c r="BM13" s="6">
        <f t="shared" si="8"/>
        <v>0</v>
      </c>
      <c r="BN13" s="6">
        <f t="shared" si="9"/>
        <v>0</v>
      </c>
      <c r="BO13" s="6">
        <f t="shared" si="10"/>
        <v>0</v>
      </c>
      <c r="BP13" s="6">
        <f t="shared" si="11"/>
        <v>0</v>
      </c>
      <c r="BQ13" s="6">
        <f t="shared" si="12"/>
        <v>0</v>
      </c>
      <c r="BR13" s="6">
        <f t="shared" si="13"/>
        <v>0</v>
      </c>
      <c r="BS13" s="6">
        <f t="shared" si="14"/>
        <v>0</v>
      </c>
    </row>
    <row r="14" spans="1:71" hidden="1" x14ac:dyDescent="0.25">
      <c r="S14" s="60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34">
        <f t="shared" si="20"/>
        <v>0</v>
      </c>
      <c r="AO14" s="56">
        <f t="shared" si="31"/>
        <v>1</v>
      </c>
    </row>
    <row r="15" spans="1:71" x14ac:dyDescent="0.25">
      <c r="AE15" s="57">
        <f>2*MAX(AE4:AE13)+1</f>
        <v>1</v>
      </c>
      <c r="AG15" s="58">
        <f>2*MAX(AG4:AG13)+1</f>
        <v>1</v>
      </c>
      <c r="AI15" s="58">
        <f>2*MAX(AI4:AI13)+1</f>
        <v>1</v>
      </c>
      <c r="AT15" s="41" t="s">
        <v>39</v>
      </c>
      <c r="AU15" s="41" t="s">
        <v>0</v>
      </c>
      <c r="AV15" s="41" t="s">
        <v>1</v>
      </c>
      <c r="AW15" s="41" t="s">
        <v>2</v>
      </c>
      <c r="AY15" s="42" t="s">
        <v>37</v>
      </c>
      <c r="AZ15" s="42" t="s">
        <v>38</v>
      </c>
      <c r="BA15" s="6" t="s">
        <v>18</v>
      </c>
      <c r="BB15" s="6" t="s">
        <v>19</v>
      </c>
      <c r="BC15" s="6" t="s">
        <v>20</v>
      </c>
      <c r="BD15" s="6" t="s">
        <v>21</v>
      </c>
    </row>
    <row r="16" spans="1:71" ht="3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AY16" s="43"/>
      <c r="AZ16" s="43"/>
      <c r="BA16" s="44"/>
      <c r="BB16" s="44"/>
      <c r="BC16" s="44"/>
      <c r="BD16" s="44"/>
    </row>
    <row r="17" spans="2:56" x14ac:dyDescent="0.25">
      <c r="B17" s="45" t="s">
        <v>3</v>
      </c>
      <c r="AY17" s="42"/>
      <c r="AZ17" s="42"/>
    </row>
    <row r="18" spans="2:56" x14ac:dyDescent="0.25">
      <c r="B18" s="6">
        <v>1</v>
      </c>
      <c r="C18" s="6" t="str">
        <f>VLOOKUP(AU18,$B$4:$F$13,2,FALSE)</f>
        <v>A</v>
      </c>
      <c r="D18" s="46" t="s">
        <v>5</v>
      </c>
      <c r="E18" s="73" t="str">
        <f>VLOOKUP(AV18,$B$4:$F$13,2,FALSE)</f>
        <v>J</v>
      </c>
      <c r="F18" s="73"/>
      <c r="G18" s="73"/>
      <c r="H18" s="73"/>
      <c r="J18" s="73" t="str">
        <f>IF(T18="","",VLOOKUP(T18,Configuratie!$B$1:$E$10,3,FALSE))</f>
        <v/>
      </c>
      <c r="K18" s="73"/>
      <c r="L18" s="6" t="s">
        <v>5</v>
      </c>
      <c r="M18" s="73" t="str">
        <f>IF(T18="","",VLOOKUP(T18,Configuratie!$B$1:$E$10,4,FALSE))</f>
        <v/>
      </c>
      <c r="N18" s="73"/>
      <c r="R18" s="6" t="str">
        <f>IF(T18="","",VLOOKUP(T18,Configuratie!$B$1:$E$10,2,FALSE))</f>
        <v/>
      </c>
      <c r="S18" s="61"/>
      <c r="T18" s="5"/>
      <c r="AT18" s="6">
        <v>1</v>
      </c>
      <c r="AU18" s="6">
        <v>1</v>
      </c>
      <c r="AV18" s="6">
        <v>10</v>
      </c>
      <c r="AW18" s="6" t="str">
        <f>IF(AND(ISNUMBER(J18),ISNUMBER(M18)),IF(J18+M18=1,1,0),"")</f>
        <v/>
      </c>
      <c r="AY18" s="48">
        <f>AU18*100+AV18</f>
        <v>110</v>
      </c>
      <c r="AZ18" s="48">
        <f>AV18*100+AU18</f>
        <v>1001</v>
      </c>
      <c r="BA18" s="6">
        <v>0</v>
      </c>
      <c r="BB18" s="6">
        <v>0</v>
      </c>
      <c r="BC18" s="6" t="e">
        <f>J18*BB18</f>
        <v>#VALUE!</v>
      </c>
      <c r="BD18" s="6" t="e">
        <f>M18*BA18</f>
        <v>#VALUE!</v>
      </c>
    </row>
    <row r="19" spans="2:56" x14ac:dyDescent="0.25">
      <c r="B19" s="6">
        <v>2</v>
      </c>
      <c r="C19" s="6" t="str">
        <f>VLOOKUP(AU19,$B$4:$F$13,2,FALSE)</f>
        <v>B</v>
      </c>
      <c r="D19" s="46" t="s">
        <v>5</v>
      </c>
      <c r="E19" s="73" t="str">
        <f>VLOOKUP(AV19,$B$4:$F$13,2,FALSE)</f>
        <v>I</v>
      </c>
      <c r="F19" s="73"/>
      <c r="G19" s="73"/>
      <c r="H19" s="73"/>
      <c r="J19" s="73" t="str">
        <f>IF(T19="","",VLOOKUP(T19,Configuratie!$B$1:$E$10,3,FALSE))</f>
        <v/>
      </c>
      <c r="K19" s="73"/>
      <c r="L19" s="6" t="s">
        <v>5</v>
      </c>
      <c r="M19" s="73" t="str">
        <f>IF(T19="","",VLOOKUP(T19,Configuratie!$B$1:$E$10,4,FALSE))</f>
        <v/>
      </c>
      <c r="N19" s="73"/>
      <c r="R19" s="6" t="str">
        <f>IF(T19="","",VLOOKUP(T19,Configuratie!$B$1:$E$10,2,FALSE))</f>
        <v/>
      </c>
      <c r="S19" s="61"/>
      <c r="T19" s="5"/>
      <c r="AT19" s="6">
        <v>1</v>
      </c>
      <c r="AU19" s="6">
        <v>2</v>
      </c>
      <c r="AV19" s="6">
        <v>9</v>
      </c>
      <c r="AW19" s="6" t="str">
        <f t="shared" ref="AW19:AW23" si="34">IF(AND(ISNUMBER(J19),ISNUMBER(M19)),IF(J19+M19=1,1,0),"")</f>
        <v/>
      </c>
      <c r="AY19" s="48">
        <f>AU19*100+AV19</f>
        <v>209</v>
      </c>
      <c r="AZ19" s="48">
        <f>AV19*100+AU19</f>
        <v>902</v>
      </c>
      <c r="BA19" s="6">
        <v>0</v>
      </c>
      <c r="BB19" s="6"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3</v>
      </c>
      <c r="C20" s="6" t="str">
        <f>VLOOKUP(AU20,$B$4:$F$13,2,FALSE)</f>
        <v>C</v>
      </c>
      <c r="D20" s="46" t="s">
        <v>5</v>
      </c>
      <c r="E20" s="73" t="str">
        <f>VLOOKUP(AV20,$B$4:$F$13,2,FALSE)</f>
        <v>H</v>
      </c>
      <c r="F20" s="73"/>
      <c r="G20" s="73"/>
      <c r="H20" s="73"/>
      <c r="J20" s="73" t="str">
        <f>IF(T20="","",VLOOKUP(T20,Configuratie!$B$1:$E$10,3,FALSE))</f>
        <v/>
      </c>
      <c r="K20" s="73"/>
      <c r="L20" s="6" t="s">
        <v>5</v>
      </c>
      <c r="M20" s="73" t="str">
        <f>IF(T20="","",VLOOKUP(T20,Configuratie!$B$1:$E$10,4,FALSE))</f>
        <v/>
      </c>
      <c r="N20" s="73"/>
      <c r="R20" s="6" t="str">
        <f>IF(T20="","",VLOOKUP(T20,Configuratie!$B$1:$E$10,2,FALSE))</f>
        <v/>
      </c>
      <c r="S20" s="61"/>
      <c r="T20" s="5"/>
      <c r="AT20" s="6">
        <v>1</v>
      </c>
      <c r="AU20" s="6">
        <v>3</v>
      </c>
      <c r="AV20" s="6">
        <v>8</v>
      </c>
      <c r="AW20" s="6" t="str">
        <f t="shared" si="34"/>
        <v/>
      </c>
      <c r="AY20" s="48">
        <f>AU20*100+AV20</f>
        <v>308</v>
      </c>
      <c r="AZ20" s="48">
        <f>AV20*100+AU20</f>
        <v>803</v>
      </c>
      <c r="BA20" s="6">
        <v>0</v>
      </c>
      <c r="BB20" s="6"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4</v>
      </c>
      <c r="C21" s="6" t="str">
        <f>VLOOKUP(AU21,$B$4:$F$13,2,FALSE)</f>
        <v>D</v>
      </c>
      <c r="D21" s="46" t="s">
        <v>5</v>
      </c>
      <c r="E21" s="73" t="str">
        <f>VLOOKUP(AV21,$B$4:$F$13,2,FALSE)</f>
        <v>G</v>
      </c>
      <c r="F21" s="73"/>
      <c r="G21" s="73"/>
      <c r="H21" s="73"/>
      <c r="J21" s="73" t="str">
        <f>IF(T21="","",VLOOKUP(T21,Configuratie!$B$1:$E$10,3,FALSE))</f>
        <v/>
      </c>
      <c r="K21" s="73"/>
      <c r="L21" s="6" t="s">
        <v>5</v>
      </c>
      <c r="M21" s="73" t="str">
        <f>IF(T21="","",VLOOKUP(T21,Configuratie!$B$1:$E$10,4,FALSE))</f>
        <v/>
      </c>
      <c r="N21" s="73"/>
      <c r="R21" s="6" t="str">
        <f>IF(T21="","",VLOOKUP(T21,Configuratie!$B$1:$E$10,2,FALSE))</f>
        <v/>
      </c>
      <c r="S21" s="61"/>
      <c r="T21" s="5"/>
      <c r="AT21" s="6">
        <v>1</v>
      </c>
      <c r="AU21" s="6">
        <v>4</v>
      </c>
      <c r="AV21" s="6">
        <v>7</v>
      </c>
      <c r="AW21" s="6" t="str">
        <f t="shared" si="34"/>
        <v/>
      </c>
      <c r="AY21" s="48">
        <f>AU21*100+AV21</f>
        <v>407</v>
      </c>
      <c r="AZ21" s="48">
        <f>AV21*100+AU21</f>
        <v>704</v>
      </c>
      <c r="BA21" s="6">
        <v>0</v>
      </c>
      <c r="BB21" s="6">
        <v>0</v>
      </c>
      <c r="BC21" s="6" t="e">
        <f>J21*BB21</f>
        <v>#VALUE!</v>
      </c>
      <c r="BD21" s="6" t="e">
        <f>M21*BA21</f>
        <v>#VALUE!</v>
      </c>
    </row>
    <row r="22" spans="2:56" x14ac:dyDescent="0.25">
      <c r="B22" s="6">
        <v>5</v>
      </c>
      <c r="C22" s="6" t="str">
        <f>VLOOKUP(AU22,$B$4:$F$13,2,FALSE)</f>
        <v>E</v>
      </c>
      <c r="D22" s="46" t="s">
        <v>5</v>
      </c>
      <c r="E22" s="73" t="str">
        <f>VLOOKUP(AV22,$B$4:$F$13,2,FALSE)</f>
        <v>F</v>
      </c>
      <c r="F22" s="73"/>
      <c r="G22" s="73"/>
      <c r="H22" s="73"/>
      <c r="J22" s="73" t="str">
        <f>IF(T22="","",VLOOKUP(T22,Configuratie!$B$1:$E$10,3,FALSE))</f>
        <v/>
      </c>
      <c r="K22" s="73"/>
      <c r="L22" s="6" t="s">
        <v>5</v>
      </c>
      <c r="M22" s="73" t="str">
        <f>IF(T22="","",VLOOKUP(T22,Configuratie!$B$1:$E$10,4,FALSE))</f>
        <v/>
      </c>
      <c r="N22" s="73"/>
      <c r="R22" s="6" t="str">
        <f>IF(T22="","",VLOOKUP(T22,Configuratie!$B$1:$E$10,2,FALSE))</f>
        <v/>
      </c>
      <c r="S22" s="61"/>
      <c r="T22" s="5"/>
      <c r="AT22" s="6">
        <v>1</v>
      </c>
      <c r="AU22" s="6">
        <v>5</v>
      </c>
      <c r="AV22" s="6">
        <v>6</v>
      </c>
      <c r="AW22" s="6" t="str">
        <f t="shared" si="34"/>
        <v/>
      </c>
      <c r="AY22" s="48">
        <f>AU22*100+AV22</f>
        <v>506</v>
      </c>
      <c r="AZ22" s="48">
        <f>AV22*100+AU22</f>
        <v>605</v>
      </c>
      <c r="BA22" s="6">
        <v>0</v>
      </c>
      <c r="BB22" s="6">
        <v>0</v>
      </c>
      <c r="BC22" s="6" t="e">
        <f>J22*BB22</f>
        <v>#VALUE!</v>
      </c>
      <c r="BD22" s="6" t="e">
        <f>M22*BA22</f>
        <v>#VALUE!</v>
      </c>
    </row>
    <row r="23" spans="2:56" ht="3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AW23" s="6" t="str">
        <f t="shared" si="34"/>
        <v/>
      </c>
      <c r="AY23" s="42"/>
      <c r="AZ23" s="42"/>
    </row>
    <row r="24" spans="2:56" x14ac:dyDescent="0.25">
      <c r="B24" s="45" t="s">
        <v>9</v>
      </c>
      <c r="AY24" s="42"/>
      <c r="AZ24" s="42"/>
    </row>
    <row r="25" spans="2:56" x14ac:dyDescent="0.25">
      <c r="B25" s="6">
        <v>1</v>
      </c>
      <c r="C25" s="6" t="str">
        <f>VLOOKUP(AU25,$B$4:$F$13,2,FALSE)</f>
        <v>J</v>
      </c>
      <c r="D25" s="46" t="s">
        <v>5</v>
      </c>
      <c r="E25" s="73" t="str">
        <f>VLOOKUP(AV25,$B$4:$F$13,2,FALSE)</f>
        <v>F</v>
      </c>
      <c r="F25" s="73"/>
      <c r="G25" s="73"/>
      <c r="H25" s="73"/>
      <c r="J25" s="73" t="str">
        <f>IF(T25="","",VLOOKUP(T25,Configuratie!$B$1:$E$10,3,FALSE))</f>
        <v/>
      </c>
      <c r="K25" s="73"/>
      <c r="L25" s="6" t="s">
        <v>5</v>
      </c>
      <c r="M25" s="73" t="str">
        <f>IF(T25="","",VLOOKUP(T25,Configuratie!$B$1:$E$10,4,FALSE))</f>
        <v/>
      </c>
      <c r="N25" s="73"/>
      <c r="R25" s="6" t="str">
        <f>IF(T25="","",VLOOKUP(T25,Configuratie!$B$1:$E$10,2,FALSE))</f>
        <v/>
      </c>
      <c r="S25" s="61"/>
      <c r="T25" s="5"/>
      <c r="AT25" s="6">
        <v>2</v>
      </c>
      <c r="AU25" s="6">
        <v>10</v>
      </c>
      <c r="AV25" s="6">
        <v>6</v>
      </c>
      <c r="AW25" s="6" t="str">
        <f>IF(AND(ISNUMBER(J25),ISNUMBER(M25)),IF(J25+M25=1,1,0),"")</f>
        <v/>
      </c>
      <c r="AY25" s="48">
        <f>AU25*100+AV25</f>
        <v>1006</v>
      </c>
      <c r="AZ25" s="48">
        <f>AV25*100+AU25</f>
        <v>610</v>
      </c>
      <c r="BA25" s="6">
        <f t="shared" ref="BA25:BB29" si="35">VLOOKUP(AU25,$BJ$3:$BS$13,$AT25,FALSE)</f>
        <v>0</v>
      </c>
      <c r="BB25" s="6">
        <f t="shared" si="35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2</v>
      </c>
      <c r="C26" s="6" t="str">
        <f>VLOOKUP(AU26,$B$4:$F$13,2,FALSE)</f>
        <v>G</v>
      </c>
      <c r="D26" s="46" t="s">
        <v>5</v>
      </c>
      <c r="E26" s="73" t="str">
        <f>VLOOKUP(AV26,$B$4:$F$13,2,FALSE)</f>
        <v>E</v>
      </c>
      <c r="F26" s="73"/>
      <c r="G26" s="73"/>
      <c r="H26" s="73"/>
      <c r="J26" s="73" t="str">
        <f>IF(T26="","",VLOOKUP(T26,Configuratie!$B$1:$E$10,3,FALSE))</f>
        <v/>
      </c>
      <c r="K26" s="73"/>
      <c r="L26" s="6" t="s">
        <v>5</v>
      </c>
      <c r="M26" s="73" t="str">
        <f>IF(T26="","",VLOOKUP(T26,Configuratie!$B$1:$E$10,4,FALSE))</f>
        <v/>
      </c>
      <c r="N26" s="73"/>
      <c r="R26" s="6" t="str">
        <f>IF(T26="","",VLOOKUP(T26,Configuratie!$B$1:$E$10,2,FALSE))</f>
        <v/>
      </c>
      <c r="S26" s="61"/>
      <c r="T26" s="5"/>
      <c r="AT26" s="6">
        <v>2</v>
      </c>
      <c r="AU26" s="6">
        <v>7</v>
      </c>
      <c r="AV26" s="6">
        <v>5</v>
      </c>
      <c r="AW26" s="6" t="str">
        <f t="shared" ref="AW26:AW30" si="36">IF(AND(ISNUMBER(J26),ISNUMBER(M26)),IF(J26+M26=1,1,0),"")</f>
        <v/>
      </c>
      <c r="AY26" s="48">
        <f>AU26*100+AV26</f>
        <v>705</v>
      </c>
      <c r="AZ26" s="48">
        <f>AV26*100+AU26</f>
        <v>507</v>
      </c>
      <c r="BA26" s="6">
        <f t="shared" si="35"/>
        <v>0</v>
      </c>
      <c r="BB26" s="6">
        <f t="shared" si="35"/>
        <v>0</v>
      </c>
      <c r="BC26" s="6" t="e">
        <f>J26*BB26</f>
        <v>#VALUE!</v>
      </c>
      <c r="BD26" s="6" t="e">
        <f>M26*BA26</f>
        <v>#VALUE!</v>
      </c>
    </row>
    <row r="27" spans="2:56" x14ac:dyDescent="0.25">
      <c r="B27" s="6">
        <v>3</v>
      </c>
      <c r="C27" s="6" t="str">
        <f>VLOOKUP(AU27,$B$4:$F$13,2,FALSE)</f>
        <v>H</v>
      </c>
      <c r="D27" s="46" t="s">
        <v>5</v>
      </c>
      <c r="E27" s="73" t="str">
        <f>VLOOKUP(AV27,$B$4:$F$13,2,FALSE)</f>
        <v>D</v>
      </c>
      <c r="F27" s="73"/>
      <c r="G27" s="73"/>
      <c r="H27" s="73"/>
      <c r="J27" s="73" t="str">
        <f>IF(T27="","",VLOOKUP(T27,Configuratie!$B$1:$E$10,3,FALSE))</f>
        <v/>
      </c>
      <c r="K27" s="73"/>
      <c r="L27" s="6" t="s">
        <v>5</v>
      </c>
      <c r="M27" s="73" t="str">
        <f>IF(T27="","",VLOOKUP(T27,Configuratie!$B$1:$E$10,4,FALSE))</f>
        <v/>
      </c>
      <c r="N27" s="73"/>
      <c r="R27" s="6" t="str">
        <f>IF(T27="","",VLOOKUP(T27,Configuratie!$B$1:$E$10,2,FALSE))</f>
        <v/>
      </c>
      <c r="S27" s="61"/>
      <c r="T27" s="5"/>
      <c r="AT27" s="6">
        <v>2</v>
      </c>
      <c r="AU27" s="6">
        <v>8</v>
      </c>
      <c r="AV27" s="6">
        <v>4</v>
      </c>
      <c r="AW27" s="6" t="str">
        <f t="shared" si="36"/>
        <v/>
      </c>
      <c r="AY27" s="48">
        <f>AU27*100+AV27</f>
        <v>804</v>
      </c>
      <c r="AZ27" s="48">
        <f>AV27*100+AU27</f>
        <v>408</v>
      </c>
      <c r="BA27" s="6">
        <f t="shared" si="35"/>
        <v>0</v>
      </c>
      <c r="BB27" s="6">
        <f t="shared" si="35"/>
        <v>0</v>
      </c>
      <c r="BC27" s="6" t="e">
        <f>J27*BB27</f>
        <v>#VALUE!</v>
      </c>
      <c r="BD27" s="6" t="e">
        <f>M27*BA27</f>
        <v>#VALUE!</v>
      </c>
    </row>
    <row r="28" spans="2:56" x14ac:dyDescent="0.25">
      <c r="B28" s="6">
        <v>4</v>
      </c>
      <c r="C28" s="6" t="str">
        <f>VLOOKUP(AU28,$B$4:$F$13,2,FALSE)</f>
        <v>I</v>
      </c>
      <c r="D28" s="46" t="s">
        <v>5</v>
      </c>
      <c r="E28" s="73" t="str">
        <f>VLOOKUP(AV28,$B$4:$F$13,2,FALSE)</f>
        <v>C</v>
      </c>
      <c r="F28" s="73"/>
      <c r="G28" s="73"/>
      <c r="H28" s="73"/>
      <c r="J28" s="73" t="str">
        <f>IF(T28="","",VLOOKUP(T28,Configuratie!$B$1:$E$10,3,FALSE))</f>
        <v/>
      </c>
      <c r="K28" s="73"/>
      <c r="L28" s="6" t="s">
        <v>5</v>
      </c>
      <c r="M28" s="73" t="str">
        <f>IF(T28="","",VLOOKUP(T28,Configuratie!$B$1:$E$10,4,FALSE))</f>
        <v/>
      </c>
      <c r="N28" s="73"/>
      <c r="R28" s="6" t="str">
        <f>IF(T28="","",VLOOKUP(T28,Configuratie!$B$1:$E$10,2,FALSE))</f>
        <v/>
      </c>
      <c r="S28" s="61"/>
      <c r="T28" s="5"/>
      <c r="AT28" s="6">
        <v>2</v>
      </c>
      <c r="AU28" s="6">
        <v>9</v>
      </c>
      <c r="AV28" s="6">
        <v>3</v>
      </c>
      <c r="AW28" s="6" t="str">
        <f t="shared" si="36"/>
        <v/>
      </c>
      <c r="AY28" s="48">
        <f>AU28*100+AV28</f>
        <v>903</v>
      </c>
      <c r="AZ28" s="48">
        <f>AV28*100+AU28</f>
        <v>309</v>
      </c>
      <c r="BA28" s="6">
        <f t="shared" si="35"/>
        <v>0</v>
      </c>
      <c r="BB28" s="6">
        <f t="shared" si="35"/>
        <v>0</v>
      </c>
      <c r="BC28" s="6" t="e">
        <f>J28*BB28</f>
        <v>#VALUE!</v>
      </c>
      <c r="BD28" s="6" t="e">
        <f>M28*BA28</f>
        <v>#VALUE!</v>
      </c>
    </row>
    <row r="29" spans="2:56" x14ac:dyDescent="0.25">
      <c r="B29" s="6">
        <v>5</v>
      </c>
      <c r="C29" s="6" t="str">
        <f>VLOOKUP(AU29,$B$4:$F$13,2,FALSE)</f>
        <v>A</v>
      </c>
      <c r="D29" s="46" t="s">
        <v>5</v>
      </c>
      <c r="E29" s="73" t="str">
        <f>VLOOKUP(AV29,$B$4:$F$13,2,FALSE)</f>
        <v>B</v>
      </c>
      <c r="F29" s="73"/>
      <c r="G29" s="73"/>
      <c r="H29" s="73"/>
      <c r="J29" s="73" t="str">
        <f>IF(T29="","",VLOOKUP(T29,Configuratie!$B$1:$E$10,3,FALSE))</f>
        <v/>
      </c>
      <c r="K29" s="73"/>
      <c r="L29" s="6" t="s">
        <v>5</v>
      </c>
      <c r="M29" s="73" t="str">
        <f>IF(T29="","",VLOOKUP(T29,Configuratie!$B$1:$E$10,4,FALSE))</f>
        <v/>
      </c>
      <c r="N29" s="73"/>
      <c r="R29" s="6" t="str">
        <f>IF(T29="","",VLOOKUP(T29,Configuratie!$B$1:$E$10,2,FALSE))</f>
        <v/>
      </c>
      <c r="S29" s="61"/>
      <c r="T29" s="5"/>
      <c r="AT29" s="6">
        <v>2</v>
      </c>
      <c r="AU29" s="6">
        <v>1</v>
      </c>
      <c r="AV29" s="6">
        <v>2</v>
      </c>
      <c r="AW29" s="6" t="str">
        <f t="shared" si="36"/>
        <v/>
      </c>
      <c r="AY29" s="48">
        <f>AU29*100+AV29</f>
        <v>102</v>
      </c>
      <c r="AZ29" s="48">
        <f>AV29*100+AU29</f>
        <v>201</v>
      </c>
      <c r="BA29" s="6">
        <f t="shared" si="35"/>
        <v>0</v>
      </c>
      <c r="BB29" s="6">
        <f t="shared" si="35"/>
        <v>0</v>
      </c>
      <c r="BC29" s="6" t="e">
        <f>J29*BB29</f>
        <v>#VALUE!</v>
      </c>
      <c r="BD29" s="6" t="e">
        <f>M29*BA29</f>
        <v>#VALUE!</v>
      </c>
    </row>
    <row r="30" spans="2:56" ht="3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AW30" s="6" t="str">
        <f t="shared" si="36"/>
        <v/>
      </c>
      <c r="AY30" s="42"/>
      <c r="AZ30" s="42"/>
    </row>
    <row r="31" spans="2:56" x14ac:dyDescent="0.25">
      <c r="B31" s="45" t="s">
        <v>10</v>
      </c>
      <c r="AY31" s="42"/>
      <c r="AZ31" s="42"/>
    </row>
    <row r="32" spans="2:56" x14ac:dyDescent="0.25">
      <c r="B32" s="6">
        <v>1</v>
      </c>
      <c r="C32" s="6" t="str">
        <f>VLOOKUP(AU32,$B$4:$F$13,2,FALSE)</f>
        <v>B</v>
      </c>
      <c r="D32" s="46" t="s">
        <v>5</v>
      </c>
      <c r="E32" s="73" t="str">
        <f>VLOOKUP(AV32,$B$4:$F$13,2,FALSE)</f>
        <v>J</v>
      </c>
      <c r="F32" s="73"/>
      <c r="G32" s="73"/>
      <c r="H32" s="73"/>
      <c r="J32" s="73" t="str">
        <f>IF(T32="","",VLOOKUP(T32,Configuratie!$B$1:$E$10,3,FALSE))</f>
        <v/>
      </c>
      <c r="K32" s="73"/>
      <c r="L32" s="6" t="s">
        <v>5</v>
      </c>
      <c r="M32" s="73" t="str">
        <f>IF(T32="","",VLOOKUP(T32,Configuratie!$B$1:$E$10,4,FALSE))</f>
        <v/>
      </c>
      <c r="N32" s="73"/>
      <c r="R32" s="6" t="str">
        <f>IF(T32="","",VLOOKUP(T32,Configuratie!$B$1:$E$10,2,FALSE))</f>
        <v/>
      </c>
      <c r="S32" s="61"/>
      <c r="T32" s="5"/>
      <c r="AT32" s="6">
        <v>3</v>
      </c>
      <c r="AU32" s="6">
        <v>2</v>
      </c>
      <c r="AV32" s="6">
        <v>10</v>
      </c>
      <c r="AW32" s="6" t="str">
        <f>IF(AND(ISNUMBER(J32),ISNUMBER(M32)),IF(J32+M32=1,1,0),"")</f>
        <v/>
      </c>
      <c r="AY32" s="48">
        <f>AU32*100+AV32</f>
        <v>210</v>
      </c>
      <c r="AZ32" s="48">
        <f>AV32*100+AU32</f>
        <v>1002</v>
      </c>
      <c r="BA32" s="6">
        <f t="shared" ref="BA32:BB36" si="37">VLOOKUP(AU32,$BJ$3:$BS$13,$AT32,FALSE)</f>
        <v>0</v>
      </c>
      <c r="BB32" s="6">
        <f t="shared" si="37"/>
        <v>0</v>
      </c>
      <c r="BC32" s="6" t="e">
        <f>J32*BB32</f>
        <v>#VALUE!</v>
      </c>
      <c r="BD32" s="6" t="e">
        <f>M32*BA32</f>
        <v>#VALUE!</v>
      </c>
    </row>
    <row r="33" spans="2:56" x14ac:dyDescent="0.25">
      <c r="B33" s="6">
        <v>2</v>
      </c>
      <c r="C33" s="6" t="str">
        <f>VLOOKUP(AU33,$B$4:$F$13,2,FALSE)</f>
        <v>C</v>
      </c>
      <c r="D33" s="46" t="s">
        <v>5</v>
      </c>
      <c r="E33" s="73" t="str">
        <f>VLOOKUP(AV33,$B$4:$F$13,2,FALSE)</f>
        <v>A</v>
      </c>
      <c r="F33" s="73"/>
      <c r="G33" s="73"/>
      <c r="H33" s="73"/>
      <c r="J33" s="73" t="str">
        <f>IF(T33="","",VLOOKUP(T33,Configuratie!$B$1:$E$10,3,FALSE))</f>
        <v/>
      </c>
      <c r="K33" s="73"/>
      <c r="L33" s="6" t="s">
        <v>5</v>
      </c>
      <c r="M33" s="73" t="str">
        <f>IF(T33="","",VLOOKUP(T33,Configuratie!$B$1:$E$10,4,FALSE))</f>
        <v/>
      </c>
      <c r="N33" s="73"/>
      <c r="R33" s="6" t="str">
        <f>IF(T33="","",VLOOKUP(T33,Configuratie!$B$1:$E$10,2,FALSE))</f>
        <v/>
      </c>
      <c r="S33" s="61"/>
      <c r="T33" s="5"/>
      <c r="AT33" s="6">
        <v>3</v>
      </c>
      <c r="AU33" s="6">
        <v>3</v>
      </c>
      <c r="AV33" s="6">
        <v>1</v>
      </c>
      <c r="AW33" s="6" t="str">
        <f t="shared" ref="AW33:AW37" si="38">IF(AND(ISNUMBER(J33),ISNUMBER(M33)),IF(J33+M33=1,1,0),"")</f>
        <v/>
      </c>
      <c r="AY33" s="48">
        <f>AU33*100+AV33</f>
        <v>301</v>
      </c>
      <c r="AZ33" s="48">
        <f>AV33*100+AU33</f>
        <v>103</v>
      </c>
      <c r="BA33" s="6">
        <f t="shared" si="37"/>
        <v>0</v>
      </c>
      <c r="BB33" s="6">
        <f t="shared" si="37"/>
        <v>0</v>
      </c>
      <c r="BC33" s="6" t="e">
        <f>J33*BB33</f>
        <v>#VALUE!</v>
      </c>
      <c r="BD33" s="6" t="e">
        <f>M33*BA33</f>
        <v>#VALUE!</v>
      </c>
    </row>
    <row r="34" spans="2:56" x14ac:dyDescent="0.25">
      <c r="B34" s="6">
        <v>3</v>
      </c>
      <c r="C34" s="6" t="str">
        <f>VLOOKUP(AU34,$B$4:$F$13,2,FALSE)</f>
        <v>D</v>
      </c>
      <c r="D34" s="46" t="s">
        <v>5</v>
      </c>
      <c r="E34" s="73" t="str">
        <f>VLOOKUP(AV34,$B$4:$F$13,2,FALSE)</f>
        <v>I</v>
      </c>
      <c r="F34" s="73"/>
      <c r="G34" s="73"/>
      <c r="H34" s="73"/>
      <c r="J34" s="73" t="str">
        <f>IF(T34="","",VLOOKUP(T34,Configuratie!$B$1:$E$10,3,FALSE))</f>
        <v/>
      </c>
      <c r="K34" s="73"/>
      <c r="L34" s="6" t="s">
        <v>5</v>
      </c>
      <c r="M34" s="73" t="str">
        <f>IF(T34="","",VLOOKUP(T34,Configuratie!$B$1:$E$10,4,FALSE))</f>
        <v/>
      </c>
      <c r="N34" s="73"/>
      <c r="R34" s="6" t="str">
        <f>IF(T34="","",VLOOKUP(T34,Configuratie!$B$1:$E$10,2,FALSE))</f>
        <v/>
      </c>
      <c r="S34" s="61"/>
      <c r="T34" s="5"/>
      <c r="AT34" s="6">
        <v>3</v>
      </c>
      <c r="AU34" s="6">
        <v>4</v>
      </c>
      <c r="AV34" s="6">
        <v>9</v>
      </c>
      <c r="AW34" s="6" t="str">
        <f t="shared" si="38"/>
        <v/>
      </c>
      <c r="AY34" s="48">
        <f>AU34*100+AV34</f>
        <v>409</v>
      </c>
      <c r="AZ34" s="48">
        <f>AV34*100+AU34</f>
        <v>904</v>
      </c>
      <c r="BA34" s="6">
        <f t="shared" si="37"/>
        <v>0</v>
      </c>
      <c r="BB34" s="6">
        <f t="shared" si="37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4</v>
      </c>
      <c r="C35" s="6" t="str">
        <f>VLOOKUP(AU35,$B$4:$F$13,2,FALSE)</f>
        <v>E</v>
      </c>
      <c r="D35" s="46" t="s">
        <v>5</v>
      </c>
      <c r="E35" s="73" t="str">
        <f>VLOOKUP(AV35,$B$4:$F$13,2,FALSE)</f>
        <v>H</v>
      </c>
      <c r="F35" s="73"/>
      <c r="G35" s="73"/>
      <c r="H35" s="73"/>
      <c r="J35" s="73" t="str">
        <f>IF(T35="","",VLOOKUP(T35,Configuratie!$B$1:$E$10,3,FALSE))</f>
        <v/>
      </c>
      <c r="K35" s="73"/>
      <c r="L35" s="6" t="s">
        <v>5</v>
      </c>
      <c r="M35" s="73" t="str">
        <f>IF(T35="","",VLOOKUP(T35,Configuratie!$B$1:$E$10,4,FALSE))</f>
        <v/>
      </c>
      <c r="N35" s="73"/>
      <c r="R35" s="6" t="str">
        <f>IF(T35="","",VLOOKUP(T35,Configuratie!$B$1:$E$10,2,FALSE))</f>
        <v/>
      </c>
      <c r="S35" s="61"/>
      <c r="T35" s="5"/>
      <c r="AT35" s="6">
        <v>3</v>
      </c>
      <c r="AU35" s="6">
        <v>5</v>
      </c>
      <c r="AV35" s="6">
        <v>8</v>
      </c>
      <c r="AW35" s="6" t="str">
        <f t="shared" si="38"/>
        <v/>
      </c>
      <c r="AY35" s="48">
        <f>AU35*100+AV35</f>
        <v>508</v>
      </c>
      <c r="AZ35" s="48">
        <f>AV35*100+AU35</f>
        <v>805</v>
      </c>
      <c r="BA35" s="6">
        <f t="shared" si="37"/>
        <v>0</v>
      </c>
      <c r="BB35" s="6">
        <f t="shared" si="37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5</v>
      </c>
      <c r="C36" s="6" t="str">
        <f>VLOOKUP(AU36,$B$4:$F$13,2,FALSE)</f>
        <v>F</v>
      </c>
      <c r="D36" s="46" t="s">
        <v>5</v>
      </c>
      <c r="E36" s="73" t="str">
        <f>VLOOKUP(AV36,$B$4:$F$13,2,FALSE)</f>
        <v>G</v>
      </c>
      <c r="F36" s="73"/>
      <c r="G36" s="73"/>
      <c r="H36" s="73"/>
      <c r="J36" s="73" t="str">
        <f>IF(T36="","",VLOOKUP(T36,Configuratie!$B$1:$E$10,3,FALSE))</f>
        <v/>
      </c>
      <c r="K36" s="73"/>
      <c r="L36" s="6" t="s">
        <v>5</v>
      </c>
      <c r="M36" s="73" t="str">
        <f>IF(T36="","",VLOOKUP(T36,Configuratie!$B$1:$E$10,4,FALSE))</f>
        <v/>
      </c>
      <c r="N36" s="73"/>
      <c r="R36" s="6" t="str">
        <f>IF(T36="","",VLOOKUP(T36,Configuratie!$B$1:$E$10,2,FALSE))</f>
        <v/>
      </c>
      <c r="S36" s="61"/>
      <c r="T36" s="5"/>
      <c r="AT36" s="6">
        <v>3</v>
      </c>
      <c r="AU36" s="6">
        <v>6</v>
      </c>
      <c r="AV36" s="6">
        <v>7</v>
      </c>
      <c r="AW36" s="6" t="str">
        <f t="shared" si="38"/>
        <v/>
      </c>
      <c r="AY36" s="48">
        <f>AU36*100+AV36</f>
        <v>607</v>
      </c>
      <c r="AZ36" s="48">
        <f>AV36*100+AU36</f>
        <v>706</v>
      </c>
      <c r="BA36" s="6">
        <f t="shared" si="37"/>
        <v>0</v>
      </c>
      <c r="BB36" s="6">
        <f t="shared" si="37"/>
        <v>0</v>
      </c>
      <c r="BC36" s="6" t="e">
        <f>J36*BB36</f>
        <v>#VALUE!</v>
      </c>
      <c r="BD36" s="6" t="e">
        <f>M36*BA36</f>
        <v>#VALUE!</v>
      </c>
    </row>
    <row r="37" spans="2:56" ht="3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AW37" s="6" t="str">
        <f t="shared" si="38"/>
        <v/>
      </c>
      <c r="AY37" s="42"/>
      <c r="AZ37" s="42"/>
    </row>
    <row r="38" spans="2:56" x14ac:dyDescent="0.25">
      <c r="B38" s="45" t="s">
        <v>11</v>
      </c>
      <c r="AY38" s="42"/>
      <c r="AZ38" s="42"/>
    </row>
    <row r="39" spans="2:56" x14ac:dyDescent="0.25">
      <c r="B39" s="6">
        <v>1</v>
      </c>
      <c r="C39" s="6" t="str">
        <f>VLOOKUP(AU39,$B$4:$F$13,2,FALSE)</f>
        <v>J</v>
      </c>
      <c r="D39" s="46" t="s">
        <v>5</v>
      </c>
      <c r="E39" s="73" t="str">
        <f>VLOOKUP(AV39,$B$4:$F$13,2,FALSE)</f>
        <v>G</v>
      </c>
      <c r="F39" s="73"/>
      <c r="G39" s="73"/>
      <c r="H39" s="73"/>
      <c r="J39" s="73" t="str">
        <f>IF(T39="","",VLOOKUP(T39,Configuratie!$B$1:$E$10,3,FALSE))</f>
        <v/>
      </c>
      <c r="K39" s="73"/>
      <c r="L39" s="6" t="s">
        <v>5</v>
      </c>
      <c r="M39" s="73" t="str">
        <f>IF(T39="","",VLOOKUP(T39,Configuratie!$B$1:$E$10,4,FALSE))</f>
        <v/>
      </c>
      <c r="N39" s="73"/>
      <c r="R39" s="6" t="str">
        <f>IF(T39="","",VLOOKUP(T39,Configuratie!$B$1:$E$10,2,FALSE))</f>
        <v/>
      </c>
      <c r="S39" s="61"/>
      <c r="T39" s="5"/>
      <c r="AT39" s="6">
        <v>4</v>
      </c>
      <c r="AU39" s="6">
        <v>10</v>
      </c>
      <c r="AV39" s="6">
        <v>7</v>
      </c>
      <c r="AW39" s="6" t="str">
        <f>IF(AND(ISNUMBER(J39),ISNUMBER(M39)),IF(J39+M39=1,1,0),"")</f>
        <v/>
      </c>
      <c r="AY39" s="48">
        <f>AU39*100+AV39</f>
        <v>1007</v>
      </c>
      <c r="AZ39" s="48">
        <f>AV39*100+AU39</f>
        <v>710</v>
      </c>
      <c r="BA39" s="6">
        <f t="shared" ref="BA39:BB43" si="39">VLOOKUP(AU39,$BJ$3:$BS$13,$AT39,FALSE)</f>
        <v>0</v>
      </c>
      <c r="BB39" s="6">
        <f t="shared" si="39"/>
        <v>0</v>
      </c>
      <c r="BC39" s="6" t="e">
        <f>J39*BB39</f>
        <v>#VALUE!</v>
      </c>
      <c r="BD39" s="6" t="e">
        <f>M39*BA39</f>
        <v>#VALUE!</v>
      </c>
    </row>
    <row r="40" spans="2:56" x14ac:dyDescent="0.25">
      <c r="B40" s="6">
        <v>2</v>
      </c>
      <c r="C40" s="6" t="str">
        <f>VLOOKUP(AU40,$B$4:$F$13,2,FALSE)</f>
        <v>H</v>
      </c>
      <c r="D40" s="46" t="s">
        <v>5</v>
      </c>
      <c r="E40" s="73" t="str">
        <f>VLOOKUP(AV40,$B$4:$F$13,2,FALSE)</f>
        <v>F</v>
      </c>
      <c r="F40" s="73"/>
      <c r="G40" s="73"/>
      <c r="H40" s="73"/>
      <c r="J40" s="73" t="str">
        <f>IF(T40="","",VLOOKUP(T40,Configuratie!$B$1:$E$10,3,FALSE))</f>
        <v/>
      </c>
      <c r="K40" s="73"/>
      <c r="L40" s="6" t="s">
        <v>5</v>
      </c>
      <c r="M40" s="73" t="str">
        <f>IF(T40="","",VLOOKUP(T40,Configuratie!$B$1:$E$10,4,FALSE))</f>
        <v/>
      </c>
      <c r="N40" s="73"/>
      <c r="R40" s="6" t="str">
        <f>IF(T40="","",VLOOKUP(T40,Configuratie!$B$1:$E$10,2,FALSE))</f>
        <v/>
      </c>
      <c r="S40" s="61"/>
      <c r="T40" s="5"/>
      <c r="AT40" s="6">
        <v>4</v>
      </c>
      <c r="AU40" s="6">
        <v>8</v>
      </c>
      <c r="AV40" s="6">
        <v>6</v>
      </c>
      <c r="AW40" s="6" t="str">
        <f t="shared" ref="AW40:AW44" si="40">IF(AND(ISNUMBER(J40),ISNUMBER(M40)),IF(J40+M40=1,1,0),"")</f>
        <v/>
      </c>
      <c r="AY40" s="48">
        <f>AU40*100+AV40</f>
        <v>806</v>
      </c>
      <c r="AZ40" s="48">
        <f>AV40*100+AU40</f>
        <v>608</v>
      </c>
      <c r="BA40" s="6">
        <f t="shared" si="39"/>
        <v>0</v>
      </c>
      <c r="BB40" s="6">
        <f t="shared" si="39"/>
        <v>0</v>
      </c>
      <c r="BC40" s="6" t="e">
        <f>J40*BB40</f>
        <v>#VALUE!</v>
      </c>
      <c r="BD40" s="6" t="e">
        <f>M40*BA40</f>
        <v>#VALUE!</v>
      </c>
    </row>
    <row r="41" spans="2:56" x14ac:dyDescent="0.25">
      <c r="B41" s="6">
        <v>3</v>
      </c>
      <c r="C41" s="6" t="str">
        <f>VLOOKUP(AU41,$B$4:$F$13,2,FALSE)</f>
        <v>I</v>
      </c>
      <c r="D41" s="46" t="s">
        <v>5</v>
      </c>
      <c r="E41" s="73" t="str">
        <f>VLOOKUP(AV41,$B$4:$F$13,2,FALSE)</f>
        <v>E</v>
      </c>
      <c r="F41" s="73"/>
      <c r="G41" s="73"/>
      <c r="H41" s="73"/>
      <c r="J41" s="73" t="str">
        <f>IF(T41="","",VLOOKUP(T41,Configuratie!$B$1:$E$10,3,FALSE))</f>
        <v/>
      </c>
      <c r="K41" s="73"/>
      <c r="L41" s="6" t="s">
        <v>5</v>
      </c>
      <c r="M41" s="73" t="str">
        <f>IF(T41="","",VLOOKUP(T41,Configuratie!$B$1:$E$10,4,FALSE))</f>
        <v/>
      </c>
      <c r="N41" s="73"/>
      <c r="R41" s="6" t="str">
        <f>IF(T41="","",VLOOKUP(T41,Configuratie!$B$1:$E$10,2,FALSE))</f>
        <v/>
      </c>
      <c r="S41" s="61"/>
      <c r="T41" s="5"/>
      <c r="AT41" s="6">
        <v>4</v>
      </c>
      <c r="AU41" s="6">
        <v>9</v>
      </c>
      <c r="AV41" s="6">
        <v>5</v>
      </c>
      <c r="AW41" s="6" t="str">
        <f t="shared" si="40"/>
        <v/>
      </c>
      <c r="AY41" s="48">
        <f>AU41*100+AV41</f>
        <v>905</v>
      </c>
      <c r="AZ41" s="48">
        <f>AV41*100+AU41</f>
        <v>509</v>
      </c>
      <c r="BA41" s="6">
        <f t="shared" si="39"/>
        <v>0</v>
      </c>
      <c r="BB41" s="6">
        <f t="shared" si="39"/>
        <v>0</v>
      </c>
      <c r="BC41" s="6" t="e">
        <f>J41*BB41</f>
        <v>#VALUE!</v>
      </c>
      <c r="BD41" s="6" t="e">
        <f>M41*BA41</f>
        <v>#VALUE!</v>
      </c>
    </row>
    <row r="42" spans="2:56" x14ac:dyDescent="0.25">
      <c r="B42" s="6">
        <v>4</v>
      </c>
      <c r="C42" s="6" t="str">
        <f>VLOOKUP(AU42,$B$4:$F$13,2,FALSE)</f>
        <v>A</v>
      </c>
      <c r="D42" s="46" t="s">
        <v>5</v>
      </c>
      <c r="E42" s="73" t="str">
        <f>VLOOKUP(AV42,$B$4:$F$13,2,FALSE)</f>
        <v>D</v>
      </c>
      <c r="F42" s="73"/>
      <c r="G42" s="73"/>
      <c r="H42" s="73"/>
      <c r="J42" s="73" t="str">
        <f>IF(T42="","",VLOOKUP(T42,Configuratie!$B$1:$E$10,3,FALSE))</f>
        <v/>
      </c>
      <c r="K42" s="73"/>
      <c r="L42" s="6" t="s">
        <v>5</v>
      </c>
      <c r="M42" s="73" t="str">
        <f>IF(T42="","",VLOOKUP(T42,Configuratie!$B$1:$E$10,4,FALSE))</f>
        <v/>
      </c>
      <c r="N42" s="73"/>
      <c r="R42" s="6" t="str">
        <f>IF(T42="","",VLOOKUP(T42,Configuratie!$B$1:$E$10,2,FALSE))</f>
        <v/>
      </c>
      <c r="S42" s="61"/>
      <c r="T42" s="5"/>
      <c r="AT42" s="6">
        <v>4</v>
      </c>
      <c r="AU42" s="6">
        <v>1</v>
      </c>
      <c r="AV42" s="6">
        <v>4</v>
      </c>
      <c r="AW42" s="6" t="str">
        <f t="shared" si="40"/>
        <v/>
      </c>
      <c r="AY42" s="48">
        <f>AU42*100+AV42</f>
        <v>104</v>
      </c>
      <c r="AZ42" s="48">
        <f>AV42*100+AU42</f>
        <v>401</v>
      </c>
      <c r="BA42" s="6">
        <f t="shared" si="39"/>
        <v>0</v>
      </c>
      <c r="BB42" s="6">
        <f t="shared" si="39"/>
        <v>0</v>
      </c>
      <c r="BC42" s="6" t="e">
        <f>J42*BB42</f>
        <v>#VALUE!</v>
      </c>
      <c r="BD42" s="6" t="e">
        <f>M42*BA42</f>
        <v>#VALUE!</v>
      </c>
    </row>
    <row r="43" spans="2:56" x14ac:dyDescent="0.25">
      <c r="B43" s="6">
        <v>5</v>
      </c>
      <c r="C43" s="6" t="str">
        <f>VLOOKUP(AU43,$B$4:$F$13,2,FALSE)</f>
        <v>B</v>
      </c>
      <c r="D43" s="46" t="s">
        <v>5</v>
      </c>
      <c r="E43" s="73" t="str">
        <f>VLOOKUP(AV43,$B$4:$F$13,2,FALSE)</f>
        <v>C</v>
      </c>
      <c r="F43" s="73"/>
      <c r="G43" s="73"/>
      <c r="H43" s="73"/>
      <c r="J43" s="73" t="str">
        <f>IF(T43="","",VLOOKUP(T43,Configuratie!$B$1:$E$10,3,FALSE))</f>
        <v/>
      </c>
      <c r="K43" s="73"/>
      <c r="L43" s="6" t="s">
        <v>5</v>
      </c>
      <c r="M43" s="73" t="str">
        <f>IF(T43="","",VLOOKUP(T43,Configuratie!$B$1:$E$10,4,FALSE))</f>
        <v/>
      </c>
      <c r="N43" s="73"/>
      <c r="R43" s="6" t="str">
        <f>IF(T43="","",VLOOKUP(T43,Configuratie!$B$1:$E$10,2,FALSE))</f>
        <v/>
      </c>
      <c r="S43" s="61"/>
      <c r="T43" s="5"/>
      <c r="AT43" s="6">
        <v>4</v>
      </c>
      <c r="AU43" s="6">
        <v>2</v>
      </c>
      <c r="AV43" s="6">
        <v>3</v>
      </c>
      <c r="AW43" s="6" t="str">
        <f t="shared" si="40"/>
        <v/>
      </c>
      <c r="AY43" s="48">
        <f>AU43*100+AV43</f>
        <v>203</v>
      </c>
      <c r="AZ43" s="48">
        <f>AV43*100+AU43</f>
        <v>302</v>
      </c>
      <c r="BA43" s="6">
        <f t="shared" si="39"/>
        <v>0</v>
      </c>
      <c r="BB43" s="6">
        <f t="shared" si="39"/>
        <v>0</v>
      </c>
      <c r="BC43" s="6" t="e">
        <f>J43*BB43</f>
        <v>#VALUE!</v>
      </c>
      <c r="BD43" s="6" t="e">
        <f>M43*BA43</f>
        <v>#VALUE!</v>
      </c>
    </row>
    <row r="44" spans="2:56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AW44" s="6" t="str">
        <f t="shared" si="40"/>
        <v/>
      </c>
      <c r="AY44" s="42"/>
      <c r="AZ44" s="42"/>
    </row>
    <row r="45" spans="2:56" x14ac:dyDescent="0.25">
      <c r="B45" s="45" t="s">
        <v>12</v>
      </c>
      <c r="AY45" s="42"/>
      <c r="AZ45" s="42"/>
    </row>
    <row r="46" spans="2:56" x14ac:dyDescent="0.25">
      <c r="B46" s="6">
        <v>1</v>
      </c>
      <c r="C46" s="6" t="str">
        <f>VLOOKUP(AU46,$B$4:$F$13,2,FALSE)</f>
        <v>C</v>
      </c>
      <c r="D46" s="46" t="s">
        <v>5</v>
      </c>
      <c r="E46" s="73" t="str">
        <f>VLOOKUP(AV46,$B$4:$F$13,2,FALSE)</f>
        <v>J</v>
      </c>
      <c r="F46" s="73"/>
      <c r="G46" s="73"/>
      <c r="H46" s="73"/>
      <c r="J46" s="73" t="str">
        <f>IF(T46="","",VLOOKUP(T46,Configuratie!$B$1:$E$10,3,FALSE))</f>
        <v/>
      </c>
      <c r="K46" s="73"/>
      <c r="L46" s="6" t="s">
        <v>5</v>
      </c>
      <c r="M46" s="73" t="str">
        <f>IF(T46="","",VLOOKUP(T46,Configuratie!$B$1:$E$10,4,FALSE))</f>
        <v/>
      </c>
      <c r="N46" s="73"/>
      <c r="R46" s="6" t="str">
        <f>IF(T46="","",VLOOKUP(T46,Configuratie!$B$1:$E$10,2,FALSE))</f>
        <v/>
      </c>
      <c r="S46" s="61"/>
      <c r="T46" s="5"/>
      <c r="AT46" s="6">
        <v>5</v>
      </c>
      <c r="AU46" s="6">
        <v>3</v>
      </c>
      <c r="AV46" s="6">
        <v>10</v>
      </c>
      <c r="AW46" s="6" t="str">
        <f>IF(AND(ISNUMBER(J46),ISNUMBER(M46)),IF(J46+M46=1,1,0),"")</f>
        <v/>
      </c>
      <c r="AY46" s="48">
        <f>AU46*100+AV46</f>
        <v>310</v>
      </c>
      <c r="AZ46" s="48">
        <f>AV46*100+AU46</f>
        <v>1003</v>
      </c>
      <c r="BA46" s="6">
        <f t="shared" ref="BA46:BB50" si="41">VLOOKUP(AU46,$BJ$3:$BS$13,$AT46,FALSE)</f>
        <v>0</v>
      </c>
      <c r="BB46" s="6">
        <f t="shared" si="41"/>
        <v>0</v>
      </c>
      <c r="BC46" s="6" t="e">
        <f>J46*BB46</f>
        <v>#VALUE!</v>
      </c>
      <c r="BD46" s="6" t="e">
        <f>M46*BA46</f>
        <v>#VALUE!</v>
      </c>
    </row>
    <row r="47" spans="2:56" x14ac:dyDescent="0.25">
      <c r="B47" s="6">
        <v>2</v>
      </c>
      <c r="C47" s="6" t="str">
        <f>VLOOKUP(AU47,$B$4:$F$13,2,FALSE)</f>
        <v>D</v>
      </c>
      <c r="D47" s="46" t="s">
        <v>5</v>
      </c>
      <c r="E47" s="73" t="str">
        <f>VLOOKUP(AV47,$B$4:$F$13,2,FALSE)</f>
        <v>B</v>
      </c>
      <c r="F47" s="73"/>
      <c r="G47" s="73"/>
      <c r="H47" s="73"/>
      <c r="J47" s="73" t="str">
        <f>IF(T47="","",VLOOKUP(T47,Configuratie!$B$1:$E$10,3,FALSE))</f>
        <v/>
      </c>
      <c r="K47" s="73"/>
      <c r="L47" s="6" t="s">
        <v>5</v>
      </c>
      <c r="M47" s="73" t="str">
        <f>IF(T47="","",VLOOKUP(T47,Configuratie!$B$1:$E$10,4,FALSE))</f>
        <v/>
      </c>
      <c r="N47" s="73"/>
      <c r="R47" s="6" t="str">
        <f>IF(T47="","",VLOOKUP(T47,Configuratie!$B$1:$E$10,2,FALSE))</f>
        <v/>
      </c>
      <c r="S47" s="61"/>
      <c r="T47" s="5"/>
      <c r="AT47" s="6">
        <v>5</v>
      </c>
      <c r="AU47" s="6">
        <v>4</v>
      </c>
      <c r="AV47" s="6">
        <v>2</v>
      </c>
      <c r="AW47" s="6" t="str">
        <f t="shared" ref="AW47:AW51" si="42">IF(AND(ISNUMBER(J47),ISNUMBER(M47)),IF(J47+M47=1,1,0),"")</f>
        <v/>
      </c>
      <c r="AY47" s="48">
        <f>AU47*100+AV47</f>
        <v>402</v>
      </c>
      <c r="AZ47" s="48">
        <f>AV47*100+AU47</f>
        <v>204</v>
      </c>
      <c r="BA47" s="6">
        <f t="shared" si="41"/>
        <v>0</v>
      </c>
      <c r="BB47" s="6">
        <f t="shared" si="41"/>
        <v>0</v>
      </c>
      <c r="BC47" s="6" t="e">
        <f>J47*BB47</f>
        <v>#VALUE!</v>
      </c>
      <c r="BD47" s="6" t="e">
        <f>M47*BA47</f>
        <v>#VALUE!</v>
      </c>
    </row>
    <row r="48" spans="2:56" x14ac:dyDescent="0.25">
      <c r="B48" s="6">
        <v>3</v>
      </c>
      <c r="C48" s="6" t="str">
        <f>VLOOKUP(AU48,$B$4:$F$13,2,FALSE)</f>
        <v>E</v>
      </c>
      <c r="D48" s="46" t="s">
        <v>5</v>
      </c>
      <c r="E48" s="73" t="str">
        <f>VLOOKUP(AV48,$B$4:$F$13,2,FALSE)</f>
        <v>A</v>
      </c>
      <c r="F48" s="73"/>
      <c r="G48" s="73"/>
      <c r="H48" s="73"/>
      <c r="J48" s="73" t="str">
        <f>IF(T48="","",VLOOKUP(T48,Configuratie!$B$1:$E$10,3,FALSE))</f>
        <v/>
      </c>
      <c r="K48" s="73"/>
      <c r="L48" s="6" t="s">
        <v>5</v>
      </c>
      <c r="M48" s="73" t="str">
        <f>IF(T48="","",VLOOKUP(T48,Configuratie!$B$1:$E$10,4,FALSE))</f>
        <v/>
      </c>
      <c r="N48" s="73"/>
      <c r="R48" s="6" t="str">
        <f>IF(T48="","",VLOOKUP(T48,Configuratie!$B$1:$E$10,2,FALSE))</f>
        <v/>
      </c>
      <c r="S48" s="61"/>
      <c r="T48" s="5"/>
      <c r="AT48" s="6">
        <v>5</v>
      </c>
      <c r="AU48" s="6">
        <v>5</v>
      </c>
      <c r="AV48" s="6">
        <v>1</v>
      </c>
      <c r="AW48" s="6" t="str">
        <f t="shared" si="42"/>
        <v/>
      </c>
      <c r="AY48" s="48">
        <f>AU48*100+AV48</f>
        <v>501</v>
      </c>
      <c r="AZ48" s="48">
        <f>AV48*100+AU48</f>
        <v>105</v>
      </c>
      <c r="BA48" s="6">
        <f t="shared" si="41"/>
        <v>0</v>
      </c>
      <c r="BB48" s="6">
        <f t="shared" si="41"/>
        <v>0</v>
      </c>
      <c r="BC48" s="6" t="e">
        <f>J48*BB48</f>
        <v>#VALUE!</v>
      </c>
      <c r="BD48" s="6" t="e">
        <f>M48*BA48</f>
        <v>#VALUE!</v>
      </c>
    </row>
    <row r="49" spans="2:56" x14ac:dyDescent="0.25">
      <c r="B49" s="6">
        <v>4</v>
      </c>
      <c r="C49" s="6" t="str">
        <f>VLOOKUP(AU49,$B$4:$F$13,2,FALSE)</f>
        <v>F</v>
      </c>
      <c r="D49" s="46" t="s">
        <v>5</v>
      </c>
      <c r="E49" s="73" t="str">
        <f>VLOOKUP(AV49,$B$4:$F$13,2,FALSE)</f>
        <v>I</v>
      </c>
      <c r="F49" s="73"/>
      <c r="G49" s="73"/>
      <c r="H49" s="73"/>
      <c r="J49" s="73" t="str">
        <f>IF(T49="","",VLOOKUP(T49,Configuratie!$B$1:$E$10,3,FALSE))</f>
        <v/>
      </c>
      <c r="K49" s="73"/>
      <c r="L49" s="6" t="s">
        <v>5</v>
      </c>
      <c r="M49" s="73" t="str">
        <f>IF(T49="","",VLOOKUP(T49,Configuratie!$B$1:$E$10,4,FALSE))</f>
        <v/>
      </c>
      <c r="N49" s="73"/>
      <c r="R49" s="6" t="str">
        <f>IF(T49="","",VLOOKUP(T49,Configuratie!$B$1:$E$10,2,FALSE))</f>
        <v/>
      </c>
      <c r="S49" s="61"/>
      <c r="T49" s="5"/>
      <c r="AT49" s="6">
        <v>5</v>
      </c>
      <c r="AU49" s="6">
        <v>6</v>
      </c>
      <c r="AV49" s="6">
        <v>9</v>
      </c>
      <c r="AW49" s="6" t="str">
        <f t="shared" si="42"/>
        <v/>
      </c>
      <c r="AY49" s="48">
        <f>AU49*100+AV49</f>
        <v>609</v>
      </c>
      <c r="AZ49" s="48">
        <f>AV49*100+AU49</f>
        <v>906</v>
      </c>
      <c r="BA49" s="6">
        <f t="shared" si="41"/>
        <v>0</v>
      </c>
      <c r="BB49" s="6">
        <f t="shared" si="41"/>
        <v>0</v>
      </c>
      <c r="BC49" s="6" t="e">
        <f>J49*BB49</f>
        <v>#VALUE!</v>
      </c>
      <c r="BD49" s="6" t="e">
        <f>M49*BA49</f>
        <v>#VALUE!</v>
      </c>
    </row>
    <row r="50" spans="2:56" x14ac:dyDescent="0.25">
      <c r="B50" s="6">
        <v>5</v>
      </c>
      <c r="C50" s="6" t="str">
        <f>VLOOKUP(AU50,$B$4:$F$13,2,FALSE)</f>
        <v>G</v>
      </c>
      <c r="D50" s="46" t="s">
        <v>5</v>
      </c>
      <c r="E50" s="73" t="str">
        <f>VLOOKUP(AV50,$B$4:$F$13,2,FALSE)</f>
        <v>H</v>
      </c>
      <c r="F50" s="73"/>
      <c r="G50" s="73"/>
      <c r="H50" s="73"/>
      <c r="J50" s="73" t="str">
        <f>IF(T50="","",VLOOKUP(T50,Configuratie!$B$1:$E$10,3,FALSE))</f>
        <v/>
      </c>
      <c r="K50" s="73"/>
      <c r="L50" s="6" t="s">
        <v>5</v>
      </c>
      <c r="M50" s="73" t="str">
        <f>IF(T50="","",VLOOKUP(T50,Configuratie!$B$1:$E$10,4,FALSE))</f>
        <v/>
      </c>
      <c r="N50" s="73"/>
      <c r="R50" s="6" t="str">
        <f>IF(T50="","",VLOOKUP(T50,Configuratie!$B$1:$E$10,2,FALSE))</f>
        <v/>
      </c>
      <c r="S50" s="61"/>
      <c r="T50" s="5"/>
      <c r="AT50" s="6">
        <v>5</v>
      </c>
      <c r="AU50" s="6">
        <v>7</v>
      </c>
      <c r="AV50" s="6">
        <v>8</v>
      </c>
      <c r="AW50" s="6" t="str">
        <f t="shared" si="42"/>
        <v/>
      </c>
      <c r="AY50" s="48">
        <f>AU50*100+AV50</f>
        <v>708</v>
      </c>
      <c r="AZ50" s="48">
        <f>AV50*100+AU50</f>
        <v>807</v>
      </c>
      <c r="BA50" s="6">
        <f t="shared" si="41"/>
        <v>0</v>
      </c>
      <c r="BB50" s="6">
        <f t="shared" si="41"/>
        <v>0</v>
      </c>
      <c r="BC50" s="6" t="e">
        <f>J50*BB50</f>
        <v>#VALUE!</v>
      </c>
      <c r="BD50" s="6" t="e">
        <f>M50*BA50</f>
        <v>#VALUE!</v>
      </c>
    </row>
    <row r="51" spans="2:56" ht="3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AW51" s="6" t="str">
        <f t="shared" si="42"/>
        <v/>
      </c>
      <c r="AY51" s="42"/>
      <c r="AZ51" s="42"/>
    </row>
    <row r="52" spans="2:56" x14ac:dyDescent="0.25">
      <c r="B52" s="45" t="s">
        <v>13</v>
      </c>
      <c r="AY52" s="42"/>
      <c r="AZ52" s="42"/>
    </row>
    <row r="53" spans="2:56" x14ac:dyDescent="0.25">
      <c r="B53" s="6">
        <v>1</v>
      </c>
      <c r="C53" s="6" t="str">
        <f>VLOOKUP(AU53,$B$4:$F$13,2,FALSE)</f>
        <v>J</v>
      </c>
      <c r="D53" s="46" t="s">
        <v>5</v>
      </c>
      <c r="E53" s="73" t="str">
        <f>VLOOKUP(AV53,$B$4:$F$13,2,FALSE)</f>
        <v>H</v>
      </c>
      <c r="F53" s="73"/>
      <c r="G53" s="73"/>
      <c r="H53" s="73"/>
      <c r="J53" s="73" t="str">
        <f>IF(T53="","",VLOOKUP(T53,Configuratie!$B$1:$E$10,3,FALSE))</f>
        <v/>
      </c>
      <c r="K53" s="73"/>
      <c r="L53" s="6" t="s">
        <v>5</v>
      </c>
      <c r="M53" s="73" t="str">
        <f>IF(T53="","",VLOOKUP(T53,Configuratie!$B$1:$E$10,4,FALSE))</f>
        <v/>
      </c>
      <c r="N53" s="73"/>
      <c r="R53" s="6" t="str">
        <f>IF(T53="","",VLOOKUP(T53,Configuratie!$B$1:$E$10,2,FALSE))</f>
        <v/>
      </c>
      <c r="S53" s="61"/>
      <c r="T53" s="5"/>
      <c r="AT53" s="6">
        <v>6</v>
      </c>
      <c r="AU53" s="6">
        <v>10</v>
      </c>
      <c r="AV53" s="6">
        <v>8</v>
      </c>
      <c r="AW53" s="6" t="str">
        <f>IF(AND(ISNUMBER(J53),ISNUMBER(M53)),IF(J53+M53=1,1,0),"")</f>
        <v/>
      </c>
      <c r="AY53" s="48">
        <f>AU53*100+AV53</f>
        <v>1008</v>
      </c>
      <c r="AZ53" s="48">
        <f>AV53*100+AU53</f>
        <v>810</v>
      </c>
      <c r="BA53" s="6">
        <f t="shared" ref="BA53:BB57" si="43">VLOOKUP(AU53,$BJ$3:$BS$13,$AT53,FALSE)</f>
        <v>0</v>
      </c>
      <c r="BB53" s="6">
        <f t="shared" si="43"/>
        <v>0</v>
      </c>
      <c r="BC53" s="6" t="e">
        <f>J53*BB53</f>
        <v>#VALUE!</v>
      </c>
      <c r="BD53" s="6" t="e">
        <f>M53*BA53</f>
        <v>#VALUE!</v>
      </c>
    </row>
    <row r="54" spans="2:56" x14ac:dyDescent="0.25">
      <c r="B54" s="6">
        <v>2</v>
      </c>
      <c r="C54" s="6" t="str">
        <f>VLOOKUP(AU54,$B$4:$F$13,2,FALSE)</f>
        <v>I</v>
      </c>
      <c r="D54" s="46" t="s">
        <v>5</v>
      </c>
      <c r="E54" s="73" t="str">
        <f>VLOOKUP(AV54,$B$4:$F$13,2,FALSE)</f>
        <v>G</v>
      </c>
      <c r="F54" s="73"/>
      <c r="G54" s="73"/>
      <c r="H54" s="73"/>
      <c r="J54" s="73" t="str">
        <f>IF(T54="","",VLOOKUP(T54,Configuratie!$B$1:$E$10,3,FALSE))</f>
        <v/>
      </c>
      <c r="K54" s="73"/>
      <c r="L54" s="6" t="s">
        <v>5</v>
      </c>
      <c r="M54" s="73" t="str">
        <f>IF(T54="","",VLOOKUP(T54,Configuratie!$B$1:$E$10,4,FALSE))</f>
        <v/>
      </c>
      <c r="N54" s="73"/>
      <c r="R54" s="6" t="str">
        <f>IF(T54="","",VLOOKUP(T54,Configuratie!$B$1:$E$10,2,FALSE))</f>
        <v/>
      </c>
      <c r="S54" s="61"/>
      <c r="T54" s="5"/>
      <c r="AT54" s="6">
        <v>6</v>
      </c>
      <c r="AU54" s="6">
        <v>9</v>
      </c>
      <c r="AV54" s="6">
        <v>7</v>
      </c>
      <c r="AW54" s="6" t="str">
        <f t="shared" ref="AW54:AW58" si="44">IF(AND(ISNUMBER(J54),ISNUMBER(M54)),IF(J54+M54=1,1,0),"")</f>
        <v/>
      </c>
      <c r="AY54" s="48">
        <f>AU54*100+AV54</f>
        <v>907</v>
      </c>
      <c r="AZ54" s="48">
        <f>AV54*100+AU54</f>
        <v>709</v>
      </c>
      <c r="BA54" s="6">
        <f t="shared" si="43"/>
        <v>0</v>
      </c>
      <c r="BB54" s="6">
        <f t="shared" si="43"/>
        <v>0</v>
      </c>
      <c r="BC54" s="6" t="e">
        <f>J54*BB54</f>
        <v>#VALUE!</v>
      </c>
      <c r="BD54" s="6" t="e">
        <f>M54*BA54</f>
        <v>#VALUE!</v>
      </c>
    </row>
    <row r="55" spans="2:56" x14ac:dyDescent="0.25">
      <c r="B55" s="6">
        <v>3</v>
      </c>
      <c r="C55" s="6" t="str">
        <f>VLOOKUP(AU55,$B$4:$F$13,2,FALSE)</f>
        <v>A</v>
      </c>
      <c r="D55" s="46" t="s">
        <v>5</v>
      </c>
      <c r="E55" s="73" t="str">
        <f>VLOOKUP(AV55,$B$4:$F$13,2,FALSE)</f>
        <v>F</v>
      </c>
      <c r="F55" s="73"/>
      <c r="G55" s="73"/>
      <c r="H55" s="73"/>
      <c r="J55" s="73" t="str">
        <f>IF(T55="","",VLOOKUP(T55,Configuratie!$B$1:$E$10,3,FALSE))</f>
        <v/>
      </c>
      <c r="K55" s="73"/>
      <c r="L55" s="6" t="s">
        <v>5</v>
      </c>
      <c r="M55" s="73" t="str">
        <f>IF(T55="","",VLOOKUP(T55,Configuratie!$B$1:$E$10,4,FALSE))</f>
        <v/>
      </c>
      <c r="N55" s="73"/>
      <c r="R55" s="6" t="str">
        <f>IF(T55="","",VLOOKUP(T55,Configuratie!$B$1:$E$10,2,FALSE))</f>
        <v/>
      </c>
      <c r="S55" s="61"/>
      <c r="T55" s="5"/>
      <c r="AT55" s="6">
        <v>6</v>
      </c>
      <c r="AU55" s="6">
        <v>1</v>
      </c>
      <c r="AV55" s="6">
        <v>6</v>
      </c>
      <c r="AW55" s="6" t="str">
        <f t="shared" si="44"/>
        <v/>
      </c>
      <c r="AY55" s="48">
        <f>AU55*100+AV55</f>
        <v>106</v>
      </c>
      <c r="AZ55" s="48">
        <f>AV55*100+AU55</f>
        <v>601</v>
      </c>
      <c r="BA55" s="6">
        <f t="shared" si="43"/>
        <v>0</v>
      </c>
      <c r="BB55" s="6">
        <f t="shared" si="43"/>
        <v>0</v>
      </c>
      <c r="BC55" s="6" t="e">
        <f>J55*BB55</f>
        <v>#VALUE!</v>
      </c>
      <c r="BD55" s="6" t="e">
        <f>M55*BA55</f>
        <v>#VALUE!</v>
      </c>
    </row>
    <row r="56" spans="2:56" x14ac:dyDescent="0.25">
      <c r="B56" s="6">
        <v>4</v>
      </c>
      <c r="C56" s="6" t="str">
        <f>VLOOKUP(AU56,$B$4:$F$13,2,FALSE)</f>
        <v>B</v>
      </c>
      <c r="D56" s="46" t="s">
        <v>5</v>
      </c>
      <c r="E56" s="73" t="str">
        <f>VLOOKUP(AV56,$B$4:$F$13,2,FALSE)</f>
        <v>E</v>
      </c>
      <c r="F56" s="73"/>
      <c r="G56" s="73"/>
      <c r="H56" s="73"/>
      <c r="J56" s="73" t="str">
        <f>IF(T56="","",VLOOKUP(T56,Configuratie!$B$1:$E$10,3,FALSE))</f>
        <v/>
      </c>
      <c r="K56" s="73"/>
      <c r="L56" s="6" t="s">
        <v>5</v>
      </c>
      <c r="M56" s="73" t="str">
        <f>IF(T56="","",VLOOKUP(T56,Configuratie!$B$1:$E$10,4,FALSE))</f>
        <v/>
      </c>
      <c r="N56" s="73"/>
      <c r="R56" s="6" t="str">
        <f>IF(T56="","",VLOOKUP(T56,Configuratie!$B$1:$E$10,2,FALSE))</f>
        <v/>
      </c>
      <c r="S56" s="61"/>
      <c r="T56" s="5"/>
      <c r="AT56" s="6">
        <v>6</v>
      </c>
      <c r="AU56" s="6">
        <v>2</v>
      </c>
      <c r="AV56" s="6">
        <v>5</v>
      </c>
      <c r="AW56" s="6" t="str">
        <f t="shared" si="44"/>
        <v/>
      </c>
      <c r="AY56" s="48">
        <f>AU56*100+AV56</f>
        <v>205</v>
      </c>
      <c r="AZ56" s="48">
        <f>AV56*100+AU56</f>
        <v>502</v>
      </c>
      <c r="BA56" s="6">
        <f t="shared" si="43"/>
        <v>0</v>
      </c>
      <c r="BB56" s="6">
        <f t="shared" si="43"/>
        <v>0</v>
      </c>
      <c r="BC56" s="6" t="e">
        <f>J56*BB56</f>
        <v>#VALUE!</v>
      </c>
      <c r="BD56" s="6" t="e">
        <f>M56*BA56</f>
        <v>#VALUE!</v>
      </c>
    </row>
    <row r="57" spans="2:56" x14ac:dyDescent="0.25">
      <c r="B57" s="6">
        <v>5</v>
      </c>
      <c r="C57" s="6" t="str">
        <f>VLOOKUP(AU57,$B$4:$F$13,2,FALSE)</f>
        <v>C</v>
      </c>
      <c r="D57" s="46" t="s">
        <v>5</v>
      </c>
      <c r="E57" s="73" t="str">
        <f>VLOOKUP(AV57,$B$4:$F$13,2,FALSE)</f>
        <v>D</v>
      </c>
      <c r="F57" s="73"/>
      <c r="G57" s="73"/>
      <c r="H57" s="73"/>
      <c r="J57" s="73" t="str">
        <f>IF(T57="","",VLOOKUP(T57,Configuratie!$B$1:$E$10,3,FALSE))</f>
        <v/>
      </c>
      <c r="K57" s="73"/>
      <c r="L57" s="6" t="s">
        <v>5</v>
      </c>
      <c r="M57" s="73" t="str">
        <f>IF(T57="","",VLOOKUP(T57,Configuratie!$B$1:$E$10,4,FALSE))</f>
        <v/>
      </c>
      <c r="N57" s="73"/>
      <c r="R57" s="6" t="str">
        <f>IF(T57="","",VLOOKUP(T57,Configuratie!$B$1:$E$10,2,FALSE))</f>
        <v/>
      </c>
      <c r="S57" s="61"/>
      <c r="T57" s="5"/>
      <c r="AT57" s="6">
        <v>6</v>
      </c>
      <c r="AU57" s="6">
        <v>3</v>
      </c>
      <c r="AV57" s="6">
        <v>4</v>
      </c>
      <c r="AW57" s="6" t="str">
        <f t="shared" si="44"/>
        <v/>
      </c>
      <c r="AY57" s="48">
        <f>AU57*100+AV57</f>
        <v>304</v>
      </c>
      <c r="AZ57" s="48">
        <f>AV57*100+AU57</f>
        <v>403</v>
      </c>
      <c r="BA57" s="6">
        <f t="shared" si="43"/>
        <v>0</v>
      </c>
      <c r="BB57" s="6">
        <f t="shared" si="43"/>
        <v>0</v>
      </c>
      <c r="BC57" s="6" t="e">
        <f>J57*BB57</f>
        <v>#VALUE!</v>
      </c>
      <c r="BD57" s="6" t="e">
        <f>M57*BA57</f>
        <v>#VALUE!</v>
      </c>
    </row>
    <row r="58" spans="2:56" ht="3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AW58" s="6" t="str">
        <f t="shared" si="44"/>
        <v/>
      </c>
      <c r="AY58" s="42"/>
      <c r="AZ58" s="42"/>
    </row>
    <row r="59" spans="2:56" x14ac:dyDescent="0.25">
      <c r="B59" s="45" t="s">
        <v>14</v>
      </c>
      <c r="AY59" s="42"/>
      <c r="AZ59" s="42"/>
    </row>
    <row r="60" spans="2:56" x14ac:dyDescent="0.25">
      <c r="B60" s="6">
        <v>1</v>
      </c>
      <c r="C60" s="6" t="str">
        <f>VLOOKUP(AU60,$B$4:$F$13,2,FALSE)</f>
        <v>D</v>
      </c>
      <c r="D60" s="46" t="s">
        <v>5</v>
      </c>
      <c r="E60" s="73" t="str">
        <f>VLOOKUP(AV60,$B$4:$F$13,2,FALSE)</f>
        <v>J</v>
      </c>
      <c r="F60" s="73"/>
      <c r="G60" s="73"/>
      <c r="H60" s="73"/>
      <c r="J60" s="73" t="str">
        <f>IF(T60="","",VLOOKUP(T60,Configuratie!$B$1:$E$10,3,FALSE))</f>
        <v/>
      </c>
      <c r="K60" s="73"/>
      <c r="L60" s="6" t="s">
        <v>5</v>
      </c>
      <c r="M60" s="73" t="str">
        <f>IF(T60="","",VLOOKUP(T60,Configuratie!$B$1:$E$10,4,FALSE))</f>
        <v/>
      </c>
      <c r="N60" s="73"/>
      <c r="R60" s="6" t="str">
        <f>IF(T60="","",VLOOKUP(T60,Configuratie!$B$1:$E$10,2,FALSE))</f>
        <v/>
      </c>
      <c r="S60" s="61"/>
      <c r="T60" s="5"/>
      <c r="AT60" s="6">
        <v>7</v>
      </c>
      <c r="AU60" s="6">
        <v>4</v>
      </c>
      <c r="AV60" s="6">
        <v>10</v>
      </c>
      <c r="AW60" s="6" t="str">
        <f>IF(AND(ISNUMBER(J60),ISNUMBER(M60)),IF(J60+M60=1,1,0),"")</f>
        <v/>
      </c>
      <c r="AY60" s="48">
        <f>AU60*100+AV60</f>
        <v>410</v>
      </c>
      <c r="AZ60" s="48">
        <f>AV60*100+AU60</f>
        <v>1004</v>
      </c>
      <c r="BA60" s="6">
        <f t="shared" ref="BA60:BB64" si="45">VLOOKUP(AU60,$BJ$3:$BS$13,$AT60,FALSE)</f>
        <v>0</v>
      </c>
      <c r="BB60" s="6">
        <f t="shared" si="45"/>
        <v>0</v>
      </c>
      <c r="BC60" s="6" t="e">
        <f>J60*BB60</f>
        <v>#VALUE!</v>
      </c>
      <c r="BD60" s="6" t="e">
        <f>M60*BA60</f>
        <v>#VALUE!</v>
      </c>
    </row>
    <row r="61" spans="2:56" x14ac:dyDescent="0.25">
      <c r="B61" s="6">
        <v>2</v>
      </c>
      <c r="C61" s="6" t="str">
        <f>VLOOKUP(AU61,$B$4:$F$13,2,FALSE)</f>
        <v>E</v>
      </c>
      <c r="D61" s="46" t="s">
        <v>5</v>
      </c>
      <c r="E61" s="73" t="str">
        <f>VLOOKUP(AV61,$B$4:$F$13,2,FALSE)</f>
        <v>C</v>
      </c>
      <c r="F61" s="73"/>
      <c r="G61" s="73"/>
      <c r="H61" s="73"/>
      <c r="J61" s="73" t="str">
        <f>IF(T61="","",VLOOKUP(T61,Configuratie!$B$1:$E$10,3,FALSE))</f>
        <v/>
      </c>
      <c r="K61" s="73"/>
      <c r="L61" s="6" t="s">
        <v>5</v>
      </c>
      <c r="M61" s="73" t="str">
        <f>IF(T61="","",VLOOKUP(T61,Configuratie!$B$1:$E$10,4,FALSE))</f>
        <v/>
      </c>
      <c r="N61" s="73"/>
      <c r="R61" s="6" t="str">
        <f>IF(T61="","",VLOOKUP(T61,Configuratie!$B$1:$E$10,2,FALSE))</f>
        <v/>
      </c>
      <c r="S61" s="61"/>
      <c r="T61" s="5"/>
      <c r="AT61" s="6">
        <v>7</v>
      </c>
      <c r="AU61" s="6">
        <v>5</v>
      </c>
      <c r="AV61" s="6">
        <v>3</v>
      </c>
      <c r="AW61" s="6" t="str">
        <f t="shared" ref="AW61:AW65" si="46">IF(AND(ISNUMBER(J61),ISNUMBER(M61)),IF(J61+M61=1,1,0),"")</f>
        <v/>
      </c>
      <c r="AY61" s="48">
        <f>AU61*100+AV61</f>
        <v>503</v>
      </c>
      <c r="AZ61" s="48">
        <f>AV61*100+AU61</f>
        <v>305</v>
      </c>
      <c r="BA61" s="6">
        <f t="shared" si="45"/>
        <v>0</v>
      </c>
      <c r="BB61" s="6">
        <f t="shared" si="45"/>
        <v>0</v>
      </c>
      <c r="BC61" s="6" t="e">
        <f>J61*BB61</f>
        <v>#VALUE!</v>
      </c>
      <c r="BD61" s="6" t="e">
        <f>M61*BA61</f>
        <v>#VALUE!</v>
      </c>
    </row>
    <row r="62" spans="2:56" x14ac:dyDescent="0.25">
      <c r="B62" s="6">
        <v>3</v>
      </c>
      <c r="C62" s="6" t="str">
        <f>VLOOKUP(AU62,$B$4:$F$13,2,FALSE)</f>
        <v>F</v>
      </c>
      <c r="D62" s="46" t="s">
        <v>5</v>
      </c>
      <c r="E62" s="73" t="str">
        <f>VLOOKUP(AV62,$B$4:$F$13,2,FALSE)</f>
        <v>B</v>
      </c>
      <c r="F62" s="73"/>
      <c r="G62" s="73"/>
      <c r="H62" s="73"/>
      <c r="J62" s="73" t="str">
        <f>IF(T62="","",VLOOKUP(T62,Configuratie!$B$1:$E$10,3,FALSE))</f>
        <v/>
      </c>
      <c r="K62" s="73"/>
      <c r="L62" s="6" t="s">
        <v>5</v>
      </c>
      <c r="M62" s="73" t="str">
        <f>IF(T62="","",VLOOKUP(T62,Configuratie!$B$1:$E$10,4,FALSE))</f>
        <v/>
      </c>
      <c r="N62" s="73"/>
      <c r="R62" s="6" t="str">
        <f>IF(T62="","",VLOOKUP(T62,Configuratie!$B$1:$E$10,2,FALSE))</f>
        <v/>
      </c>
      <c r="S62" s="61"/>
      <c r="T62" s="5"/>
      <c r="AT62" s="6">
        <v>7</v>
      </c>
      <c r="AU62" s="6">
        <v>6</v>
      </c>
      <c r="AV62" s="6">
        <v>2</v>
      </c>
      <c r="AW62" s="6" t="str">
        <f t="shared" si="46"/>
        <v/>
      </c>
      <c r="AY62" s="48">
        <f>AU62*100+AV62</f>
        <v>602</v>
      </c>
      <c r="AZ62" s="48">
        <f>AV62*100+AU62</f>
        <v>206</v>
      </c>
      <c r="BA62" s="6">
        <f t="shared" si="45"/>
        <v>0</v>
      </c>
      <c r="BB62" s="6">
        <f t="shared" si="45"/>
        <v>0</v>
      </c>
      <c r="BC62" s="6" t="e">
        <f>J62*BB62</f>
        <v>#VALUE!</v>
      </c>
      <c r="BD62" s="6" t="e">
        <f>M62*BA62</f>
        <v>#VALUE!</v>
      </c>
    </row>
    <row r="63" spans="2:56" x14ac:dyDescent="0.25">
      <c r="B63" s="6">
        <v>4</v>
      </c>
      <c r="C63" s="6" t="str">
        <f>VLOOKUP(AU63,$B$4:$F$13,2,FALSE)</f>
        <v>G</v>
      </c>
      <c r="D63" s="46" t="s">
        <v>5</v>
      </c>
      <c r="E63" s="73" t="str">
        <f>VLOOKUP(AV63,$B$4:$F$13,2,FALSE)</f>
        <v>A</v>
      </c>
      <c r="F63" s="73"/>
      <c r="G63" s="73"/>
      <c r="H63" s="73"/>
      <c r="J63" s="73" t="str">
        <f>IF(T63="","",VLOOKUP(T63,Configuratie!$B$1:$E$10,3,FALSE))</f>
        <v/>
      </c>
      <c r="K63" s="73"/>
      <c r="L63" s="6" t="s">
        <v>5</v>
      </c>
      <c r="M63" s="73" t="str">
        <f>IF(T63="","",VLOOKUP(T63,Configuratie!$B$1:$E$10,4,FALSE))</f>
        <v/>
      </c>
      <c r="N63" s="73"/>
      <c r="R63" s="6" t="str">
        <f>IF(T63="","",VLOOKUP(T63,Configuratie!$B$1:$E$10,2,FALSE))</f>
        <v/>
      </c>
      <c r="S63" s="61"/>
      <c r="T63" s="5"/>
      <c r="AT63" s="6">
        <v>7</v>
      </c>
      <c r="AU63" s="6">
        <v>7</v>
      </c>
      <c r="AV63" s="6">
        <v>1</v>
      </c>
      <c r="AW63" s="6" t="str">
        <f t="shared" si="46"/>
        <v/>
      </c>
      <c r="AY63" s="48">
        <f>AU63*100+AV63</f>
        <v>701</v>
      </c>
      <c r="AZ63" s="48">
        <f>AV63*100+AU63</f>
        <v>107</v>
      </c>
      <c r="BA63" s="6">
        <f t="shared" si="45"/>
        <v>0</v>
      </c>
      <c r="BB63" s="6">
        <f t="shared" si="45"/>
        <v>0</v>
      </c>
      <c r="BC63" s="6" t="e">
        <f>J63*BB63</f>
        <v>#VALUE!</v>
      </c>
      <c r="BD63" s="6" t="e">
        <f>M63*BA63</f>
        <v>#VALUE!</v>
      </c>
    </row>
    <row r="64" spans="2:56" x14ac:dyDescent="0.25">
      <c r="B64" s="6">
        <v>5</v>
      </c>
      <c r="C64" s="6" t="str">
        <f>VLOOKUP(AU64,$B$4:$F$13,2,FALSE)</f>
        <v>H</v>
      </c>
      <c r="D64" s="46" t="s">
        <v>5</v>
      </c>
      <c r="E64" s="73" t="str">
        <f>VLOOKUP(AV64,$B$4:$F$13,2,FALSE)</f>
        <v>I</v>
      </c>
      <c r="F64" s="73"/>
      <c r="G64" s="73"/>
      <c r="H64" s="73"/>
      <c r="J64" s="73" t="str">
        <f>IF(T64="","",VLOOKUP(T64,Configuratie!$B$1:$E$10,3,FALSE))</f>
        <v/>
      </c>
      <c r="K64" s="73"/>
      <c r="L64" s="6" t="s">
        <v>5</v>
      </c>
      <c r="M64" s="73" t="str">
        <f>IF(T64="","",VLOOKUP(T64,Configuratie!$B$1:$E$10,4,FALSE))</f>
        <v/>
      </c>
      <c r="N64" s="73"/>
      <c r="R64" s="6" t="str">
        <f>IF(T64="","",VLOOKUP(T64,Configuratie!$B$1:$E$10,2,FALSE))</f>
        <v/>
      </c>
      <c r="S64" s="61"/>
      <c r="T64" s="5"/>
      <c r="AT64" s="6">
        <v>7</v>
      </c>
      <c r="AU64" s="6">
        <v>8</v>
      </c>
      <c r="AV64" s="6">
        <v>9</v>
      </c>
      <c r="AW64" s="6" t="str">
        <f t="shared" si="46"/>
        <v/>
      </c>
      <c r="AY64" s="48">
        <f>AU64*100+AV64</f>
        <v>809</v>
      </c>
      <c r="AZ64" s="48">
        <f>AV64*100+AU64</f>
        <v>908</v>
      </c>
      <c r="BA64" s="6">
        <f t="shared" si="45"/>
        <v>0</v>
      </c>
      <c r="BB64" s="6">
        <f t="shared" si="45"/>
        <v>0</v>
      </c>
      <c r="BC64" s="6" t="e">
        <f>J64*BB64</f>
        <v>#VALUE!</v>
      </c>
      <c r="BD64" s="6" t="e">
        <f>M64*BA64</f>
        <v>#VALUE!</v>
      </c>
    </row>
    <row r="65" spans="2:56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AW65" s="6" t="str">
        <f t="shared" si="46"/>
        <v/>
      </c>
      <c r="AY65" s="42"/>
      <c r="AZ65" s="42"/>
    </row>
    <row r="66" spans="2:56" x14ac:dyDescent="0.25">
      <c r="B66" s="45" t="s">
        <v>15</v>
      </c>
      <c r="AY66" s="42"/>
      <c r="AZ66" s="42"/>
    </row>
    <row r="67" spans="2:56" x14ac:dyDescent="0.25">
      <c r="B67" s="6">
        <v>1</v>
      </c>
      <c r="C67" s="6" t="str">
        <f>VLOOKUP(AU67,$B$4:$F$13,2,FALSE)</f>
        <v>J</v>
      </c>
      <c r="D67" s="46" t="s">
        <v>5</v>
      </c>
      <c r="E67" s="73" t="str">
        <f>VLOOKUP(AV67,$B$4:$F$13,2,FALSE)</f>
        <v>I</v>
      </c>
      <c r="F67" s="73"/>
      <c r="G67" s="73"/>
      <c r="H67" s="73"/>
      <c r="J67" s="73" t="str">
        <f>IF(T67="","",VLOOKUP(T67,Configuratie!$B$1:$E$10,3,FALSE))</f>
        <v/>
      </c>
      <c r="K67" s="73"/>
      <c r="L67" s="6" t="s">
        <v>5</v>
      </c>
      <c r="M67" s="73" t="str">
        <f>IF(T67="","",VLOOKUP(T67,Configuratie!$B$1:$E$10,4,FALSE))</f>
        <v/>
      </c>
      <c r="N67" s="73"/>
      <c r="R67" s="6" t="str">
        <f>IF(T67="","",VLOOKUP(T67,Configuratie!$B$1:$E$10,2,FALSE))</f>
        <v/>
      </c>
      <c r="S67" s="61"/>
      <c r="T67" s="5"/>
      <c r="AT67" s="6">
        <v>8</v>
      </c>
      <c r="AU67" s="6">
        <v>10</v>
      </c>
      <c r="AV67" s="6">
        <v>9</v>
      </c>
      <c r="AW67" s="6" t="str">
        <f>IF(AND(ISNUMBER(J67),ISNUMBER(M67)),IF(J67+M67=1,1,0),"")</f>
        <v/>
      </c>
      <c r="AY67" s="48">
        <f>AU67*100+AV67</f>
        <v>1009</v>
      </c>
      <c r="AZ67" s="48">
        <f>AV67*100+AU67</f>
        <v>910</v>
      </c>
      <c r="BA67" s="6">
        <f t="shared" ref="BA67:BB71" si="47">VLOOKUP(AU67,$BJ$3:$BS$13,$AT67,FALSE)</f>
        <v>0</v>
      </c>
      <c r="BB67" s="6">
        <f t="shared" si="47"/>
        <v>0</v>
      </c>
      <c r="BC67" s="6" t="e">
        <f>J67*BB67</f>
        <v>#VALUE!</v>
      </c>
      <c r="BD67" s="6" t="e">
        <f>M67*BA67</f>
        <v>#VALUE!</v>
      </c>
    </row>
    <row r="68" spans="2:56" x14ac:dyDescent="0.25">
      <c r="B68" s="6">
        <v>2</v>
      </c>
      <c r="C68" s="6" t="str">
        <f>VLOOKUP(AU68,$B$4:$F$13,2,FALSE)</f>
        <v>A</v>
      </c>
      <c r="D68" s="46" t="s">
        <v>5</v>
      </c>
      <c r="E68" s="73" t="str">
        <f>VLOOKUP(AV68,$B$4:$F$13,2,FALSE)</f>
        <v>H</v>
      </c>
      <c r="F68" s="73"/>
      <c r="G68" s="73"/>
      <c r="H68" s="73"/>
      <c r="J68" s="73" t="str">
        <f>IF(T68="","",VLOOKUP(T68,Configuratie!$B$1:$E$10,3,FALSE))</f>
        <v/>
      </c>
      <c r="K68" s="73"/>
      <c r="L68" s="6" t="s">
        <v>5</v>
      </c>
      <c r="M68" s="73" t="str">
        <f>IF(T68="","",VLOOKUP(T68,Configuratie!$B$1:$E$10,4,FALSE))</f>
        <v/>
      </c>
      <c r="N68" s="73"/>
      <c r="R68" s="6" t="str">
        <f>IF(T68="","",VLOOKUP(T68,Configuratie!$B$1:$E$10,2,FALSE))</f>
        <v/>
      </c>
      <c r="S68" s="61"/>
      <c r="T68" s="5"/>
      <c r="AT68" s="6">
        <v>8</v>
      </c>
      <c r="AU68" s="6">
        <v>1</v>
      </c>
      <c r="AV68" s="6">
        <v>8</v>
      </c>
      <c r="AW68" s="6" t="str">
        <f t="shared" ref="AW68:AW72" si="48">IF(AND(ISNUMBER(J68),ISNUMBER(M68)),IF(J68+M68=1,1,0),"")</f>
        <v/>
      </c>
      <c r="AY68" s="48">
        <f>AU68*100+AV68</f>
        <v>108</v>
      </c>
      <c r="AZ68" s="48">
        <f>AV68*100+AU68</f>
        <v>801</v>
      </c>
      <c r="BA68" s="6">
        <f t="shared" si="47"/>
        <v>0</v>
      </c>
      <c r="BB68" s="6">
        <f t="shared" si="47"/>
        <v>0</v>
      </c>
      <c r="BC68" s="6" t="e">
        <f>J68*BB68</f>
        <v>#VALUE!</v>
      </c>
      <c r="BD68" s="6" t="e">
        <f>M68*BA68</f>
        <v>#VALUE!</v>
      </c>
    </row>
    <row r="69" spans="2:56" x14ac:dyDescent="0.25">
      <c r="B69" s="6">
        <v>3</v>
      </c>
      <c r="C69" s="6" t="str">
        <f>VLOOKUP(AU69,$B$4:$F$13,2,FALSE)</f>
        <v>B</v>
      </c>
      <c r="D69" s="46" t="s">
        <v>5</v>
      </c>
      <c r="E69" s="73" t="str">
        <f>VLOOKUP(AV69,$B$4:$F$13,2,FALSE)</f>
        <v>G</v>
      </c>
      <c r="F69" s="73"/>
      <c r="G69" s="73"/>
      <c r="H69" s="73"/>
      <c r="J69" s="73" t="str">
        <f>IF(T69="","",VLOOKUP(T69,Configuratie!$B$1:$E$10,3,FALSE))</f>
        <v/>
      </c>
      <c r="K69" s="73"/>
      <c r="L69" s="6" t="s">
        <v>5</v>
      </c>
      <c r="M69" s="73" t="str">
        <f>IF(T69="","",VLOOKUP(T69,Configuratie!$B$1:$E$10,4,FALSE))</f>
        <v/>
      </c>
      <c r="N69" s="73"/>
      <c r="R69" s="6" t="str">
        <f>IF(T69="","",VLOOKUP(T69,Configuratie!$B$1:$E$10,2,FALSE))</f>
        <v/>
      </c>
      <c r="S69" s="61"/>
      <c r="T69" s="5"/>
      <c r="AT69" s="6">
        <v>8</v>
      </c>
      <c r="AU69" s="6">
        <v>2</v>
      </c>
      <c r="AV69" s="6">
        <v>7</v>
      </c>
      <c r="AW69" s="6" t="str">
        <f t="shared" si="48"/>
        <v/>
      </c>
      <c r="AY69" s="48">
        <f>AU69*100+AV69</f>
        <v>207</v>
      </c>
      <c r="AZ69" s="48">
        <f>AV69*100+AU69</f>
        <v>702</v>
      </c>
      <c r="BA69" s="6">
        <f t="shared" si="47"/>
        <v>0</v>
      </c>
      <c r="BB69" s="6">
        <f t="shared" si="47"/>
        <v>0</v>
      </c>
      <c r="BC69" s="6" t="e">
        <f>J69*BB69</f>
        <v>#VALUE!</v>
      </c>
      <c r="BD69" s="6" t="e">
        <f>M69*BA69</f>
        <v>#VALUE!</v>
      </c>
    </row>
    <row r="70" spans="2:56" x14ac:dyDescent="0.25">
      <c r="B70" s="6">
        <v>4</v>
      </c>
      <c r="C70" s="6" t="str">
        <f>VLOOKUP(AU70,$B$4:$F$13,2,FALSE)</f>
        <v>C</v>
      </c>
      <c r="D70" s="46" t="s">
        <v>5</v>
      </c>
      <c r="E70" s="73" t="str">
        <f>VLOOKUP(AV70,$B$4:$F$13,2,FALSE)</f>
        <v>F</v>
      </c>
      <c r="F70" s="73"/>
      <c r="G70" s="73"/>
      <c r="H70" s="73"/>
      <c r="J70" s="73" t="str">
        <f>IF(T70="","",VLOOKUP(T70,Configuratie!$B$1:$E$10,3,FALSE))</f>
        <v/>
      </c>
      <c r="K70" s="73"/>
      <c r="L70" s="6" t="s">
        <v>5</v>
      </c>
      <c r="M70" s="73" t="str">
        <f>IF(T70="","",VLOOKUP(T70,Configuratie!$B$1:$E$10,4,FALSE))</f>
        <v/>
      </c>
      <c r="N70" s="73"/>
      <c r="R70" s="6" t="str">
        <f>IF(T70="","",VLOOKUP(T70,Configuratie!$B$1:$E$10,2,FALSE))</f>
        <v/>
      </c>
      <c r="S70" s="61"/>
      <c r="T70" s="5"/>
      <c r="AT70" s="6">
        <v>8</v>
      </c>
      <c r="AU70" s="6">
        <v>3</v>
      </c>
      <c r="AV70" s="6">
        <v>6</v>
      </c>
      <c r="AW70" s="6" t="str">
        <f t="shared" si="48"/>
        <v/>
      </c>
      <c r="AY70" s="48">
        <f>AU70*100+AV70</f>
        <v>306</v>
      </c>
      <c r="AZ70" s="48">
        <f>AV70*100+AU70</f>
        <v>603</v>
      </c>
      <c r="BA70" s="6">
        <f t="shared" si="47"/>
        <v>0</v>
      </c>
      <c r="BB70" s="6">
        <f t="shared" si="47"/>
        <v>0</v>
      </c>
      <c r="BC70" s="6" t="e">
        <f>J70*BB70</f>
        <v>#VALUE!</v>
      </c>
      <c r="BD70" s="6" t="e">
        <f>M70*BA70</f>
        <v>#VALUE!</v>
      </c>
    </row>
    <row r="71" spans="2:56" x14ac:dyDescent="0.25">
      <c r="B71" s="6">
        <v>5</v>
      </c>
      <c r="C71" s="6" t="str">
        <f>VLOOKUP(AU71,$B$4:$F$13,2,FALSE)</f>
        <v>D</v>
      </c>
      <c r="D71" s="46" t="s">
        <v>5</v>
      </c>
      <c r="E71" s="73" t="str">
        <f>VLOOKUP(AV71,$B$4:$F$13,2,FALSE)</f>
        <v>E</v>
      </c>
      <c r="F71" s="73"/>
      <c r="G71" s="73"/>
      <c r="H71" s="73"/>
      <c r="J71" s="73" t="str">
        <f>IF(T71="","",VLOOKUP(T71,Configuratie!$B$1:$E$10,3,FALSE))</f>
        <v/>
      </c>
      <c r="K71" s="73"/>
      <c r="L71" s="6" t="s">
        <v>5</v>
      </c>
      <c r="M71" s="73" t="str">
        <f>IF(T71="","",VLOOKUP(T71,Configuratie!$B$1:$E$10,4,FALSE))</f>
        <v/>
      </c>
      <c r="N71" s="73"/>
      <c r="R71" s="6" t="str">
        <f>IF(T71="","",VLOOKUP(T71,Configuratie!$B$1:$E$10,2,FALSE))</f>
        <v/>
      </c>
      <c r="S71" s="61"/>
      <c r="T71" s="5"/>
      <c r="AT71" s="6">
        <v>8</v>
      </c>
      <c r="AU71" s="6">
        <v>4</v>
      </c>
      <c r="AV71" s="6">
        <v>5</v>
      </c>
      <c r="AW71" s="6" t="str">
        <f t="shared" si="48"/>
        <v/>
      </c>
      <c r="AY71" s="48">
        <f>AU71*100+AV71</f>
        <v>405</v>
      </c>
      <c r="AZ71" s="48">
        <f>AV71*100+AU71</f>
        <v>504</v>
      </c>
      <c r="BA71" s="6">
        <f t="shared" si="47"/>
        <v>0</v>
      </c>
      <c r="BB71" s="6">
        <f t="shared" si="47"/>
        <v>0</v>
      </c>
      <c r="BC71" s="6" t="e">
        <f>J71*BB71</f>
        <v>#VALUE!</v>
      </c>
      <c r="BD71" s="6" t="e">
        <f>M71*BA71</f>
        <v>#VALUE!</v>
      </c>
    </row>
    <row r="72" spans="2:56" ht="3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AW72" s="6" t="str">
        <f t="shared" si="48"/>
        <v/>
      </c>
      <c r="AY72" s="42"/>
      <c r="AZ72" s="42"/>
    </row>
    <row r="73" spans="2:56" x14ac:dyDescent="0.25">
      <c r="B73" s="45" t="s">
        <v>16</v>
      </c>
      <c r="AY73" s="42"/>
      <c r="AZ73" s="42"/>
    </row>
    <row r="74" spans="2:56" x14ac:dyDescent="0.25">
      <c r="B74" s="6">
        <v>1</v>
      </c>
      <c r="C74" s="6" t="str">
        <f>VLOOKUP(AU74,$B$4:$F$13,2,FALSE)</f>
        <v>E</v>
      </c>
      <c r="D74" s="46" t="s">
        <v>5</v>
      </c>
      <c r="E74" s="73" t="str">
        <f>VLOOKUP(AV74,$B$4:$F$13,2,FALSE)</f>
        <v>J</v>
      </c>
      <c r="F74" s="73"/>
      <c r="G74" s="73"/>
      <c r="H74" s="73"/>
      <c r="J74" s="73" t="str">
        <f>IF(T74="","",VLOOKUP(T74,Configuratie!$B$1:$E$10,3,FALSE))</f>
        <v/>
      </c>
      <c r="K74" s="73"/>
      <c r="L74" s="6" t="s">
        <v>5</v>
      </c>
      <c r="M74" s="73" t="str">
        <f>IF(T74="","",VLOOKUP(T74,Configuratie!$B$1:$E$10,4,FALSE))</f>
        <v/>
      </c>
      <c r="N74" s="73"/>
      <c r="R74" s="6" t="str">
        <f>IF(T74="","",VLOOKUP(T74,Configuratie!$B$1:$E$10,2,FALSE))</f>
        <v/>
      </c>
      <c r="S74" s="61"/>
      <c r="T74" s="5"/>
      <c r="AT74" s="6">
        <v>9</v>
      </c>
      <c r="AU74" s="6">
        <v>5</v>
      </c>
      <c r="AV74" s="6">
        <v>10</v>
      </c>
      <c r="AW74" s="6" t="str">
        <f>IF(AND(ISNUMBER(J74),ISNUMBER(M74)),IF(J74+M74=1,1,0),"")</f>
        <v/>
      </c>
      <c r="AY74" s="48">
        <f>AU74*100+AV74</f>
        <v>510</v>
      </c>
      <c r="AZ74" s="48">
        <f>AV74*100+AU74</f>
        <v>1005</v>
      </c>
      <c r="BA74" s="6">
        <f t="shared" ref="BA74:BB78" si="49">VLOOKUP(AU74,$BJ$3:$BS$13,$AT74,FALSE)</f>
        <v>0</v>
      </c>
      <c r="BB74" s="6">
        <f t="shared" si="49"/>
        <v>0</v>
      </c>
      <c r="BC74" s="6" t="e">
        <f>J74*BB74</f>
        <v>#VALUE!</v>
      </c>
      <c r="BD74" s="6" t="e">
        <f>M74*BA74</f>
        <v>#VALUE!</v>
      </c>
    </row>
    <row r="75" spans="2:56" x14ac:dyDescent="0.25">
      <c r="B75" s="6">
        <v>2</v>
      </c>
      <c r="C75" s="6" t="str">
        <f>VLOOKUP(AU75,$B$4:$F$13,2,FALSE)</f>
        <v>F</v>
      </c>
      <c r="D75" s="46" t="s">
        <v>5</v>
      </c>
      <c r="E75" s="73" t="str">
        <f>VLOOKUP(AV75,$B$4:$F$13,2,FALSE)</f>
        <v>D</v>
      </c>
      <c r="F75" s="73"/>
      <c r="G75" s="73"/>
      <c r="H75" s="73"/>
      <c r="J75" s="73" t="str">
        <f>IF(T75="","",VLOOKUP(T75,Configuratie!$B$1:$E$10,3,FALSE))</f>
        <v/>
      </c>
      <c r="K75" s="73"/>
      <c r="L75" s="6" t="s">
        <v>5</v>
      </c>
      <c r="M75" s="73" t="str">
        <f>IF(T75="","",VLOOKUP(T75,Configuratie!$B$1:$E$10,4,FALSE))</f>
        <v/>
      </c>
      <c r="N75" s="73"/>
      <c r="R75" s="6" t="str">
        <f>IF(T75="","",VLOOKUP(T75,Configuratie!$B$1:$E$10,2,FALSE))</f>
        <v/>
      </c>
      <c r="S75" s="61"/>
      <c r="T75" s="5"/>
      <c r="AT75" s="6">
        <v>9</v>
      </c>
      <c r="AU75" s="6">
        <v>6</v>
      </c>
      <c r="AV75" s="6">
        <v>4</v>
      </c>
      <c r="AW75" s="6" t="str">
        <f t="shared" ref="AW75:AW79" si="50">IF(AND(ISNUMBER(J75),ISNUMBER(M75)),IF(J75+M75=1,1,0),"")</f>
        <v/>
      </c>
      <c r="AY75" s="48">
        <f>AU75*100+AV75</f>
        <v>604</v>
      </c>
      <c r="AZ75" s="48">
        <f>AV75*100+AU75</f>
        <v>406</v>
      </c>
      <c r="BA75" s="6">
        <f t="shared" si="49"/>
        <v>0</v>
      </c>
      <c r="BB75" s="6">
        <f t="shared" si="49"/>
        <v>0</v>
      </c>
      <c r="BC75" s="6" t="e">
        <f>J75*BB75</f>
        <v>#VALUE!</v>
      </c>
      <c r="BD75" s="6" t="e">
        <f>M75*BA75</f>
        <v>#VALUE!</v>
      </c>
    </row>
    <row r="76" spans="2:56" x14ac:dyDescent="0.25">
      <c r="B76" s="6">
        <v>3</v>
      </c>
      <c r="C76" s="6" t="str">
        <f>VLOOKUP(AU76,$B$4:$F$13,2,FALSE)</f>
        <v>G</v>
      </c>
      <c r="D76" s="46" t="s">
        <v>5</v>
      </c>
      <c r="E76" s="73" t="str">
        <f>VLOOKUP(AV76,$B$4:$F$13,2,FALSE)</f>
        <v>C</v>
      </c>
      <c r="F76" s="73"/>
      <c r="G76" s="73"/>
      <c r="H76" s="73"/>
      <c r="J76" s="73" t="str">
        <f>IF(T76="","",VLOOKUP(T76,Configuratie!$B$1:$E$10,3,FALSE))</f>
        <v/>
      </c>
      <c r="K76" s="73"/>
      <c r="L76" s="6" t="s">
        <v>5</v>
      </c>
      <c r="M76" s="73" t="str">
        <f>IF(T76="","",VLOOKUP(T76,Configuratie!$B$1:$E$10,4,FALSE))</f>
        <v/>
      </c>
      <c r="N76" s="73"/>
      <c r="R76" s="6" t="str">
        <f>IF(T76="","",VLOOKUP(T76,Configuratie!$B$1:$E$10,2,FALSE))</f>
        <v/>
      </c>
      <c r="S76" s="61"/>
      <c r="T76" s="5"/>
      <c r="AT76" s="6">
        <v>9</v>
      </c>
      <c r="AU76" s="6">
        <v>7</v>
      </c>
      <c r="AV76" s="6">
        <v>3</v>
      </c>
      <c r="AW76" s="6" t="str">
        <f t="shared" si="50"/>
        <v/>
      </c>
      <c r="AY76" s="48">
        <f>AU76*100+AV76</f>
        <v>703</v>
      </c>
      <c r="AZ76" s="48">
        <f>AV76*100+AU76</f>
        <v>307</v>
      </c>
      <c r="BA76" s="6">
        <f t="shared" si="49"/>
        <v>0</v>
      </c>
      <c r="BB76" s="6">
        <f t="shared" si="49"/>
        <v>0</v>
      </c>
      <c r="BC76" s="6" t="e">
        <f>J76*BB76</f>
        <v>#VALUE!</v>
      </c>
      <c r="BD76" s="6" t="e">
        <f>M76*BA76</f>
        <v>#VALUE!</v>
      </c>
    </row>
    <row r="77" spans="2:56" x14ac:dyDescent="0.25">
      <c r="B77" s="6">
        <v>4</v>
      </c>
      <c r="C77" s="6" t="str">
        <f>VLOOKUP(AU77,$B$4:$F$13,2,FALSE)</f>
        <v>H</v>
      </c>
      <c r="D77" s="46" t="s">
        <v>5</v>
      </c>
      <c r="E77" s="73" t="str">
        <f>VLOOKUP(AV77,$B$4:$F$13,2,FALSE)</f>
        <v>B</v>
      </c>
      <c r="F77" s="73"/>
      <c r="G77" s="73"/>
      <c r="H77" s="73"/>
      <c r="J77" s="73" t="str">
        <f>IF(T77="","",VLOOKUP(T77,Configuratie!$B$1:$E$10,3,FALSE))</f>
        <v/>
      </c>
      <c r="K77" s="73"/>
      <c r="L77" s="6" t="s">
        <v>5</v>
      </c>
      <c r="M77" s="73" t="str">
        <f>IF(T77="","",VLOOKUP(T77,Configuratie!$B$1:$E$10,4,FALSE))</f>
        <v/>
      </c>
      <c r="N77" s="73"/>
      <c r="R77" s="6" t="str">
        <f>IF(T77="","",VLOOKUP(T77,Configuratie!$B$1:$E$10,2,FALSE))</f>
        <v/>
      </c>
      <c r="S77" s="61"/>
      <c r="T77" s="5"/>
      <c r="AT77" s="6">
        <v>9</v>
      </c>
      <c r="AU77" s="6">
        <v>8</v>
      </c>
      <c r="AV77" s="6">
        <v>2</v>
      </c>
      <c r="AW77" s="6" t="str">
        <f t="shared" si="50"/>
        <v/>
      </c>
      <c r="AY77" s="48">
        <f>AU77*100+AV77</f>
        <v>802</v>
      </c>
      <c r="AZ77" s="48">
        <f>AV77*100+AU77</f>
        <v>208</v>
      </c>
      <c r="BA77" s="6">
        <f t="shared" si="49"/>
        <v>0</v>
      </c>
      <c r="BB77" s="6">
        <f t="shared" si="49"/>
        <v>0</v>
      </c>
      <c r="BC77" s="6" t="e">
        <f>J77*BB77</f>
        <v>#VALUE!</v>
      </c>
      <c r="BD77" s="6" t="e">
        <f>M77*BA77</f>
        <v>#VALUE!</v>
      </c>
    </row>
    <row r="78" spans="2:56" x14ac:dyDescent="0.25">
      <c r="B78" s="6">
        <v>5</v>
      </c>
      <c r="C78" s="6" t="str">
        <f>VLOOKUP(AU78,$B$4:$F$13,2,FALSE)</f>
        <v>I</v>
      </c>
      <c r="D78" s="46" t="s">
        <v>5</v>
      </c>
      <c r="E78" s="73" t="str">
        <f>VLOOKUP(AV78,$B$4:$F$13,2,FALSE)</f>
        <v>A</v>
      </c>
      <c r="F78" s="73"/>
      <c r="G78" s="73"/>
      <c r="H78" s="73"/>
      <c r="J78" s="73" t="str">
        <f>IF(T78="","",VLOOKUP(T78,Configuratie!$B$1:$E$10,3,FALSE))</f>
        <v/>
      </c>
      <c r="K78" s="73"/>
      <c r="L78" s="6" t="s">
        <v>5</v>
      </c>
      <c r="M78" s="73" t="str">
        <f>IF(T78="","",VLOOKUP(T78,Configuratie!$B$1:$E$10,4,FALSE))</f>
        <v/>
      </c>
      <c r="N78" s="73"/>
      <c r="R78" s="6" t="str">
        <f>IF(T78="","",VLOOKUP(T78,Configuratie!$B$1:$E$10,2,FALSE))</f>
        <v/>
      </c>
      <c r="S78" s="61"/>
      <c r="T78" s="5"/>
      <c r="AT78" s="6">
        <v>9</v>
      </c>
      <c r="AU78" s="6">
        <v>9</v>
      </c>
      <c r="AV78" s="6">
        <v>1</v>
      </c>
      <c r="AW78" s="6" t="str">
        <f t="shared" si="50"/>
        <v/>
      </c>
      <c r="AY78" s="48">
        <f>AU78*100+AV78</f>
        <v>901</v>
      </c>
      <c r="AZ78" s="48">
        <f>AV78*100+AU78</f>
        <v>109</v>
      </c>
      <c r="BA78" s="6">
        <f t="shared" si="49"/>
        <v>0</v>
      </c>
      <c r="BB78" s="6">
        <f t="shared" si="49"/>
        <v>0</v>
      </c>
      <c r="BC78" s="6" t="e">
        <f>J78*BB78</f>
        <v>#VALUE!</v>
      </c>
      <c r="BD78" s="6" t="e">
        <f>M78*BA78</f>
        <v>#VALUE!</v>
      </c>
    </row>
    <row r="79" spans="2:56" x14ac:dyDescent="0.25">
      <c r="AW79" s="6" t="str">
        <f t="shared" si="50"/>
        <v/>
      </c>
    </row>
  </sheetData>
  <sheetProtection password="CA5D" sheet="1" objects="1" scenarios="1" selectLockedCells="1"/>
  <sortState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1"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V1:AA1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B1:F1"/>
    <mergeCell ref="G1:R1"/>
  </mergeCells>
  <conditionalFormatting sqref="H4:Q13">
    <cfRule type="cellIs" dxfId="12" priority="1" stopIfTrue="1" operator="between">
      <formula>0</formula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7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BX55"/>
  <sheetViews>
    <sheetView view="pageBreakPreview" topLeftCell="A16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5" width="3.7109375" style="6" customWidth="1"/>
    <col min="16" max="17" width="3.7109375" style="6" hidden="1" customWidth="1"/>
    <col min="18" max="18" width="10.5703125" style="6" customWidth="1"/>
    <col min="19" max="20" width="6.85546875" style="6" customWidth="1"/>
    <col min="21" max="21" width="3.85546875" style="6" hidden="1" customWidth="1"/>
    <col min="22" max="22" width="3.7109375" style="6" customWidth="1"/>
    <col min="23" max="23" width="6.7109375" style="6" customWidth="1"/>
    <col min="24" max="24" width="6.7109375" style="6" hidden="1" customWidth="1"/>
    <col min="25" max="25" width="3" style="6" hidden="1" customWidth="1"/>
    <col min="26" max="26" width="27.7109375" style="6" customWidth="1"/>
    <col min="27" max="27" width="6.7109375" style="6" customWidth="1"/>
    <col min="28" max="28" width="6.7109375" style="6" hidden="1" customWidth="1"/>
    <col min="29" max="29" width="6.7109375" style="6" customWidth="1"/>
    <col min="30" max="32" width="6.7109375" style="6" hidden="1" customWidth="1"/>
    <col min="33" max="33" width="8.5703125" style="6" hidden="1" customWidth="1"/>
    <col min="34" max="34" width="6" style="6" hidden="1" customWidth="1"/>
    <col min="35" max="35" width="8.5703125" style="6" hidden="1" customWidth="1"/>
    <col min="36" max="36" width="5.5703125" style="6" hidden="1" customWidth="1"/>
    <col min="37" max="37" width="8.5703125" style="6" hidden="1" customWidth="1"/>
    <col min="38" max="38" width="5" style="6" hidden="1" customWidth="1"/>
    <col min="39" max="39" width="6.7109375" style="6" hidden="1" customWidth="1"/>
    <col min="40" max="40" width="8.5703125" style="6" hidden="1" customWidth="1"/>
    <col min="41" max="41" width="4.28515625" style="6" hidden="1" customWidth="1"/>
    <col min="42" max="42" width="6" style="6" hidden="1" customWidth="1"/>
    <col min="43" max="43" width="5.28515625" style="6" hidden="1" customWidth="1"/>
    <col min="44" max="50" width="6.7109375" style="6" hidden="1" customWidth="1"/>
    <col min="51" max="54" width="9.140625" style="6" hidden="1" customWidth="1"/>
    <col min="55" max="56" width="4.42578125" style="6" hidden="1" customWidth="1"/>
    <col min="57" max="75" width="3.7109375" style="6" hidden="1" customWidth="1"/>
    <col min="76" max="76" width="9.140625" style="6" hidden="1" customWidth="1"/>
    <col min="77" max="77" width="9.140625" style="6" customWidth="1"/>
    <col min="78" max="16384" width="9.140625" style="6"/>
  </cols>
  <sheetData>
    <row r="1" spans="1:75" ht="26.25" x14ac:dyDescent="0.4">
      <c r="A1" s="24">
        <v>8</v>
      </c>
      <c r="B1" s="74" t="s">
        <v>31</v>
      </c>
      <c r="C1" s="74"/>
      <c r="D1" s="74"/>
      <c r="E1" s="74"/>
      <c r="F1" s="74"/>
      <c r="G1" s="75" t="s">
        <v>32</v>
      </c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15"/>
      <c r="T1" s="15"/>
      <c r="U1" s="15"/>
      <c r="V1" s="15"/>
      <c r="W1" s="68" t="str">
        <f>"UITSLAG " &amp; G1</f>
        <v>UITSLAG GROEP A</v>
      </c>
      <c r="X1" s="69"/>
      <c r="Y1" s="69"/>
      <c r="Z1" s="69"/>
      <c r="AA1" s="69"/>
      <c r="AB1" s="69"/>
      <c r="AC1" s="69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27</v>
      </c>
      <c r="AZ2" s="16" t="s">
        <v>26</v>
      </c>
      <c r="BA2" s="16" t="s">
        <v>28</v>
      </c>
      <c r="BD2" s="69" t="s">
        <v>22</v>
      </c>
      <c r="BE2" s="69"/>
      <c r="BF2" s="69"/>
      <c r="BG2" s="69"/>
      <c r="BH2" s="69"/>
      <c r="BI2" s="69"/>
      <c r="BJ2" s="69"/>
      <c r="BK2" s="69"/>
      <c r="BL2" s="69"/>
      <c r="BM2" s="17"/>
      <c r="BN2" s="18"/>
      <c r="BO2" s="69" t="s">
        <v>23</v>
      </c>
      <c r="BP2" s="69"/>
      <c r="BQ2" s="69"/>
      <c r="BR2" s="69"/>
      <c r="BS2" s="69"/>
      <c r="BT2" s="69"/>
      <c r="BU2" s="69"/>
      <c r="BV2" s="69"/>
      <c r="BW2" s="69"/>
    </row>
    <row r="3" spans="1:75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17</v>
      </c>
      <c r="S3" s="7" t="s">
        <v>26</v>
      </c>
      <c r="T3" s="7" t="s">
        <v>69</v>
      </c>
      <c r="U3" s="13"/>
      <c r="V3" s="21"/>
      <c r="W3" s="7" t="s">
        <v>33</v>
      </c>
      <c r="X3" s="7"/>
      <c r="Y3" s="22" t="s">
        <v>30</v>
      </c>
      <c r="Z3" s="7" t="s">
        <v>6</v>
      </c>
      <c r="AA3" s="7" t="s">
        <v>29</v>
      </c>
      <c r="AB3" s="7" t="s">
        <v>24</v>
      </c>
      <c r="AC3" s="7" t="s">
        <v>26</v>
      </c>
      <c r="AD3" s="7" t="s">
        <v>34</v>
      </c>
      <c r="AE3" s="7" t="s">
        <v>35</v>
      </c>
      <c r="AF3" s="13"/>
      <c r="AG3" s="7" t="s">
        <v>60</v>
      </c>
      <c r="AH3" s="7" t="s">
        <v>61</v>
      </c>
      <c r="AI3" s="7" t="s">
        <v>62</v>
      </c>
      <c r="AJ3" s="7" t="s">
        <v>63</v>
      </c>
      <c r="AK3" s="7" t="s">
        <v>64</v>
      </c>
      <c r="AL3" s="7" t="s">
        <v>65</v>
      </c>
      <c r="AM3" s="7"/>
      <c r="AN3" s="7" t="s">
        <v>66</v>
      </c>
      <c r="AO3" s="7" t="s">
        <v>67</v>
      </c>
      <c r="AP3" s="7" t="s">
        <v>68</v>
      </c>
      <c r="AQ3" s="7" t="s">
        <v>69</v>
      </c>
      <c r="AR3" s="7"/>
      <c r="AS3" s="7" t="s">
        <v>69</v>
      </c>
      <c r="AT3" s="7" t="s">
        <v>70</v>
      </c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30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1</v>
      </c>
      <c r="B4" s="25">
        <v>1</v>
      </c>
      <c r="C4" s="25" t="s">
        <v>40</v>
      </c>
      <c r="D4" s="76"/>
      <c r="E4" s="76"/>
      <c r="F4" s="25">
        <v>1000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 t="str">
        <f>IF((SUMIF($BC$13:$BC$55,$B4*100+I$3,$BA$13:$BA$55)+SUMIF($BC$13:$BC$55,$B4+I$3*100,$BA$13:$BA$55))=1,(SUMIF($BC$13:$BC$55,$B4*100+I$3,$J$13:$J$55)+SUMIF($BD$13:$BD$55,$B4*100+I$3,$M$13:$M$55)),"")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8"/>
      <c r="Q4" s="53"/>
      <c r="R4" s="62">
        <f t="shared" ref="R4:R11" si="1">SUM(H4:Q4)</f>
        <v>0</v>
      </c>
      <c r="S4" s="8">
        <f>IF(H4="",0,H4)*$R$4+IF(I4="",0,I4)*$R$5+IF(J4="",0,J4)*$R$6+IF(K4="",0,K4)*$R$7+IF(L4="",0,L4)*$R$8+IF(M4="",0,M4)*$R$9+IF(N4="",0,N4)*$R$10+IF(O4="",0,O4)*$R$11</f>
        <v>0</v>
      </c>
      <c r="T4" s="8">
        <f>AQ4</f>
        <v>1</v>
      </c>
      <c r="U4" s="14"/>
      <c r="V4" s="30"/>
      <c r="W4" s="31">
        <v>1</v>
      </c>
      <c r="X4" s="31" t="str">
        <f>C4</f>
        <v>A</v>
      </c>
      <c r="Y4" s="32">
        <v>2</v>
      </c>
      <c r="Z4" s="33" t="str">
        <f>IF(ISNA(VLOOKUP(B4,$A$4:$T$11,3,FALSE)),C4,VLOOKUP(B4,$A$4:$T$11,3,FALSE))</f>
        <v>A</v>
      </c>
      <c r="AA4" s="63">
        <f>IF(ISNA(VLOOKUP($B4,$A$4:$T$11,18,FALSE)),0,VLOOKUP($B4,$A$4:$T$11,18,FALSE))</f>
        <v>0</v>
      </c>
      <c r="AB4" s="64">
        <f t="shared" ref="AB4" si="2">VLOOKUP($B4,$A$4:$T$11,18,FALSE)</f>
        <v>0</v>
      </c>
      <c r="AC4" s="12">
        <f>IF(ISNA(VLOOKUP($B4,$A$4:$T$11,19,FALSE)),0,VLOOKUP($B4,$A$4:$T$11,19,FALSE))</f>
        <v>0</v>
      </c>
      <c r="AD4" s="34">
        <f t="shared" ref="AD4:AD11" si="3">VLOOKUP($Y4,$AX$4:$BA$11,4,FALSE)</f>
        <v>0</v>
      </c>
      <c r="AE4" s="35">
        <f t="shared" ref="AE4:AE11" si="4">VLOOKUP($Y4,$B$4:$R$11,5,FALSE)</f>
        <v>1000</v>
      </c>
      <c r="AF4" s="56"/>
      <c r="AG4" s="65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66">
        <f>$AG$13*R4+AG4</f>
        <v>0</v>
      </c>
      <c r="AI4" s="65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66">
        <f>$AI$13*AH4+AI4</f>
        <v>0</v>
      </c>
      <c r="AK4" s="65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56">
        <f>$AK$13*AJ4+AK4</f>
        <v>0</v>
      </c>
      <c r="AM4" s="56"/>
      <c r="AN4" s="56">
        <f>RANK(AL4,$AL$4:$AL$11,1)-1</f>
        <v>0</v>
      </c>
      <c r="AO4" s="56">
        <f>RANK(S4,$S$4:$S$11,1)-1</f>
        <v>0</v>
      </c>
      <c r="AP4" s="56">
        <f>8*AN4+AO4</f>
        <v>0</v>
      </c>
      <c r="AQ4" s="56">
        <f>RANK(AP4,$AP$4:$AP$11)</f>
        <v>1</v>
      </c>
      <c r="AR4" s="56"/>
      <c r="AS4" s="56"/>
      <c r="AT4" s="56"/>
      <c r="AU4" s="56"/>
      <c r="AV4" s="56"/>
      <c r="AW4" s="30"/>
      <c r="AX4" s="37">
        <v>1</v>
      </c>
      <c r="AY4" s="38">
        <f t="shared" ref="AY4:AY11" si="6">SUMIF($AY$13:$AY$55,B4,$BE$13:$BE$55)+SUMIF($AZ$13:$AZ$55,B4,$BF$13:$BF$55)</f>
        <v>0</v>
      </c>
      <c r="AZ4" s="39" t="e">
        <f t="shared" ref="AZ4:AZ11" si="7">SUMIF($AY$13:$AY$55,B4,$BG$13:$BG$55)+SUMIF($AZ$13:$AZ$55,B4,$BH$13:$BH$55)</f>
        <v>#VALUE!</v>
      </c>
      <c r="BA4" s="39">
        <f>SUM(BO4:BW4)</f>
        <v>0</v>
      </c>
      <c r="BC4" s="6">
        <v>1</v>
      </c>
      <c r="BD4" s="6">
        <f t="shared" ref="BD4:BL11" si="8" xml:space="preserve"> SUMIFS( $J$16:$J$55, $AY$16:$AY$55,$BC4, $AX$16:$AX$55,BD$3) + SUMIFS( $M$16:$M$55, $AZ$16:$AZ$55,$BC4, $AX$16:$AX$55,BD$3)</f>
        <v>0</v>
      </c>
      <c r="BE4" s="6">
        <f t="shared" si="8"/>
        <v>0</v>
      </c>
      <c r="BF4" s="6">
        <f t="shared" si="8"/>
        <v>0</v>
      </c>
      <c r="BG4" s="6">
        <f t="shared" si="8"/>
        <v>0</v>
      </c>
      <c r="BH4" s="6">
        <f t="shared" si="8"/>
        <v>0</v>
      </c>
      <c r="BI4" s="6">
        <f t="shared" si="8"/>
        <v>0</v>
      </c>
      <c r="BJ4" s="6">
        <f t="shared" si="8"/>
        <v>0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0</v>
      </c>
      <c r="BP4" s="6">
        <f t="shared" ref="BP4:BW11" si="9">BO4+BE4</f>
        <v>0</v>
      </c>
      <c r="BQ4" s="6">
        <f t="shared" si="9"/>
        <v>0</v>
      </c>
      <c r="BR4" s="6">
        <f t="shared" si="9"/>
        <v>0</v>
      </c>
      <c r="BS4" s="6">
        <f t="shared" si="9"/>
        <v>0</v>
      </c>
      <c r="BT4" s="6">
        <f t="shared" si="9"/>
        <v>0</v>
      </c>
      <c r="BU4" s="6">
        <f t="shared" si="9"/>
        <v>0</v>
      </c>
      <c r="BV4" s="6">
        <f t="shared" si="9"/>
        <v>0</v>
      </c>
      <c r="BW4" s="6">
        <f t="shared" si="9"/>
        <v>0</v>
      </c>
    </row>
    <row r="5" spans="1:75" x14ac:dyDescent="0.25">
      <c r="A5" s="24">
        <f t="shared" ref="A5:A12" si="10">T5</f>
        <v>1</v>
      </c>
      <c r="B5" s="25">
        <v>2</v>
      </c>
      <c r="C5" s="25" t="s">
        <v>41</v>
      </c>
      <c r="D5" s="76"/>
      <c r="E5" s="76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8"/>
      <c r="Q5" s="53"/>
      <c r="R5" s="62">
        <f t="shared" si="1"/>
        <v>0</v>
      </c>
      <c r="S5" s="8">
        <f t="shared" ref="S5:S11" si="11">IF(H5="",0,H5)*$R$4+IF(I5="",0,I5)*$R$5+IF(J5="",0,J5)*$R$6+IF(K5="",0,K5)*$R$7+IF(L5="",0,L5)*$R$8+IF(M5="",0,M5)*$R$9+IF(N5="",0,N5)*$R$10+IF(O5="",0,O5)*$R$11</f>
        <v>0</v>
      </c>
      <c r="T5" s="8">
        <f t="shared" ref="T5:T12" si="12">AQ5</f>
        <v>1</v>
      </c>
      <c r="U5" s="14"/>
      <c r="V5" s="30"/>
      <c r="W5" s="31">
        <v>2</v>
      </c>
      <c r="X5" s="31" t="str">
        <f t="shared" ref="X5:X11" si="13">C5</f>
        <v>B</v>
      </c>
      <c r="Y5" s="32">
        <v>7</v>
      </c>
      <c r="Z5" s="33" t="str">
        <f>IF(ISNA(VLOOKUP(B5,$A$4:$T$11,3,FALSE)),C5,VLOOKUP(B5,$A$4:$T$11,3,FALSE))</f>
        <v>B</v>
      </c>
      <c r="AA5" s="63">
        <f t="shared" ref="AA5:AA11" si="14">IF(ISNA(VLOOKUP($B5,$A$4:$T$11,18,FALSE)),0,VLOOKUP($B5,$A$4:$T$11,18,FALSE))</f>
        <v>0</v>
      </c>
      <c r="AB5" s="34">
        <f t="shared" ref="AB5:AB11" si="15">VLOOKUP($Y5,$AX$4:$BA$11,2,FALSE)</f>
        <v>0</v>
      </c>
      <c r="AC5" s="12">
        <f t="shared" ref="AC5:AC11" si="16">IF(ISNA(VLOOKUP($B5,$A$4:$T$11,19,FALSE)),0,VLOOKUP($B5,$A$4:$T$11,19,FALSE))</f>
        <v>0</v>
      </c>
      <c r="AD5" s="34">
        <f t="shared" si="3"/>
        <v>0</v>
      </c>
      <c r="AE5" s="35">
        <f t="shared" si="4"/>
        <v>1000</v>
      </c>
      <c r="AF5" s="56"/>
      <c r="AG5" s="65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0</v>
      </c>
      <c r="AH5" s="66">
        <f t="shared" ref="AH5:AH11" si="18">$AG$13*R5+AG5</f>
        <v>0</v>
      </c>
      <c r="AI5" s="65">
        <f t="shared" si="5"/>
        <v>0</v>
      </c>
      <c r="AJ5" s="66">
        <f t="shared" ref="AJ5:AJ11" si="19">$AI$13*AH5+AI5</f>
        <v>0</v>
      </c>
      <c r="AK5" s="65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56">
        <f t="shared" ref="AL5:AL11" si="21">$AK$13*AJ5+AK5</f>
        <v>0</v>
      </c>
      <c r="AM5" s="56"/>
      <c r="AN5" s="56">
        <f t="shared" ref="AN5:AN11" si="22">RANK(AL5,$AL$4:$AL$11,1)-1</f>
        <v>0</v>
      </c>
      <c r="AO5" s="56">
        <f t="shared" ref="AO5:AO12" si="23">RANK(S5,$S$4:$S$11,1)-1</f>
        <v>0</v>
      </c>
      <c r="AP5" s="56">
        <f t="shared" ref="AP5:AP12" si="24">8*AN5+AO5</f>
        <v>0</v>
      </c>
      <c r="AQ5" s="56">
        <f t="shared" ref="AQ5:AQ11" si="25">RANK(AP5,$AP$4:$AP$11)</f>
        <v>1</v>
      </c>
      <c r="AR5" s="56"/>
      <c r="AS5" s="56"/>
      <c r="AT5" s="56"/>
      <c r="AU5" s="56"/>
      <c r="AV5" s="56"/>
      <c r="AW5" s="30"/>
      <c r="AX5" s="37">
        <v>2</v>
      </c>
      <c r="AY5" s="38">
        <f t="shared" si="6"/>
        <v>0</v>
      </c>
      <c r="AZ5" s="39" t="e">
        <f t="shared" si="7"/>
        <v>#VALUE!</v>
      </c>
      <c r="BA5" s="39">
        <f t="shared" ref="BA5:BA11" si="26">SUM(BO5:BW5)</f>
        <v>0</v>
      </c>
      <c r="BC5" s="6">
        <v>2</v>
      </c>
      <c r="BD5" s="6">
        <f t="shared" si="8"/>
        <v>0</v>
      </c>
      <c r="BE5" s="6">
        <f t="shared" si="8"/>
        <v>0</v>
      </c>
      <c r="BF5" s="6">
        <f t="shared" si="8"/>
        <v>0</v>
      </c>
      <c r="BG5" s="6">
        <f t="shared" si="8"/>
        <v>0</v>
      </c>
      <c r="BH5" s="6">
        <f t="shared" si="8"/>
        <v>0</v>
      </c>
      <c r="BI5" s="6">
        <f t="shared" si="8"/>
        <v>0</v>
      </c>
      <c r="BJ5" s="6">
        <f t="shared" si="8"/>
        <v>0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0</v>
      </c>
      <c r="BP5" s="6">
        <f t="shared" si="9"/>
        <v>0</v>
      </c>
      <c r="BQ5" s="6">
        <f t="shared" si="9"/>
        <v>0</v>
      </c>
      <c r="BR5" s="6">
        <f t="shared" si="9"/>
        <v>0</v>
      </c>
      <c r="BS5" s="6">
        <f t="shared" si="9"/>
        <v>0</v>
      </c>
      <c r="BT5" s="6">
        <f t="shared" si="9"/>
        <v>0</v>
      </c>
      <c r="BU5" s="6">
        <f t="shared" si="9"/>
        <v>0</v>
      </c>
      <c r="BV5" s="6">
        <f t="shared" si="9"/>
        <v>0</v>
      </c>
      <c r="BW5" s="6">
        <f t="shared" si="9"/>
        <v>0</v>
      </c>
    </row>
    <row r="6" spans="1:75" x14ac:dyDescent="0.25">
      <c r="A6" s="24">
        <f t="shared" si="10"/>
        <v>1</v>
      </c>
      <c r="B6" s="25">
        <v>3</v>
      </c>
      <c r="C6" s="25" t="s">
        <v>42</v>
      </c>
      <c r="D6" s="76"/>
      <c r="E6" s="76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8"/>
      <c r="Q6" s="53"/>
      <c r="R6" s="62">
        <f t="shared" si="1"/>
        <v>0</v>
      </c>
      <c r="S6" s="8">
        <f t="shared" si="11"/>
        <v>0</v>
      </c>
      <c r="T6" s="9">
        <f>AQ6</f>
        <v>1</v>
      </c>
      <c r="U6" s="10"/>
      <c r="V6" s="30"/>
      <c r="W6" s="31">
        <v>3</v>
      </c>
      <c r="X6" s="31" t="str">
        <f t="shared" si="13"/>
        <v>C</v>
      </c>
      <c r="Y6" s="32">
        <v>1</v>
      </c>
      <c r="Z6" s="33" t="str">
        <f t="shared" ref="Z6:Z12" si="28">IF(ISNA(VLOOKUP(B6,$A$4:$T$11,3,FALSE)),C6,VLOOKUP(B6,$A$4:$T$11,3,FALSE))</f>
        <v>C</v>
      </c>
      <c r="AA6" s="63">
        <f t="shared" si="14"/>
        <v>0</v>
      </c>
      <c r="AB6" s="34">
        <f t="shared" si="15"/>
        <v>0</v>
      </c>
      <c r="AC6" s="12">
        <f t="shared" si="16"/>
        <v>0</v>
      </c>
      <c r="AD6" s="34">
        <f t="shared" si="3"/>
        <v>0</v>
      </c>
      <c r="AE6" s="35">
        <f t="shared" si="4"/>
        <v>1000</v>
      </c>
      <c r="AF6" s="56"/>
      <c r="AG6" s="65">
        <f t="shared" si="17"/>
        <v>0</v>
      </c>
      <c r="AH6" s="66">
        <f t="shared" si="18"/>
        <v>0</v>
      </c>
      <c r="AI6" s="65">
        <f t="shared" si="5"/>
        <v>0</v>
      </c>
      <c r="AJ6" s="66">
        <f t="shared" si="19"/>
        <v>0</v>
      </c>
      <c r="AK6" s="65">
        <f t="shared" si="20"/>
        <v>0</v>
      </c>
      <c r="AL6" s="56">
        <f t="shared" si="21"/>
        <v>0</v>
      </c>
      <c r="AM6" s="56"/>
      <c r="AN6" s="56">
        <f t="shared" si="22"/>
        <v>0</v>
      </c>
      <c r="AO6" s="56">
        <f t="shared" si="23"/>
        <v>0</v>
      </c>
      <c r="AP6" s="56">
        <f t="shared" si="24"/>
        <v>0</v>
      </c>
      <c r="AQ6" s="56">
        <f t="shared" si="25"/>
        <v>1</v>
      </c>
      <c r="AR6" s="56"/>
      <c r="AS6" s="56"/>
      <c r="AT6" s="56"/>
      <c r="AU6" s="56"/>
      <c r="AV6" s="56"/>
      <c r="AW6" s="30"/>
      <c r="AX6" s="37">
        <v>3</v>
      </c>
      <c r="AY6" s="38">
        <f t="shared" si="6"/>
        <v>0</v>
      </c>
      <c r="AZ6" s="39" t="e">
        <f t="shared" si="7"/>
        <v>#VALUE!</v>
      </c>
      <c r="BA6" s="39">
        <f t="shared" si="26"/>
        <v>0</v>
      </c>
      <c r="BC6" s="6">
        <v>3</v>
      </c>
      <c r="BD6" s="6">
        <f t="shared" si="8"/>
        <v>0</v>
      </c>
      <c r="BE6" s="6">
        <f t="shared" si="8"/>
        <v>0</v>
      </c>
      <c r="BF6" s="6">
        <f t="shared" si="8"/>
        <v>0</v>
      </c>
      <c r="BG6" s="6">
        <f t="shared" si="8"/>
        <v>0</v>
      </c>
      <c r="BH6" s="6">
        <f t="shared" si="8"/>
        <v>0</v>
      </c>
      <c r="BI6" s="6">
        <f t="shared" si="8"/>
        <v>0</v>
      </c>
      <c r="BJ6" s="6">
        <f t="shared" si="8"/>
        <v>0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0</v>
      </c>
      <c r="BP6" s="6">
        <f t="shared" si="9"/>
        <v>0</v>
      </c>
      <c r="BQ6" s="6">
        <f t="shared" si="9"/>
        <v>0</v>
      </c>
      <c r="BR6" s="6">
        <f t="shared" si="9"/>
        <v>0</v>
      </c>
      <c r="BS6" s="6">
        <f t="shared" si="9"/>
        <v>0</v>
      </c>
      <c r="BT6" s="6">
        <f t="shared" si="9"/>
        <v>0</v>
      </c>
      <c r="BU6" s="6">
        <f t="shared" si="9"/>
        <v>0</v>
      </c>
      <c r="BV6" s="6">
        <f t="shared" si="9"/>
        <v>0</v>
      </c>
      <c r="BW6" s="6">
        <f t="shared" si="9"/>
        <v>0</v>
      </c>
    </row>
    <row r="7" spans="1:75" x14ac:dyDescent="0.25">
      <c r="A7" s="24">
        <f t="shared" si="10"/>
        <v>1</v>
      </c>
      <c r="B7" s="25">
        <v>4</v>
      </c>
      <c r="C7" s="25" t="s">
        <v>43</v>
      </c>
      <c r="D7" s="76"/>
      <c r="E7" s="76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8"/>
      <c r="Q7" s="53"/>
      <c r="R7" s="62">
        <f t="shared" si="1"/>
        <v>0</v>
      </c>
      <c r="S7" s="8">
        <f t="shared" si="11"/>
        <v>0</v>
      </c>
      <c r="T7" s="8">
        <f t="shared" si="12"/>
        <v>1</v>
      </c>
      <c r="U7" s="14"/>
      <c r="V7" s="30"/>
      <c r="W7" s="31">
        <v>4</v>
      </c>
      <c r="X7" s="31" t="str">
        <f t="shared" si="13"/>
        <v>D</v>
      </c>
      <c r="Y7" s="32">
        <v>6</v>
      </c>
      <c r="Z7" s="33" t="str">
        <f t="shared" si="28"/>
        <v>D</v>
      </c>
      <c r="AA7" s="63">
        <f t="shared" si="14"/>
        <v>0</v>
      </c>
      <c r="AB7" s="34">
        <f t="shared" si="15"/>
        <v>0</v>
      </c>
      <c r="AC7" s="12">
        <f t="shared" si="16"/>
        <v>0</v>
      </c>
      <c r="AD7" s="34">
        <f t="shared" si="3"/>
        <v>0</v>
      </c>
      <c r="AE7" s="35">
        <f t="shared" si="4"/>
        <v>1000</v>
      </c>
      <c r="AF7" s="56"/>
      <c r="AG7" s="65">
        <f t="shared" si="17"/>
        <v>0</v>
      </c>
      <c r="AH7" s="66">
        <f t="shared" si="18"/>
        <v>0</v>
      </c>
      <c r="AI7" s="65">
        <f t="shared" si="5"/>
        <v>0</v>
      </c>
      <c r="AJ7" s="66">
        <f t="shared" si="19"/>
        <v>0</v>
      </c>
      <c r="AK7" s="65">
        <f t="shared" si="20"/>
        <v>0</v>
      </c>
      <c r="AL7" s="56">
        <f t="shared" si="21"/>
        <v>0</v>
      </c>
      <c r="AM7" s="56"/>
      <c r="AN7" s="56">
        <f t="shared" si="22"/>
        <v>0</v>
      </c>
      <c r="AO7" s="56">
        <f t="shared" si="23"/>
        <v>0</v>
      </c>
      <c r="AP7" s="56">
        <f t="shared" si="24"/>
        <v>0</v>
      </c>
      <c r="AQ7" s="56">
        <f t="shared" si="25"/>
        <v>1</v>
      </c>
      <c r="AR7" s="56"/>
      <c r="AS7" s="56"/>
      <c r="AT7" s="56"/>
      <c r="AU7" s="56"/>
      <c r="AV7" s="56"/>
      <c r="AW7" s="30"/>
      <c r="AX7" s="37">
        <v>4</v>
      </c>
      <c r="AY7" s="38">
        <f t="shared" si="6"/>
        <v>0</v>
      </c>
      <c r="AZ7" s="39" t="e">
        <f t="shared" si="7"/>
        <v>#VALUE!</v>
      </c>
      <c r="BA7" s="39">
        <f t="shared" si="26"/>
        <v>0</v>
      </c>
      <c r="BC7" s="6">
        <v>4</v>
      </c>
      <c r="BD7" s="6">
        <f t="shared" si="8"/>
        <v>0</v>
      </c>
      <c r="BE7" s="6">
        <f t="shared" si="8"/>
        <v>0</v>
      </c>
      <c r="BF7" s="6">
        <f t="shared" si="8"/>
        <v>0</v>
      </c>
      <c r="BG7" s="6">
        <f t="shared" si="8"/>
        <v>0</v>
      </c>
      <c r="BH7" s="6">
        <f t="shared" si="8"/>
        <v>0</v>
      </c>
      <c r="BI7" s="6">
        <f t="shared" si="8"/>
        <v>0</v>
      </c>
      <c r="BJ7" s="6">
        <f t="shared" si="8"/>
        <v>0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0</v>
      </c>
      <c r="BP7" s="6">
        <f t="shared" si="9"/>
        <v>0</v>
      </c>
      <c r="BQ7" s="6">
        <f t="shared" si="9"/>
        <v>0</v>
      </c>
      <c r="BR7" s="6">
        <f t="shared" si="9"/>
        <v>0</v>
      </c>
      <c r="BS7" s="6">
        <f t="shared" si="9"/>
        <v>0</v>
      </c>
      <c r="BT7" s="6">
        <f t="shared" si="9"/>
        <v>0</v>
      </c>
      <c r="BU7" s="6">
        <f t="shared" si="9"/>
        <v>0</v>
      </c>
      <c r="BV7" s="6">
        <f t="shared" si="9"/>
        <v>0</v>
      </c>
      <c r="BW7" s="6">
        <f t="shared" si="9"/>
        <v>0</v>
      </c>
    </row>
    <row r="8" spans="1:75" x14ac:dyDescent="0.25">
      <c r="A8" s="24">
        <f t="shared" si="10"/>
        <v>1</v>
      </c>
      <c r="B8" s="25">
        <v>5</v>
      </c>
      <c r="C8" s="25" t="s">
        <v>47</v>
      </c>
      <c r="D8" s="76"/>
      <c r="E8" s="76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8"/>
      <c r="Q8" s="53"/>
      <c r="R8" s="62">
        <f t="shared" si="1"/>
        <v>0</v>
      </c>
      <c r="S8" s="8">
        <f t="shared" si="11"/>
        <v>0</v>
      </c>
      <c r="T8" s="8">
        <f t="shared" si="12"/>
        <v>1</v>
      </c>
      <c r="U8" s="14"/>
      <c r="V8" s="30"/>
      <c r="W8" s="31">
        <v>5</v>
      </c>
      <c r="X8" s="31" t="str">
        <f t="shared" si="13"/>
        <v>E</v>
      </c>
      <c r="Y8" s="32">
        <v>3</v>
      </c>
      <c r="Z8" s="33" t="str">
        <f t="shared" si="28"/>
        <v>E</v>
      </c>
      <c r="AA8" s="63">
        <f t="shared" si="14"/>
        <v>0</v>
      </c>
      <c r="AB8" s="34">
        <f t="shared" si="15"/>
        <v>0</v>
      </c>
      <c r="AC8" s="12">
        <f t="shared" si="16"/>
        <v>0</v>
      </c>
      <c r="AD8" s="34">
        <f t="shared" si="3"/>
        <v>0</v>
      </c>
      <c r="AE8" s="35">
        <f t="shared" si="4"/>
        <v>1000</v>
      </c>
      <c r="AF8" s="56"/>
      <c r="AG8" s="65">
        <f t="shared" si="17"/>
        <v>0</v>
      </c>
      <c r="AH8" s="66">
        <f t="shared" si="18"/>
        <v>0</v>
      </c>
      <c r="AI8" s="65">
        <f t="shared" si="5"/>
        <v>0</v>
      </c>
      <c r="AJ8" s="66">
        <f t="shared" si="19"/>
        <v>0</v>
      </c>
      <c r="AK8" s="65">
        <f t="shared" si="20"/>
        <v>0</v>
      </c>
      <c r="AL8" s="56">
        <f t="shared" si="21"/>
        <v>0</v>
      </c>
      <c r="AM8" s="56"/>
      <c r="AN8" s="56">
        <f t="shared" si="22"/>
        <v>0</v>
      </c>
      <c r="AO8" s="56">
        <f t="shared" si="23"/>
        <v>0</v>
      </c>
      <c r="AP8" s="56">
        <f t="shared" si="24"/>
        <v>0</v>
      </c>
      <c r="AQ8" s="56">
        <f t="shared" si="25"/>
        <v>1</v>
      </c>
      <c r="AR8" s="56"/>
      <c r="AS8" s="7"/>
      <c r="AT8" s="56"/>
      <c r="AU8" s="56"/>
      <c r="AV8" s="56"/>
      <c r="AW8" s="30"/>
      <c r="AX8" s="37">
        <v>5</v>
      </c>
      <c r="AY8" s="38">
        <f t="shared" si="6"/>
        <v>0</v>
      </c>
      <c r="AZ8" s="39" t="e">
        <f t="shared" si="7"/>
        <v>#VALUE!</v>
      </c>
      <c r="BA8" s="39">
        <f t="shared" si="26"/>
        <v>0</v>
      </c>
      <c r="BC8" s="6">
        <v>5</v>
      </c>
      <c r="BD8" s="6">
        <f t="shared" si="8"/>
        <v>0</v>
      </c>
      <c r="BE8" s="6">
        <f t="shared" si="8"/>
        <v>0</v>
      </c>
      <c r="BF8" s="6">
        <f t="shared" si="8"/>
        <v>0</v>
      </c>
      <c r="BG8" s="6">
        <f t="shared" si="8"/>
        <v>0</v>
      </c>
      <c r="BH8" s="6">
        <f t="shared" si="8"/>
        <v>0</v>
      </c>
      <c r="BI8" s="6">
        <f t="shared" si="8"/>
        <v>0</v>
      </c>
      <c r="BJ8" s="6">
        <f t="shared" si="8"/>
        <v>0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</v>
      </c>
      <c r="BP8" s="6">
        <f t="shared" si="9"/>
        <v>0</v>
      </c>
      <c r="BQ8" s="6">
        <f t="shared" si="9"/>
        <v>0</v>
      </c>
      <c r="BR8" s="6">
        <f t="shared" si="9"/>
        <v>0</v>
      </c>
      <c r="BS8" s="6">
        <f t="shared" si="9"/>
        <v>0</v>
      </c>
      <c r="BT8" s="6">
        <f t="shared" si="9"/>
        <v>0</v>
      </c>
      <c r="BU8" s="6">
        <f t="shared" si="9"/>
        <v>0</v>
      </c>
      <c r="BV8" s="6">
        <f t="shared" si="9"/>
        <v>0</v>
      </c>
      <c r="BW8" s="6">
        <f t="shared" si="9"/>
        <v>0</v>
      </c>
    </row>
    <row r="9" spans="1:75" x14ac:dyDescent="0.25">
      <c r="A9" s="24">
        <f t="shared" si="10"/>
        <v>1</v>
      </c>
      <c r="B9" s="25">
        <v>6</v>
      </c>
      <c r="C9" s="25" t="s">
        <v>44</v>
      </c>
      <c r="D9" s="76"/>
      <c r="E9" s="76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8"/>
      <c r="Q9" s="53"/>
      <c r="R9" s="62">
        <f t="shared" si="1"/>
        <v>0</v>
      </c>
      <c r="S9" s="8">
        <f t="shared" si="11"/>
        <v>0</v>
      </c>
      <c r="T9" s="8">
        <f t="shared" si="12"/>
        <v>1</v>
      </c>
      <c r="U9" s="14"/>
      <c r="V9" s="30"/>
      <c r="W9" s="31">
        <v>6</v>
      </c>
      <c r="X9" s="31" t="str">
        <f t="shared" si="13"/>
        <v>F</v>
      </c>
      <c r="Y9" s="32">
        <v>5</v>
      </c>
      <c r="Z9" s="33" t="str">
        <f t="shared" si="28"/>
        <v>F</v>
      </c>
      <c r="AA9" s="63">
        <f t="shared" si="14"/>
        <v>0</v>
      </c>
      <c r="AB9" s="34">
        <f t="shared" si="15"/>
        <v>0</v>
      </c>
      <c r="AC9" s="12">
        <f t="shared" si="16"/>
        <v>0</v>
      </c>
      <c r="AD9" s="34">
        <f t="shared" si="3"/>
        <v>0</v>
      </c>
      <c r="AE9" s="35">
        <f t="shared" si="4"/>
        <v>1000</v>
      </c>
      <c r="AF9" s="56"/>
      <c r="AG9" s="65">
        <f t="shared" si="17"/>
        <v>0</v>
      </c>
      <c r="AH9" s="66">
        <f t="shared" si="18"/>
        <v>0</v>
      </c>
      <c r="AI9" s="65">
        <f t="shared" si="5"/>
        <v>0</v>
      </c>
      <c r="AJ9" s="66">
        <f t="shared" si="19"/>
        <v>0</v>
      </c>
      <c r="AK9" s="65">
        <f t="shared" si="20"/>
        <v>0</v>
      </c>
      <c r="AL9" s="56">
        <f t="shared" si="21"/>
        <v>0</v>
      </c>
      <c r="AM9" s="56"/>
      <c r="AN9" s="56">
        <f t="shared" si="22"/>
        <v>0</v>
      </c>
      <c r="AO9" s="56">
        <f t="shared" si="23"/>
        <v>0</v>
      </c>
      <c r="AP9" s="56">
        <f t="shared" si="24"/>
        <v>0</v>
      </c>
      <c r="AQ9" s="56">
        <f t="shared" si="25"/>
        <v>1</v>
      </c>
      <c r="AR9" s="56"/>
      <c r="AS9" s="56"/>
      <c r="AT9" s="56"/>
      <c r="AU9" s="56"/>
      <c r="AV9" s="56"/>
      <c r="AW9" s="30"/>
      <c r="AX9" s="37">
        <v>6</v>
      </c>
      <c r="AY9" s="38">
        <f t="shared" si="6"/>
        <v>0</v>
      </c>
      <c r="AZ9" s="39" t="e">
        <f t="shared" si="7"/>
        <v>#VALUE!</v>
      </c>
      <c r="BA9" s="39">
        <f t="shared" si="26"/>
        <v>0</v>
      </c>
      <c r="BC9" s="6">
        <v>6</v>
      </c>
      <c r="BD9" s="6">
        <f t="shared" si="8"/>
        <v>0</v>
      </c>
      <c r="BE9" s="6">
        <f t="shared" si="8"/>
        <v>0</v>
      </c>
      <c r="BF9" s="6">
        <f t="shared" si="8"/>
        <v>0</v>
      </c>
      <c r="BG9" s="6">
        <f t="shared" si="8"/>
        <v>0</v>
      </c>
      <c r="BH9" s="6">
        <f t="shared" si="8"/>
        <v>0</v>
      </c>
      <c r="BI9" s="6">
        <f t="shared" si="8"/>
        <v>0</v>
      </c>
      <c r="BJ9" s="6">
        <f t="shared" si="8"/>
        <v>0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</v>
      </c>
      <c r="BP9" s="6">
        <f t="shared" si="9"/>
        <v>0</v>
      </c>
      <c r="BQ9" s="6">
        <f t="shared" si="9"/>
        <v>0</v>
      </c>
      <c r="BR9" s="6">
        <f t="shared" si="9"/>
        <v>0</v>
      </c>
      <c r="BS9" s="6">
        <f t="shared" si="9"/>
        <v>0</v>
      </c>
      <c r="BT9" s="6">
        <f t="shared" si="9"/>
        <v>0</v>
      </c>
      <c r="BU9" s="6">
        <f t="shared" si="9"/>
        <v>0</v>
      </c>
      <c r="BV9" s="6">
        <f t="shared" si="9"/>
        <v>0</v>
      </c>
      <c r="BW9" s="6">
        <f t="shared" si="9"/>
        <v>0</v>
      </c>
    </row>
    <row r="10" spans="1:75" x14ac:dyDescent="0.25">
      <c r="A10" s="24">
        <f t="shared" si="10"/>
        <v>1</v>
      </c>
      <c r="B10" s="25">
        <v>7</v>
      </c>
      <c r="C10" s="25" t="s">
        <v>45</v>
      </c>
      <c r="D10" s="76"/>
      <c r="E10" s="76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8"/>
      <c r="Q10" s="53"/>
      <c r="R10" s="62">
        <f t="shared" si="1"/>
        <v>0</v>
      </c>
      <c r="S10" s="8">
        <f t="shared" si="11"/>
        <v>0</v>
      </c>
      <c r="T10" s="8">
        <f t="shared" si="12"/>
        <v>1</v>
      </c>
      <c r="U10" s="14"/>
      <c r="V10" s="30"/>
      <c r="W10" s="31">
        <v>7</v>
      </c>
      <c r="X10" s="31" t="str">
        <f t="shared" si="13"/>
        <v>G</v>
      </c>
      <c r="Y10" s="32">
        <v>4</v>
      </c>
      <c r="Z10" s="33" t="str">
        <f t="shared" si="28"/>
        <v>G</v>
      </c>
      <c r="AA10" s="63">
        <f t="shared" si="14"/>
        <v>0</v>
      </c>
      <c r="AB10" s="34">
        <f t="shared" si="15"/>
        <v>0</v>
      </c>
      <c r="AC10" s="12">
        <f t="shared" si="16"/>
        <v>0</v>
      </c>
      <c r="AD10" s="34">
        <f t="shared" si="3"/>
        <v>0</v>
      </c>
      <c r="AE10" s="35">
        <f t="shared" si="4"/>
        <v>1000</v>
      </c>
      <c r="AF10" s="56"/>
      <c r="AG10" s="65">
        <f t="shared" si="17"/>
        <v>0</v>
      </c>
      <c r="AH10" s="66">
        <f t="shared" si="18"/>
        <v>0</v>
      </c>
      <c r="AI10" s="65">
        <f t="shared" si="5"/>
        <v>0</v>
      </c>
      <c r="AJ10" s="66">
        <f t="shared" si="19"/>
        <v>0</v>
      </c>
      <c r="AK10" s="65">
        <f t="shared" si="20"/>
        <v>0</v>
      </c>
      <c r="AL10" s="56">
        <f t="shared" si="21"/>
        <v>0</v>
      </c>
      <c r="AM10" s="56"/>
      <c r="AN10" s="56">
        <f t="shared" si="22"/>
        <v>0</v>
      </c>
      <c r="AO10" s="56">
        <f t="shared" si="23"/>
        <v>0</v>
      </c>
      <c r="AP10" s="56">
        <f t="shared" si="24"/>
        <v>0</v>
      </c>
      <c r="AQ10" s="56">
        <f t="shared" si="25"/>
        <v>1</v>
      </c>
      <c r="AR10" s="56"/>
      <c r="AS10" s="56"/>
      <c r="AT10" s="56"/>
      <c r="AU10" s="56"/>
      <c r="AV10" s="56"/>
      <c r="AW10" s="30"/>
      <c r="AX10" s="37">
        <v>7</v>
      </c>
      <c r="AY10" s="38">
        <f t="shared" si="6"/>
        <v>0</v>
      </c>
      <c r="AZ10" s="39" t="e">
        <f t="shared" si="7"/>
        <v>#VALUE!</v>
      </c>
      <c r="BA10" s="39">
        <f t="shared" si="26"/>
        <v>0</v>
      </c>
      <c r="BC10" s="6">
        <v>7</v>
      </c>
      <c r="BD10" s="6">
        <f t="shared" si="8"/>
        <v>0</v>
      </c>
      <c r="BE10" s="6">
        <f t="shared" si="8"/>
        <v>0</v>
      </c>
      <c r="BF10" s="6">
        <f t="shared" si="8"/>
        <v>0</v>
      </c>
      <c r="BG10" s="6">
        <f t="shared" si="8"/>
        <v>0</v>
      </c>
      <c r="BH10" s="6">
        <f t="shared" si="8"/>
        <v>0</v>
      </c>
      <c r="BI10" s="6">
        <f t="shared" si="8"/>
        <v>0</v>
      </c>
      <c r="BJ10" s="6">
        <f t="shared" si="8"/>
        <v>0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0</v>
      </c>
      <c r="BP10" s="6">
        <f t="shared" si="9"/>
        <v>0</v>
      </c>
      <c r="BQ10" s="6">
        <f t="shared" si="9"/>
        <v>0</v>
      </c>
      <c r="BR10" s="6">
        <f t="shared" si="9"/>
        <v>0</v>
      </c>
      <c r="BS10" s="6">
        <f t="shared" si="9"/>
        <v>0</v>
      </c>
      <c r="BT10" s="6">
        <f t="shared" si="9"/>
        <v>0</v>
      </c>
      <c r="BU10" s="6">
        <f t="shared" si="9"/>
        <v>0</v>
      </c>
      <c r="BV10" s="6">
        <f t="shared" si="9"/>
        <v>0</v>
      </c>
      <c r="BW10" s="6">
        <f t="shared" si="9"/>
        <v>0</v>
      </c>
    </row>
    <row r="11" spans="1:75" x14ac:dyDescent="0.25">
      <c r="A11" s="24">
        <f t="shared" si="10"/>
        <v>1</v>
      </c>
      <c r="B11" s="25">
        <v>8</v>
      </c>
      <c r="C11" s="25" t="s">
        <v>46</v>
      </c>
      <c r="D11" s="76"/>
      <c r="E11" s="76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8"/>
      <c r="Q11" s="53"/>
      <c r="R11" s="62">
        <f t="shared" si="1"/>
        <v>0</v>
      </c>
      <c r="S11" s="8">
        <f t="shared" si="11"/>
        <v>0</v>
      </c>
      <c r="T11" s="8">
        <f t="shared" si="12"/>
        <v>1</v>
      </c>
      <c r="U11" s="14"/>
      <c r="V11" s="30"/>
      <c r="W11" s="31">
        <v>8</v>
      </c>
      <c r="X11" s="31" t="str">
        <f t="shared" si="13"/>
        <v>H</v>
      </c>
      <c r="Y11" s="32">
        <v>8</v>
      </c>
      <c r="Z11" s="33" t="str">
        <f t="shared" si="28"/>
        <v>H</v>
      </c>
      <c r="AA11" s="63">
        <f t="shared" si="14"/>
        <v>0</v>
      </c>
      <c r="AB11" s="34">
        <f t="shared" si="15"/>
        <v>0</v>
      </c>
      <c r="AC11" s="12">
        <f t="shared" si="16"/>
        <v>0</v>
      </c>
      <c r="AD11" s="34">
        <f t="shared" si="3"/>
        <v>0</v>
      </c>
      <c r="AE11" s="35">
        <f t="shared" si="4"/>
        <v>1000</v>
      </c>
      <c r="AF11" s="56"/>
      <c r="AG11" s="65">
        <f t="shared" si="17"/>
        <v>0</v>
      </c>
      <c r="AH11" s="66">
        <f t="shared" si="18"/>
        <v>0</v>
      </c>
      <c r="AI11" s="65">
        <f t="shared" si="5"/>
        <v>0</v>
      </c>
      <c r="AJ11" s="66">
        <f t="shared" si="19"/>
        <v>0</v>
      </c>
      <c r="AK11" s="65">
        <f t="shared" si="20"/>
        <v>0</v>
      </c>
      <c r="AL11" s="56">
        <f t="shared" si="21"/>
        <v>0</v>
      </c>
      <c r="AM11" s="56"/>
      <c r="AN11" s="56">
        <f t="shared" si="22"/>
        <v>0</v>
      </c>
      <c r="AO11" s="56">
        <f t="shared" si="23"/>
        <v>0</v>
      </c>
      <c r="AP11" s="56">
        <f t="shared" si="24"/>
        <v>0</v>
      </c>
      <c r="AQ11" s="56">
        <f t="shared" si="25"/>
        <v>1</v>
      </c>
      <c r="AR11" s="56"/>
      <c r="AS11" s="56"/>
      <c r="AT11" s="56"/>
      <c r="AU11" s="56"/>
      <c r="AV11" s="56"/>
      <c r="AW11" s="30"/>
      <c r="AX11" s="37">
        <v>8</v>
      </c>
      <c r="AY11" s="38">
        <f t="shared" si="6"/>
        <v>0</v>
      </c>
      <c r="AZ11" s="39" t="e">
        <f t="shared" si="7"/>
        <v>#VALUE!</v>
      </c>
      <c r="BA11" s="39">
        <f t="shared" si="26"/>
        <v>0</v>
      </c>
      <c r="BC11" s="6">
        <v>8</v>
      </c>
      <c r="BD11" s="6">
        <f t="shared" si="8"/>
        <v>0</v>
      </c>
      <c r="BE11" s="6">
        <f t="shared" si="8"/>
        <v>0</v>
      </c>
      <c r="BF11" s="6">
        <f t="shared" si="8"/>
        <v>0</v>
      </c>
      <c r="BG11" s="6">
        <f t="shared" si="8"/>
        <v>0</v>
      </c>
      <c r="BH11" s="6">
        <f t="shared" si="8"/>
        <v>0</v>
      </c>
      <c r="BI11" s="6">
        <f t="shared" si="8"/>
        <v>0</v>
      </c>
      <c r="BJ11" s="6">
        <f t="shared" si="8"/>
        <v>0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0</v>
      </c>
      <c r="BP11" s="6">
        <f t="shared" si="9"/>
        <v>0</v>
      </c>
      <c r="BQ11" s="6">
        <f t="shared" si="9"/>
        <v>0</v>
      </c>
      <c r="BR11" s="6">
        <f t="shared" si="9"/>
        <v>0</v>
      </c>
      <c r="BS11" s="6">
        <f t="shared" si="9"/>
        <v>0</v>
      </c>
      <c r="BT11" s="6">
        <f t="shared" si="9"/>
        <v>0</v>
      </c>
      <c r="BU11" s="6">
        <f t="shared" si="9"/>
        <v>0</v>
      </c>
      <c r="BV11" s="6">
        <f t="shared" si="9"/>
        <v>0</v>
      </c>
      <c r="BW11" s="6">
        <f t="shared" si="9"/>
        <v>0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3">
        <f t="shared" si="28"/>
        <v>0</v>
      </c>
      <c r="AA12" s="64" t="e">
        <f t="shared" ref="AA12" si="29">VLOOKUP($B12,$A$4:$T$11,18,FALSE)</f>
        <v>#N/A</v>
      </c>
      <c r="AH12" s="67"/>
      <c r="AK12" s="65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56">
        <f t="shared" si="23"/>
        <v>0</v>
      </c>
      <c r="AP12" s="56">
        <f t="shared" si="24"/>
        <v>0</v>
      </c>
      <c r="AQ12" s="56">
        <f>RANK(AP13,$AP$4:$AP$11,1)</f>
        <v>1</v>
      </c>
    </row>
    <row r="13" spans="1:75" x14ac:dyDescent="0.25">
      <c r="AG13" s="57">
        <f>2*MAX(AG4:AG11)+1</f>
        <v>1</v>
      </c>
      <c r="AH13" s="67"/>
      <c r="AI13" s="57">
        <f>2*MAX(AI4:AI11)+1</f>
        <v>1</v>
      </c>
      <c r="AK13" s="57">
        <f>2*MAX(AK4:AK11)+1</f>
        <v>1</v>
      </c>
      <c r="AX13" s="41" t="s">
        <v>39</v>
      </c>
      <c r="AY13" s="41" t="s">
        <v>0</v>
      </c>
      <c r="AZ13" s="41" t="s">
        <v>1</v>
      </c>
      <c r="BA13" s="41" t="s">
        <v>2</v>
      </c>
      <c r="BC13" s="42" t="s">
        <v>37</v>
      </c>
      <c r="BD13" s="42" t="s">
        <v>38</v>
      </c>
      <c r="BE13" s="6" t="s">
        <v>18</v>
      </c>
      <c r="BF13" s="6" t="s">
        <v>19</v>
      </c>
      <c r="BG13" s="6" t="s">
        <v>20</v>
      </c>
      <c r="BH13" s="6" t="s">
        <v>21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3"/>
      <c r="BD14" s="43"/>
      <c r="BE14" s="44"/>
      <c r="BF14" s="44"/>
      <c r="BG14" s="44"/>
      <c r="BH14" s="44"/>
    </row>
    <row r="15" spans="1:75" x14ac:dyDescent="0.25">
      <c r="B15" s="45" t="s">
        <v>3</v>
      </c>
      <c r="BC15" s="42"/>
      <c r="BD15" s="42"/>
    </row>
    <row r="16" spans="1:75" x14ac:dyDescent="0.25">
      <c r="B16" s="6">
        <v>1</v>
      </c>
      <c r="C16" s="6" t="str">
        <f>VLOOKUP(AY16,$B$4:$F$11,2,FALSE)</f>
        <v>H</v>
      </c>
      <c r="D16" s="46" t="s">
        <v>5</v>
      </c>
      <c r="E16" s="73" t="str">
        <f>VLOOKUP(AZ16,$B$4:$F$11,2,FALSE)</f>
        <v>A</v>
      </c>
      <c r="F16" s="73"/>
      <c r="G16" s="73"/>
      <c r="H16" s="73"/>
      <c r="J16" s="73" t="str">
        <f>IF(T16="","",VLOOKUP(T16,Configuratie!$B$1:$E$10,3,FALSE))</f>
        <v/>
      </c>
      <c r="K16" s="73"/>
      <c r="L16" s="6" t="s">
        <v>5</v>
      </c>
      <c r="M16" s="73" t="str">
        <f>IF(T16="","",VLOOKUP(T16,Configuratie!$B$1:$E$10,4,FALSE))</f>
        <v/>
      </c>
      <c r="N16" s="73"/>
      <c r="R16" s="6" t="str">
        <f>IF(T16="","",VLOOKUP(T16,Configuratie!$B$1:$E$10,2,FALSE))</f>
        <v/>
      </c>
      <c r="T16" s="5"/>
      <c r="AX16" s="6">
        <v>1</v>
      </c>
      <c r="AY16" s="6">
        <v>8</v>
      </c>
      <c r="AZ16" s="6">
        <v>1</v>
      </c>
      <c r="BA16" s="6" t="str">
        <f>IF(AND(ISNUMBER(J16),ISNUMBER(M16)),IF(J16+M16=1,1,0),"")</f>
        <v/>
      </c>
      <c r="BC16" s="48">
        <f>AY16*100+AZ16</f>
        <v>801</v>
      </c>
      <c r="BD16" s="48">
        <f>AZ16*100+AY16</f>
        <v>108</v>
      </c>
      <c r="BE16" s="6">
        <v>0</v>
      </c>
      <c r="BF16" s="6">
        <v>0</v>
      </c>
      <c r="BG16" s="6" t="e">
        <f>J16*BF16</f>
        <v>#VALUE!</v>
      </c>
      <c r="BH16" s="6" t="e">
        <f>M16*BE16</f>
        <v>#VALUE!</v>
      </c>
    </row>
    <row r="17" spans="2:60" x14ac:dyDescent="0.25">
      <c r="B17" s="6">
        <v>2</v>
      </c>
      <c r="C17" s="6" t="str">
        <f t="shared" ref="C17:C19" si="30">VLOOKUP(AY17,$B$4:$F$11,2,FALSE)</f>
        <v>G</v>
      </c>
      <c r="D17" s="46" t="s">
        <v>5</v>
      </c>
      <c r="E17" s="73" t="str">
        <f t="shared" ref="E17:E19" si="31">VLOOKUP(AZ17,$B$4:$F$11,2,FALSE)</f>
        <v>B</v>
      </c>
      <c r="F17" s="73"/>
      <c r="G17" s="73"/>
      <c r="H17" s="73"/>
      <c r="J17" s="73" t="str">
        <f>IF(T17="","",VLOOKUP(T17,Configuratie!$B$1:$E$10,3,FALSE))</f>
        <v/>
      </c>
      <c r="K17" s="73"/>
      <c r="L17" s="6" t="s">
        <v>5</v>
      </c>
      <c r="M17" s="73" t="str">
        <f>IF(T17="","",VLOOKUP(T17,Configuratie!$B$1:$E$10,4,FALSE))</f>
        <v/>
      </c>
      <c r="N17" s="73"/>
      <c r="R17" s="6" t="str">
        <f>IF(T17="","",VLOOKUP(T17,Configuratie!$B$1:$E$10,2,FALSE))</f>
        <v/>
      </c>
      <c r="T17" s="5"/>
      <c r="AX17" s="6">
        <v>1</v>
      </c>
      <c r="AY17" s="6">
        <v>7</v>
      </c>
      <c r="AZ17" s="6">
        <v>2</v>
      </c>
      <c r="BA17" s="6" t="str">
        <f>IF(AND(ISNUMBER(J17),ISNUMBER(M17)),IF(J17+M17=1,1,0),"")</f>
        <v/>
      </c>
      <c r="BC17" s="48">
        <f>AY17*100+AZ17</f>
        <v>702</v>
      </c>
      <c r="BD17" s="48">
        <f>AZ17*100+AY17</f>
        <v>207</v>
      </c>
      <c r="BE17" s="6">
        <v>0</v>
      </c>
      <c r="BF17" s="6">
        <v>0</v>
      </c>
      <c r="BG17" s="6" t="e">
        <f>J17*BF17</f>
        <v>#VALUE!</v>
      </c>
      <c r="BH17" s="6" t="e">
        <f>M17*BE17</f>
        <v>#VALUE!</v>
      </c>
    </row>
    <row r="18" spans="2:60" x14ac:dyDescent="0.25">
      <c r="B18" s="6">
        <v>3</v>
      </c>
      <c r="C18" s="6" t="str">
        <f t="shared" si="30"/>
        <v>F</v>
      </c>
      <c r="D18" s="46" t="s">
        <v>5</v>
      </c>
      <c r="E18" s="73" t="str">
        <f t="shared" si="31"/>
        <v>C</v>
      </c>
      <c r="F18" s="73"/>
      <c r="G18" s="73"/>
      <c r="H18" s="73"/>
      <c r="J18" s="73" t="str">
        <f>IF(T18="","",VLOOKUP(T18,Configuratie!$B$1:$E$10,3,FALSE))</f>
        <v/>
      </c>
      <c r="K18" s="73"/>
      <c r="L18" s="6" t="s">
        <v>5</v>
      </c>
      <c r="M18" s="73" t="str">
        <f>IF(T18="","",VLOOKUP(T18,Configuratie!$B$1:$E$10,4,FALSE))</f>
        <v/>
      </c>
      <c r="N18" s="73"/>
      <c r="R18" s="6" t="str">
        <f>IF(T18="","",VLOOKUP(T18,Configuratie!$B$1:$E$10,2,FALSE))</f>
        <v/>
      </c>
      <c r="T18" s="5"/>
      <c r="AX18" s="6">
        <v>1</v>
      </c>
      <c r="AY18" s="6">
        <v>6</v>
      </c>
      <c r="AZ18" s="6">
        <v>3</v>
      </c>
      <c r="BA18" s="6" t="str">
        <f>IF(AND(ISNUMBER(J18),ISNUMBER(M18)),IF(J18+M18=1,1,0),"")</f>
        <v/>
      </c>
      <c r="BC18" s="48">
        <f>AY18*100+AZ18</f>
        <v>603</v>
      </c>
      <c r="BD18" s="48">
        <f>AZ18*100+AY18</f>
        <v>306</v>
      </c>
      <c r="BE18" s="6">
        <v>0</v>
      </c>
      <c r="BF18" s="6">
        <v>0</v>
      </c>
      <c r="BG18" s="6" t="e">
        <f>J18*BF18</f>
        <v>#VALUE!</v>
      </c>
      <c r="BH18" s="6" t="e">
        <f>M18*BE18</f>
        <v>#VALUE!</v>
      </c>
    </row>
    <row r="19" spans="2:60" x14ac:dyDescent="0.25">
      <c r="B19" s="6">
        <v>4</v>
      </c>
      <c r="C19" s="6" t="str">
        <f t="shared" si="30"/>
        <v>E</v>
      </c>
      <c r="D19" s="46" t="s">
        <v>5</v>
      </c>
      <c r="E19" s="73" t="str">
        <f t="shared" si="31"/>
        <v>D</v>
      </c>
      <c r="F19" s="73"/>
      <c r="G19" s="73"/>
      <c r="H19" s="73"/>
      <c r="J19" s="73" t="str">
        <f>IF(T19="","",VLOOKUP(T19,Configuratie!$B$1:$E$10,3,FALSE))</f>
        <v/>
      </c>
      <c r="K19" s="73"/>
      <c r="L19" s="6" t="s">
        <v>5</v>
      </c>
      <c r="M19" s="73" t="str">
        <f>IF(T19="","",VLOOKUP(T19,Configuratie!$B$1:$E$10,4,FALSE))</f>
        <v/>
      </c>
      <c r="N19" s="73"/>
      <c r="R19" s="6" t="str">
        <f>IF(T19="","",VLOOKUP(T19,Configuratie!$B$1:$E$10,2,FALSE))</f>
        <v/>
      </c>
      <c r="T19" s="5"/>
      <c r="AX19" s="6">
        <v>1</v>
      </c>
      <c r="AY19" s="6">
        <v>5</v>
      </c>
      <c r="AZ19" s="6">
        <v>4</v>
      </c>
      <c r="BA19" s="6" t="str">
        <f>IF(AND(ISNUMBER(J19),ISNUMBER(M19)),IF(J19+M19=1,1,0),"")</f>
        <v/>
      </c>
      <c r="BC19" s="48">
        <f>AY19*100+AZ19</f>
        <v>504</v>
      </c>
      <c r="BD19" s="48">
        <f>AZ19*100+AY19</f>
        <v>405</v>
      </c>
      <c r="BE19" s="6">
        <v>0</v>
      </c>
      <c r="BF19" s="6">
        <v>0</v>
      </c>
      <c r="BG19" s="6" t="e">
        <f>J19*BF19</f>
        <v>#VALUE!</v>
      </c>
      <c r="BH19" s="6" t="e">
        <f>M19*BE19</f>
        <v>#VALUE!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42"/>
      <c r="BD20" s="42"/>
    </row>
    <row r="21" spans="2:60" x14ac:dyDescent="0.25">
      <c r="B21" s="45" t="s">
        <v>9</v>
      </c>
      <c r="BC21" s="42"/>
      <c r="BD21" s="42"/>
    </row>
    <row r="22" spans="2:60" x14ac:dyDescent="0.25">
      <c r="B22" s="6">
        <v>1</v>
      </c>
      <c r="C22" s="6" t="str">
        <f>VLOOKUP(AY22,$B$4:$F$11,2,FALSE)</f>
        <v>H</v>
      </c>
      <c r="D22" s="46" t="s">
        <v>5</v>
      </c>
      <c r="E22" s="73" t="str">
        <f>VLOOKUP(AZ22,$B$4:$F$11,2,FALSE)</f>
        <v>D</v>
      </c>
      <c r="F22" s="73"/>
      <c r="G22" s="73"/>
      <c r="H22" s="73"/>
      <c r="J22" s="73" t="str">
        <f>IF(T22="","",VLOOKUP(T22,Configuratie!$B$1:$E$10,3,FALSE))</f>
        <v/>
      </c>
      <c r="K22" s="73"/>
      <c r="L22" s="6" t="s">
        <v>5</v>
      </c>
      <c r="M22" s="73" t="str">
        <f>IF(T22="","",VLOOKUP(T22,Configuratie!$B$1:$E$10,4,FALSE))</f>
        <v/>
      </c>
      <c r="N22" s="73"/>
      <c r="R22" s="6" t="str">
        <f>IF(T22="","",VLOOKUP(T22,Configuratie!$B$1:$E$10,2,FALSE))</f>
        <v/>
      </c>
      <c r="T22" s="5"/>
      <c r="AX22" s="6">
        <v>2</v>
      </c>
      <c r="AY22" s="6">
        <v>8</v>
      </c>
      <c r="AZ22" s="6">
        <v>4</v>
      </c>
      <c r="BA22" s="6" t="str">
        <f>IF(AND(ISNUMBER(J22),ISNUMBER(M22)),IF(J22+M22=1,1,0),"")</f>
        <v/>
      </c>
      <c r="BC22" s="48">
        <f>AY22*100+AZ22</f>
        <v>804</v>
      </c>
      <c r="BD22" s="48">
        <f>AZ22*100+AY22</f>
        <v>408</v>
      </c>
      <c r="BE22" s="6">
        <f t="shared" ref="BE22:BF25" si="32">VLOOKUP(AY22,$BN$3:$BW$11,$AX22,FALSE)</f>
        <v>0</v>
      </c>
      <c r="BF22" s="6">
        <f t="shared" si="32"/>
        <v>0</v>
      </c>
      <c r="BG22" s="6" t="e">
        <f>J22*BF22</f>
        <v>#VALUE!</v>
      </c>
      <c r="BH22" s="6" t="e">
        <f>M22*BE22</f>
        <v>#VALUE!</v>
      </c>
    </row>
    <row r="23" spans="2:60" x14ac:dyDescent="0.25">
      <c r="B23" s="6">
        <v>2</v>
      </c>
      <c r="C23" s="6" t="str">
        <f>VLOOKUP(AY23,$B$4:$F$11,2,FALSE)</f>
        <v>C</v>
      </c>
      <c r="D23" s="46" t="s">
        <v>5</v>
      </c>
      <c r="E23" s="73" t="str">
        <f t="shared" ref="E23:E25" si="33">VLOOKUP(AZ23,$B$4:$F$11,2,FALSE)</f>
        <v>E</v>
      </c>
      <c r="F23" s="73"/>
      <c r="G23" s="73"/>
      <c r="H23" s="73"/>
      <c r="J23" s="73" t="str">
        <f>IF(T23="","",VLOOKUP(T23,Configuratie!$B$1:$E$10,3,FALSE))</f>
        <v/>
      </c>
      <c r="K23" s="73"/>
      <c r="L23" s="6" t="s">
        <v>5</v>
      </c>
      <c r="M23" s="73" t="str">
        <f>IF(T23="","",VLOOKUP(T23,Configuratie!$B$1:$E$10,4,FALSE))</f>
        <v/>
      </c>
      <c r="N23" s="73"/>
      <c r="R23" s="6" t="str">
        <f>IF(T23="","",VLOOKUP(T23,Configuratie!$B$1:$E$10,2,FALSE))</f>
        <v/>
      </c>
      <c r="T23" s="5"/>
      <c r="AX23" s="6">
        <v>2</v>
      </c>
      <c r="AY23" s="6">
        <v>3</v>
      </c>
      <c r="AZ23" s="6">
        <v>5</v>
      </c>
      <c r="BA23" s="6" t="str">
        <f t="shared" ref="BA23:BA25" si="34">IF(AND(ISNUMBER(J23),ISNUMBER(M23)),IF(J23+M23=1,1,0),"")</f>
        <v/>
      </c>
      <c r="BC23" s="48">
        <f>AY23*100+AZ23</f>
        <v>305</v>
      </c>
      <c r="BD23" s="48">
        <f>AZ23*100+AY23</f>
        <v>503</v>
      </c>
      <c r="BE23" s="6">
        <f t="shared" si="32"/>
        <v>0</v>
      </c>
      <c r="BF23" s="6">
        <f t="shared" si="32"/>
        <v>0</v>
      </c>
      <c r="BG23" s="6" t="e">
        <f>J23*BF23</f>
        <v>#VALUE!</v>
      </c>
      <c r="BH23" s="6" t="e">
        <f>M23*BE23</f>
        <v>#VALUE!</v>
      </c>
    </row>
    <row r="24" spans="2:60" x14ac:dyDescent="0.25">
      <c r="B24" s="6">
        <v>3</v>
      </c>
      <c r="C24" s="6" t="str">
        <f>VLOOKUP(AY24,$B$4:$F$11,2,FALSE)</f>
        <v>B</v>
      </c>
      <c r="D24" s="46" t="s">
        <v>5</v>
      </c>
      <c r="E24" s="73" t="str">
        <f t="shared" si="33"/>
        <v>F</v>
      </c>
      <c r="F24" s="73"/>
      <c r="G24" s="73"/>
      <c r="H24" s="73"/>
      <c r="J24" s="73" t="str">
        <f>IF(T24="","",VLOOKUP(T24,Configuratie!$B$1:$E$10,3,FALSE))</f>
        <v/>
      </c>
      <c r="K24" s="73"/>
      <c r="L24" s="6" t="s">
        <v>5</v>
      </c>
      <c r="M24" s="73" t="str">
        <f>IF(T24="","",VLOOKUP(T24,Configuratie!$B$1:$E$10,4,FALSE))</f>
        <v/>
      </c>
      <c r="N24" s="73"/>
      <c r="R24" s="6" t="str">
        <f>IF(T24="","",VLOOKUP(T24,Configuratie!$B$1:$E$10,2,FALSE))</f>
        <v/>
      </c>
      <c r="T24" s="5"/>
      <c r="AX24" s="6">
        <v>2</v>
      </c>
      <c r="AY24" s="6">
        <v>2</v>
      </c>
      <c r="AZ24" s="6">
        <v>6</v>
      </c>
      <c r="BA24" s="6" t="str">
        <f t="shared" si="34"/>
        <v/>
      </c>
      <c r="BC24" s="48">
        <f>AY24*100+AZ24</f>
        <v>206</v>
      </c>
      <c r="BD24" s="48">
        <f>AZ24*100+AY24</f>
        <v>602</v>
      </c>
      <c r="BE24" s="6">
        <f t="shared" si="32"/>
        <v>0</v>
      </c>
      <c r="BF24" s="6">
        <f t="shared" si="32"/>
        <v>0</v>
      </c>
      <c r="BG24" s="6" t="e">
        <f>J24*BF24</f>
        <v>#VALUE!</v>
      </c>
      <c r="BH24" s="6" t="e">
        <f>M24*BE24</f>
        <v>#VALUE!</v>
      </c>
    </row>
    <row r="25" spans="2:60" x14ac:dyDescent="0.25">
      <c r="B25" s="6">
        <v>4</v>
      </c>
      <c r="C25" s="6" t="str">
        <f>VLOOKUP(AY25,$B$4:$F$11,2,FALSE)</f>
        <v>A</v>
      </c>
      <c r="D25" s="46" t="s">
        <v>5</v>
      </c>
      <c r="E25" s="73" t="str">
        <f t="shared" si="33"/>
        <v>G</v>
      </c>
      <c r="F25" s="73"/>
      <c r="G25" s="73"/>
      <c r="H25" s="73"/>
      <c r="J25" s="73" t="str">
        <f>IF(T25="","",VLOOKUP(T25,Configuratie!$B$1:$E$10,3,FALSE))</f>
        <v/>
      </c>
      <c r="K25" s="73"/>
      <c r="L25" s="6" t="s">
        <v>5</v>
      </c>
      <c r="M25" s="73" t="str">
        <f>IF(T25="","",VLOOKUP(T25,Configuratie!$B$1:$E$10,4,FALSE))</f>
        <v/>
      </c>
      <c r="N25" s="73"/>
      <c r="R25" s="6" t="str">
        <f>IF(T25="","",VLOOKUP(T25,Configuratie!$B$1:$E$10,2,FALSE))</f>
        <v/>
      </c>
      <c r="T25" s="5"/>
      <c r="AX25" s="6">
        <v>2</v>
      </c>
      <c r="AY25" s="6">
        <v>1</v>
      </c>
      <c r="AZ25" s="6">
        <v>7</v>
      </c>
      <c r="BA25" s="6" t="str">
        <f t="shared" si="34"/>
        <v/>
      </c>
      <c r="BC25" s="48">
        <f>AY25*100+AZ25</f>
        <v>107</v>
      </c>
      <c r="BD25" s="48">
        <f>AZ25*100+AY25</f>
        <v>701</v>
      </c>
      <c r="BE25" s="6">
        <f t="shared" si="32"/>
        <v>0</v>
      </c>
      <c r="BF25" s="6">
        <f t="shared" si="32"/>
        <v>0</v>
      </c>
      <c r="BG25" s="6" t="e">
        <f>J25*BF25</f>
        <v>#VALUE!</v>
      </c>
      <c r="BH25" s="6" t="e">
        <f>M25*BE25</f>
        <v>#VALUE!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42"/>
      <c r="BD26" s="42"/>
    </row>
    <row r="27" spans="2:60" x14ac:dyDescent="0.25">
      <c r="B27" s="45" t="s">
        <v>10</v>
      </c>
      <c r="BC27" s="42"/>
      <c r="BD27" s="42"/>
    </row>
    <row r="28" spans="2:60" x14ac:dyDescent="0.25">
      <c r="B28" s="6">
        <v>1</v>
      </c>
      <c r="C28" s="6" t="str">
        <f>VLOOKUP(AY28,$B$4:$F$11,2,FALSE)</f>
        <v>G</v>
      </c>
      <c r="D28" s="46" t="s">
        <v>5</v>
      </c>
      <c r="E28" s="73" t="str">
        <f>VLOOKUP(AZ28,$B$4:$F$11,2,FALSE)</f>
        <v>H</v>
      </c>
      <c r="F28" s="73"/>
      <c r="G28" s="73"/>
      <c r="H28" s="73"/>
      <c r="J28" s="73" t="str">
        <f>IF(T28="","",VLOOKUP(T28,Configuratie!$B$1:$E$10,3,FALSE))</f>
        <v/>
      </c>
      <c r="K28" s="73"/>
      <c r="L28" s="6" t="s">
        <v>5</v>
      </c>
      <c r="M28" s="73" t="str">
        <f>IF(T28="","",VLOOKUP(T28,Configuratie!$B$1:$E$10,4,FALSE))</f>
        <v/>
      </c>
      <c r="N28" s="73"/>
      <c r="R28" s="6" t="str">
        <f>IF(T28="","",VLOOKUP(T28,Configuratie!$B$1:$E$10,2,FALSE))</f>
        <v/>
      </c>
      <c r="T28" s="5"/>
      <c r="AX28" s="6">
        <v>3</v>
      </c>
      <c r="AY28" s="6">
        <v>7</v>
      </c>
      <c r="AZ28" s="6">
        <v>8</v>
      </c>
      <c r="BA28" s="6" t="str">
        <f>IF(AND(ISNUMBER(J28),ISNUMBER(M28)),IF(J28+M28=1,1,0),"")</f>
        <v/>
      </c>
      <c r="BC28" s="48">
        <f>AY28*100+AZ28</f>
        <v>708</v>
      </c>
      <c r="BD28" s="48">
        <f>AZ28*100+AY28</f>
        <v>807</v>
      </c>
      <c r="BE28" s="6">
        <f t="shared" ref="BE28:BF31" si="35">VLOOKUP(AY28,$BN$3:$BW$11,$AX28,FALSE)</f>
        <v>0</v>
      </c>
      <c r="BF28" s="6">
        <f t="shared" si="35"/>
        <v>0</v>
      </c>
      <c r="BG28" s="6" t="e">
        <f>J28*BF28</f>
        <v>#VALUE!</v>
      </c>
      <c r="BH28" s="6" t="e">
        <f>M28*BE28</f>
        <v>#VALUE!</v>
      </c>
    </row>
    <row r="29" spans="2:60" x14ac:dyDescent="0.25">
      <c r="B29" s="6">
        <v>2</v>
      </c>
      <c r="C29" s="6" t="str">
        <f>VLOOKUP(AY29,$B$4:$F$11,2,FALSE)</f>
        <v>F</v>
      </c>
      <c r="D29" s="46" t="s">
        <v>5</v>
      </c>
      <c r="E29" s="73" t="str">
        <f>VLOOKUP(AZ29,$B$4:$F$11,2,FALSE)</f>
        <v>A</v>
      </c>
      <c r="F29" s="73"/>
      <c r="G29" s="73"/>
      <c r="H29" s="73"/>
      <c r="J29" s="73" t="str">
        <f>IF(T29="","",VLOOKUP(T29,Configuratie!$B$1:$E$10,3,FALSE))</f>
        <v/>
      </c>
      <c r="K29" s="73"/>
      <c r="L29" s="6" t="s">
        <v>5</v>
      </c>
      <c r="M29" s="73" t="str">
        <f>IF(T29="","",VLOOKUP(T29,Configuratie!$B$1:$E$10,4,FALSE))</f>
        <v/>
      </c>
      <c r="N29" s="73"/>
      <c r="R29" s="6" t="str">
        <f>IF(T29="","",VLOOKUP(T29,Configuratie!$B$1:$E$10,2,FALSE))</f>
        <v/>
      </c>
      <c r="T29" s="5"/>
      <c r="AX29" s="6">
        <v>3</v>
      </c>
      <c r="AY29" s="6">
        <v>6</v>
      </c>
      <c r="AZ29" s="6">
        <v>1</v>
      </c>
      <c r="BA29" s="6" t="str">
        <f t="shared" ref="BA29:BA31" si="36">IF(AND(ISNUMBER(J29),ISNUMBER(M29)),IF(J29+M29=1,1,0),"")</f>
        <v/>
      </c>
      <c r="BC29" s="48">
        <f>AY29*100+AZ29</f>
        <v>601</v>
      </c>
      <c r="BD29" s="48">
        <f>AZ29*100+AY29</f>
        <v>106</v>
      </c>
      <c r="BE29" s="6">
        <f t="shared" si="35"/>
        <v>0</v>
      </c>
      <c r="BF29" s="6">
        <f t="shared" si="35"/>
        <v>0</v>
      </c>
      <c r="BG29" s="6" t="e">
        <f>J29*BF29</f>
        <v>#VALUE!</v>
      </c>
      <c r="BH29" s="6" t="e">
        <f>M29*BE29</f>
        <v>#VALUE!</v>
      </c>
    </row>
    <row r="30" spans="2:60" x14ac:dyDescent="0.25">
      <c r="B30" s="6">
        <v>3</v>
      </c>
      <c r="C30" s="6" t="str">
        <f>VLOOKUP(AY30,$B$4:$F$11,2,FALSE)</f>
        <v>E</v>
      </c>
      <c r="D30" s="46" t="s">
        <v>5</v>
      </c>
      <c r="E30" s="73" t="str">
        <f>VLOOKUP(AZ30,$B$4:$F$11,2,FALSE)</f>
        <v>B</v>
      </c>
      <c r="F30" s="73"/>
      <c r="G30" s="73"/>
      <c r="H30" s="73"/>
      <c r="J30" s="73" t="str">
        <f>IF(T30="","",VLOOKUP(T30,Configuratie!$B$1:$E$10,3,FALSE))</f>
        <v/>
      </c>
      <c r="K30" s="73"/>
      <c r="L30" s="6" t="s">
        <v>5</v>
      </c>
      <c r="M30" s="73" t="str">
        <f>IF(T30="","",VLOOKUP(T30,Configuratie!$B$1:$E$10,4,FALSE))</f>
        <v/>
      </c>
      <c r="N30" s="73"/>
      <c r="R30" s="6" t="str">
        <f>IF(T30="","",VLOOKUP(T30,Configuratie!$B$1:$E$10,2,FALSE))</f>
        <v/>
      </c>
      <c r="T30" s="5"/>
      <c r="AX30" s="6">
        <v>3</v>
      </c>
      <c r="AY30" s="6">
        <v>5</v>
      </c>
      <c r="AZ30" s="6">
        <v>2</v>
      </c>
      <c r="BA30" s="6" t="str">
        <f t="shared" si="36"/>
        <v/>
      </c>
      <c r="BC30" s="48">
        <f>AY30*100+AZ30</f>
        <v>502</v>
      </c>
      <c r="BD30" s="48">
        <f>AZ30*100+AY30</f>
        <v>205</v>
      </c>
      <c r="BE30" s="6">
        <f t="shared" si="35"/>
        <v>0</v>
      </c>
      <c r="BF30" s="6">
        <f t="shared" si="35"/>
        <v>0</v>
      </c>
      <c r="BG30" s="6" t="e">
        <f>J30*BF30</f>
        <v>#VALUE!</v>
      </c>
      <c r="BH30" s="6" t="e">
        <f>M30*BE30</f>
        <v>#VALUE!</v>
      </c>
    </row>
    <row r="31" spans="2:60" x14ac:dyDescent="0.25">
      <c r="B31" s="6">
        <v>4</v>
      </c>
      <c r="C31" s="6" t="str">
        <f>VLOOKUP(AY31,$B$4:$F$11,2,FALSE)</f>
        <v>D</v>
      </c>
      <c r="D31" s="46" t="s">
        <v>5</v>
      </c>
      <c r="E31" s="73" t="str">
        <f>VLOOKUP(AZ31,$B$4:$F$11,2,FALSE)</f>
        <v>C</v>
      </c>
      <c r="F31" s="73"/>
      <c r="G31" s="73"/>
      <c r="H31" s="73"/>
      <c r="J31" s="73" t="str">
        <f>IF(T31="","",VLOOKUP(T31,Configuratie!$B$1:$E$10,3,FALSE))</f>
        <v/>
      </c>
      <c r="K31" s="73"/>
      <c r="L31" s="6" t="s">
        <v>5</v>
      </c>
      <c r="M31" s="73" t="str">
        <f>IF(T31="","",VLOOKUP(T31,Configuratie!$B$1:$E$10,4,FALSE))</f>
        <v/>
      </c>
      <c r="N31" s="73"/>
      <c r="R31" s="6" t="str">
        <f>IF(T31="","",VLOOKUP(T31,Configuratie!$B$1:$E$10,2,FALSE))</f>
        <v/>
      </c>
      <c r="T31" s="5"/>
      <c r="AX31" s="6">
        <v>3</v>
      </c>
      <c r="AY31" s="6">
        <v>4</v>
      </c>
      <c r="AZ31" s="6">
        <v>3</v>
      </c>
      <c r="BA31" s="6" t="str">
        <f t="shared" si="36"/>
        <v/>
      </c>
      <c r="BC31" s="48">
        <f>AY31*100+AZ31</f>
        <v>403</v>
      </c>
      <c r="BD31" s="48">
        <f>AZ31*100+AY31</f>
        <v>304</v>
      </c>
      <c r="BE31" s="6">
        <f t="shared" si="35"/>
        <v>0</v>
      </c>
      <c r="BF31" s="6">
        <f t="shared" si="35"/>
        <v>0</v>
      </c>
      <c r="BG31" s="6" t="e">
        <f>J31*BF31</f>
        <v>#VALUE!</v>
      </c>
      <c r="BH31" s="6" t="e">
        <f>M31*BE31</f>
        <v>#VALUE!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42"/>
      <c r="BD32" s="42"/>
    </row>
    <row r="33" spans="2:60" x14ac:dyDescent="0.25">
      <c r="B33" s="45" t="s">
        <v>11</v>
      </c>
      <c r="BC33" s="42"/>
      <c r="BD33" s="42"/>
    </row>
    <row r="34" spans="2:60" x14ac:dyDescent="0.25">
      <c r="B34" s="6">
        <v>1</v>
      </c>
      <c r="C34" s="6" t="str">
        <f>VLOOKUP(AY34,$B$4:$F$11,2,FALSE)</f>
        <v>H</v>
      </c>
      <c r="D34" s="46" t="s">
        <v>5</v>
      </c>
      <c r="E34" s="73" t="str">
        <f>VLOOKUP(AZ34,$B$4:$F$11,2,FALSE)</f>
        <v>C</v>
      </c>
      <c r="F34" s="73"/>
      <c r="G34" s="73"/>
      <c r="H34" s="73"/>
      <c r="J34" s="73" t="str">
        <f>IF(T34="","",VLOOKUP(T34,Configuratie!$B$1:$E$10,3,FALSE))</f>
        <v/>
      </c>
      <c r="K34" s="73"/>
      <c r="L34" s="6" t="s">
        <v>5</v>
      </c>
      <c r="M34" s="73" t="str">
        <f>IF(T34="","",VLOOKUP(T34,Configuratie!$B$1:$E$10,4,FALSE))</f>
        <v/>
      </c>
      <c r="N34" s="73"/>
      <c r="R34" s="6" t="str">
        <f>IF(T34="","",VLOOKUP(T34,Configuratie!$B$1:$E$10,2,FALSE))</f>
        <v/>
      </c>
      <c r="T34" s="5"/>
      <c r="AX34" s="6">
        <v>4</v>
      </c>
      <c r="AY34" s="6">
        <v>8</v>
      </c>
      <c r="AZ34" s="6">
        <v>3</v>
      </c>
      <c r="BA34" s="6" t="str">
        <f>IF(AND(ISNUMBER(J34),ISNUMBER(M34)),IF(J34+M34=1,1,0),"")</f>
        <v/>
      </c>
      <c r="BC34" s="48">
        <f>AY34*100+AZ34</f>
        <v>803</v>
      </c>
      <c r="BD34" s="48">
        <f>AZ34*100+AY34</f>
        <v>308</v>
      </c>
      <c r="BE34" s="6">
        <f t="shared" ref="BE34:BF37" si="37">VLOOKUP(AY34,$BN$3:$BW$11,$AX34,FALSE)</f>
        <v>0</v>
      </c>
      <c r="BF34" s="6">
        <f t="shared" si="37"/>
        <v>0</v>
      </c>
      <c r="BG34" s="6" t="e">
        <f>J34*BF34</f>
        <v>#VALUE!</v>
      </c>
      <c r="BH34" s="6" t="e">
        <f>M34*BE34</f>
        <v>#VALUE!</v>
      </c>
    </row>
    <row r="35" spans="2:60" x14ac:dyDescent="0.25">
      <c r="B35" s="6">
        <v>2</v>
      </c>
      <c r="C35" s="6" t="str">
        <f>VLOOKUP(AY35,$B$4:$F$11,2,FALSE)</f>
        <v>B</v>
      </c>
      <c r="D35" s="46" t="s">
        <v>5</v>
      </c>
      <c r="E35" s="73" t="str">
        <f>VLOOKUP(AZ35,$B$4:$F$11,2,FALSE)</f>
        <v>D</v>
      </c>
      <c r="F35" s="73"/>
      <c r="G35" s="73"/>
      <c r="H35" s="73"/>
      <c r="J35" s="73" t="str">
        <f>IF(T35="","",VLOOKUP(T35,Configuratie!$B$1:$E$10,3,FALSE))</f>
        <v/>
      </c>
      <c r="K35" s="73"/>
      <c r="L35" s="6" t="s">
        <v>5</v>
      </c>
      <c r="M35" s="73" t="str">
        <f>IF(T35="","",VLOOKUP(T35,Configuratie!$B$1:$E$10,4,FALSE))</f>
        <v/>
      </c>
      <c r="N35" s="73"/>
      <c r="R35" s="6" t="str">
        <f>IF(T35="","",VLOOKUP(T35,Configuratie!$B$1:$E$10,2,FALSE))</f>
        <v/>
      </c>
      <c r="T35" s="5"/>
      <c r="AX35" s="6">
        <v>4</v>
      </c>
      <c r="AY35" s="6">
        <v>2</v>
      </c>
      <c r="AZ35" s="6">
        <v>4</v>
      </c>
      <c r="BA35" s="6" t="str">
        <f>IF(AND(ISNUMBER(J35),ISNUMBER(M35)),IF(J35+M35=1,1,0),"")</f>
        <v/>
      </c>
      <c r="BC35" s="48">
        <f>AY35*100+AZ35</f>
        <v>204</v>
      </c>
      <c r="BD35" s="48">
        <f>AZ35*100+AY35</f>
        <v>402</v>
      </c>
      <c r="BE35" s="6">
        <f t="shared" si="37"/>
        <v>0</v>
      </c>
      <c r="BF35" s="6">
        <f t="shared" si="37"/>
        <v>0</v>
      </c>
      <c r="BG35" s="6" t="e">
        <f>J35*BF35</f>
        <v>#VALUE!</v>
      </c>
      <c r="BH35" s="6" t="e">
        <f>M35*BE35</f>
        <v>#VALUE!</v>
      </c>
    </row>
    <row r="36" spans="2:60" x14ac:dyDescent="0.25">
      <c r="B36" s="6">
        <v>3</v>
      </c>
      <c r="C36" s="6" t="str">
        <f>VLOOKUP(AY36,$B$4:$F$11,2,FALSE)</f>
        <v>A</v>
      </c>
      <c r="D36" s="46" t="s">
        <v>5</v>
      </c>
      <c r="E36" s="73" t="str">
        <f>VLOOKUP(AZ36,$B$4:$F$11,2,FALSE)</f>
        <v>E</v>
      </c>
      <c r="F36" s="73"/>
      <c r="G36" s="73"/>
      <c r="H36" s="73"/>
      <c r="J36" s="73" t="str">
        <f>IF(T36="","",VLOOKUP(T36,Configuratie!$B$1:$E$10,3,FALSE))</f>
        <v/>
      </c>
      <c r="K36" s="73"/>
      <c r="L36" s="6" t="s">
        <v>5</v>
      </c>
      <c r="M36" s="73" t="str">
        <f>IF(T36="","",VLOOKUP(T36,Configuratie!$B$1:$E$10,4,FALSE))</f>
        <v/>
      </c>
      <c r="N36" s="73"/>
      <c r="R36" s="6" t="str">
        <f>IF(T36="","",VLOOKUP(T36,Configuratie!$B$1:$E$10,2,FALSE))</f>
        <v/>
      </c>
      <c r="T36" s="5"/>
      <c r="AX36" s="6">
        <v>4</v>
      </c>
      <c r="AY36" s="6">
        <v>1</v>
      </c>
      <c r="AZ36" s="6">
        <v>5</v>
      </c>
      <c r="BA36" s="6" t="str">
        <f t="shared" ref="BA36:BA37" si="38">IF(AND(ISNUMBER(J36),ISNUMBER(M36)),IF(J36+M36=1,1,0),"")</f>
        <v/>
      </c>
      <c r="BC36" s="48">
        <f>AY36*100+AZ36</f>
        <v>105</v>
      </c>
      <c r="BD36" s="48">
        <f>AZ36*100+AY36</f>
        <v>501</v>
      </c>
      <c r="BE36" s="6">
        <f t="shared" si="37"/>
        <v>0</v>
      </c>
      <c r="BF36" s="6">
        <f t="shared" si="37"/>
        <v>0</v>
      </c>
      <c r="BG36" s="6" t="e">
        <f>J36*BF36</f>
        <v>#VALUE!</v>
      </c>
      <c r="BH36" s="6" t="e">
        <f>M36*BE36</f>
        <v>#VALUE!</v>
      </c>
    </row>
    <row r="37" spans="2:60" x14ac:dyDescent="0.25">
      <c r="B37" s="6">
        <v>4</v>
      </c>
      <c r="C37" s="6" t="str">
        <f>VLOOKUP(AY37,$B$4:$F$11,2,FALSE)</f>
        <v>G</v>
      </c>
      <c r="D37" s="46" t="s">
        <v>5</v>
      </c>
      <c r="E37" s="73" t="str">
        <f>VLOOKUP(AZ37,$B$4:$F$11,2,FALSE)</f>
        <v>F</v>
      </c>
      <c r="F37" s="73"/>
      <c r="G37" s="73"/>
      <c r="H37" s="73"/>
      <c r="J37" s="73" t="str">
        <f>IF(T37="","",VLOOKUP(T37,Configuratie!$B$1:$E$10,3,FALSE))</f>
        <v/>
      </c>
      <c r="K37" s="73"/>
      <c r="L37" s="6" t="s">
        <v>5</v>
      </c>
      <c r="M37" s="73" t="str">
        <f>IF(T37="","",VLOOKUP(T37,Configuratie!$B$1:$E$10,4,FALSE))</f>
        <v/>
      </c>
      <c r="N37" s="73"/>
      <c r="R37" s="6" t="str">
        <f>IF(T37="","",VLOOKUP(T37,Configuratie!$B$1:$E$10,2,FALSE))</f>
        <v/>
      </c>
      <c r="T37" s="5"/>
      <c r="AX37" s="6">
        <v>4</v>
      </c>
      <c r="AY37" s="6">
        <v>7</v>
      </c>
      <c r="AZ37" s="6">
        <v>6</v>
      </c>
      <c r="BA37" s="6" t="str">
        <f t="shared" si="38"/>
        <v/>
      </c>
      <c r="BC37" s="48">
        <f>AY37*100+AZ37</f>
        <v>706</v>
      </c>
      <c r="BD37" s="48">
        <f>AZ37*100+AY37</f>
        <v>607</v>
      </c>
      <c r="BE37" s="6">
        <f t="shared" si="37"/>
        <v>0</v>
      </c>
      <c r="BF37" s="6">
        <f t="shared" si="37"/>
        <v>0</v>
      </c>
      <c r="BG37" s="6" t="e">
        <f>J37*BF37</f>
        <v>#VALUE!</v>
      </c>
      <c r="BH37" s="6" t="e">
        <f>M37*BE37</f>
        <v>#VALUE!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42"/>
      <c r="BD38" s="42"/>
    </row>
    <row r="39" spans="2:60" x14ac:dyDescent="0.25">
      <c r="B39" s="45" t="s">
        <v>12</v>
      </c>
      <c r="BC39" s="42"/>
      <c r="BD39" s="42"/>
    </row>
    <row r="40" spans="2:60" x14ac:dyDescent="0.25">
      <c r="B40" s="6">
        <v>1</v>
      </c>
      <c r="C40" s="6" t="str">
        <f>VLOOKUP(AY40,$B$4:$F$11,2,FALSE)</f>
        <v>F</v>
      </c>
      <c r="D40" s="46" t="s">
        <v>5</v>
      </c>
      <c r="E40" s="73" t="str">
        <f>VLOOKUP(AZ40,$B$4:$F$11,2,FALSE)</f>
        <v>H</v>
      </c>
      <c r="F40" s="73"/>
      <c r="G40" s="73"/>
      <c r="H40" s="73"/>
      <c r="J40" s="73" t="str">
        <f>IF(T40="","",VLOOKUP(T40,Configuratie!$B$1:$E$10,3,FALSE))</f>
        <v/>
      </c>
      <c r="K40" s="73"/>
      <c r="L40" s="6" t="s">
        <v>5</v>
      </c>
      <c r="M40" s="73" t="str">
        <f>IF(T40="","",VLOOKUP(T40,Configuratie!$B$1:$E$10,4,FALSE))</f>
        <v/>
      </c>
      <c r="N40" s="73"/>
      <c r="R40" s="6" t="str">
        <f>IF(T40="","",VLOOKUP(T40,Configuratie!$B$1:$E$10,2,FALSE))</f>
        <v/>
      </c>
      <c r="T40" s="5"/>
      <c r="AX40" s="6">
        <v>5</v>
      </c>
      <c r="AY40" s="6">
        <v>6</v>
      </c>
      <c r="AZ40" s="6">
        <v>8</v>
      </c>
      <c r="BA40" s="6" t="str">
        <f>IF(AND(ISNUMBER(J40),ISNUMBER(M40)),IF(J40+M40=1,1,0),"")</f>
        <v/>
      </c>
      <c r="BC40" s="48">
        <f>AY40*100+AZ40</f>
        <v>608</v>
      </c>
      <c r="BD40" s="48">
        <f>AZ40*100+AY40</f>
        <v>806</v>
      </c>
      <c r="BE40" s="6">
        <f t="shared" ref="BE40:BF43" si="39">VLOOKUP(AY40,$BN$3:$BW$11,$AX40,FALSE)</f>
        <v>0</v>
      </c>
      <c r="BF40" s="6">
        <f t="shared" si="39"/>
        <v>0</v>
      </c>
      <c r="BG40" s="6" t="e">
        <f>J40*BF40</f>
        <v>#VALUE!</v>
      </c>
      <c r="BH40" s="6" t="e">
        <f>M40*BE40</f>
        <v>#VALUE!</v>
      </c>
    </row>
    <row r="41" spans="2:60" x14ac:dyDescent="0.25">
      <c r="B41" s="6">
        <v>2</v>
      </c>
      <c r="C41" s="6" t="str">
        <f>VLOOKUP(AY41,$B$4:$F$11,2,FALSE)</f>
        <v>E</v>
      </c>
      <c r="D41" s="46" t="s">
        <v>5</v>
      </c>
      <c r="E41" s="73" t="str">
        <f>VLOOKUP(AZ41,$B$4:$F$11,2,FALSE)</f>
        <v>G</v>
      </c>
      <c r="F41" s="73"/>
      <c r="G41" s="73"/>
      <c r="H41" s="73"/>
      <c r="J41" s="73" t="str">
        <f>IF(T41="","",VLOOKUP(T41,Configuratie!$B$1:$E$10,3,FALSE))</f>
        <v/>
      </c>
      <c r="K41" s="73"/>
      <c r="L41" s="6" t="s">
        <v>5</v>
      </c>
      <c r="M41" s="73" t="str">
        <f>IF(T41="","",VLOOKUP(T41,Configuratie!$B$1:$E$10,4,FALSE))</f>
        <v/>
      </c>
      <c r="N41" s="73"/>
      <c r="R41" s="6" t="str">
        <f>IF(T41="","",VLOOKUP(T41,Configuratie!$B$1:$E$10,2,FALSE))</f>
        <v/>
      </c>
      <c r="T41" s="5"/>
      <c r="AX41" s="6">
        <v>5</v>
      </c>
      <c r="AY41" s="6">
        <v>5</v>
      </c>
      <c r="AZ41" s="6">
        <v>7</v>
      </c>
      <c r="BA41" s="6" t="str">
        <f t="shared" ref="BA41:BA43" si="40">IF(AND(ISNUMBER(J41),ISNUMBER(M41)),IF(J41+M41=1,1,0),"")</f>
        <v/>
      </c>
      <c r="BC41" s="48">
        <f>AY41*100+AZ41</f>
        <v>507</v>
      </c>
      <c r="BD41" s="48">
        <f>AZ41*100+AY41</f>
        <v>705</v>
      </c>
      <c r="BE41" s="6">
        <f t="shared" si="39"/>
        <v>0</v>
      </c>
      <c r="BF41" s="6">
        <f t="shared" si="39"/>
        <v>0</v>
      </c>
      <c r="BG41" s="6" t="e">
        <f>J41*BF41</f>
        <v>#VALUE!</v>
      </c>
      <c r="BH41" s="6" t="e">
        <f>M41*BE41</f>
        <v>#VALUE!</v>
      </c>
    </row>
    <row r="42" spans="2:60" x14ac:dyDescent="0.25">
      <c r="B42" s="6">
        <v>3</v>
      </c>
      <c r="C42" s="6" t="str">
        <f>VLOOKUP(AY42,$B$4:$F$11,2,FALSE)</f>
        <v>D</v>
      </c>
      <c r="D42" s="46" t="s">
        <v>5</v>
      </c>
      <c r="E42" s="73" t="str">
        <f>VLOOKUP(AZ42,$B$4:$F$11,2,FALSE)</f>
        <v>A</v>
      </c>
      <c r="F42" s="73"/>
      <c r="G42" s="73"/>
      <c r="H42" s="73"/>
      <c r="J42" s="73" t="str">
        <f>IF(T42="","",VLOOKUP(T42,Configuratie!$B$1:$E$10,3,FALSE))</f>
        <v/>
      </c>
      <c r="K42" s="73"/>
      <c r="L42" s="6" t="s">
        <v>5</v>
      </c>
      <c r="M42" s="73" t="str">
        <f>IF(T42="","",VLOOKUP(T42,Configuratie!$B$1:$E$10,4,FALSE))</f>
        <v/>
      </c>
      <c r="N42" s="73"/>
      <c r="R42" s="6" t="str">
        <f>IF(T42="","",VLOOKUP(T42,Configuratie!$B$1:$E$10,2,FALSE))</f>
        <v/>
      </c>
      <c r="T42" s="5"/>
      <c r="AX42" s="6">
        <v>5</v>
      </c>
      <c r="AY42" s="6">
        <v>4</v>
      </c>
      <c r="AZ42" s="6">
        <v>1</v>
      </c>
      <c r="BA42" s="6" t="str">
        <f t="shared" si="40"/>
        <v/>
      </c>
      <c r="BC42" s="48">
        <f>AY42*100+AZ42</f>
        <v>401</v>
      </c>
      <c r="BD42" s="48">
        <f>AZ42*100+AY42</f>
        <v>104</v>
      </c>
      <c r="BE42" s="6">
        <f t="shared" si="39"/>
        <v>0</v>
      </c>
      <c r="BF42" s="6">
        <f t="shared" si="39"/>
        <v>0</v>
      </c>
      <c r="BG42" s="6" t="e">
        <f>J42*BF42</f>
        <v>#VALUE!</v>
      </c>
      <c r="BH42" s="6" t="e">
        <f>M42*BE42</f>
        <v>#VALUE!</v>
      </c>
    </row>
    <row r="43" spans="2:60" x14ac:dyDescent="0.25">
      <c r="B43" s="6">
        <v>4</v>
      </c>
      <c r="C43" s="6" t="str">
        <f>VLOOKUP(AY43,$B$4:$F$11,2,FALSE)</f>
        <v>C</v>
      </c>
      <c r="D43" s="46" t="s">
        <v>5</v>
      </c>
      <c r="E43" s="73" t="str">
        <f>VLOOKUP(AZ43,$B$4:$F$11,2,FALSE)</f>
        <v>B</v>
      </c>
      <c r="F43" s="73"/>
      <c r="G43" s="73"/>
      <c r="H43" s="73"/>
      <c r="J43" s="73" t="str">
        <f>IF(T43="","",VLOOKUP(T43,Configuratie!$B$1:$E$10,3,FALSE))</f>
        <v/>
      </c>
      <c r="K43" s="73"/>
      <c r="L43" s="6" t="s">
        <v>5</v>
      </c>
      <c r="M43" s="73" t="str">
        <f>IF(T43="","",VLOOKUP(T43,Configuratie!$B$1:$E$10,4,FALSE))</f>
        <v/>
      </c>
      <c r="N43" s="73"/>
      <c r="R43" s="6" t="str">
        <f>IF(T43="","",VLOOKUP(T43,Configuratie!$B$1:$E$10,2,FALSE))</f>
        <v/>
      </c>
      <c r="T43" s="5"/>
      <c r="AX43" s="6">
        <v>5</v>
      </c>
      <c r="AY43" s="6">
        <v>3</v>
      </c>
      <c r="AZ43" s="6">
        <v>2</v>
      </c>
      <c r="BA43" s="6" t="str">
        <f t="shared" si="40"/>
        <v/>
      </c>
      <c r="BC43" s="48">
        <f>AY43*100+AZ43</f>
        <v>302</v>
      </c>
      <c r="BD43" s="48">
        <f>AZ43*100+AY43</f>
        <v>203</v>
      </c>
      <c r="BE43" s="6">
        <f t="shared" si="39"/>
        <v>0</v>
      </c>
      <c r="BF43" s="6">
        <f t="shared" si="39"/>
        <v>0</v>
      </c>
      <c r="BG43" s="6" t="e">
        <f>J43*BF43</f>
        <v>#VALUE!</v>
      </c>
      <c r="BH43" s="6" t="e">
        <f>M43*BE43</f>
        <v>#VALUE!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42"/>
      <c r="BD44" s="42"/>
    </row>
    <row r="45" spans="2:60" x14ac:dyDescent="0.25">
      <c r="B45" s="45" t="s">
        <v>13</v>
      </c>
      <c r="BC45" s="42"/>
      <c r="BD45" s="42"/>
    </row>
    <row r="46" spans="2:60" x14ac:dyDescent="0.25">
      <c r="B46" s="6">
        <v>1</v>
      </c>
      <c r="C46" s="6" t="str">
        <f>VLOOKUP(AY46,$B$4:$F$11,2,FALSE)</f>
        <v>H</v>
      </c>
      <c r="D46" s="46" t="s">
        <v>5</v>
      </c>
      <c r="E46" s="73" t="str">
        <f>VLOOKUP(AZ46,$B$4:$F$11,2,FALSE)</f>
        <v>B</v>
      </c>
      <c r="F46" s="73"/>
      <c r="G46" s="73"/>
      <c r="H46" s="73"/>
      <c r="J46" s="73" t="str">
        <f>IF(T46="","",VLOOKUP(T46,Configuratie!$B$1:$E$10,3,FALSE))</f>
        <v/>
      </c>
      <c r="K46" s="73"/>
      <c r="L46" s="6" t="s">
        <v>5</v>
      </c>
      <c r="M46" s="73" t="str">
        <f>IF(T46="","",VLOOKUP(T46,Configuratie!$B$1:$E$10,4,FALSE))</f>
        <v/>
      </c>
      <c r="N46" s="73"/>
      <c r="R46" s="6" t="str">
        <f>IF(T46="","",VLOOKUP(T46,Configuratie!$B$1:$E$10,2,FALSE))</f>
        <v/>
      </c>
      <c r="T46" s="5"/>
      <c r="AX46" s="6">
        <v>6</v>
      </c>
      <c r="AY46" s="6">
        <v>8</v>
      </c>
      <c r="AZ46" s="6">
        <v>2</v>
      </c>
      <c r="BA46" s="6" t="str">
        <f>IF(AND(ISNUMBER(J46),ISNUMBER(M46)),IF(J46+M46=1,1,0),"")</f>
        <v/>
      </c>
      <c r="BC46" s="48">
        <f>AY46*100+AZ46</f>
        <v>802</v>
      </c>
      <c r="BD46" s="48">
        <f>AZ46*100+AY46</f>
        <v>208</v>
      </c>
      <c r="BE46" s="6">
        <f t="shared" ref="BE46:BF49" si="41">VLOOKUP(AY46,$BN$3:$BW$11,$AX46,FALSE)</f>
        <v>0</v>
      </c>
      <c r="BF46" s="6">
        <f t="shared" si="41"/>
        <v>0</v>
      </c>
      <c r="BG46" s="6" t="e">
        <f>J46*BF46</f>
        <v>#VALUE!</v>
      </c>
      <c r="BH46" s="6" t="e">
        <f>M46*BE46</f>
        <v>#VALUE!</v>
      </c>
    </row>
    <row r="47" spans="2:60" x14ac:dyDescent="0.25">
      <c r="B47" s="6">
        <v>2</v>
      </c>
      <c r="C47" s="6" t="str">
        <f>VLOOKUP(AY47,$B$4:$F$11,2,FALSE)</f>
        <v>A</v>
      </c>
      <c r="D47" s="46" t="s">
        <v>5</v>
      </c>
      <c r="E47" s="73" t="str">
        <f>VLOOKUP(AZ47,$B$4:$F$11,2,FALSE)</f>
        <v>C</v>
      </c>
      <c r="F47" s="73"/>
      <c r="G47" s="73"/>
      <c r="H47" s="73"/>
      <c r="J47" s="73" t="str">
        <f>IF(T47="","",VLOOKUP(T47,Configuratie!$B$1:$E$10,3,FALSE))</f>
        <v/>
      </c>
      <c r="K47" s="73"/>
      <c r="L47" s="6" t="s">
        <v>5</v>
      </c>
      <c r="M47" s="73" t="str">
        <f>IF(T47="","",VLOOKUP(T47,Configuratie!$B$1:$E$10,4,FALSE))</f>
        <v/>
      </c>
      <c r="N47" s="73"/>
      <c r="R47" s="6" t="str">
        <f>IF(T47="","",VLOOKUP(T47,Configuratie!$B$1:$E$10,2,FALSE))</f>
        <v/>
      </c>
      <c r="T47" s="5"/>
      <c r="AX47" s="6">
        <v>6</v>
      </c>
      <c r="AY47" s="6">
        <v>1</v>
      </c>
      <c r="AZ47" s="6">
        <v>3</v>
      </c>
      <c r="BA47" s="6" t="str">
        <f t="shared" ref="BA47:BA49" si="42">IF(AND(ISNUMBER(J47),ISNUMBER(M47)),IF(J47+M47=1,1,0),"")</f>
        <v/>
      </c>
      <c r="BC47" s="48">
        <f>AY47*100+AZ47</f>
        <v>103</v>
      </c>
      <c r="BD47" s="48">
        <f>AZ47*100+AY47</f>
        <v>301</v>
      </c>
      <c r="BE47" s="6">
        <f t="shared" si="41"/>
        <v>0</v>
      </c>
      <c r="BF47" s="6">
        <f t="shared" si="41"/>
        <v>0</v>
      </c>
      <c r="BG47" s="6" t="e">
        <f>J47*BF47</f>
        <v>#VALUE!</v>
      </c>
      <c r="BH47" s="6" t="e">
        <f>M47*BE47</f>
        <v>#VALUE!</v>
      </c>
    </row>
    <row r="48" spans="2:60" x14ac:dyDescent="0.25">
      <c r="B48" s="6">
        <v>3</v>
      </c>
      <c r="C48" s="6" t="str">
        <f>VLOOKUP(AY48,$B$4:$F$11,2,FALSE)</f>
        <v>G</v>
      </c>
      <c r="D48" s="46" t="s">
        <v>5</v>
      </c>
      <c r="E48" s="73" t="str">
        <f>VLOOKUP(AZ48,$B$4:$F$11,2,FALSE)</f>
        <v>D</v>
      </c>
      <c r="F48" s="73"/>
      <c r="G48" s="73"/>
      <c r="H48" s="73"/>
      <c r="J48" s="73" t="str">
        <f>IF(T48="","",VLOOKUP(T48,Configuratie!$B$1:$E$10,3,FALSE))</f>
        <v/>
      </c>
      <c r="K48" s="73"/>
      <c r="L48" s="6" t="s">
        <v>5</v>
      </c>
      <c r="M48" s="73" t="str">
        <f>IF(T48="","",VLOOKUP(T48,Configuratie!$B$1:$E$10,4,FALSE))</f>
        <v/>
      </c>
      <c r="N48" s="73"/>
      <c r="R48" s="6" t="str">
        <f>IF(T48="","",VLOOKUP(T48,Configuratie!$B$1:$E$10,2,FALSE))</f>
        <v/>
      </c>
      <c r="T48" s="5"/>
      <c r="AX48" s="6">
        <v>6</v>
      </c>
      <c r="AY48" s="6">
        <v>7</v>
      </c>
      <c r="AZ48" s="6">
        <v>4</v>
      </c>
      <c r="BA48" s="6" t="str">
        <f t="shared" si="42"/>
        <v/>
      </c>
      <c r="BC48" s="48">
        <f>AY48*100+AZ48</f>
        <v>704</v>
      </c>
      <c r="BD48" s="48">
        <f>AZ48*100+AY48</f>
        <v>407</v>
      </c>
      <c r="BE48" s="6">
        <f t="shared" si="41"/>
        <v>0</v>
      </c>
      <c r="BF48" s="6">
        <f t="shared" si="41"/>
        <v>0</v>
      </c>
      <c r="BG48" s="6" t="e">
        <f>J48*BF48</f>
        <v>#VALUE!</v>
      </c>
      <c r="BH48" s="6" t="e">
        <f>M48*BE48</f>
        <v>#VALUE!</v>
      </c>
    </row>
    <row r="49" spans="2:60" x14ac:dyDescent="0.25">
      <c r="B49" s="6">
        <v>4</v>
      </c>
      <c r="C49" s="6" t="str">
        <f>VLOOKUP(AY49,$B$4:$F$11,2,FALSE)</f>
        <v>F</v>
      </c>
      <c r="D49" s="46" t="s">
        <v>5</v>
      </c>
      <c r="E49" s="73" t="str">
        <f>VLOOKUP(AZ49,$B$4:$F$11,2,FALSE)</f>
        <v>E</v>
      </c>
      <c r="F49" s="73"/>
      <c r="G49" s="73"/>
      <c r="H49" s="73"/>
      <c r="J49" s="73" t="str">
        <f>IF(T49="","",VLOOKUP(T49,Configuratie!$B$1:$E$10,3,FALSE))</f>
        <v/>
      </c>
      <c r="K49" s="73"/>
      <c r="L49" s="6" t="s">
        <v>5</v>
      </c>
      <c r="M49" s="73" t="str">
        <f>IF(T49="","",VLOOKUP(T49,Configuratie!$B$1:$E$10,4,FALSE))</f>
        <v/>
      </c>
      <c r="N49" s="73"/>
      <c r="R49" s="6" t="str">
        <f>IF(T49="","",VLOOKUP(T49,Configuratie!$B$1:$E$10,2,FALSE))</f>
        <v/>
      </c>
      <c r="T49" s="5"/>
      <c r="AX49" s="6">
        <v>6</v>
      </c>
      <c r="AY49" s="6">
        <v>6</v>
      </c>
      <c r="AZ49" s="6">
        <v>5</v>
      </c>
      <c r="BA49" s="6" t="str">
        <f t="shared" si="42"/>
        <v/>
      </c>
      <c r="BC49" s="48">
        <f>AY49*100+AZ49</f>
        <v>605</v>
      </c>
      <c r="BD49" s="48">
        <f>AZ49*100+AY49</f>
        <v>506</v>
      </c>
      <c r="BE49" s="6">
        <f t="shared" si="41"/>
        <v>0</v>
      </c>
      <c r="BF49" s="6">
        <f t="shared" si="41"/>
        <v>0</v>
      </c>
      <c r="BG49" s="6" t="e">
        <f>J49*BF49</f>
        <v>#VALUE!</v>
      </c>
      <c r="BH49" s="6" t="e">
        <f>M49*BE49</f>
        <v>#VALUE!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42"/>
      <c r="BD50" s="42"/>
    </row>
    <row r="51" spans="2:60" x14ac:dyDescent="0.25">
      <c r="B51" s="45" t="s">
        <v>14</v>
      </c>
      <c r="BC51" s="42"/>
      <c r="BD51" s="42"/>
    </row>
    <row r="52" spans="2:60" x14ac:dyDescent="0.25">
      <c r="B52" s="6">
        <v>1</v>
      </c>
      <c r="C52" s="6" t="str">
        <f>VLOOKUP(AY52,$B$4:$F$11,2,FALSE)</f>
        <v>E</v>
      </c>
      <c r="D52" s="46" t="s">
        <v>5</v>
      </c>
      <c r="E52" s="73" t="str">
        <f>VLOOKUP(AZ52,$B$4:$F$11,2,FALSE)</f>
        <v>H</v>
      </c>
      <c r="F52" s="73"/>
      <c r="G52" s="73"/>
      <c r="H52" s="73"/>
      <c r="J52" s="73" t="str">
        <f>IF(T52="","",VLOOKUP(T52,Configuratie!$B$1:$E$10,3,FALSE))</f>
        <v/>
      </c>
      <c r="K52" s="73"/>
      <c r="L52" s="6" t="s">
        <v>5</v>
      </c>
      <c r="M52" s="73" t="str">
        <f>IF(T52="","",VLOOKUP(T52,Configuratie!$B$1:$E$10,4,FALSE))</f>
        <v/>
      </c>
      <c r="N52" s="73"/>
      <c r="R52" s="6" t="str">
        <f>IF(T52="","",VLOOKUP(T52,Configuratie!$B$1:$E$10,2,FALSE))</f>
        <v/>
      </c>
      <c r="T52" s="5"/>
      <c r="AX52" s="6">
        <v>7</v>
      </c>
      <c r="AY52" s="6">
        <v>5</v>
      </c>
      <c r="AZ52" s="6">
        <v>8</v>
      </c>
      <c r="BA52" s="6" t="str">
        <f>IF(AND(ISNUMBER(J52),ISNUMBER(M52)),IF(J52+M52=1,1,0),"")</f>
        <v/>
      </c>
      <c r="BC52" s="48">
        <f>AY52*100+AZ52</f>
        <v>508</v>
      </c>
      <c r="BD52" s="48">
        <f>AZ52*100+AY52</f>
        <v>805</v>
      </c>
      <c r="BE52" s="6">
        <f t="shared" ref="BE52:BF55" si="43">VLOOKUP(AY52,$BN$3:$BW$11,$AX52,FALSE)</f>
        <v>0</v>
      </c>
      <c r="BF52" s="6">
        <f t="shared" si="43"/>
        <v>0</v>
      </c>
      <c r="BG52" s="6" t="e">
        <f>J52*BF52</f>
        <v>#VALUE!</v>
      </c>
      <c r="BH52" s="6" t="e">
        <f>M52*BE52</f>
        <v>#VALUE!</v>
      </c>
    </row>
    <row r="53" spans="2:60" x14ac:dyDescent="0.25">
      <c r="B53" s="6">
        <v>2</v>
      </c>
      <c r="C53" s="6" t="str">
        <f>VLOOKUP(AY53,$B$4:$F$11,2,FALSE)</f>
        <v>D</v>
      </c>
      <c r="D53" s="46" t="s">
        <v>5</v>
      </c>
      <c r="E53" s="73" t="str">
        <f>VLOOKUP(AZ53,$B$4:$F$11,2,FALSE)</f>
        <v>F</v>
      </c>
      <c r="F53" s="73"/>
      <c r="G53" s="73"/>
      <c r="H53" s="73"/>
      <c r="J53" s="73" t="str">
        <f>IF(T53="","",VLOOKUP(T53,Configuratie!$B$1:$E$10,3,FALSE))</f>
        <v/>
      </c>
      <c r="K53" s="73"/>
      <c r="L53" s="6" t="s">
        <v>5</v>
      </c>
      <c r="M53" s="73" t="str">
        <f>IF(T53="","",VLOOKUP(T53,Configuratie!$B$1:$E$10,4,FALSE))</f>
        <v/>
      </c>
      <c r="N53" s="73"/>
      <c r="R53" s="6" t="str">
        <f>IF(T53="","",VLOOKUP(T53,Configuratie!$B$1:$E$10,2,FALSE))</f>
        <v/>
      </c>
      <c r="T53" s="5"/>
      <c r="AX53" s="6">
        <v>7</v>
      </c>
      <c r="AY53" s="6">
        <v>4</v>
      </c>
      <c r="AZ53" s="6">
        <v>6</v>
      </c>
      <c r="BA53" s="6" t="str">
        <f t="shared" ref="BA53:BA55" si="44">IF(AND(ISNUMBER(J53),ISNUMBER(M53)),IF(J53+M53=1,1,0),"")</f>
        <v/>
      </c>
      <c r="BC53" s="48">
        <f>AY53*100+AZ53</f>
        <v>406</v>
      </c>
      <c r="BD53" s="48">
        <f>AZ53*100+AY53</f>
        <v>604</v>
      </c>
      <c r="BE53" s="6">
        <f t="shared" si="43"/>
        <v>0</v>
      </c>
      <c r="BF53" s="6">
        <f t="shared" si="43"/>
        <v>0</v>
      </c>
      <c r="BG53" s="6" t="e">
        <f>J53*BF53</f>
        <v>#VALUE!</v>
      </c>
      <c r="BH53" s="6" t="e">
        <f>M53*BE53</f>
        <v>#VALUE!</v>
      </c>
    </row>
    <row r="54" spans="2:60" x14ac:dyDescent="0.25">
      <c r="B54" s="6">
        <v>3</v>
      </c>
      <c r="C54" s="6" t="str">
        <f>VLOOKUP(AY54,$B$4:$F$11,2,FALSE)</f>
        <v>C</v>
      </c>
      <c r="D54" s="46" t="s">
        <v>5</v>
      </c>
      <c r="E54" s="73" t="str">
        <f>VLOOKUP(AZ54,$B$4:$F$11,2,FALSE)</f>
        <v>G</v>
      </c>
      <c r="F54" s="73"/>
      <c r="G54" s="73"/>
      <c r="H54" s="73"/>
      <c r="J54" s="73" t="str">
        <f>IF(T54="","",VLOOKUP(T54,Configuratie!$B$1:$E$10,3,FALSE))</f>
        <v/>
      </c>
      <c r="K54" s="73"/>
      <c r="L54" s="6" t="s">
        <v>5</v>
      </c>
      <c r="M54" s="73" t="str">
        <f>IF(T54="","",VLOOKUP(T54,Configuratie!$B$1:$E$10,4,FALSE))</f>
        <v/>
      </c>
      <c r="N54" s="73"/>
      <c r="R54" s="6" t="str">
        <f>IF(T54="","",VLOOKUP(T54,Configuratie!$B$1:$E$10,2,FALSE))</f>
        <v/>
      </c>
      <c r="T54" s="5"/>
      <c r="AX54" s="6">
        <v>7</v>
      </c>
      <c r="AY54" s="6">
        <v>3</v>
      </c>
      <c r="AZ54" s="6">
        <v>7</v>
      </c>
      <c r="BA54" s="6" t="str">
        <f t="shared" si="44"/>
        <v/>
      </c>
      <c r="BC54" s="48">
        <f>AY54*100+AZ54</f>
        <v>307</v>
      </c>
      <c r="BD54" s="48">
        <f>AZ54*100+AY54</f>
        <v>703</v>
      </c>
      <c r="BE54" s="6">
        <f t="shared" si="43"/>
        <v>0</v>
      </c>
      <c r="BF54" s="6">
        <f t="shared" si="43"/>
        <v>0</v>
      </c>
      <c r="BG54" s="6" t="e">
        <f>J54*BF54</f>
        <v>#VALUE!</v>
      </c>
      <c r="BH54" s="6" t="e">
        <f>M54*BE54</f>
        <v>#VALUE!</v>
      </c>
    </row>
    <row r="55" spans="2:60" x14ac:dyDescent="0.25">
      <c r="B55" s="6">
        <v>4</v>
      </c>
      <c r="C55" s="6" t="str">
        <f>VLOOKUP(AY55,$B$4:$F$11,2,FALSE)</f>
        <v>B</v>
      </c>
      <c r="D55" s="46" t="s">
        <v>5</v>
      </c>
      <c r="E55" s="73" t="str">
        <f>VLOOKUP(AZ55,$B$4:$F$11,2,FALSE)</f>
        <v>A</v>
      </c>
      <c r="F55" s="73"/>
      <c r="G55" s="73"/>
      <c r="H55" s="73"/>
      <c r="J55" s="73" t="str">
        <f>IF(T55="","",VLOOKUP(T55,Configuratie!$B$1:$E$10,3,FALSE))</f>
        <v/>
      </c>
      <c r="K55" s="73"/>
      <c r="L55" s="6" t="s">
        <v>5</v>
      </c>
      <c r="M55" s="73" t="str">
        <f>IF(T55="","",VLOOKUP(T55,Configuratie!$B$1:$E$10,4,FALSE))</f>
        <v/>
      </c>
      <c r="N55" s="73"/>
      <c r="R55" s="6" t="str">
        <f>IF(T55="","",VLOOKUP(T55,Configuratie!$B$1:$E$10,2,FALSE))</f>
        <v/>
      </c>
      <c r="T55" s="5"/>
      <c r="AX55" s="6">
        <v>7</v>
      </c>
      <c r="AY55" s="6">
        <v>2</v>
      </c>
      <c r="AZ55" s="6">
        <v>1</v>
      </c>
      <c r="BA55" s="6" t="str">
        <f t="shared" si="44"/>
        <v/>
      </c>
      <c r="BC55" s="48">
        <f>AY55*100+AZ55</f>
        <v>201</v>
      </c>
      <c r="BD55" s="48">
        <f>AZ55*100+AY55</f>
        <v>102</v>
      </c>
      <c r="BE55" s="6">
        <f t="shared" si="43"/>
        <v>0</v>
      </c>
      <c r="BF55" s="6">
        <f t="shared" si="43"/>
        <v>0</v>
      </c>
      <c r="BG55" s="6" t="e">
        <f>J55*BF55</f>
        <v>#VALUE!</v>
      </c>
      <c r="BH55" s="6" t="e">
        <f>M55*BE55</f>
        <v>#VALUE!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1" priority="4" stopIfTrue="1" operator="between">
      <formula>0</formula>
      <formula>1</formula>
    </cfRule>
  </conditionalFormatting>
  <conditionalFormatting sqref="T4:U11">
    <cfRule type="cellIs" dxfId="10" priority="1" operator="equal">
      <formula>3</formula>
    </cfRule>
    <cfRule type="cellIs" dxfId="9" priority="2" operator="equal">
      <formula>2</formula>
    </cfRule>
    <cfRule type="cellIs" dxfId="8" priority="3" operator="equal">
      <formula>1</formula>
    </cfRule>
  </conditionalFormatting>
  <printOptions horizontalCentered="1" verticalCentered="1"/>
  <pageMargins left="0.7" right="0.7" top="0.75" bottom="0.75" header="0.3" footer="0.3"/>
  <pageSetup paperSize="9" scale="77" orientation="portrait" horizontalDpi="4294967293" verticalDpi="4294967293" r:id="rId1"/>
  <colBreaks count="1" manualBreakCount="1">
    <brk id="2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BT54"/>
  <sheetViews>
    <sheetView view="pageBreakPreview" topLeftCell="A2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4" width="3.7109375" style="6" customWidth="1"/>
    <col min="15" max="17" width="3.7109375" style="6" hidden="1" customWidth="1"/>
    <col min="18" max="20" width="10.42578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29" width="6.7109375" style="6" hidden="1" customWidth="1"/>
    <col min="30" max="30" width="6.7109375" style="6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7" width="6.710937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6</v>
      </c>
      <c r="B1" s="74" t="s">
        <v>31</v>
      </c>
      <c r="C1" s="74"/>
      <c r="D1" s="74"/>
      <c r="E1" s="74"/>
      <c r="F1" s="74"/>
      <c r="G1" s="75" t="s">
        <v>32</v>
      </c>
      <c r="H1" s="75"/>
      <c r="I1" s="73"/>
      <c r="J1" s="73"/>
      <c r="K1" s="73"/>
      <c r="L1" s="73"/>
      <c r="M1" s="73"/>
      <c r="N1" s="73"/>
      <c r="O1" s="73"/>
      <c r="P1" s="73"/>
      <c r="Q1" s="73"/>
      <c r="R1" s="73"/>
      <c r="S1" s="47"/>
      <c r="T1" s="47"/>
      <c r="U1" s="15"/>
      <c r="V1" s="68" t="str">
        <f>"UITSLAG "&amp; G1</f>
        <v>UITSLAG GROEP A</v>
      </c>
      <c r="W1" s="69"/>
      <c r="X1" s="69"/>
      <c r="Y1" s="69"/>
      <c r="Z1" s="69"/>
      <c r="AA1" s="69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69" t="s">
        <v>22</v>
      </c>
      <c r="BA2" s="69"/>
      <c r="BB2" s="69"/>
      <c r="BC2" s="69"/>
      <c r="BD2" s="69"/>
      <c r="BE2" s="69"/>
      <c r="BF2" s="69"/>
      <c r="BG2" s="69"/>
      <c r="BH2" s="69"/>
      <c r="BI2" s="17"/>
      <c r="BJ2" s="18"/>
      <c r="BK2" s="69" t="s">
        <v>23</v>
      </c>
      <c r="BL2" s="69"/>
      <c r="BM2" s="69"/>
      <c r="BN2" s="69"/>
      <c r="BO2" s="69"/>
      <c r="BP2" s="69"/>
      <c r="BQ2" s="69"/>
      <c r="BR2" s="69"/>
      <c r="BS2" s="69"/>
    </row>
    <row r="3" spans="1:71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9"/>
      <c r="O3" s="80"/>
      <c r="P3" s="49"/>
      <c r="Q3" s="50"/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76"/>
      <c r="E4" s="76"/>
      <c r="F4" s="25">
        <v>1000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77"/>
      <c r="O4" s="78"/>
      <c r="P4" s="52"/>
      <c r="Q4" s="53"/>
      <c r="R4" s="8">
        <f t="shared" ref="R4:R9" si="1">SUM(H4:Q4)</f>
        <v>0</v>
      </c>
      <c r="S4" s="8">
        <f>IF(H4="",0,H4)*$R$4+IF(I4="",0,I4)*$R$5+IF(J4="",0,J4)*$R$6+IF(K4="",0,K4)*$R$7+IF(L4="",0,L4)*$R$8+IF(M4="",0,M4)*$R$9</f>
        <v>0</v>
      </c>
      <c r="T4" s="54">
        <f>AO4</f>
        <v>1</v>
      </c>
      <c r="U4" s="30"/>
      <c r="V4" s="31">
        <v>1</v>
      </c>
      <c r="W4" s="32">
        <v>6</v>
      </c>
      <c r="X4" s="33" t="str">
        <f t="shared" ref="X4:X9" si="2">IF(ISNA(VLOOKUP(B4,$A$4:$T$11,3,FALSE)),C4,VLOOKUP(B4,$A$4:$T$11,3,FALSE))</f>
        <v>A</v>
      </c>
      <c r="Y4" s="34">
        <f t="shared" ref="Y4:Y9" si="3">IF(ISNA(VLOOKUP(B4,$A$4:$S$11,18,FALSE)),0,VLOOKUP(B4,$A$4:$S$11,18,FALSE))</f>
        <v>0</v>
      </c>
      <c r="Z4" s="34">
        <f t="shared" ref="Z4:Z9" si="4">VLOOKUP($W4,$AT$4:$AW$9,2,FALSE)</f>
        <v>0</v>
      </c>
      <c r="AA4" s="55">
        <f t="shared" ref="AA4:AA9" si="5">IF(ISNA(VLOOKUP(B4,$A$4:$S$11,19,FALSE)),0,VLOOKUP(B4,$A$4:$S$11,19,FALSE))</f>
        <v>0</v>
      </c>
      <c r="AB4" s="34">
        <f t="shared" ref="AB4:AB9" si="6">VLOOKUP($W4,$AT$4:$AW$9,4,FALSE)</f>
        <v>0</v>
      </c>
      <c r="AC4" s="35">
        <f t="shared" ref="AC4:AC9" si="7">VLOOKUP($W4,$B$4:$R$9,5,FALSE)</f>
        <v>1000</v>
      </c>
      <c r="AD4" s="56"/>
      <c r="AE4" s="7">
        <f>IF(R4=$R$4,IF(H4="",0,H4))+IF(R4=$R$5,IF(I4="",0,I4))+IF(R4=$R$6,IF(J4="",0,J4))+IF(R4=$R$7,IF(K4="",0,K4))+IF(R4=$R$8,IF(L4="",0,L4))+IF(R4=$R$9,IF(M4="",0,M4))</f>
        <v>0</v>
      </c>
      <c r="AF4" s="7">
        <f>$AE$11*R4+AE4</f>
        <v>0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0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0</v>
      </c>
      <c r="AK4" s="56"/>
      <c r="AL4" s="56">
        <f>RANK(AJ4,$AJ$4:$AJ$9,1)-1</f>
        <v>0</v>
      </c>
      <c r="AM4" s="56">
        <f>RANK(S4,$S$4:$S$9,1)-1</f>
        <v>0</v>
      </c>
      <c r="AN4" s="56">
        <f>6*AL4+AM4</f>
        <v>0</v>
      </c>
      <c r="AO4" s="56">
        <f>RANK(AN4,$AN$4:$AN$9)</f>
        <v>1</v>
      </c>
      <c r="AP4" s="56"/>
      <c r="AQ4" s="56"/>
      <c r="AR4" s="56"/>
      <c r="AS4" s="30"/>
      <c r="AT4" s="37">
        <v>1</v>
      </c>
      <c r="AU4" s="38">
        <f t="shared" ref="AU4:AU9" si="8">SUMIF($AU$11:$AU$36,B4,$BA$11:$BA$36)+SUMIF($AV$11:$AV$36,B4,$BB$11:$BB$36)</f>
        <v>0</v>
      </c>
      <c r="AV4" s="39" t="e">
        <f t="shared" ref="AV4:AV9" si="9">SUMIF($AU$11:$AU$36,B4,$BC$11:$BC$36)+SUMIF($AV$11:$AV$36,B4,$BD$11:$BD$36)</f>
        <v>#VALUE!</v>
      </c>
      <c r="AW4" s="39">
        <f>SUM(BK4:BS4)</f>
        <v>0</v>
      </c>
      <c r="AY4" s="6">
        <v>1</v>
      </c>
      <c r="AZ4" s="6">
        <f t="shared" ref="AZ4:BH9" si="10" xml:space="preserve"> SUMIFS( $J$14:$J$36, $AU$14:$AU$36,$AY4, $AT$14:$AT$36,AZ$3) + SUMIFS( $M$14:$M$36, $AV$14:$AV$36,$AY4, $AT$14:$AT$36,AZ$3)</f>
        <v>0</v>
      </c>
      <c r="BA4" s="6">
        <f t="shared" si="10"/>
        <v>0</v>
      </c>
      <c r="BB4" s="6">
        <f t="shared" si="10"/>
        <v>0</v>
      </c>
      <c r="BC4" s="6">
        <f t="shared" si="10"/>
        <v>0</v>
      </c>
      <c r="BD4" s="6">
        <f t="shared" si="10"/>
        <v>0</v>
      </c>
      <c r="BE4" s="6">
        <f t="shared" si="10"/>
        <v>0</v>
      </c>
      <c r="BF4" s="6">
        <f t="shared" si="10"/>
        <v>0</v>
      </c>
      <c r="BG4" s="6">
        <f t="shared" si="10"/>
        <v>0</v>
      </c>
      <c r="BH4" s="6">
        <f t="shared" si="10"/>
        <v>0</v>
      </c>
      <c r="BJ4" s="6">
        <v>1</v>
      </c>
      <c r="BK4" s="6">
        <f>AZ4</f>
        <v>0</v>
      </c>
      <c r="BL4" s="6">
        <f t="shared" ref="BL4:BS9" si="11">BK4+BA4</f>
        <v>0</v>
      </c>
      <c r="BM4" s="6">
        <f t="shared" si="11"/>
        <v>0</v>
      </c>
      <c r="BN4" s="6">
        <f t="shared" si="11"/>
        <v>0</v>
      </c>
      <c r="BO4" s="6">
        <f t="shared" si="11"/>
        <v>0</v>
      </c>
      <c r="BP4" s="6">
        <f t="shared" si="11"/>
        <v>0</v>
      </c>
      <c r="BQ4" s="6">
        <f t="shared" si="11"/>
        <v>0</v>
      </c>
      <c r="BR4" s="6">
        <f t="shared" si="11"/>
        <v>0</v>
      </c>
      <c r="BS4" s="6">
        <f t="shared" si="11"/>
        <v>0</v>
      </c>
    </row>
    <row r="5" spans="1:71" x14ac:dyDescent="0.25">
      <c r="A5" s="51">
        <f t="shared" ref="A5:A9" si="12">T5</f>
        <v>1</v>
      </c>
      <c r="B5" s="25">
        <v>2</v>
      </c>
      <c r="C5" s="25" t="s">
        <v>41</v>
      </c>
      <c r="D5" s="76"/>
      <c r="E5" s="76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77"/>
      <c r="O5" s="78"/>
      <c r="P5" s="52"/>
      <c r="Q5" s="53"/>
      <c r="R5" s="8">
        <f t="shared" si="1"/>
        <v>0</v>
      </c>
      <c r="S5" s="8">
        <f t="shared" ref="S5:S9" si="13">IF(H5="",0,H5)*$R$4+IF(I5="",0,I5)*$R$5+IF(J5="",0,J5)*$R$6+IF(K5="",0,K5)*$R$7+IF(L5="",0,L5)*$R$8+IF(M5="",0,M5)*$R$9</f>
        <v>0</v>
      </c>
      <c r="T5" s="54">
        <f t="shared" ref="T5:T9" si="14">AO5</f>
        <v>1</v>
      </c>
      <c r="U5" s="30"/>
      <c r="V5" s="31">
        <v>2</v>
      </c>
      <c r="W5" s="32">
        <v>5</v>
      </c>
      <c r="X5" s="33" t="str">
        <f t="shared" si="2"/>
        <v>B</v>
      </c>
      <c r="Y5" s="34">
        <f t="shared" si="3"/>
        <v>0</v>
      </c>
      <c r="Z5" s="34">
        <f t="shared" si="4"/>
        <v>0</v>
      </c>
      <c r="AA5" s="55">
        <f t="shared" si="5"/>
        <v>0</v>
      </c>
      <c r="AB5" s="34">
        <f t="shared" si="6"/>
        <v>0</v>
      </c>
      <c r="AC5" s="35">
        <f t="shared" si="7"/>
        <v>1000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0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0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0</v>
      </c>
      <c r="AK5" s="56"/>
      <c r="AL5" s="56">
        <f t="shared" ref="AL5:AL9" si="21">RANK(AJ5,$AJ$4:$AJ$9,1)-1</f>
        <v>0</v>
      </c>
      <c r="AM5" s="56">
        <f t="shared" ref="AM5:AM9" si="22">RANK(S5,$S$4:$S$9,1)-1</f>
        <v>0</v>
      </c>
      <c r="AN5" s="56">
        <f t="shared" ref="AN5:AN9" si="23">6*AL5+AM5</f>
        <v>0</v>
      </c>
      <c r="AO5" s="56">
        <f t="shared" ref="AO5:AO9" si="24">RANK(AN5,$AN$4:$AN$9)</f>
        <v>1</v>
      </c>
      <c r="AP5" s="56"/>
      <c r="AQ5" s="56"/>
      <c r="AR5" s="56"/>
      <c r="AS5" s="30"/>
      <c r="AT5" s="37">
        <v>2</v>
      </c>
      <c r="AU5" s="38">
        <f t="shared" si="8"/>
        <v>0</v>
      </c>
      <c r="AV5" s="39" t="e">
        <f t="shared" si="9"/>
        <v>#VALUE!</v>
      </c>
      <c r="AW5" s="39">
        <f t="shared" ref="AW5:AW9" si="25">SUM(BK5:BS5)</f>
        <v>0</v>
      </c>
      <c r="AY5" s="6">
        <v>2</v>
      </c>
      <c r="AZ5" s="6">
        <f t="shared" si="10"/>
        <v>0</v>
      </c>
      <c r="BA5" s="6">
        <f t="shared" si="10"/>
        <v>0</v>
      </c>
      <c r="BB5" s="6">
        <f t="shared" si="10"/>
        <v>0</v>
      </c>
      <c r="BC5" s="6">
        <f t="shared" si="10"/>
        <v>0</v>
      </c>
      <c r="BD5" s="6">
        <f t="shared" si="10"/>
        <v>0</v>
      </c>
      <c r="BE5" s="6">
        <f t="shared" si="10"/>
        <v>0</v>
      </c>
      <c r="BF5" s="6">
        <f t="shared" si="10"/>
        <v>0</v>
      </c>
      <c r="BG5" s="6">
        <f t="shared" si="10"/>
        <v>0</v>
      </c>
      <c r="BH5" s="6">
        <f t="shared" si="10"/>
        <v>0</v>
      </c>
      <c r="BJ5" s="6">
        <v>2</v>
      </c>
      <c r="BK5" s="6">
        <f t="shared" ref="BK5:BK9" si="26">AZ5</f>
        <v>0</v>
      </c>
      <c r="BL5" s="6">
        <f t="shared" si="11"/>
        <v>0</v>
      </c>
      <c r="BM5" s="6">
        <f t="shared" si="11"/>
        <v>0</v>
      </c>
      <c r="BN5" s="6">
        <f t="shared" si="11"/>
        <v>0</v>
      </c>
      <c r="BO5" s="6">
        <f t="shared" si="11"/>
        <v>0</v>
      </c>
      <c r="BP5" s="6">
        <f t="shared" si="11"/>
        <v>0</v>
      </c>
      <c r="BQ5" s="6">
        <f t="shared" si="11"/>
        <v>0</v>
      </c>
      <c r="BR5" s="6">
        <f t="shared" si="11"/>
        <v>0</v>
      </c>
      <c r="BS5" s="6">
        <f t="shared" si="11"/>
        <v>0</v>
      </c>
    </row>
    <row r="6" spans="1:71" x14ac:dyDescent="0.25">
      <c r="A6" s="51">
        <f t="shared" si="12"/>
        <v>1</v>
      </c>
      <c r="B6" s="25">
        <v>3</v>
      </c>
      <c r="C6" s="25" t="s">
        <v>42</v>
      </c>
      <c r="D6" s="76"/>
      <c r="E6" s="76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77"/>
      <c r="O6" s="78"/>
      <c r="P6" s="52"/>
      <c r="Q6" s="53"/>
      <c r="R6" s="8">
        <f t="shared" si="1"/>
        <v>0</v>
      </c>
      <c r="S6" s="8">
        <f t="shared" si="13"/>
        <v>0</v>
      </c>
      <c r="T6" s="54">
        <f t="shared" si="14"/>
        <v>1</v>
      </c>
      <c r="U6" s="30"/>
      <c r="V6" s="31">
        <v>3</v>
      </c>
      <c r="W6" s="32">
        <v>4</v>
      </c>
      <c r="X6" s="33" t="str">
        <f t="shared" si="2"/>
        <v>C</v>
      </c>
      <c r="Y6" s="34">
        <f t="shared" si="3"/>
        <v>0</v>
      </c>
      <c r="Z6" s="34">
        <f t="shared" si="4"/>
        <v>0</v>
      </c>
      <c r="AA6" s="55">
        <f t="shared" si="5"/>
        <v>0</v>
      </c>
      <c r="AB6" s="34">
        <f t="shared" si="6"/>
        <v>0</v>
      </c>
      <c r="AC6" s="35">
        <f t="shared" si="7"/>
        <v>1000</v>
      </c>
      <c r="AD6" s="56"/>
      <c r="AE6" s="7">
        <f t="shared" si="15"/>
        <v>0</v>
      </c>
      <c r="AF6" s="7">
        <f t="shared" si="16"/>
        <v>0</v>
      </c>
      <c r="AG6" s="7">
        <f t="shared" si="17"/>
        <v>0</v>
      </c>
      <c r="AH6" s="7">
        <f t="shared" si="18"/>
        <v>0</v>
      </c>
      <c r="AI6" s="7">
        <f t="shared" si="19"/>
        <v>0</v>
      </c>
      <c r="AJ6" s="7">
        <f t="shared" si="20"/>
        <v>0</v>
      </c>
      <c r="AK6" s="56"/>
      <c r="AL6" s="56">
        <f t="shared" si="21"/>
        <v>0</v>
      </c>
      <c r="AM6" s="56">
        <f t="shared" si="22"/>
        <v>0</v>
      </c>
      <c r="AN6" s="56">
        <f t="shared" si="23"/>
        <v>0</v>
      </c>
      <c r="AO6" s="56">
        <f t="shared" si="24"/>
        <v>1</v>
      </c>
      <c r="AP6" s="56"/>
      <c r="AQ6" s="56"/>
      <c r="AR6" s="56"/>
      <c r="AS6" s="30"/>
      <c r="AT6" s="37">
        <v>3</v>
      </c>
      <c r="AU6" s="38">
        <f t="shared" si="8"/>
        <v>0</v>
      </c>
      <c r="AV6" s="39" t="e">
        <f t="shared" si="9"/>
        <v>#VALUE!</v>
      </c>
      <c r="AW6" s="39">
        <f t="shared" si="25"/>
        <v>0</v>
      </c>
      <c r="AY6" s="6">
        <v>3</v>
      </c>
      <c r="AZ6" s="6">
        <f t="shared" si="10"/>
        <v>0</v>
      </c>
      <c r="BA6" s="6">
        <f t="shared" si="10"/>
        <v>0</v>
      </c>
      <c r="BB6" s="6">
        <f t="shared" si="10"/>
        <v>0</v>
      </c>
      <c r="BC6" s="6">
        <f t="shared" si="10"/>
        <v>0</v>
      </c>
      <c r="BD6" s="6">
        <f t="shared" si="10"/>
        <v>0</v>
      </c>
      <c r="BE6" s="6">
        <f t="shared" si="10"/>
        <v>0</v>
      </c>
      <c r="BF6" s="6">
        <f t="shared" si="10"/>
        <v>0</v>
      </c>
      <c r="BG6" s="6">
        <f t="shared" si="10"/>
        <v>0</v>
      </c>
      <c r="BH6" s="6">
        <f t="shared" si="10"/>
        <v>0</v>
      </c>
      <c r="BJ6" s="6">
        <v>3</v>
      </c>
      <c r="BK6" s="6">
        <f t="shared" si="26"/>
        <v>0</v>
      </c>
      <c r="BL6" s="6">
        <f t="shared" si="11"/>
        <v>0</v>
      </c>
      <c r="BM6" s="6">
        <f t="shared" si="11"/>
        <v>0</v>
      </c>
      <c r="BN6" s="6">
        <f t="shared" si="11"/>
        <v>0</v>
      </c>
      <c r="BO6" s="6">
        <f t="shared" si="11"/>
        <v>0</v>
      </c>
      <c r="BP6" s="6">
        <f t="shared" si="11"/>
        <v>0</v>
      </c>
      <c r="BQ6" s="6">
        <f t="shared" si="11"/>
        <v>0</v>
      </c>
      <c r="BR6" s="6">
        <f t="shared" si="11"/>
        <v>0</v>
      </c>
      <c r="BS6" s="6">
        <f t="shared" si="11"/>
        <v>0</v>
      </c>
    </row>
    <row r="7" spans="1:71" x14ac:dyDescent="0.25">
      <c r="A7" s="51">
        <f t="shared" si="12"/>
        <v>1</v>
      </c>
      <c r="B7" s="25">
        <v>4</v>
      </c>
      <c r="C7" s="25" t="s">
        <v>43</v>
      </c>
      <c r="D7" s="76"/>
      <c r="E7" s="76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77"/>
      <c r="O7" s="78"/>
      <c r="P7" s="52"/>
      <c r="Q7" s="53"/>
      <c r="R7" s="8">
        <f t="shared" si="1"/>
        <v>0</v>
      </c>
      <c r="S7" s="8">
        <f t="shared" si="13"/>
        <v>0</v>
      </c>
      <c r="T7" s="54">
        <f t="shared" si="14"/>
        <v>1</v>
      </c>
      <c r="U7" s="30"/>
      <c r="V7" s="31">
        <v>4</v>
      </c>
      <c r="W7" s="32">
        <v>3</v>
      </c>
      <c r="X7" s="33" t="str">
        <f t="shared" si="2"/>
        <v>D</v>
      </c>
      <c r="Y7" s="34">
        <f t="shared" si="3"/>
        <v>0</v>
      </c>
      <c r="Z7" s="34">
        <f t="shared" si="4"/>
        <v>0</v>
      </c>
      <c r="AA7" s="55">
        <f t="shared" si="5"/>
        <v>0</v>
      </c>
      <c r="AB7" s="34">
        <f t="shared" si="6"/>
        <v>0</v>
      </c>
      <c r="AC7" s="35">
        <f t="shared" si="7"/>
        <v>1000</v>
      </c>
      <c r="AD7" s="56"/>
      <c r="AE7" s="7">
        <f t="shared" si="15"/>
        <v>0</v>
      </c>
      <c r="AF7" s="7">
        <f t="shared" si="16"/>
        <v>0</v>
      </c>
      <c r="AG7" s="7">
        <f t="shared" si="17"/>
        <v>0</v>
      </c>
      <c r="AH7" s="7">
        <f t="shared" si="18"/>
        <v>0</v>
      </c>
      <c r="AI7" s="7">
        <f t="shared" si="19"/>
        <v>0</v>
      </c>
      <c r="AJ7" s="7">
        <f t="shared" si="20"/>
        <v>0</v>
      </c>
      <c r="AK7" s="56"/>
      <c r="AL7" s="56">
        <f t="shared" si="21"/>
        <v>0</v>
      </c>
      <c r="AM7" s="56">
        <f t="shared" si="22"/>
        <v>0</v>
      </c>
      <c r="AN7" s="56">
        <f t="shared" si="23"/>
        <v>0</v>
      </c>
      <c r="AO7" s="56">
        <f t="shared" si="24"/>
        <v>1</v>
      </c>
      <c r="AP7" s="56"/>
      <c r="AQ7" s="56"/>
      <c r="AR7" s="56"/>
      <c r="AS7" s="30"/>
      <c r="AT7" s="37">
        <v>4</v>
      </c>
      <c r="AU7" s="38">
        <f t="shared" si="8"/>
        <v>0</v>
      </c>
      <c r="AV7" s="39" t="e">
        <f t="shared" si="9"/>
        <v>#VALUE!</v>
      </c>
      <c r="AW7" s="39">
        <f t="shared" si="25"/>
        <v>0</v>
      </c>
      <c r="AY7" s="6">
        <v>4</v>
      </c>
      <c r="AZ7" s="6">
        <f t="shared" si="10"/>
        <v>0</v>
      </c>
      <c r="BA7" s="6">
        <f t="shared" si="10"/>
        <v>0</v>
      </c>
      <c r="BB7" s="6">
        <f t="shared" si="10"/>
        <v>0</v>
      </c>
      <c r="BC7" s="6">
        <f t="shared" si="10"/>
        <v>0</v>
      </c>
      <c r="BD7" s="6">
        <f t="shared" si="10"/>
        <v>0</v>
      </c>
      <c r="BE7" s="6">
        <f t="shared" si="10"/>
        <v>0</v>
      </c>
      <c r="BF7" s="6">
        <f t="shared" si="10"/>
        <v>0</v>
      </c>
      <c r="BG7" s="6">
        <f t="shared" si="10"/>
        <v>0</v>
      </c>
      <c r="BH7" s="6">
        <f t="shared" si="10"/>
        <v>0</v>
      </c>
      <c r="BJ7" s="6">
        <v>4</v>
      </c>
      <c r="BK7" s="6">
        <f t="shared" si="26"/>
        <v>0</v>
      </c>
      <c r="BL7" s="6">
        <f t="shared" si="11"/>
        <v>0</v>
      </c>
      <c r="BM7" s="6">
        <f t="shared" si="11"/>
        <v>0</v>
      </c>
      <c r="BN7" s="6">
        <f t="shared" si="11"/>
        <v>0</v>
      </c>
      <c r="BO7" s="6">
        <f t="shared" si="11"/>
        <v>0</v>
      </c>
      <c r="BP7" s="6">
        <f t="shared" si="11"/>
        <v>0</v>
      </c>
      <c r="BQ7" s="6">
        <f t="shared" si="11"/>
        <v>0</v>
      </c>
      <c r="BR7" s="6">
        <f t="shared" si="11"/>
        <v>0</v>
      </c>
      <c r="BS7" s="6">
        <f t="shared" si="11"/>
        <v>0</v>
      </c>
    </row>
    <row r="8" spans="1:71" x14ac:dyDescent="0.25">
      <c r="A8" s="51">
        <f t="shared" si="12"/>
        <v>1</v>
      </c>
      <c r="B8" s="25">
        <v>5</v>
      </c>
      <c r="C8" s="25" t="s">
        <v>47</v>
      </c>
      <c r="D8" s="76"/>
      <c r="E8" s="76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77"/>
      <c r="O8" s="78"/>
      <c r="P8" s="52"/>
      <c r="Q8" s="53"/>
      <c r="R8" s="8">
        <f t="shared" si="1"/>
        <v>0</v>
      </c>
      <c r="S8" s="8">
        <f t="shared" si="13"/>
        <v>0</v>
      </c>
      <c r="T8" s="54">
        <f t="shared" si="14"/>
        <v>1</v>
      </c>
      <c r="U8" s="30"/>
      <c r="V8" s="31">
        <v>5</v>
      </c>
      <c r="W8" s="32">
        <v>2</v>
      </c>
      <c r="X8" s="33" t="str">
        <f t="shared" si="2"/>
        <v>E</v>
      </c>
      <c r="Y8" s="34">
        <f t="shared" si="3"/>
        <v>0</v>
      </c>
      <c r="Z8" s="34">
        <f t="shared" si="4"/>
        <v>0</v>
      </c>
      <c r="AA8" s="55">
        <f t="shared" si="5"/>
        <v>0</v>
      </c>
      <c r="AB8" s="34">
        <f t="shared" si="6"/>
        <v>0</v>
      </c>
      <c r="AC8" s="35">
        <f t="shared" si="7"/>
        <v>1000</v>
      </c>
      <c r="AD8" s="56"/>
      <c r="AE8" s="7">
        <f t="shared" si="15"/>
        <v>0</v>
      </c>
      <c r="AF8" s="7">
        <f t="shared" si="16"/>
        <v>0</v>
      </c>
      <c r="AG8" s="7">
        <f t="shared" si="17"/>
        <v>0</v>
      </c>
      <c r="AH8" s="7">
        <f t="shared" si="18"/>
        <v>0</v>
      </c>
      <c r="AI8" s="7">
        <f t="shared" si="19"/>
        <v>0</v>
      </c>
      <c r="AJ8" s="7">
        <f t="shared" si="20"/>
        <v>0</v>
      </c>
      <c r="AK8" s="56"/>
      <c r="AL8" s="56">
        <f t="shared" si="21"/>
        <v>0</v>
      </c>
      <c r="AM8" s="56">
        <f t="shared" si="22"/>
        <v>0</v>
      </c>
      <c r="AN8" s="56">
        <f t="shared" si="23"/>
        <v>0</v>
      </c>
      <c r="AO8" s="56">
        <f t="shared" si="24"/>
        <v>1</v>
      </c>
      <c r="AP8" s="56"/>
      <c r="AQ8" s="56"/>
      <c r="AR8" s="56"/>
      <c r="AS8" s="30"/>
      <c r="AT8" s="37">
        <v>5</v>
      </c>
      <c r="AU8" s="38">
        <f t="shared" si="8"/>
        <v>0</v>
      </c>
      <c r="AV8" s="39" t="e">
        <f t="shared" si="9"/>
        <v>#VALUE!</v>
      </c>
      <c r="AW8" s="39">
        <f t="shared" si="25"/>
        <v>0</v>
      </c>
      <c r="AY8" s="6">
        <v>5</v>
      </c>
      <c r="AZ8" s="6">
        <f t="shared" si="10"/>
        <v>0</v>
      </c>
      <c r="BA8" s="6">
        <f t="shared" si="10"/>
        <v>0</v>
      </c>
      <c r="BB8" s="6">
        <f t="shared" si="10"/>
        <v>0</v>
      </c>
      <c r="BC8" s="6">
        <f t="shared" si="10"/>
        <v>0</v>
      </c>
      <c r="BD8" s="6">
        <f t="shared" si="10"/>
        <v>0</v>
      </c>
      <c r="BE8" s="6">
        <f t="shared" si="10"/>
        <v>0</v>
      </c>
      <c r="BF8" s="6">
        <f t="shared" si="10"/>
        <v>0</v>
      </c>
      <c r="BG8" s="6">
        <f t="shared" si="10"/>
        <v>0</v>
      </c>
      <c r="BH8" s="6">
        <f t="shared" si="10"/>
        <v>0</v>
      </c>
      <c r="BJ8" s="6">
        <v>5</v>
      </c>
      <c r="BK8" s="6">
        <f t="shared" si="26"/>
        <v>0</v>
      </c>
      <c r="BL8" s="6">
        <f t="shared" si="11"/>
        <v>0</v>
      </c>
      <c r="BM8" s="6">
        <f t="shared" si="11"/>
        <v>0</v>
      </c>
      <c r="BN8" s="6">
        <f t="shared" si="11"/>
        <v>0</v>
      </c>
      <c r="BO8" s="6">
        <f t="shared" si="11"/>
        <v>0</v>
      </c>
      <c r="BP8" s="6">
        <f t="shared" si="11"/>
        <v>0</v>
      </c>
      <c r="BQ8" s="6">
        <f t="shared" si="11"/>
        <v>0</v>
      </c>
      <c r="BR8" s="6">
        <f t="shared" si="11"/>
        <v>0</v>
      </c>
      <c r="BS8" s="6">
        <f t="shared" si="11"/>
        <v>0</v>
      </c>
    </row>
    <row r="9" spans="1:71" x14ac:dyDescent="0.25">
      <c r="A9" s="51">
        <f t="shared" si="12"/>
        <v>1</v>
      </c>
      <c r="B9" s="25">
        <v>6</v>
      </c>
      <c r="C9" s="25" t="s">
        <v>44</v>
      </c>
      <c r="D9" s="76"/>
      <c r="E9" s="76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77"/>
      <c r="O9" s="78"/>
      <c r="P9" s="52"/>
      <c r="Q9" s="53"/>
      <c r="R9" s="8">
        <f t="shared" si="1"/>
        <v>0</v>
      </c>
      <c r="S9" s="8">
        <f t="shared" si="13"/>
        <v>0</v>
      </c>
      <c r="T9" s="54">
        <f t="shared" si="14"/>
        <v>1</v>
      </c>
      <c r="U9" s="30"/>
      <c r="V9" s="31">
        <v>6</v>
      </c>
      <c r="W9" s="32">
        <v>1</v>
      </c>
      <c r="X9" s="33" t="str">
        <f t="shared" si="2"/>
        <v>F</v>
      </c>
      <c r="Y9" s="34">
        <f t="shared" si="3"/>
        <v>0</v>
      </c>
      <c r="Z9" s="34">
        <f t="shared" si="4"/>
        <v>0</v>
      </c>
      <c r="AA9" s="55">
        <f t="shared" si="5"/>
        <v>0</v>
      </c>
      <c r="AB9" s="34">
        <f t="shared" si="6"/>
        <v>0</v>
      </c>
      <c r="AC9" s="35">
        <f t="shared" si="7"/>
        <v>1000</v>
      </c>
      <c r="AD9" s="56"/>
      <c r="AE9" s="7">
        <f t="shared" si="15"/>
        <v>0</v>
      </c>
      <c r="AF9" s="7">
        <f t="shared" si="16"/>
        <v>0</v>
      </c>
      <c r="AG9" s="7">
        <f t="shared" si="17"/>
        <v>0</v>
      </c>
      <c r="AH9" s="7">
        <f t="shared" si="18"/>
        <v>0</v>
      </c>
      <c r="AI9" s="7">
        <f t="shared" si="19"/>
        <v>0</v>
      </c>
      <c r="AJ9" s="7">
        <f t="shared" si="20"/>
        <v>0</v>
      </c>
      <c r="AK9" s="56"/>
      <c r="AL9" s="56">
        <f t="shared" si="21"/>
        <v>0</v>
      </c>
      <c r="AM9" s="56">
        <f t="shared" si="22"/>
        <v>0</v>
      </c>
      <c r="AN9" s="56">
        <f t="shared" si="23"/>
        <v>0</v>
      </c>
      <c r="AO9" s="56">
        <f t="shared" si="24"/>
        <v>1</v>
      </c>
      <c r="AP9" s="56"/>
      <c r="AQ9" s="56"/>
      <c r="AR9" s="56"/>
      <c r="AS9" s="30"/>
      <c r="AT9" s="37">
        <v>6</v>
      </c>
      <c r="AU9" s="38">
        <f t="shared" si="8"/>
        <v>0</v>
      </c>
      <c r="AV9" s="39" t="e">
        <f t="shared" si="9"/>
        <v>#VALUE!</v>
      </c>
      <c r="AW9" s="39">
        <f t="shared" si="25"/>
        <v>0</v>
      </c>
      <c r="AY9" s="6">
        <v>6</v>
      </c>
      <c r="AZ9" s="6">
        <f t="shared" si="10"/>
        <v>0</v>
      </c>
      <c r="BA9" s="6">
        <f t="shared" si="10"/>
        <v>0</v>
      </c>
      <c r="BB9" s="6">
        <f t="shared" si="10"/>
        <v>0</v>
      </c>
      <c r="BC9" s="6">
        <f t="shared" si="10"/>
        <v>0</v>
      </c>
      <c r="BD9" s="6">
        <f t="shared" si="10"/>
        <v>0</v>
      </c>
      <c r="BE9" s="6">
        <f t="shared" si="10"/>
        <v>0</v>
      </c>
      <c r="BF9" s="6">
        <f t="shared" si="10"/>
        <v>0</v>
      </c>
      <c r="BG9" s="6">
        <f t="shared" si="10"/>
        <v>0</v>
      </c>
      <c r="BH9" s="6">
        <f t="shared" si="10"/>
        <v>0</v>
      </c>
      <c r="BJ9" s="6">
        <v>6</v>
      </c>
      <c r="BK9" s="6">
        <f t="shared" si="26"/>
        <v>0</v>
      </c>
      <c r="BL9" s="6">
        <f t="shared" si="11"/>
        <v>0</v>
      </c>
      <c r="BM9" s="6">
        <f t="shared" si="11"/>
        <v>0</v>
      </c>
      <c r="BN9" s="6">
        <f t="shared" si="11"/>
        <v>0</v>
      </c>
      <c r="BO9" s="6">
        <f t="shared" si="11"/>
        <v>0</v>
      </c>
      <c r="BP9" s="6">
        <f t="shared" si="11"/>
        <v>0</v>
      </c>
      <c r="BQ9" s="6">
        <f t="shared" si="11"/>
        <v>0</v>
      </c>
      <c r="BR9" s="6">
        <f t="shared" si="11"/>
        <v>0</v>
      </c>
      <c r="BS9" s="6">
        <f t="shared" si="11"/>
        <v>0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1</v>
      </c>
      <c r="AG11" s="57">
        <f>2*MAX(AG4:AG9)+1</f>
        <v>1</v>
      </c>
      <c r="AI11" s="57">
        <f>2*MAX(AI4:AI9)+1</f>
        <v>1</v>
      </c>
      <c r="AT11" s="41" t="s">
        <v>39</v>
      </c>
      <c r="AU11" s="41" t="s">
        <v>0</v>
      </c>
      <c r="AV11" s="41" t="s">
        <v>1</v>
      </c>
      <c r="AW11" s="41" t="s">
        <v>2</v>
      </c>
      <c r="AY11" s="42" t="s">
        <v>37</v>
      </c>
      <c r="AZ11" s="42" t="s">
        <v>38</v>
      </c>
      <c r="BA11" s="6" t="s">
        <v>18</v>
      </c>
      <c r="BB11" s="6" t="s">
        <v>19</v>
      </c>
      <c r="BC11" s="6" t="s">
        <v>20</v>
      </c>
      <c r="BD11" s="6" t="s">
        <v>21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F</v>
      </c>
      <c r="D14" s="46" t="s">
        <v>5</v>
      </c>
      <c r="E14" s="73" t="str">
        <f>VLOOKUP(AV14,$B$4:$F$9,2,FALSE)</f>
        <v>A</v>
      </c>
      <c r="F14" s="73"/>
      <c r="G14" s="73"/>
      <c r="H14" s="73"/>
      <c r="J14" s="73" t="str">
        <f>IF(T14="","",VLOOKUP(T14,Configuratie!$B$1:$E$10,3,FALSE))</f>
        <v/>
      </c>
      <c r="K14" s="73"/>
      <c r="L14" s="6" t="s">
        <v>5</v>
      </c>
      <c r="M14" s="73" t="str">
        <f>IF(T14="","",VLOOKUP(T14,Configuratie!$B$1:$E$10,4,FALSE))</f>
        <v/>
      </c>
      <c r="N14" s="73"/>
      <c r="R14" s="6" t="str">
        <f>IF(T14="","",VLOOKUP(T14,Configuratie!$B$1:$E$10,2,FALSE))</f>
        <v/>
      </c>
      <c r="T14" s="5"/>
      <c r="AI14" s="7"/>
      <c r="AT14" s="6">
        <v>1</v>
      </c>
      <c r="AU14" s="6">
        <v>6</v>
      </c>
      <c r="AV14" s="6">
        <v>1</v>
      </c>
      <c r="AW14" s="6" t="str">
        <f>IF(AND(ISNUMBER(J14),ISNUMBER(M14)),IF(J14+M14=1,1,0),"")</f>
        <v/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 t="e">
        <f>J14*BB14</f>
        <v>#VALUE!</v>
      </c>
      <c r="BD14" s="6" t="e">
        <f>M14*BA14</f>
        <v>#VALUE!</v>
      </c>
    </row>
    <row r="15" spans="1:71" x14ac:dyDescent="0.25">
      <c r="B15" s="6">
        <v>2</v>
      </c>
      <c r="C15" s="6" t="str">
        <f>VLOOKUP(AU15,$B$4:$F$9,2,FALSE)</f>
        <v>E</v>
      </c>
      <c r="D15" s="46" t="s">
        <v>5</v>
      </c>
      <c r="E15" s="73" t="str">
        <f>VLOOKUP(AV15,$B$4:$F$9,2,FALSE)</f>
        <v>B</v>
      </c>
      <c r="F15" s="73"/>
      <c r="G15" s="73"/>
      <c r="H15" s="73"/>
      <c r="J15" s="73" t="str">
        <f>IF(T15="","",VLOOKUP(T15,Configuratie!$B$1:$E$10,3,FALSE))</f>
        <v/>
      </c>
      <c r="K15" s="73"/>
      <c r="L15" s="6" t="s">
        <v>5</v>
      </c>
      <c r="M15" s="73" t="str">
        <f>IF(T15="","",VLOOKUP(T15,Configuratie!$B$1:$E$10,4,FALSE))</f>
        <v/>
      </c>
      <c r="N15" s="73"/>
      <c r="R15" s="6" t="str">
        <f>IF(T15="","",VLOOKUP(T15,Configuratie!$B$1:$E$10,2,FALSE))</f>
        <v/>
      </c>
      <c r="T15" s="5"/>
      <c r="AI15" s="56"/>
      <c r="AT15" s="6">
        <v>1</v>
      </c>
      <c r="AU15" s="6">
        <v>5</v>
      </c>
      <c r="AV15" s="6">
        <v>2</v>
      </c>
      <c r="AW15" s="6" t="str">
        <f t="shared" ref="AW15:AW16" si="28">IF(AND(ISNUMBER(J15),ISNUMBER(M15)),IF(J15+M15=1,1,0),"")</f>
        <v/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 t="e">
        <f>J15*BB15</f>
        <v>#VALUE!</v>
      </c>
      <c r="BD15" s="6" t="e">
        <f>M15*BA15</f>
        <v>#VALUE!</v>
      </c>
    </row>
    <row r="16" spans="1:71" x14ac:dyDescent="0.25">
      <c r="B16" s="6">
        <v>3</v>
      </c>
      <c r="C16" s="6" t="str">
        <f>VLOOKUP(AU16,$B$4:$F$9,2,FALSE)</f>
        <v>D</v>
      </c>
      <c r="D16" s="46" t="s">
        <v>5</v>
      </c>
      <c r="E16" s="73" t="str">
        <f>VLOOKUP(AV16,$B$4:$F$9,2,FALSE)</f>
        <v>C</v>
      </c>
      <c r="F16" s="73"/>
      <c r="G16" s="73"/>
      <c r="H16" s="73"/>
      <c r="J16" s="73" t="str">
        <f>IF(T16="","",VLOOKUP(T16,Configuratie!$B$1:$E$10,3,FALSE))</f>
        <v/>
      </c>
      <c r="K16" s="73"/>
      <c r="L16" s="6" t="s">
        <v>5</v>
      </c>
      <c r="M16" s="73" t="str">
        <f>IF(T16="","",VLOOKUP(T16,Configuratie!$B$1:$E$10,4,FALSE))</f>
        <v/>
      </c>
      <c r="N16" s="73"/>
      <c r="R16" s="6" t="str">
        <f>IF(T16="","",VLOOKUP(T16,Configuratie!$B$1:$E$10,2,FALSE))</f>
        <v/>
      </c>
      <c r="T16" s="5"/>
      <c r="AI16" s="56"/>
      <c r="AT16" s="6">
        <v>1</v>
      </c>
      <c r="AU16" s="6">
        <v>4</v>
      </c>
      <c r="AV16" s="6">
        <v>3</v>
      </c>
      <c r="AW16" s="6" t="str">
        <f t="shared" si="28"/>
        <v/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 t="e">
        <f>J16*BB16</f>
        <v>#VALUE!</v>
      </c>
      <c r="BD16" s="6" t="e">
        <f>M16*BA16</f>
        <v>#VALUE!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F</v>
      </c>
      <c r="D19" s="46" t="s">
        <v>5</v>
      </c>
      <c r="E19" s="73" t="str">
        <f>VLOOKUP(AV19,$B$4:$F$9,2,FALSE)</f>
        <v>C</v>
      </c>
      <c r="F19" s="73"/>
      <c r="G19" s="73"/>
      <c r="H19" s="73"/>
      <c r="J19" s="73" t="str">
        <f>IF(T19="","",VLOOKUP(T19,Configuratie!$B$1:$E$10,3,FALSE))</f>
        <v/>
      </c>
      <c r="K19" s="73"/>
      <c r="L19" s="6" t="s">
        <v>5</v>
      </c>
      <c r="M19" s="73" t="str">
        <f>IF(T19="","",VLOOKUP(T19,Configuratie!$B$1:$E$10,4,FALSE))</f>
        <v/>
      </c>
      <c r="N19" s="73"/>
      <c r="R19" s="6" t="str">
        <f>IF(T19="","",VLOOKUP(T19,Configuratie!$B$1:$E$10,2,FALSE))</f>
        <v/>
      </c>
      <c r="T19" s="5"/>
      <c r="AI19" s="56"/>
      <c r="AT19" s="6">
        <v>2</v>
      </c>
      <c r="AU19" s="6">
        <v>6</v>
      </c>
      <c r="AV19" s="6">
        <v>3</v>
      </c>
      <c r="AW19" s="6" t="str">
        <f>IF(AND(ISNUMBER(J19),ISNUMBER(M19)),IF(J19+M19=1,1,0),"")</f>
        <v/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0</v>
      </c>
      <c r="BB19" s="6">
        <f t="shared" si="29"/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2</v>
      </c>
      <c r="C20" s="6" t="str">
        <f>VLOOKUP(AU20,$B$4:$F$9,2,FALSE)</f>
        <v>B</v>
      </c>
      <c r="D20" s="46" t="s">
        <v>5</v>
      </c>
      <c r="E20" s="73" t="str">
        <f>VLOOKUP(AV20,$B$4:$F$9,2,FALSE)</f>
        <v>D</v>
      </c>
      <c r="F20" s="73"/>
      <c r="G20" s="73"/>
      <c r="H20" s="73"/>
      <c r="J20" s="73" t="str">
        <f>IF(T20="","",VLOOKUP(T20,Configuratie!$B$1:$E$10,3,FALSE))</f>
        <v/>
      </c>
      <c r="K20" s="73"/>
      <c r="L20" s="6" t="s">
        <v>5</v>
      </c>
      <c r="M20" s="73" t="str">
        <f>IF(T20="","",VLOOKUP(T20,Configuratie!$B$1:$E$10,4,FALSE))</f>
        <v/>
      </c>
      <c r="N20" s="73"/>
      <c r="R20" s="6" t="str">
        <f>IF(T20="","",VLOOKUP(T20,Configuratie!$B$1:$E$10,2,FALSE))</f>
        <v/>
      </c>
      <c r="T20" s="5"/>
      <c r="AT20" s="6">
        <v>2</v>
      </c>
      <c r="AU20" s="6">
        <v>2</v>
      </c>
      <c r="AV20" s="6">
        <v>4</v>
      </c>
      <c r="AW20" s="6" t="str">
        <f t="shared" ref="AW20:AW21" si="30">IF(AND(ISNUMBER(J20),ISNUMBER(M20)),IF(J20+M20=1,1,0),"")</f>
        <v/>
      </c>
      <c r="AY20" s="48">
        <f>AU20*100+AV20</f>
        <v>204</v>
      </c>
      <c r="AZ20" s="48">
        <f>AV20*100+AU20</f>
        <v>402</v>
      </c>
      <c r="BA20" s="6">
        <f t="shared" si="29"/>
        <v>0</v>
      </c>
      <c r="BB20" s="6">
        <f t="shared" si="29"/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3</v>
      </c>
      <c r="C21" s="6" t="str">
        <f>VLOOKUP(AU21,$B$4:$F$9,2,FALSE)</f>
        <v>A</v>
      </c>
      <c r="D21" s="46" t="s">
        <v>5</v>
      </c>
      <c r="E21" s="73" t="str">
        <f>VLOOKUP(AV21,$B$4:$F$9,2,FALSE)</f>
        <v>E</v>
      </c>
      <c r="F21" s="73"/>
      <c r="G21" s="73"/>
      <c r="H21" s="73"/>
      <c r="J21" s="73" t="str">
        <f>IF(T21="","",VLOOKUP(T21,Configuratie!$B$1:$E$10,3,FALSE))</f>
        <v/>
      </c>
      <c r="K21" s="73"/>
      <c r="L21" s="6" t="s">
        <v>5</v>
      </c>
      <c r="M21" s="73" t="str">
        <f>IF(T21="","",VLOOKUP(T21,Configuratie!$B$1:$E$10,4,FALSE))</f>
        <v/>
      </c>
      <c r="N21" s="73"/>
      <c r="R21" s="6" t="str">
        <f>IF(T21="","",VLOOKUP(T21,Configuratie!$B$1:$E$10,2,FALSE))</f>
        <v/>
      </c>
      <c r="T21" s="5"/>
      <c r="AT21" s="6">
        <v>2</v>
      </c>
      <c r="AU21" s="6">
        <v>1</v>
      </c>
      <c r="AV21" s="6">
        <v>5</v>
      </c>
      <c r="AW21" s="6" t="str">
        <f t="shared" si="30"/>
        <v/>
      </c>
      <c r="AY21" s="48">
        <f>AU21*100+AV21</f>
        <v>105</v>
      </c>
      <c r="AZ21" s="48">
        <f>AV21*100+AU21</f>
        <v>501</v>
      </c>
      <c r="BA21" s="6">
        <f t="shared" si="29"/>
        <v>0</v>
      </c>
      <c r="BB21" s="6">
        <f t="shared" si="29"/>
        <v>0</v>
      </c>
      <c r="BC21" s="6" t="e">
        <f>J21*BB21</f>
        <v>#VALUE!</v>
      </c>
      <c r="BD21" s="6" t="e">
        <f>M21*BA21</f>
        <v>#VALUE!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E</v>
      </c>
      <c r="D24" s="46" t="s">
        <v>5</v>
      </c>
      <c r="E24" s="73" t="str">
        <f>VLOOKUP(AV24,$B$4:$F$9,2,FALSE)</f>
        <v>F</v>
      </c>
      <c r="F24" s="73"/>
      <c r="G24" s="73"/>
      <c r="H24" s="73"/>
      <c r="J24" s="73" t="str">
        <f>IF(T24="","",VLOOKUP(T24,Configuratie!$B$1:$E$10,3,FALSE))</f>
        <v/>
      </c>
      <c r="K24" s="73"/>
      <c r="L24" s="6" t="s">
        <v>5</v>
      </c>
      <c r="M24" s="73" t="str">
        <f>IF(T24="","",VLOOKUP(T24,Configuratie!$B$1:$E$10,4,FALSE))</f>
        <v/>
      </c>
      <c r="N24" s="73"/>
      <c r="R24" s="6" t="str">
        <f>IF(T24="","",VLOOKUP(T24,Configuratie!$B$1:$E$10,2,FALSE))</f>
        <v/>
      </c>
      <c r="T24" s="5"/>
      <c r="AT24" s="6">
        <v>3</v>
      </c>
      <c r="AU24" s="6">
        <v>5</v>
      </c>
      <c r="AV24" s="6">
        <v>6</v>
      </c>
      <c r="AW24" s="6" t="str">
        <f>IF(AND(ISNUMBER(J24),ISNUMBER(M24)),IF(J24+M24=1,1,0),"")</f>
        <v/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0</v>
      </c>
      <c r="BB24" s="6">
        <f t="shared" si="31"/>
        <v>0</v>
      </c>
      <c r="BC24" s="6" t="e">
        <f>J24*BB24</f>
        <v>#VALUE!</v>
      </c>
      <c r="BD24" s="6" t="e">
        <f>M24*BA24</f>
        <v>#VALUE!</v>
      </c>
    </row>
    <row r="25" spans="2:56" x14ac:dyDescent="0.25">
      <c r="B25" s="6">
        <v>2</v>
      </c>
      <c r="C25" s="6" t="str">
        <f>VLOOKUP(AU25,$B$4:$F$9,2,FALSE)</f>
        <v>D</v>
      </c>
      <c r="D25" s="46" t="s">
        <v>5</v>
      </c>
      <c r="E25" s="73" t="str">
        <f>VLOOKUP(AV25,$B$4:$F$9,2,FALSE)</f>
        <v>A</v>
      </c>
      <c r="F25" s="73"/>
      <c r="G25" s="73"/>
      <c r="H25" s="73"/>
      <c r="J25" s="73" t="str">
        <f>IF(T25="","",VLOOKUP(T25,Configuratie!$B$1:$E$10,3,FALSE))</f>
        <v/>
      </c>
      <c r="K25" s="73"/>
      <c r="L25" s="6" t="s">
        <v>5</v>
      </c>
      <c r="M25" s="73" t="str">
        <f>IF(T25="","",VLOOKUP(T25,Configuratie!$B$1:$E$10,4,FALSE))</f>
        <v/>
      </c>
      <c r="N25" s="73"/>
      <c r="R25" s="6" t="str">
        <f>IF(T25="","",VLOOKUP(T25,Configuratie!$B$1:$E$10,2,FALSE))</f>
        <v/>
      </c>
      <c r="T25" s="5"/>
      <c r="AT25" s="6">
        <v>3</v>
      </c>
      <c r="AU25" s="6">
        <v>4</v>
      </c>
      <c r="AV25" s="6">
        <v>1</v>
      </c>
      <c r="AW25" s="6" t="str">
        <f t="shared" ref="AW25:AW26" si="32">IF(AND(ISNUMBER(J25),ISNUMBER(M25)),IF(J25+M25=1,1,0),"")</f>
        <v/>
      </c>
      <c r="AY25" s="48">
        <f>AU25*100+AV25</f>
        <v>401</v>
      </c>
      <c r="AZ25" s="48">
        <f>AV25*100+AU25</f>
        <v>104</v>
      </c>
      <c r="BA25" s="6">
        <f t="shared" si="31"/>
        <v>0</v>
      </c>
      <c r="BB25" s="6">
        <f t="shared" si="31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3</v>
      </c>
      <c r="C26" s="6" t="str">
        <f>VLOOKUP(AU26,$B$4:$F$9,2,FALSE)</f>
        <v>C</v>
      </c>
      <c r="D26" s="46" t="s">
        <v>5</v>
      </c>
      <c r="E26" s="73" t="str">
        <f>VLOOKUP(AV26,$B$4:$F$9,2,FALSE)</f>
        <v>B</v>
      </c>
      <c r="F26" s="73"/>
      <c r="G26" s="73"/>
      <c r="H26" s="73"/>
      <c r="J26" s="73" t="str">
        <f>IF(T26="","",VLOOKUP(T26,Configuratie!$B$1:$E$10,3,FALSE))</f>
        <v/>
      </c>
      <c r="K26" s="73"/>
      <c r="L26" s="6" t="s">
        <v>5</v>
      </c>
      <c r="M26" s="73" t="str">
        <f>IF(T26="","",VLOOKUP(T26,Configuratie!$B$1:$E$10,4,FALSE))</f>
        <v/>
      </c>
      <c r="N26" s="73"/>
      <c r="R26" s="6" t="str">
        <f>IF(T26="","",VLOOKUP(T26,Configuratie!$B$1:$E$10,2,FALSE))</f>
        <v/>
      </c>
      <c r="T26" s="5"/>
      <c r="AT26" s="6">
        <v>3</v>
      </c>
      <c r="AU26" s="6">
        <v>3</v>
      </c>
      <c r="AV26" s="6">
        <v>2</v>
      </c>
      <c r="AW26" s="6" t="str">
        <f t="shared" si="32"/>
        <v/>
      </c>
      <c r="AY26" s="48">
        <f>AU26*100+AV26</f>
        <v>302</v>
      </c>
      <c r="AZ26" s="48">
        <f>AV26*100+AU26</f>
        <v>203</v>
      </c>
      <c r="BA26" s="6">
        <f t="shared" si="31"/>
        <v>0</v>
      </c>
      <c r="BB26" s="6">
        <f t="shared" si="31"/>
        <v>0</v>
      </c>
      <c r="BC26" s="6" t="e">
        <f>J26*BB26</f>
        <v>#VALUE!</v>
      </c>
      <c r="BD26" s="6" t="e">
        <f>M26*BA26</f>
        <v>#VALUE!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F</v>
      </c>
      <c r="D29" s="46" t="s">
        <v>5</v>
      </c>
      <c r="E29" s="73" t="str">
        <f>VLOOKUP(AV29,$B$4:$F$9,2,FALSE)</f>
        <v>B</v>
      </c>
      <c r="F29" s="73"/>
      <c r="G29" s="73"/>
      <c r="H29" s="73"/>
      <c r="J29" s="73" t="str">
        <f>IF(T29="","",VLOOKUP(T29,Configuratie!$B$1:$E$10,3,FALSE))</f>
        <v/>
      </c>
      <c r="K29" s="73"/>
      <c r="L29" s="6" t="s">
        <v>5</v>
      </c>
      <c r="M29" s="73" t="str">
        <f>IF(T29="","",VLOOKUP(T29,Configuratie!$B$1:$E$10,4,FALSE))</f>
        <v/>
      </c>
      <c r="N29" s="73"/>
      <c r="R29" s="6" t="str">
        <f>IF(T29="","",VLOOKUP(T29,Configuratie!$B$1:$E$10,2,FALSE))</f>
        <v/>
      </c>
      <c r="T29" s="5"/>
      <c r="AT29" s="6">
        <v>4</v>
      </c>
      <c r="AU29" s="6">
        <v>6</v>
      </c>
      <c r="AV29" s="6">
        <v>2</v>
      </c>
      <c r="AW29" s="6" t="str">
        <f>IF(AND(ISNUMBER(J29),ISNUMBER(M29)),IF(J29+M29=1,1,0),"")</f>
        <v/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0</v>
      </c>
      <c r="BB29" s="6">
        <f t="shared" si="33"/>
        <v>0</v>
      </c>
      <c r="BC29" s="6" t="e">
        <f>J29*BB29</f>
        <v>#VALUE!</v>
      </c>
      <c r="BD29" s="6" t="e">
        <f>M29*BA29</f>
        <v>#VALUE!</v>
      </c>
    </row>
    <row r="30" spans="2:56" x14ac:dyDescent="0.25">
      <c r="B30" s="6">
        <v>2</v>
      </c>
      <c r="C30" s="6" t="str">
        <f>VLOOKUP(AU30,$B$4:$F$9,2,FALSE)</f>
        <v>A</v>
      </c>
      <c r="D30" s="46" t="s">
        <v>5</v>
      </c>
      <c r="E30" s="73" t="str">
        <f>VLOOKUP(AV30,$B$4:$F$9,2,FALSE)</f>
        <v>C</v>
      </c>
      <c r="F30" s="73"/>
      <c r="G30" s="73"/>
      <c r="H30" s="73"/>
      <c r="J30" s="73" t="str">
        <f>IF(T30="","",VLOOKUP(T30,Configuratie!$B$1:$E$10,3,FALSE))</f>
        <v/>
      </c>
      <c r="K30" s="73"/>
      <c r="L30" s="6" t="s">
        <v>5</v>
      </c>
      <c r="M30" s="73" t="str">
        <f>IF(T30="","",VLOOKUP(T30,Configuratie!$B$1:$E$10,4,FALSE))</f>
        <v/>
      </c>
      <c r="N30" s="73"/>
      <c r="R30" s="6" t="str">
        <f>IF(T30="","",VLOOKUP(T30,Configuratie!$B$1:$E$10,2,FALSE))</f>
        <v/>
      </c>
      <c r="T30" s="5"/>
      <c r="AT30" s="6">
        <v>4</v>
      </c>
      <c r="AU30" s="6">
        <v>1</v>
      </c>
      <c r="AV30" s="6">
        <v>3</v>
      </c>
      <c r="AW30" s="6" t="str">
        <f t="shared" ref="AW30:AW31" si="34">IF(AND(ISNUMBER(J30),ISNUMBER(M30)),IF(J30+M30=1,1,0),"")</f>
        <v/>
      </c>
      <c r="AY30" s="48">
        <f>AU30*100+AV30</f>
        <v>103</v>
      </c>
      <c r="AZ30" s="48">
        <f>AV30*100+AU30</f>
        <v>301</v>
      </c>
      <c r="BA30" s="6">
        <f t="shared" si="33"/>
        <v>0</v>
      </c>
      <c r="BB30" s="6">
        <f t="shared" si="33"/>
        <v>0</v>
      </c>
      <c r="BC30" s="6" t="e">
        <f>J30*BB30</f>
        <v>#VALUE!</v>
      </c>
      <c r="BD30" s="6" t="e">
        <f>M30*BA30</f>
        <v>#VALUE!</v>
      </c>
    </row>
    <row r="31" spans="2:56" x14ac:dyDescent="0.25">
      <c r="B31" s="6">
        <v>3</v>
      </c>
      <c r="C31" s="6" t="str">
        <f>VLOOKUP(AU31,$B$4:$F$9,2,FALSE)</f>
        <v>E</v>
      </c>
      <c r="D31" s="46" t="s">
        <v>5</v>
      </c>
      <c r="E31" s="73" t="str">
        <f>VLOOKUP(AV31,$B$4:$F$9,2,FALSE)</f>
        <v>D</v>
      </c>
      <c r="F31" s="73"/>
      <c r="G31" s="73"/>
      <c r="H31" s="73"/>
      <c r="J31" s="73" t="str">
        <f>IF(T31="","",VLOOKUP(T31,Configuratie!$B$1:$E$10,3,FALSE))</f>
        <v/>
      </c>
      <c r="K31" s="73"/>
      <c r="L31" s="6" t="s">
        <v>5</v>
      </c>
      <c r="M31" s="73" t="str">
        <f>IF(T31="","",VLOOKUP(T31,Configuratie!$B$1:$E$10,4,FALSE))</f>
        <v/>
      </c>
      <c r="N31" s="73"/>
      <c r="R31" s="6" t="str">
        <f>IF(T31="","",VLOOKUP(T31,Configuratie!$B$1:$E$10,2,FALSE))</f>
        <v/>
      </c>
      <c r="T31" s="5"/>
      <c r="AT31" s="6">
        <v>4</v>
      </c>
      <c r="AU31" s="6">
        <v>5</v>
      </c>
      <c r="AV31" s="6">
        <v>4</v>
      </c>
      <c r="AW31" s="6" t="str">
        <f t="shared" si="34"/>
        <v/>
      </c>
      <c r="AY31" s="48">
        <f>AU31*100+AV31</f>
        <v>504</v>
      </c>
      <c r="AZ31" s="48">
        <f>AV31*100+AU31</f>
        <v>405</v>
      </c>
      <c r="BA31" s="6">
        <f t="shared" si="33"/>
        <v>0</v>
      </c>
      <c r="BB31" s="6">
        <f t="shared" si="33"/>
        <v>0</v>
      </c>
      <c r="BC31" s="6" t="e">
        <f>J31*BB31</f>
        <v>#VALUE!</v>
      </c>
      <c r="BD31" s="6" t="e">
        <f>M31*BA31</f>
        <v>#VALUE!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D</v>
      </c>
      <c r="D34" s="46" t="s">
        <v>5</v>
      </c>
      <c r="E34" s="73" t="str">
        <f>VLOOKUP(AV34,$B$4:$F$9,2,FALSE)</f>
        <v>F</v>
      </c>
      <c r="F34" s="73"/>
      <c r="G34" s="73"/>
      <c r="H34" s="73"/>
      <c r="J34" s="73" t="str">
        <f>IF(T34="","",VLOOKUP(T34,Configuratie!$B$1:$E$10,3,FALSE))</f>
        <v/>
      </c>
      <c r="K34" s="73"/>
      <c r="L34" s="6" t="s">
        <v>5</v>
      </c>
      <c r="M34" s="73" t="str">
        <f>IF(T34="","",VLOOKUP(T34,Configuratie!$B$1:$E$10,4,FALSE))</f>
        <v/>
      </c>
      <c r="N34" s="73"/>
      <c r="R34" s="6" t="str">
        <f>IF(T34="","",VLOOKUP(T34,Configuratie!$B$1:$E$10,2,FALSE))</f>
        <v/>
      </c>
      <c r="T34" s="5"/>
      <c r="AT34" s="6">
        <v>5</v>
      </c>
      <c r="AU34" s="6">
        <v>4</v>
      </c>
      <c r="AV34" s="6">
        <v>6</v>
      </c>
      <c r="AW34" s="6" t="str">
        <f>IF(AND(ISNUMBER(J34),ISNUMBER(M34)),IF(J34+M34=1,1,0),"")</f>
        <v/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0</v>
      </c>
      <c r="BB34" s="6">
        <f t="shared" si="35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2</v>
      </c>
      <c r="C35" s="6" t="str">
        <f>VLOOKUP(AU35,$B$4:$F$9,2,FALSE)</f>
        <v>E</v>
      </c>
      <c r="D35" s="46" t="s">
        <v>5</v>
      </c>
      <c r="E35" s="73" t="str">
        <f>VLOOKUP(AV35,$B$4:$F$9,2,FALSE)</f>
        <v>C</v>
      </c>
      <c r="F35" s="73"/>
      <c r="G35" s="73"/>
      <c r="H35" s="73"/>
      <c r="J35" s="73" t="str">
        <f>IF(T35="","",VLOOKUP(T35,Configuratie!$B$1:$E$10,3,FALSE))</f>
        <v/>
      </c>
      <c r="K35" s="73"/>
      <c r="L35" s="6" t="s">
        <v>5</v>
      </c>
      <c r="M35" s="73" t="str">
        <f>IF(T35="","",VLOOKUP(T35,Configuratie!$B$1:$E$10,4,FALSE))</f>
        <v/>
      </c>
      <c r="N35" s="73"/>
      <c r="R35" s="6" t="str">
        <f>IF(T35="","",VLOOKUP(T35,Configuratie!$B$1:$E$10,2,FALSE))</f>
        <v/>
      </c>
      <c r="T35" s="5"/>
      <c r="AT35" s="6">
        <v>5</v>
      </c>
      <c r="AU35" s="6">
        <v>5</v>
      </c>
      <c r="AV35" s="6">
        <v>3</v>
      </c>
      <c r="AW35" s="6" t="str">
        <f t="shared" ref="AW35:AW36" si="36">IF(AND(ISNUMBER(J35),ISNUMBER(M35)),IF(J35+M35=1,1,0),"")</f>
        <v/>
      </c>
      <c r="AY35" s="48">
        <f>AU35*100+AV35</f>
        <v>503</v>
      </c>
      <c r="AZ35" s="48">
        <f>AV35*100+AU35</f>
        <v>305</v>
      </c>
      <c r="BA35" s="6">
        <f t="shared" si="35"/>
        <v>0</v>
      </c>
      <c r="BB35" s="6">
        <f t="shared" si="35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3</v>
      </c>
      <c r="C36" s="6" t="str">
        <f>VLOOKUP(AU36,$B$4:$F$9,2,FALSE)</f>
        <v>B</v>
      </c>
      <c r="D36" s="46" t="s">
        <v>5</v>
      </c>
      <c r="E36" s="73" t="str">
        <f>VLOOKUP(AV36,$B$4:$F$9,2,FALSE)</f>
        <v>A</v>
      </c>
      <c r="F36" s="73"/>
      <c r="G36" s="73"/>
      <c r="H36" s="73"/>
      <c r="J36" s="73" t="str">
        <f>IF(T36="","",VLOOKUP(T36,Configuratie!$B$1:$E$10,3,FALSE))</f>
        <v/>
      </c>
      <c r="K36" s="73"/>
      <c r="L36" s="6" t="s">
        <v>5</v>
      </c>
      <c r="M36" s="73" t="str">
        <f>IF(T36="","",VLOOKUP(T36,Configuratie!$B$1:$E$10,4,FALSE))</f>
        <v/>
      </c>
      <c r="N36" s="73"/>
      <c r="R36" s="6" t="str">
        <f>IF(T36="","",VLOOKUP(T36,Configuratie!$B$1:$E$10,2,FALSE))</f>
        <v/>
      </c>
      <c r="T36" s="5"/>
      <c r="AT36" s="6">
        <v>5</v>
      </c>
      <c r="AU36" s="6">
        <v>2</v>
      </c>
      <c r="AV36" s="6">
        <v>1</v>
      </c>
      <c r="AW36" s="6" t="str">
        <f t="shared" si="36"/>
        <v/>
      </c>
      <c r="AY36" s="48">
        <f>AU36*100+AV36</f>
        <v>201</v>
      </c>
      <c r="AZ36" s="48">
        <f>AV36*100+AU36</f>
        <v>102</v>
      </c>
      <c r="BA36" s="6">
        <f t="shared" si="35"/>
        <v>0</v>
      </c>
      <c r="BB36" s="6">
        <f t="shared" si="35"/>
        <v>0</v>
      </c>
      <c r="BC36" s="6" t="e">
        <f>J36*BB36</f>
        <v>#VALUE!</v>
      </c>
      <c r="BD36" s="6" t="e">
        <f>M36*BA36</f>
        <v>#VALUE!</v>
      </c>
    </row>
    <row r="52" spans="13:14" x14ac:dyDescent="0.25">
      <c r="M52" s="73"/>
      <c r="N52" s="73"/>
    </row>
    <row r="53" spans="13:14" x14ac:dyDescent="0.25">
      <c r="M53" s="73"/>
      <c r="N53" s="73"/>
    </row>
    <row r="54" spans="13:14" x14ac:dyDescent="0.25">
      <c r="M54" s="73"/>
      <c r="N54" s="73"/>
    </row>
  </sheetData>
  <sheetProtection password="CA5D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2:N52"/>
    <mergeCell ref="M53:N53"/>
    <mergeCell ref="M54:N54"/>
    <mergeCell ref="N7:O7"/>
    <mergeCell ref="N8:O8"/>
    <mergeCell ref="N9:O9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3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A1:BP21"/>
  <sheetViews>
    <sheetView tabSelected="1" view="pageBreakPreview" zoomScaleNormal="100" zoomScaleSheetLayoutView="100" workbookViewId="0">
      <selection activeCell="S12" sqref="S12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2" width="3.7109375" style="6" customWidth="1"/>
    <col min="13" max="13" width="3.85546875" style="6" customWidth="1"/>
    <col min="14" max="14" width="4.28515625" style="6" customWidth="1"/>
    <col min="15" max="15" width="5.28515625" style="6" customWidth="1"/>
    <col min="16" max="16" width="3.7109375" style="6" customWidth="1"/>
    <col min="17" max="17" width="10.140625" style="6" customWidth="1"/>
    <col min="18" max="18" width="7" style="6" customWidth="1"/>
    <col min="19" max="19" width="6.7109375" style="6" customWidth="1"/>
    <col min="20" max="20" width="3.7109375" style="6" customWidth="1"/>
    <col min="21" max="21" width="6.7109375" style="6" customWidth="1"/>
    <col min="22" max="22" width="3" style="6" hidden="1" customWidth="1"/>
    <col min="23" max="23" width="27.7109375" style="6" customWidth="1"/>
    <col min="24" max="24" width="6.7109375" style="6" customWidth="1"/>
    <col min="25" max="25" width="6.7109375" style="6" hidden="1" customWidth="1"/>
    <col min="26" max="26" width="6.7109375" style="6" customWidth="1"/>
    <col min="27" max="28" width="6.7109375" style="6" hidden="1" customWidth="1"/>
    <col min="29" max="29" width="3.5703125" style="6" customWidth="1"/>
    <col min="30" max="30" width="8.85546875" style="6" hidden="1" customWidth="1"/>
    <col min="31" max="31" width="6.140625" style="6" hidden="1" customWidth="1"/>
    <col min="32" max="32" width="8.5703125" style="6" hidden="1" customWidth="1"/>
    <col min="33" max="33" width="6.140625" style="6" hidden="1" customWidth="1"/>
    <col min="34" max="34" width="8.5703125" style="6" hidden="1" customWidth="1"/>
    <col min="35" max="36" width="6.7109375" style="6" hidden="1" customWidth="1"/>
    <col min="37" max="37" width="10.42578125" style="6" hidden="1" customWidth="1"/>
    <col min="38" max="42" width="6.7109375" style="6" hidden="1" customWidth="1"/>
    <col min="43" max="46" width="9.140625" style="6" hidden="1" customWidth="1"/>
    <col min="47" max="48" width="4.42578125" style="6" hidden="1" customWidth="1"/>
    <col min="49" max="67" width="3.7109375" style="6" hidden="1" customWidth="1"/>
    <col min="68" max="68" width="9.140625" style="6" hidden="1" customWidth="1"/>
    <col min="69" max="85" width="9.140625" style="6" customWidth="1"/>
    <col min="86" max="16384" width="9.140625" style="6"/>
  </cols>
  <sheetData>
    <row r="1" spans="1:67" ht="26.25" x14ac:dyDescent="0.4">
      <c r="A1" s="24">
        <v>4</v>
      </c>
      <c r="B1" s="74" t="s">
        <v>31</v>
      </c>
      <c r="C1" s="74"/>
      <c r="D1" s="74"/>
      <c r="E1" s="74"/>
      <c r="F1" s="74"/>
      <c r="G1" s="75" t="s">
        <v>32</v>
      </c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15"/>
      <c r="U1" s="68" t="str">
        <f>"UITSLAG " &amp; G1</f>
        <v>UITSLAG GROEP A</v>
      </c>
      <c r="V1" s="69"/>
      <c r="W1" s="69"/>
      <c r="X1" s="69"/>
      <c r="Y1" s="69"/>
      <c r="Z1" s="69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spans="1:67" x14ac:dyDescent="0.25">
      <c r="AQ2" s="16" t="s">
        <v>27</v>
      </c>
      <c r="AR2" s="16" t="s">
        <v>26</v>
      </c>
      <c r="AS2" s="16" t="s">
        <v>28</v>
      </c>
      <c r="AV2" s="69" t="s">
        <v>22</v>
      </c>
      <c r="AW2" s="69"/>
      <c r="AX2" s="69"/>
      <c r="AY2" s="69"/>
      <c r="AZ2" s="69"/>
      <c r="BA2" s="69"/>
      <c r="BB2" s="69"/>
      <c r="BC2" s="69"/>
      <c r="BD2" s="69"/>
      <c r="BE2" s="17"/>
      <c r="BF2" s="18"/>
      <c r="BG2" s="69" t="s">
        <v>23</v>
      </c>
      <c r="BH2" s="69"/>
      <c r="BI2" s="69"/>
      <c r="BJ2" s="69"/>
      <c r="BK2" s="69"/>
      <c r="BL2" s="69"/>
      <c r="BM2" s="69"/>
      <c r="BN2" s="69"/>
      <c r="BO2" s="69"/>
    </row>
    <row r="3" spans="1:67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17</v>
      </c>
      <c r="R3" s="7" t="s">
        <v>26</v>
      </c>
      <c r="S3" s="7" t="s">
        <v>69</v>
      </c>
      <c r="T3" s="21"/>
      <c r="U3" s="7" t="s">
        <v>33</v>
      </c>
      <c r="V3" s="22" t="s">
        <v>30</v>
      </c>
      <c r="W3" s="7" t="s">
        <v>6</v>
      </c>
      <c r="X3" s="7" t="s">
        <v>29</v>
      </c>
      <c r="Y3" s="7" t="s">
        <v>24</v>
      </c>
      <c r="Z3" s="7" t="s">
        <v>26</v>
      </c>
      <c r="AA3" s="7" t="s">
        <v>34</v>
      </c>
      <c r="AB3" s="7" t="s">
        <v>35</v>
      </c>
      <c r="AC3" s="21"/>
      <c r="AD3" s="7" t="s">
        <v>60</v>
      </c>
      <c r="AE3" s="7" t="s">
        <v>61</v>
      </c>
      <c r="AF3" s="7" t="s">
        <v>62</v>
      </c>
      <c r="AG3" s="7" t="s">
        <v>63</v>
      </c>
      <c r="AH3" s="7" t="s">
        <v>64</v>
      </c>
      <c r="AI3" s="7" t="s">
        <v>65</v>
      </c>
      <c r="AJ3" s="7"/>
      <c r="AK3" s="7" t="s">
        <v>66</v>
      </c>
      <c r="AL3" s="7" t="s">
        <v>67</v>
      </c>
      <c r="AM3" s="7" t="s">
        <v>68</v>
      </c>
      <c r="AN3" s="7" t="s">
        <v>69</v>
      </c>
      <c r="AO3" s="21"/>
      <c r="AP3" s="7" t="s">
        <v>36</v>
      </c>
      <c r="AQ3" s="23" t="s">
        <v>25</v>
      </c>
      <c r="AR3" s="16" t="s">
        <v>25</v>
      </c>
      <c r="AS3" s="16" t="s">
        <v>25</v>
      </c>
      <c r="AU3" s="6" t="s">
        <v>30</v>
      </c>
      <c r="AV3" s="18">
        <v>1</v>
      </c>
      <c r="AW3" s="18">
        <v>2</v>
      </c>
      <c r="AX3" s="18">
        <v>3</v>
      </c>
      <c r="AY3" s="18">
        <v>4</v>
      </c>
      <c r="AZ3" s="18">
        <v>5</v>
      </c>
      <c r="BA3" s="18">
        <v>6</v>
      </c>
      <c r="BB3" s="18">
        <v>7</v>
      </c>
      <c r="BC3" s="18">
        <v>8</v>
      </c>
      <c r="BD3" s="18">
        <v>9</v>
      </c>
      <c r="BE3" s="18"/>
      <c r="BF3" s="6" t="s">
        <v>30</v>
      </c>
      <c r="BG3" s="18">
        <v>1</v>
      </c>
      <c r="BH3" s="18">
        <v>2</v>
      </c>
      <c r="BI3" s="18">
        <v>3</v>
      </c>
      <c r="BJ3" s="18">
        <v>4</v>
      </c>
      <c r="BK3" s="18">
        <v>5</v>
      </c>
      <c r="BL3" s="18">
        <v>6</v>
      </c>
      <c r="BM3" s="18">
        <v>7</v>
      </c>
      <c r="BN3" s="18">
        <v>8</v>
      </c>
      <c r="BO3" s="18">
        <v>9</v>
      </c>
    </row>
    <row r="4" spans="1:67" x14ac:dyDescent="0.25">
      <c r="A4" s="24">
        <f>S4</f>
        <v>1</v>
      </c>
      <c r="B4" s="25">
        <v>1</v>
      </c>
      <c r="C4" s="25" t="s">
        <v>40</v>
      </c>
      <c r="D4" s="76"/>
      <c r="E4" s="76"/>
      <c r="F4" s="25">
        <v>1000</v>
      </c>
      <c r="M4" s="26" t="str">
        <f t="shared" ref="M4:P7" si="0">IF((SUMIF($AU$9:$AU$21,$B4*100+M$3,$AS$9:$AS$21)+SUMIF($AU$9:$AU$21,$B4+M$3*100,$AS$9:$AS$21))=1,(SUMIF($AU$9:$AU$21,$B4*100+M$3,$J$9:$J$21)+SUMIF($AV$9:$AV$21,$B4*100+M$3,$N$9:$N$21)),"")</f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8">
        <f>SUM(M4:P4)</f>
        <v>0</v>
      </c>
      <c r="R4" s="29">
        <f>IF(M4="",0,M4)*$Q$4+IF(N4="",0,N4)*$Q$5+IF(O4="",0,O4)*$Q$6+IF(P4="",0,P4)*$Q$7</f>
        <v>0</v>
      </c>
      <c r="S4" s="27">
        <f>AN4</f>
        <v>1</v>
      </c>
      <c r="T4" s="30"/>
      <c r="U4" s="31">
        <v>1</v>
      </c>
      <c r="V4" s="32">
        <v>4</v>
      </c>
      <c r="W4" s="33" t="str">
        <f>IF(ISNA(VLOOKUP(B4,$A$4:$T$7,3,FALSE)),C4,VLOOKUP(B4,$A$4:$T$7,3,FALSE))</f>
        <v>A</v>
      </c>
      <c r="X4" s="34">
        <f>IF(ISNA(VLOOKUP($B4,$A$4:$S$7,17,FALSE)),0,VLOOKUP($B4,$A$4:$S$7,17,FALSE))</f>
        <v>0</v>
      </c>
      <c r="Y4" s="34">
        <f t="shared" ref="Y4" si="1">IF(ISNA(VLOOKUP($B4,$A$4:$S$7,17,FALSE)),0,VLOOKUP($B4,$A$4:$S$7,17,FALSE))</f>
        <v>0</v>
      </c>
      <c r="Z4" s="34">
        <f>IF(ISNA(VLOOKUP($B4,$A$4:$S$7,18,FALSE)),0,VLOOKUP($B4,$A$4:$S$7,18,FALSE))</f>
        <v>0</v>
      </c>
      <c r="AA4" s="34">
        <f>VLOOKUP($V4,$AP$4:$AS$7,4,FALSE)</f>
        <v>0</v>
      </c>
      <c r="AB4" s="35">
        <f>VLOOKUP($V4,$B$4:$K$7,5,FALSE)</f>
        <v>1000</v>
      </c>
      <c r="AC4" s="30"/>
      <c r="AD4" s="36">
        <f>IF(R4=$R$4,IF(M4="",0,M4))+IF(R4=$R$5,IF(N4="",0,N4))+IF(R4=$R$6,IF(O4="",0,O4))+IF(R4=$R$7,IF(P4="",0,P4))</f>
        <v>0</v>
      </c>
      <c r="AE4" s="30">
        <f>$AD$9*R4+AD4</f>
        <v>0</v>
      </c>
      <c r="AF4" s="30">
        <f>IF(AE4=$AEE$4,IF(M4="",0,M4))+IF(AE4=$AE$5,IF(N4="",0,N4))+IF(AE4=$AE$6,IF(O4="",0,O4))+IF(AE4=$AE$7,IF(P4="",0,P4))</f>
        <v>0</v>
      </c>
      <c r="AG4" s="30">
        <f>$AF$9*AE4+AF4</f>
        <v>0</v>
      </c>
      <c r="AH4" s="30">
        <f>IF(AG4=$AG$4,IF(M4="",0,M4))+IF(AG4=$AG$5,IF(N4="",0,N4))+IF(AG4=$AG$6,IF(O4="",0,O4))+IF(AG4=$AG$7,IF(O4="",0,O4))</f>
        <v>0</v>
      </c>
      <c r="AI4" s="30">
        <f>$AH$9*AG4+AJ4</f>
        <v>0</v>
      </c>
      <c r="AJ4" s="30"/>
      <c r="AK4" s="30">
        <f>RANK(AI4,$AI$4:$AI$7,1)-1</f>
        <v>0</v>
      </c>
      <c r="AL4" s="30">
        <f>RANK(R4,$R$4:$R$7,1)-1</f>
        <v>0</v>
      </c>
      <c r="AM4" s="30">
        <f>4*AK4+AL4</f>
        <v>0</v>
      </c>
      <c r="AN4" s="30">
        <f>RANK(AM4,$AM$4:$AM$7)</f>
        <v>1</v>
      </c>
      <c r="AO4" s="30"/>
      <c r="AP4" s="37">
        <v>1</v>
      </c>
      <c r="AQ4" s="38">
        <f>SUMIF($AQ$9:$AQ$21,B4,$AW$9:$AW$21)+SUMIF($AR$9:$AR$21,B4,$AX$9:$AX$21)</f>
        <v>0</v>
      </c>
      <c r="AR4" s="39" t="e">
        <f>SUMIF($AQ$9:$AQ$21,B4,$AY$9:$AY$21)+SUMIF($AR$9:$AR$21,B4,$AZ$9:$AZ$21)</f>
        <v>#VALUE!</v>
      </c>
      <c r="AS4" s="39">
        <f>SUM(BG4:BO4)</f>
        <v>0</v>
      </c>
      <c r="AU4" s="6">
        <v>1</v>
      </c>
      <c r="AV4" s="6">
        <f t="shared" ref="AV4:BD7" si="2" xml:space="preserve"> SUMIFS( $J$12:$J$21, $AQ$12:$AQ$21,$AU4, $AP$12:$AP$21,AV$3) + SUMIFS( $N$12:$N$21, $AR$12:$AR$21,$AU4, $AP$12:$AP$21,AV$3)</f>
        <v>0</v>
      </c>
      <c r="AW4" s="6">
        <f t="shared" si="2"/>
        <v>0</v>
      </c>
      <c r="AX4" s="6">
        <f t="shared" si="2"/>
        <v>0</v>
      </c>
      <c r="AY4" s="6">
        <f t="shared" si="2"/>
        <v>0</v>
      </c>
      <c r="AZ4" s="6">
        <f t="shared" si="2"/>
        <v>0</v>
      </c>
      <c r="BA4" s="6">
        <f t="shared" si="2"/>
        <v>0</v>
      </c>
      <c r="BB4" s="6">
        <f t="shared" si="2"/>
        <v>0</v>
      </c>
      <c r="BC4" s="6">
        <f t="shared" si="2"/>
        <v>0</v>
      </c>
      <c r="BD4" s="6">
        <f t="shared" si="2"/>
        <v>0</v>
      </c>
      <c r="BF4" s="6">
        <v>1</v>
      </c>
      <c r="BG4" s="6">
        <f>AV4</f>
        <v>0</v>
      </c>
      <c r="BH4" s="6">
        <f t="shared" ref="BH4:BO7" si="3">BG4+AW4</f>
        <v>0</v>
      </c>
      <c r="BI4" s="6">
        <f t="shared" si="3"/>
        <v>0</v>
      </c>
      <c r="BJ4" s="6">
        <f t="shared" si="3"/>
        <v>0</v>
      </c>
      <c r="BK4" s="6">
        <f t="shared" si="3"/>
        <v>0</v>
      </c>
      <c r="BL4" s="6">
        <f t="shared" si="3"/>
        <v>0</v>
      </c>
      <c r="BM4" s="6">
        <f t="shared" si="3"/>
        <v>0</v>
      </c>
      <c r="BN4" s="6">
        <f t="shared" si="3"/>
        <v>0</v>
      </c>
      <c r="BO4" s="6">
        <f t="shared" si="3"/>
        <v>0</v>
      </c>
    </row>
    <row r="5" spans="1:67" x14ac:dyDescent="0.25">
      <c r="A5" s="24">
        <f t="shared" ref="A5:A7" si="4">S5</f>
        <v>1</v>
      </c>
      <c r="B5" s="25">
        <v>2</v>
      </c>
      <c r="C5" s="25" t="s">
        <v>41</v>
      </c>
      <c r="D5" s="76"/>
      <c r="E5" s="76"/>
      <c r="F5" s="25">
        <v>1000</v>
      </c>
      <c r="M5" s="27" t="str">
        <f t="shared" si="0"/>
        <v/>
      </c>
      <c r="N5" s="26" t="str">
        <f t="shared" si="0"/>
        <v/>
      </c>
      <c r="O5" s="27" t="str">
        <f t="shared" si="0"/>
        <v/>
      </c>
      <c r="P5" s="27" t="str">
        <f t="shared" si="0"/>
        <v/>
      </c>
      <c r="Q5" s="28">
        <f>SUM(M5:P5)</f>
        <v>0</v>
      </c>
      <c r="R5" s="29">
        <f t="shared" ref="R5:R7" si="5">IF(M5="",0,M5)*$Q$4+IF(N5="",0,N5)*$Q$5+IF(O5="",0,O5)*$Q$6+IF(P5="",0,P5)*$Q$7</f>
        <v>0</v>
      </c>
      <c r="S5" s="27">
        <f t="shared" ref="S5:S8" si="6">AN5</f>
        <v>1</v>
      </c>
      <c r="T5" s="30"/>
      <c r="U5" s="31">
        <v>2</v>
      </c>
      <c r="V5" s="32">
        <v>3</v>
      </c>
      <c r="W5" s="33" t="str">
        <f t="shared" ref="W5:W7" si="7">IF(ISNA(VLOOKUP(B5,$A$4:$T$7,3,FALSE)),C5,VLOOKUP(B5,$A$4:$T$7,3,FALSE))</f>
        <v>B</v>
      </c>
      <c r="X5" s="34">
        <f t="shared" ref="X5:Y7" si="8">IF(ISNA(VLOOKUP($B5,$A$4:$S$7,17,FALSE)),0,VLOOKUP($B5,$A$4:$S$7,17,FALSE))</f>
        <v>0</v>
      </c>
      <c r="Y5" s="34">
        <f t="shared" si="8"/>
        <v>0</v>
      </c>
      <c r="Z5" s="34">
        <f t="shared" ref="Z5:Z7" si="9">IF(ISNA(VLOOKUP($B5,$A$4:$S$7,18,FALSE)),0,VLOOKUP($B5,$A$4:$S$7,18,FALSE))</f>
        <v>0</v>
      </c>
      <c r="AA5" s="34">
        <f>VLOOKUP($V5,$AP$4:$AS$7,4,FALSE)</f>
        <v>0</v>
      </c>
      <c r="AB5" s="35">
        <f>VLOOKUP($V5,$B$4:$K$7,5,FALSE)</f>
        <v>1000</v>
      </c>
      <c r="AC5" s="30"/>
      <c r="AD5" s="36">
        <f t="shared" ref="AD5:AD7" si="10">IF(R5=$R$4,IF(M5="",0,M5))+IF(R5=$R$5,IF(N5="",0,N5))+IF(R5=$R$6,IF(O5="",0,O5))+IF(R5=$R$7,IF(P5="",0,P5))</f>
        <v>0</v>
      </c>
      <c r="AE5" s="30">
        <f t="shared" ref="AE5:AE7" si="11">$AD$9*R5+AD5</f>
        <v>0</v>
      </c>
      <c r="AF5" s="30">
        <f>IF(AE5=$AEE$4,IF(M5="",0,M5))+IF(AE5=$AE$5,IF(N5="",0,N5))+IF(AE5=$AE$6,IF(O5="",0,O5))+IF(AE5=$AE$7,IF(P5="",0,P5))</f>
        <v>0</v>
      </c>
      <c r="AG5" s="30">
        <f t="shared" ref="AG5:AG7" si="12">$AF$9*AE5+AF5</f>
        <v>0</v>
      </c>
      <c r="AH5" s="30">
        <f t="shared" ref="AH5:AH7" si="13">IF(AG5=$AG$4,IF(M5="",0,M5))+IF(AG5=$AG$5,IF(N5="",0,N5))+IF(AG5=$AG$6,IF(O5="",0,O5))+IF(AG5=$AG$7,IF(O5="",0,O5))</f>
        <v>0</v>
      </c>
      <c r="AI5" s="30">
        <f t="shared" ref="AI5:AI7" si="14">$AH$9*AG5+AJ5</f>
        <v>0</v>
      </c>
      <c r="AJ5" s="30"/>
      <c r="AK5" s="30">
        <f t="shared" ref="AK5:AK7" si="15">RANK(AI5,$AI$4:$AI$7,1)-1</f>
        <v>0</v>
      </c>
      <c r="AL5" s="30">
        <f t="shared" ref="AL5:AL7" si="16">RANK(R5,$R$4:$R$7,1)-1</f>
        <v>0</v>
      </c>
      <c r="AM5" s="30">
        <f t="shared" ref="AM5:AM7" si="17">4*AK5+AL5</f>
        <v>0</v>
      </c>
      <c r="AN5" s="30">
        <f t="shared" ref="AN5:AN7" si="18">RANK(AM5,$AM$4:$AM$7)</f>
        <v>1</v>
      </c>
      <c r="AO5" s="30"/>
      <c r="AP5" s="37">
        <v>2</v>
      </c>
      <c r="AQ5" s="38">
        <f>SUMIF($AQ$9:$AQ$21,B5,$AW$9:$AW$21)+SUMIF($AR$9:$AR$21,B5,$AX$9:$AX$21)</f>
        <v>0</v>
      </c>
      <c r="AR5" s="39" t="e">
        <f>SUMIF($AQ$9:$AQ$21,B5,$AY$9:$AY$21)+SUMIF($AR$9:$AR$21,B5,$AZ$9:$AZ$21)</f>
        <v>#VALUE!</v>
      </c>
      <c r="AS5" s="39">
        <f t="shared" ref="AS5:AS7" si="19">SUM(BG5:BO5)</f>
        <v>0</v>
      </c>
      <c r="AU5" s="6">
        <v>2</v>
      </c>
      <c r="AV5" s="6">
        <f t="shared" si="2"/>
        <v>0</v>
      </c>
      <c r="AW5" s="6">
        <f t="shared" si="2"/>
        <v>0</v>
      </c>
      <c r="AX5" s="6">
        <f t="shared" si="2"/>
        <v>0</v>
      </c>
      <c r="AY5" s="6">
        <f t="shared" si="2"/>
        <v>0</v>
      </c>
      <c r="AZ5" s="6">
        <f t="shared" si="2"/>
        <v>0</v>
      </c>
      <c r="BA5" s="6">
        <f t="shared" si="2"/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F5" s="6">
        <v>2</v>
      </c>
      <c r="BG5" s="6">
        <f t="shared" ref="BG5:BG7" si="20">AV5</f>
        <v>0</v>
      </c>
      <c r="BH5" s="6">
        <f t="shared" si="3"/>
        <v>0</v>
      </c>
      <c r="BI5" s="6">
        <f t="shared" si="3"/>
        <v>0</v>
      </c>
      <c r="BJ5" s="6">
        <f t="shared" si="3"/>
        <v>0</v>
      </c>
      <c r="BK5" s="6">
        <f t="shared" si="3"/>
        <v>0</v>
      </c>
      <c r="BL5" s="6">
        <f t="shared" si="3"/>
        <v>0</v>
      </c>
      <c r="BM5" s="6">
        <f t="shared" si="3"/>
        <v>0</v>
      </c>
      <c r="BN5" s="6">
        <f t="shared" si="3"/>
        <v>0</v>
      </c>
      <c r="BO5" s="6">
        <f t="shared" si="3"/>
        <v>0</v>
      </c>
    </row>
    <row r="6" spans="1:67" x14ac:dyDescent="0.25">
      <c r="A6" s="24">
        <f t="shared" si="4"/>
        <v>1</v>
      </c>
      <c r="B6" s="25">
        <v>3</v>
      </c>
      <c r="C6" s="25" t="s">
        <v>42</v>
      </c>
      <c r="D6" s="76"/>
      <c r="E6" s="76"/>
      <c r="F6" s="25">
        <v>1000</v>
      </c>
      <c r="M6" s="27" t="str">
        <f t="shared" si="0"/>
        <v/>
      </c>
      <c r="N6" s="27" t="str">
        <f t="shared" si="0"/>
        <v/>
      </c>
      <c r="O6" s="26" t="str">
        <f t="shared" si="0"/>
        <v/>
      </c>
      <c r="P6" s="27" t="str">
        <f t="shared" si="0"/>
        <v/>
      </c>
      <c r="Q6" s="28">
        <f>SUM(M6:P6)</f>
        <v>0</v>
      </c>
      <c r="R6" s="29">
        <f t="shared" si="5"/>
        <v>0</v>
      </c>
      <c r="S6" s="27">
        <f t="shared" si="6"/>
        <v>1</v>
      </c>
      <c r="T6" s="30"/>
      <c r="U6" s="31">
        <v>3</v>
      </c>
      <c r="V6" s="32">
        <v>2</v>
      </c>
      <c r="W6" s="33" t="str">
        <f t="shared" si="7"/>
        <v>C</v>
      </c>
      <c r="X6" s="34">
        <f t="shared" si="8"/>
        <v>0</v>
      </c>
      <c r="Y6" s="34">
        <f t="shared" si="8"/>
        <v>0</v>
      </c>
      <c r="Z6" s="34">
        <f t="shared" si="9"/>
        <v>0</v>
      </c>
      <c r="AA6" s="34">
        <f>VLOOKUP($V6,$AP$4:$AS$7,4,FALSE)</f>
        <v>0</v>
      </c>
      <c r="AB6" s="35">
        <f>VLOOKUP($V6,$B$4:$K$7,5,FALSE)</f>
        <v>1000</v>
      </c>
      <c r="AC6" s="30"/>
      <c r="AD6" s="36">
        <f t="shared" si="10"/>
        <v>0</v>
      </c>
      <c r="AE6" s="30">
        <f t="shared" si="11"/>
        <v>0</v>
      </c>
      <c r="AF6" s="30">
        <f>IF(AE6=$AEE$4,IF(M6="",0,M6))+IF(AE6=$AE$5,IF(N6="",0,N6))+IF(AE6=$AE$6,IF(O6="",0,O6))+IF(AE6=$AE$7,IF(P6="",0,P6))</f>
        <v>0</v>
      </c>
      <c r="AG6" s="30">
        <f t="shared" si="12"/>
        <v>0</v>
      </c>
      <c r="AH6" s="30">
        <f t="shared" si="13"/>
        <v>0</v>
      </c>
      <c r="AI6" s="30">
        <f t="shared" si="14"/>
        <v>0</v>
      </c>
      <c r="AJ6" s="30"/>
      <c r="AK6" s="30">
        <f t="shared" si="15"/>
        <v>0</v>
      </c>
      <c r="AL6" s="30">
        <f t="shared" si="16"/>
        <v>0</v>
      </c>
      <c r="AM6" s="30">
        <f t="shared" si="17"/>
        <v>0</v>
      </c>
      <c r="AN6" s="30">
        <f t="shared" si="18"/>
        <v>1</v>
      </c>
      <c r="AO6" s="30"/>
      <c r="AP6" s="37">
        <v>3</v>
      </c>
      <c r="AQ6" s="38">
        <f>SUMIF($AQ$9:$AQ$21,B6,$AW$9:$AW$21)+SUMIF($AR$9:$AR$21,B6,$AX$9:$AX$21)</f>
        <v>0</v>
      </c>
      <c r="AR6" s="39" t="e">
        <f>SUMIF($AQ$9:$AQ$21,B6,$AY$9:$AY$21)+SUMIF($AR$9:$AR$21,B6,$AZ$9:$AZ$21)</f>
        <v>#VALUE!</v>
      </c>
      <c r="AS6" s="39">
        <f t="shared" si="19"/>
        <v>0</v>
      </c>
      <c r="AU6" s="6">
        <v>3</v>
      </c>
      <c r="AV6" s="6">
        <f t="shared" si="2"/>
        <v>0</v>
      </c>
      <c r="AW6" s="6">
        <f t="shared" si="2"/>
        <v>0</v>
      </c>
      <c r="AX6" s="6">
        <f t="shared" si="2"/>
        <v>0</v>
      </c>
      <c r="AY6" s="6">
        <f t="shared" si="2"/>
        <v>0</v>
      </c>
      <c r="AZ6" s="6">
        <f t="shared" si="2"/>
        <v>0</v>
      </c>
      <c r="BA6" s="6">
        <f t="shared" si="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F6" s="6">
        <v>3</v>
      </c>
      <c r="BG6" s="6">
        <f t="shared" si="20"/>
        <v>0</v>
      </c>
      <c r="BH6" s="6">
        <f t="shared" si="3"/>
        <v>0</v>
      </c>
      <c r="BI6" s="6">
        <f t="shared" si="3"/>
        <v>0</v>
      </c>
      <c r="BJ6" s="6">
        <f t="shared" si="3"/>
        <v>0</v>
      </c>
      <c r="BK6" s="6">
        <f t="shared" si="3"/>
        <v>0</v>
      </c>
      <c r="BL6" s="6">
        <f t="shared" si="3"/>
        <v>0</v>
      </c>
      <c r="BM6" s="6">
        <f t="shared" si="3"/>
        <v>0</v>
      </c>
      <c r="BN6" s="6">
        <f t="shared" si="3"/>
        <v>0</v>
      </c>
      <c r="BO6" s="6">
        <f t="shared" si="3"/>
        <v>0</v>
      </c>
    </row>
    <row r="7" spans="1:67" x14ac:dyDescent="0.25">
      <c r="A7" s="24">
        <f t="shared" si="4"/>
        <v>1</v>
      </c>
      <c r="B7" s="25">
        <v>4</v>
      </c>
      <c r="C7" s="25" t="s">
        <v>43</v>
      </c>
      <c r="D7" s="76"/>
      <c r="E7" s="76"/>
      <c r="F7" s="25">
        <v>1000</v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6" t="str">
        <f t="shared" si="0"/>
        <v/>
      </c>
      <c r="Q7" s="28">
        <f>SUM(M7:P7)</f>
        <v>0</v>
      </c>
      <c r="R7" s="29">
        <f t="shared" si="5"/>
        <v>0</v>
      </c>
      <c r="S7" s="27">
        <f t="shared" si="6"/>
        <v>1</v>
      </c>
      <c r="T7" s="30"/>
      <c r="U7" s="31">
        <v>4</v>
      </c>
      <c r="V7" s="32">
        <v>1</v>
      </c>
      <c r="W7" s="33" t="str">
        <f t="shared" si="7"/>
        <v>D</v>
      </c>
      <c r="X7" s="34">
        <f t="shared" si="8"/>
        <v>0</v>
      </c>
      <c r="Y7" s="34">
        <f t="shared" si="8"/>
        <v>0</v>
      </c>
      <c r="Z7" s="34">
        <f t="shared" si="9"/>
        <v>0</v>
      </c>
      <c r="AA7" s="34">
        <f>VLOOKUP($V7,$AP$4:$AS$7,4,FALSE)</f>
        <v>0</v>
      </c>
      <c r="AB7" s="35">
        <f>VLOOKUP($V7,$B$4:$K$7,5,FALSE)</f>
        <v>1000</v>
      </c>
      <c r="AC7" s="30"/>
      <c r="AD7" s="36">
        <f t="shared" si="10"/>
        <v>0</v>
      </c>
      <c r="AE7" s="30">
        <f t="shared" si="11"/>
        <v>0</v>
      </c>
      <c r="AF7" s="30">
        <f>IF(AE7=$AEE$4,IF(M7="",0,M7))+IF(AE7=$AE$5,IF(N7="",0,N7))+IF(AE7=$AE$6,IF(O7="",0,O7))+IF(AE7=$AE$7,IF(P7="",0,P7))</f>
        <v>0</v>
      </c>
      <c r="AG7" s="30">
        <f t="shared" si="12"/>
        <v>0</v>
      </c>
      <c r="AH7" s="30">
        <f t="shared" si="13"/>
        <v>0</v>
      </c>
      <c r="AI7" s="30">
        <f t="shared" si="14"/>
        <v>0</v>
      </c>
      <c r="AJ7" s="30"/>
      <c r="AK7" s="30">
        <f t="shared" si="15"/>
        <v>0</v>
      </c>
      <c r="AL7" s="30">
        <f t="shared" si="16"/>
        <v>0</v>
      </c>
      <c r="AM7" s="30">
        <f t="shared" si="17"/>
        <v>0</v>
      </c>
      <c r="AN7" s="30">
        <f t="shared" si="18"/>
        <v>1</v>
      </c>
      <c r="AO7" s="30"/>
      <c r="AP7" s="37">
        <v>4</v>
      </c>
      <c r="AQ7" s="38">
        <f>SUMIF($AQ$9:$AQ$21,B7,$AW$9:$AW$21)+SUMIF($AR$9:$AR$21,B7,$AX$9:$AX$21)</f>
        <v>0</v>
      </c>
      <c r="AR7" s="39" t="e">
        <f>SUMIF($AQ$9:$AQ$21,B7,$AY$9:$AY$21)+SUMIF($AR$9:$AR$21,B7,$AZ$9:$AZ$21)</f>
        <v>#VALUE!</v>
      </c>
      <c r="AS7" s="39">
        <f t="shared" si="19"/>
        <v>0</v>
      </c>
      <c r="AU7" s="6">
        <v>4</v>
      </c>
      <c r="AV7" s="6">
        <f t="shared" si="2"/>
        <v>0</v>
      </c>
      <c r="AW7" s="6">
        <f t="shared" si="2"/>
        <v>0</v>
      </c>
      <c r="AX7" s="6">
        <f t="shared" si="2"/>
        <v>0</v>
      </c>
      <c r="AY7" s="6">
        <f t="shared" si="2"/>
        <v>0</v>
      </c>
      <c r="AZ7" s="6">
        <f t="shared" si="2"/>
        <v>0</v>
      </c>
      <c r="BA7" s="6">
        <f t="shared" si="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F7" s="6">
        <v>4</v>
      </c>
      <c r="BG7" s="6">
        <f t="shared" si="20"/>
        <v>0</v>
      </c>
      <c r="BH7" s="6">
        <f t="shared" si="3"/>
        <v>0</v>
      </c>
      <c r="BI7" s="6">
        <f t="shared" si="3"/>
        <v>0</v>
      </c>
      <c r="BJ7" s="6">
        <f t="shared" si="3"/>
        <v>0</v>
      </c>
      <c r="BK7" s="6">
        <f t="shared" si="3"/>
        <v>0</v>
      </c>
      <c r="BL7" s="6">
        <f t="shared" si="3"/>
        <v>0</v>
      </c>
      <c r="BM7" s="6">
        <f t="shared" si="3"/>
        <v>0</v>
      </c>
      <c r="BN7" s="6">
        <f t="shared" si="3"/>
        <v>0</v>
      </c>
      <c r="BO7" s="6">
        <f t="shared" si="3"/>
        <v>0</v>
      </c>
    </row>
    <row r="8" spans="1:67" hidden="1" x14ac:dyDescent="0.25">
      <c r="R8" s="27">
        <f>IF(L8="",0,L8)*$Q$4+IF(M8="",0,M8)*$Q$5+IF(N8="",N8)*$Q$6+IF(O8="",O8)*$Q$7</f>
        <v>0</v>
      </c>
      <c r="S8" s="27">
        <f t="shared" si="6"/>
        <v>0</v>
      </c>
      <c r="AD8" s="40"/>
      <c r="AL8" s="30">
        <f t="shared" ref="AL8" si="21">RANK(R8,R8:R11,1)-1</f>
        <v>0</v>
      </c>
    </row>
    <row r="9" spans="1:67" x14ac:dyDescent="0.25">
      <c r="AD9" s="36">
        <f>2*MAX(AD4:AD7)+1</f>
        <v>1</v>
      </c>
      <c r="AF9" s="30">
        <f>2*MAX(AF4:AF7)+1</f>
        <v>1</v>
      </c>
      <c r="AH9" s="30">
        <f>2*MAX(AH4:AH7)+1</f>
        <v>1</v>
      </c>
      <c r="AP9" s="41" t="s">
        <v>39</v>
      </c>
      <c r="AQ9" s="41" t="s">
        <v>0</v>
      </c>
      <c r="AR9" s="41" t="s">
        <v>1</v>
      </c>
      <c r="AS9" s="41" t="s">
        <v>2</v>
      </c>
      <c r="AU9" s="42" t="s">
        <v>37</v>
      </c>
      <c r="AV9" s="42" t="s">
        <v>38</v>
      </c>
      <c r="AW9" s="6" t="s">
        <v>18</v>
      </c>
      <c r="AX9" s="6" t="s">
        <v>19</v>
      </c>
      <c r="AY9" s="6" t="s">
        <v>20</v>
      </c>
      <c r="AZ9" s="6" t="s">
        <v>21</v>
      </c>
    </row>
    <row r="10" spans="1:67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U10" s="43"/>
      <c r="AV10" s="43"/>
      <c r="AW10" s="44"/>
      <c r="AX10" s="44"/>
      <c r="AY10" s="44"/>
      <c r="AZ10" s="44"/>
    </row>
    <row r="11" spans="1:67" x14ac:dyDescent="0.25">
      <c r="B11" s="45" t="s">
        <v>3</v>
      </c>
      <c r="AU11" s="42"/>
      <c r="AV11" s="42"/>
    </row>
    <row r="12" spans="1:67" x14ac:dyDescent="0.25">
      <c r="B12" s="6">
        <v>1</v>
      </c>
      <c r="C12" s="6" t="str">
        <f>VLOOKUP(AQ12,$B$4:$F$7,2,FALSE)</f>
        <v>D</v>
      </c>
      <c r="D12" s="46" t="s">
        <v>5</v>
      </c>
      <c r="E12" s="73" t="str">
        <f>VLOOKUP(AR12,$B$4:$F$7,2,FALSE)</f>
        <v>A</v>
      </c>
      <c r="F12" s="73"/>
      <c r="G12" s="73"/>
      <c r="H12" s="73"/>
      <c r="J12" s="73" t="str">
        <f>IF(S12="","",VLOOKUP(S12,Configuratie!$B$1:$E$10,3,FALSE))</f>
        <v/>
      </c>
      <c r="K12" s="73"/>
      <c r="L12" s="47" t="s">
        <v>5</v>
      </c>
      <c r="N12" s="73" t="str">
        <f>IF(S12="","",VLOOKUP(S12,Configuratie!$B$1:$E$10,4,FALSE))</f>
        <v/>
      </c>
      <c r="O12" s="73"/>
      <c r="Q12" s="6" t="str">
        <f>IF(S12="","",VLOOKUP(S12,Configuratie!$B$1:$E$10,2,FALSE))</f>
        <v/>
      </c>
      <c r="S12" s="5"/>
      <c r="AP12" s="6">
        <v>1</v>
      </c>
      <c r="AQ12" s="6">
        <v>4</v>
      </c>
      <c r="AR12" s="6">
        <v>1</v>
      </c>
      <c r="AS12" s="6" t="str">
        <f>IF(AND(ISNUMBER(J12),ISNUMBER(N12)),IF(J12+N12=1,1,0),"")</f>
        <v/>
      </c>
      <c r="AU12" s="48">
        <f>AQ12*100+AR12</f>
        <v>401</v>
      </c>
      <c r="AV12" s="48">
        <f>AR12*100+AQ12</f>
        <v>104</v>
      </c>
      <c r="AW12" s="6">
        <v>0</v>
      </c>
      <c r="AX12" s="6">
        <v>0</v>
      </c>
      <c r="AY12" s="6" t="e">
        <f>J12*AX12</f>
        <v>#VALUE!</v>
      </c>
      <c r="AZ12" s="6" t="e">
        <f>N12*AW12</f>
        <v>#VALUE!</v>
      </c>
    </row>
    <row r="13" spans="1:67" x14ac:dyDescent="0.25">
      <c r="B13" s="6">
        <v>2</v>
      </c>
      <c r="C13" s="6" t="str">
        <f>VLOOKUP(AQ13,$B$4:$F$7,2,FALSE)</f>
        <v>C</v>
      </c>
      <c r="D13" s="46" t="s">
        <v>5</v>
      </c>
      <c r="E13" s="73" t="str">
        <f>VLOOKUP(AR13,$B$4:$F$7,2,FALSE)</f>
        <v>B</v>
      </c>
      <c r="F13" s="73"/>
      <c r="G13" s="73"/>
      <c r="H13" s="73"/>
      <c r="J13" s="73" t="str">
        <f>IF(S13="","",VLOOKUP(S13,Configuratie!$B$1:$E$10,3,FALSE))</f>
        <v/>
      </c>
      <c r="K13" s="73"/>
      <c r="L13" s="47" t="s">
        <v>5</v>
      </c>
      <c r="N13" s="73" t="str">
        <f>IF(S13="","",VLOOKUP(S13,Configuratie!$B$1:$E$10,4,FALSE))</f>
        <v/>
      </c>
      <c r="O13" s="73"/>
      <c r="Q13" s="6" t="str">
        <f>IF(S13="","",VLOOKUP(S13,Configuratie!$B$1:$E$10,2,FALSE))</f>
        <v/>
      </c>
      <c r="S13" s="5"/>
      <c r="AP13" s="6">
        <v>1</v>
      </c>
      <c r="AQ13" s="6">
        <v>3</v>
      </c>
      <c r="AR13" s="6">
        <v>2</v>
      </c>
      <c r="AS13" s="6" t="str">
        <f>IF(AND(ISNUMBER(J13),ISNUMBER(N13)),IF(J13+N13=1,1,0),"")</f>
        <v/>
      </c>
      <c r="AU13" s="48">
        <f>AQ13*100+AR13</f>
        <v>302</v>
      </c>
      <c r="AV13" s="48">
        <f>AR13*100+AQ13</f>
        <v>203</v>
      </c>
      <c r="AW13" s="6">
        <v>0</v>
      </c>
      <c r="AX13" s="6">
        <v>0</v>
      </c>
      <c r="AY13" s="6" t="e">
        <f>J13*AX13</f>
        <v>#VALUE!</v>
      </c>
      <c r="AZ13" s="6" t="e">
        <f>N13*AW13</f>
        <v>#VALUE!</v>
      </c>
    </row>
    <row r="14" spans="1:67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U14" s="42"/>
      <c r="AV14" s="42"/>
    </row>
    <row r="15" spans="1:67" x14ac:dyDescent="0.25">
      <c r="B15" s="45" t="s">
        <v>9</v>
      </c>
      <c r="AU15" s="42"/>
      <c r="AV15" s="42"/>
    </row>
    <row r="16" spans="1:67" x14ac:dyDescent="0.25">
      <c r="B16" s="6">
        <v>1</v>
      </c>
      <c r="C16" s="6" t="str">
        <f>VLOOKUP(AQ16,$B$4:$F$7,2,FALSE)</f>
        <v>D</v>
      </c>
      <c r="D16" s="46" t="s">
        <v>5</v>
      </c>
      <c r="E16" s="73" t="str">
        <f>VLOOKUP(AR16,$B$4:$F$7,2,FALSE)</f>
        <v>B</v>
      </c>
      <c r="F16" s="73"/>
      <c r="G16" s="73"/>
      <c r="H16" s="73"/>
      <c r="J16" s="73" t="str">
        <f>IF(S16="","",VLOOKUP(S16,Configuratie!$B$1:$E$10,3,FALSE))</f>
        <v/>
      </c>
      <c r="K16" s="73"/>
      <c r="L16" s="47" t="s">
        <v>5</v>
      </c>
      <c r="N16" s="73" t="str">
        <f>IF(S16="","",VLOOKUP(S16,Configuratie!$B$1:$E$10,4,FALSE))</f>
        <v/>
      </c>
      <c r="O16" s="73"/>
      <c r="Q16" s="6" t="str">
        <f>IF(S16="","",VLOOKUP(S16,Configuratie!$B$1:$E$10,2,FALSE))</f>
        <v/>
      </c>
      <c r="S16" s="5"/>
      <c r="AP16" s="6">
        <v>2</v>
      </c>
      <c r="AQ16" s="6">
        <v>4</v>
      </c>
      <c r="AR16" s="6">
        <v>2</v>
      </c>
      <c r="AS16" s="6" t="str">
        <f>IF(AND(ISNUMBER(J16),ISNUMBER(N16)),IF(J16+N16=1,1,0),"")</f>
        <v/>
      </c>
      <c r="AU16" s="48">
        <f>AQ16*100+AR16</f>
        <v>402</v>
      </c>
      <c r="AV16" s="48">
        <f>AR16*100+AQ16</f>
        <v>204</v>
      </c>
      <c r="AW16" s="6">
        <f>VLOOKUP(AQ16,$BF$3:$BO$7,$AP16,FALSE)</f>
        <v>0</v>
      </c>
      <c r="AX16" s="6">
        <f>VLOOKUP(AR16,$BF$3:$BO$7,$AP16,FALSE)</f>
        <v>0</v>
      </c>
      <c r="AY16" s="6" t="e">
        <f>J16*AX16</f>
        <v>#VALUE!</v>
      </c>
      <c r="AZ16" s="6" t="e">
        <f>N16*AW16</f>
        <v>#VALUE!</v>
      </c>
    </row>
    <row r="17" spans="2:52" x14ac:dyDescent="0.25">
      <c r="B17" s="6">
        <v>2</v>
      </c>
      <c r="C17" s="6" t="str">
        <f>VLOOKUP(AQ17,$B$4:$F$7,2,FALSE)</f>
        <v>A</v>
      </c>
      <c r="D17" s="46" t="s">
        <v>5</v>
      </c>
      <c r="E17" s="73" t="str">
        <f>VLOOKUP(AR17,$B$4:$F$7,2,FALSE)</f>
        <v>C</v>
      </c>
      <c r="F17" s="73"/>
      <c r="G17" s="73"/>
      <c r="H17" s="73"/>
      <c r="J17" s="73" t="str">
        <f>IF(S17="","",VLOOKUP(S17,Configuratie!$B$1:$E$10,3,FALSE))</f>
        <v/>
      </c>
      <c r="K17" s="73"/>
      <c r="L17" s="47" t="s">
        <v>5</v>
      </c>
      <c r="N17" s="73" t="str">
        <f>IF(S17="","",VLOOKUP(S17,Configuratie!$B$1:$E$10,4,FALSE))</f>
        <v/>
      </c>
      <c r="O17" s="73"/>
      <c r="Q17" s="6" t="str">
        <f>IF(S17="","",VLOOKUP(S17,Configuratie!$B$1:$E$10,2,FALSE))</f>
        <v/>
      </c>
      <c r="S17" s="5"/>
      <c r="AP17" s="6">
        <v>2</v>
      </c>
      <c r="AQ17" s="6">
        <v>1</v>
      </c>
      <c r="AR17" s="6">
        <v>3</v>
      </c>
      <c r="AS17" s="6" t="str">
        <f>IF(AND(ISNUMBER(J17),ISNUMBER(N17)),IF(J17+N17=1,1,0),"")</f>
        <v/>
      </c>
      <c r="AU17" s="48">
        <f>AQ17*100+AR17</f>
        <v>103</v>
      </c>
      <c r="AV17" s="48">
        <f>AR17*100+AQ17</f>
        <v>301</v>
      </c>
      <c r="AW17" s="6">
        <f>VLOOKUP(AQ17,$BF$3:$BO$7,$AP17,FALSE)</f>
        <v>0</v>
      </c>
      <c r="AX17" s="6">
        <f>VLOOKUP(AR17,$BF$3:$BO$7,$AP17,FALSE)</f>
        <v>0</v>
      </c>
      <c r="AY17" s="6" t="e">
        <f>J17*AX17</f>
        <v>#VALUE!</v>
      </c>
      <c r="AZ17" s="6" t="e">
        <f>N17*AW17</f>
        <v>#VALUE!</v>
      </c>
    </row>
    <row r="18" spans="2:52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>
        <v>0</v>
      </c>
      <c r="AU18" s="42"/>
      <c r="AV18" s="42"/>
    </row>
    <row r="19" spans="2:52" x14ac:dyDescent="0.25">
      <c r="B19" s="45" t="s">
        <v>10</v>
      </c>
      <c r="AU19" s="42"/>
      <c r="AV19" s="42"/>
    </row>
    <row r="20" spans="2:52" x14ac:dyDescent="0.25">
      <c r="B20" s="6">
        <v>1</v>
      </c>
      <c r="C20" s="6" t="str">
        <f>VLOOKUP(AQ20,$B$4:$F$7,2,FALSE)</f>
        <v>C</v>
      </c>
      <c r="D20" s="46" t="s">
        <v>5</v>
      </c>
      <c r="E20" s="73" t="str">
        <f>VLOOKUP(AR20,$B$4:$F$7,2,FALSE)</f>
        <v>D</v>
      </c>
      <c r="F20" s="73"/>
      <c r="G20" s="73"/>
      <c r="H20" s="73"/>
      <c r="J20" s="73" t="str">
        <f>IF(S20="","",VLOOKUP(S20,Configuratie!$B$1:$E$10,3,FALSE))</f>
        <v/>
      </c>
      <c r="K20" s="73"/>
      <c r="L20" s="47" t="s">
        <v>5</v>
      </c>
      <c r="N20" s="73" t="str">
        <f>IF(S20="","",VLOOKUP(S20,Configuratie!$B$1:$E$10,4,FALSE))</f>
        <v/>
      </c>
      <c r="O20" s="73"/>
      <c r="Q20" s="6" t="str">
        <f>IF(S20="","",VLOOKUP(S20,Configuratie!$B$1:$E$10,2,FALSE))</f>
        <v/>
      </c>
      <c r="S20" s="5"/>
      <c r="AP20" s="6">
        <v>3</v>
      </c>
      <c r="AQ20" s="6">
        <v>3</v>
      </c>
      <c r="AR20" s="6">
        <v>4</v>
      </c>
      <c r="AS20" s="6" t="str">
        <f>IF(AND(ISNUMBER(J20),ISNUMBER(N20)),IF(J20+N20=1,1,0),"")</f>
        <v/>
      </c>
      <c r="AU20" s="48">
        <f>AQ20*100+AR20</f>
        <v>304</v>
      </c>
      <c r="AV20" s="48">
        <f>AR20*100+AQ20</f>
        <v>403</v>
      </c>
      <c r="AW20" s="6">
        <f>VLOOKUP(AQ20,$BF$3:$BO$7,$AP20,FALSE)</f>
        <v>0</v>
      </c>
      <c r="AX20" s="6">
        <f>VLOOKUP(AR20,$BF$3:$BO$7,$AP20,FALSE)</f>
        <v>0</v>
      </c>
      <c r="AY20" s="6" t="e">
        <f>J20*AX20</f>
        <v>#VALUE!</v>
      </c>
      <c r="AZ20" s="6" t="e">
        <f>N20*AW20</f>
        <v>#VALUE!</v>
      </c>
    </row>
    <row r="21" spans="2:52" x14ac:dyDescent="0.25">
      <c r="B21" s="6">
        <v>2</v>
      </c>
      <c r="C21" s="6" t="str">
        <f>VLOOKUP(AQ21,$B$4:$F$7,2,FALSE)</f>
        <v>B</v>
      </c>
      <c r="D21" s="46" t="s">
        <v>5</v>
      </c>
      <c r="E21" s="73" t="str">
        <f>VLOOKUP(AR21,$B$4:$F$7,2,FALSE)</f>
        <v>A</v>
      </c>
      <c r="F21" s="73"/>
      <c r="G21" s="73"/>
      <c r="H21" s="73"/>
      <c r="J21" s="73" t="str">
        <f>IF(S21="","",VLOOKUP(S21,Configuratie!$B$1:$E$10,3,FALSE))</f>
        <v/>
      </c>
      <c r="K21" s="73"/>
      <c r="L21" s="47" t="s">
        <v>5</v>
      </c>
      <c r="N21" s="73" t="str">
        <f>IF(S21="","",VLOOKUP(S21,Configuratie!$B$1:$E$10,4,FALSE))</f>
        <v/>
      </c>
      <c r="O21" s="73"/>
      <c r="Q21" s="6" t="str">
        <f>IF(S21="","",VLOOKUP(S21,Configuratie!$B$1:$E$10,2,FALSE))</f>
        <v/>
      </c>
      <c r="S21" s="5"/>
      <c r="AP21" s="6">
        <v>3</v>
      </c>
      <c r="AQ21" s="6">
        <v>2</v>
      </c>
      <c r="AR21" s="6">
        <v>1</v>
      </c>
      <c r="AS21" s="6" t="str">
        <f>IF(AND(ISNUMBER(J21),ISNUMBER(N21)),IF(J21+N21=1,1,0),"")</f>
        <v/>
      </c>
      <c r="AU21" s="48">
        <f>AQ21*100+AR21</f>
        <v>201</v>
      </c>
      <c r="AV21" s="48">
        <f>AR21*100+AQ21</f>
        <v>102</v>
      </c>
      <c r="AW21" s="6">
        <f>VLOOKUP(AQ21,$BF$3:$BO$7,$AP21,FALSE)</f>
        <v>0</v>
      </c>
      <c r="AX21" s="6">
        <f>VLOOKUP(AR21,$BF$3:$BO$7,$AP21,FALSE)</f>
        <v>0</v>
      </c>
      <c r="AY21" s="6" t="e">
        <f>J21*AX21</f>
        <v>#VALUE!</v>
      </c>
      <c r="AZ21" s="6" t="e">
        <f>N21*AW21</f>
        <v>#VALUE!</v>
      </c>
    </row>
  </sheetData>
  <sheetProtection password="CA5D" sheet="1" objects="1" scenarios="1" selectLockedCells="1"/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28">
    <mergeCell ref="U1:Z1"/>
    <mergeCell ref="G1:S1"/>
    <mergeCell ref="AV2:BD2"/>
    <mergeCell ref="BG2:BO2"/>
    <mergeCell ref="D3:E3"/>
    <mergeCell ref="D7:E7"/>
    <mergeCell ref="D4:E4"/>
    <mergeCell ref="D5:E5"/>
    <mergeCell ref="D6:E6"/>
    <mergeCell ref="B1:F1"/>
    <mergeCell ref="E12:H12"/>
    <mergeCell ref="J12:K12"/>
    <mergeCell ref="N12:O12"/>
    <mergeCell ref="E13:H13"/>
    <mergeCell ref="J13:K13"/>
    <mergeCell ref="N13:O13"/>
    <mergeCell ref="E17:H17"/>
    <mergeCell ref="J17:K17"/>
    <mergeCell ref="N17:O17"/>
    <mergeCell ref="E16:H16"/>
    <mergeCell ref="J16:K16"/>
    <mergeCell ref="N16:O16"/>
    <mergeCell ref="E20:H20"/>
    <mergeCell ref="J20:K20"/>
    <mergeCell ref="N20:O20"/>
    <mergeCell ref="E21:H21"/>
    <mergeCell ref="J21:K21"/>
    <mergeCell ref="N21:O21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2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241"/>
  <sheetViews>
    <sheetView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81" t="s">
        <v>51</v>
      </c>
      <c r="B1" s="81"/>
      <c r="C1" s="81"/>
      <c r="D1" s="81"/>
      <c r="E1" s="81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3"/>
      <c r="B4" s="3"/>
      <c r="C4" s="3"/>
      <c r="D4" s="3"/>
      <c r="E4" s="3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81" t="s">
        <v>50</v>
      </c>
      <c r="B1" s="81"/>
      <c r="C1" s="81"/>
      <c r="D1" s="81"/>
      <c r="E1" s="8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2"/>
      <c r="B3" s="2"/>
      <c r="C3" s="2"/>
      <c r="D3" s="2"/>
      <c r="E3" s="2"/>
      <c r="F3" s="1"/>
      <c r="G3" s="1"/>
      <c r="H3" s="1"/>
    </row>
    <row r="4" spans="1:8" x14ac:dyDescent="0.25">
      <c r="A4" s="3"/>
      <c r="B4" s="3"/>
      <c r="C4" s="3"/>
      <c r="D4" s="3"/>
      <c r="E4" s="3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E10"/>
  <sheetViews>
    <sheetView zoomScale="110" zoomScaleNormal="110" workbookViewId="0">
      <selection activeCell="D2" sqref="D2"/>
    </sheetView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s="4" t="s">
        <v>52</v>
      </c>
      <c r="B1">
        <v>0</v>
      </c>
      <c r="C1" s="4" t="s">
        <v>54</v>
      </c>
      <c r="D1">
        <v>0</v>
      </c>
      <c r="E1">
        <v>1</v>
      </c>
    </row>
    <row r="2" spans="1:5" x14ac:dyDescent="0.25">
      <c r="B2">
        <v>1</v>
      </c>
      <c r="C2" s="4" t="s">
        <v>53</v>
      </c>
      <c r="D2">
        <v>1</v>
      </c>
      <c r="E2">
        <v>0</v>
      </c>
    </row>
    <row r="3" spans="1:5" x14ac:dyDescent="0.25">
      <c r="B3">
        <v>2</v>
      </c>
      <c r="C3" s="4" t="s">
        <v>55</v>
      </c>
      <c r="D3">
        <v>0.5</v>
      </c>
      <c r="E3">
        <v>0.5</v>
      </c>
    </row>
    <row r="4" spans="1:5" x14ac:dyDescent="0.25">
      <c r="B4">
        <v>3</v>
      </c>
      <c r="C4" s="4" t="str">
        <f>""</f>
        <v/>
      </c>
      <c r="D4" t="str">
        <f>""</f>
        <v/>
      </c>
      <c r="E4" t="str">
        <f>""</f>
        <v/>
      </c>
    </row>
    <row r="5" spans="1:5" x14ac:dyDescent="0.25">
      <c r="B5">
        <v>4</v>
      </c>
      <c r="C5" s="4" t="str">
        <f>""</f>
        <v/>
      </c>
      <c r="D5" t="str">
        <f>""</f>
        <v/>
      </c>
      <c r="E5" t="str">
        <f>""</f>
        <v/>
      </c>
    </row>
    <row r="6" spans="1:5" x14ac:dyDescent="0.25">
      <c r="B6">
        <v>5</v>
      </c>
      <c r="C6" s="4" t="str">
        <f>""</f>
        <v/>
      </c>
      <c r="D6" t="str">
        <f>""</f>
        <v/>
      </c>
      <c r="E6" t="str">
        <f>""</f>
        <v/>
      </c>
    </row>
    <row r="7" spans="1:5" x14ac:dyDescent="0.25">
      <c r="B7">
        <v>6</v>
      </c>
      <c r="C7" s="4" t="s">
        <v>57</v>
      </c>
      <c r="D7">
        <v>0</v>
      </c>
      <c r="E7">
        <v>0</v>
      </c>
    </row>
    <row r="8" spans="1:5" x14ac:dyDescent="0.25">
      <c r="B8">
        <v>7</v>
      </c>
      <c r="C8" s="4" t="s">
        <v>58</v>
      </c>
      <c r="D8">
        <v>0</v>
      </c>
      <c r="E8">
        <v>1</v>
      </c>
    </row>
    <row r="9" spans="1:5" x14ac:dyDescent="0.25">
      <c r="B9">
        <v>8</v>
      </c>
      <c r="C9" s="4" t="s">
        <v>56</v>
      </c>
      <c r="D9">
        <v>1</v>
      </c>
      <c r="E9">
        <v>0</v>
      </c>
    </row>
    <row r="10" spans="1:5" x14ac:dyDescent="0.25">
      <c r="B10">
        <v>9</v>
      </c>
      <c r="C10" s="4" t="s">
        <v>59</v>
      </c>
      <c r="D10">
        <v>0.5</v>
      </c>
      <c r="E10">
        <v>0.5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10</vt:i4>
      </vt:variant>
    </vt:vector>
  </HeadingPairs>
  <TitlesOfParts>
    <vt:vector size="17" baseType="lpstr"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2018-06-04T20:02:31Z</cp:lastPrinted>
  <dcterms:created xsi:type="dcterms:W3CDTF">2017-03-20T06:37:04Z</dcterms:created>
  <dcterms:modified xsi:type="dcterms:W3CDTF">2018-06-05T19:43:10Z</dcterms:modified>
</cp:coreProperties>
</file>