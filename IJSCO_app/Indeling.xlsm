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305" yWindow="-15" windowWidth="10200" windowHeight="7260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'10'!$B$1:$T$78,'10'!$V$1:$AA$78</definedName>
    <definedName name="_xlnm.Print_Area" localSheetId="0">'14'!$B$1:$X$135,'14'!$Z$1:$AG$17</definedName>
    <definedName name="_xlnm.Print_Area" localSheetId="5">'4'!$B$1:$S$21,'4'!$U$1:$AB$21</definedName>
    <definedName name="_xlnm.Print_Area" localSheetId="4">'6'!$B$1:$T$36,'6'!$V$1:$AA$36</definedName>
    <definedName name="_xlnm.Print_Area" localSheetId="3">'8'!$B$1:$T$55,'8'!$W$1:$AC$55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45621"/>
</workbook>
</file>

<file path=xl/calcChain.xml><?xml version="1.0" encoding="utf-8"?>
<calcChain xmlns="http://schemas.openxmlformats.org/spreadsheetml/2006/main">
  <c r="AB5" i="8" l="1"/>
  <c r="AB6" i="8"/>
  <c r="AB7" i="8"/>
  <c r="AB8" i="8"/>
  <c r="AB9" i="8"/>
  <c r="AB10" i="8"/>
  <c r="AB11" i="8"/>
  <c r="AB12" i="8"/>
  <c r="AB13" i="8"/>
  <c r="AB14" i="8"/>
  <c r="AB15" i="8"/>
  <c r="AB16" i="8"/>
  <c r="AB17" i="8"/>
  <c r="AB4" i="8"/>
  <c r="X5" i="1"/>
  <c r="X6" i="1"/>
  <c r="X7" i="1"/>
  <c r="X8" i="1"/>
  <c r="X9" i="1"/>
  <c r="X10" i="1"/>
  <c r="X11" i="1"/>
  <c r="X12" i="1"/>
  <c r="X13" i="1"/>
  <c r="X4" i="1"/>
  <c r="Z5" i="2"/>
  <c r="Z6" i="2"/>
  <c r="Z7" i="2"/>
  <c r="Z8" i="2"/>
  <c r="Z9" i="2"/>
  <c r="Z10" i="2"/>
  <c r="Z11" i="2"/>
  <c r="Z4" i="2"/>
  <c r="X5" i="3"/>
  <c r="X6" i="3"/>
  <c r="X7" i="3"/>
  <c r="X8" i="3"/>
  <c r="X9" i="3"/>
  <c r="X4" i="3"/>
  <c r="W5" i="4"/>
  <c r="W6" i="4"/>
  <c r="W7" i="4"/>
  <c r="W8" i="4"/>
  <c r="W4" i="4"/>
  <c r="BD135" i="8" l="1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I4" i="3"/>
  <c r="I4" i="1"/>
  <c r="I4" i="2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BA130" i="8" s="1"/>
  <c r="J131" i="8"/>
  <c r="BA131" i="8" s="1"/>
  <c r="J132" i="8"/>
  <c r="J133" i="8"/>
  <c r="BA133" i="8" s="1"/>
  <c r="J134" i="8"/>
  <c r="BA134" i="8" s="1"/>
  <c r="J135" i="8"/>
  <c r="BA135" i="8" s="1"/>
  <c r="J129" i="8"/>
  <c r="BA129" i="8" s="1"/>
  <c r="J121" i="8"/>
  <c r="BA121" i="8" s="1"/>
  <c r="J122" i="8"/>
  <c r="BA122" i="8" s="1"/>
  <c r="J123" i="8"/>
  <c r="BA123" i="8" s="1"/>
  <c r="J124" i="8"/>
  <c r="BA124" i="8" s="1"/>
  <c r="J125" i="8"/>
  <c r="BA125" i="8" s="1"/>
  <c r="J126" i="8"/>
  <c r="BA126" i="8" s="1"/>
  <c r="J120" i="8"/>
  <c r="BA120" i="8" s="1"/>
  <c r="J112" i="8"/>
  <c r="J113" i="8"/>
  <c r="BA113" i="8" s="1"/>
  <c r="J114" i="8"/>
  <c r="BA114" i="8" s="1"/>
  <c r="J115" i="8"/>
  <c r="BA115" i="8" s="1"/>
  <c r="J116" i="8"/>
  <c r="J117" i="8"/>
  <c r="BA117" i="8" s="1"/>
  <c r="J111" i="8"/>
  <c r="BA111" i="8" s="1"/>
  <c r="J103" i="8"/>
  <c r="J104" i="8"/>
  <c r="BA104" i="8" s="1"/>
  <c r="J105" i="8"/>
  <c r="BA105" i="8" s="1"/>
  <c r="J106" i="8"/>
  <c r="BA106" i="8" s="1"/>
  <c r="J107" i="8"/>
  <c r="BA107" i="8" s="1"/>
  <c r="J108" i="8"/>
  <c r="BA108" i="8" s="1"/>
  <c r="J102" i="8"/>
  <c r="J94" i="8"/>
  <c r="BA94" i="8" s="1"/>
  <c r="J95" i="8"/>
  <c r="BA95" i="8" s="1"/>
  <c r="J96" i="8"/>
  <c r="J97" i="8"/>
  <c r="J98" i="8"/>
  <c r="BA98" i="8" s="1"/>
  <c r="J99" i="8"/>
  <c r="BA99" i="8" s="1"/>
  <c r="J93" i="8"/>
  <c r="BA93" i="8" s="1"/>
  <c r="J85" i="8"/>
  <c r="BA85" i="8" s="1"/>
  <c r="J86" i="8"/>
  <c r="BA86" i="8" s="1"/>
  <c r="J87" i="8"/>
  <c r="BA87" i="8" s="1"/>
  <c r="J88" i="8"/>
  <c r="BA88" i="8" s="1"/>
  <c r="J89" i="8"/>
  <c r="BA89" i="8" s="1"/>
  <c r="J90" i="8"/>
  <c r="BA90" i="8" s="1"/>
  <c r="J84" i="8"/>
  <c r="BA84" i="8" s="1"/>
  <c r="J76" i="8"/>
  <c r="J77" i="8"/>
  <c r="BA77" i="8" s="1"/>
  <c r="J78" i="8"/>
  <c r="BA78" i="8" s="1"/>
  <c r="J79" i="8"/>
  <c r="BA79" i="8" s="1"/>
  <c r="J80" i="8"/>
  <c r="J81" i="8"/>
  <c r="BA81" i="8" s="1"/>
  <c r="J75" i="8"/>
  <c r="BA75" i="8" s="1"/>
  <c r="J67" i="8"/>
  <c r="BA67" i="8" s="1"/>
  <c r="J68" i="8"/>
  <c r="BA68" i="8" s="1"/>
  <c r="J69" i="8"/>
  <c r="BA69" i="8" s="1"/>
  <c r="J70" i="8"/>
  <c r="BA70" i="8" s="1"/>
  <c r="J71" i="8"/>
  <c r="BA71" i="8" s="1"/>
  <c r="J72" i="8"/>
  <c r="BA72" i="8" s="1"/>
  <c r="J66" i="8"/>
  <c r="J58" i="8"/>
  <c r="BA58" i="8" s="1"/>
  <c r="J59" i="8"/>
  <c r="BA59" i="8" s="1"/>
  <c r="J60" i="8"/>
  <c r="J61" i="8"/>
  <c r="BA61" i="8" s="1"/>
  <c r="J62" i="8"/>
  <c r="BA62" i="8" s="1"/>
  <c r="J63" i="8"/>
  <c r="BA63" i="8" s="1"/>
  <c r="J57" i="8"/>
  <c r="J49" i="8"/>
  <c r="J50" i="8"/>
  <c r="BA50" i="8" s="1"/>
  <c r="J51" i="8"/>
  <c r="BA51" i="8" s="1"/>
  <c r="J52" i="8"/>
  <c r="BA52" i="8" s="1"/>
  <c r="J53" i="8"/>
  <c r="BA53" i="8" s="1"/>
  <c r="J54" i="8"/>
  <c r="BA54" i="8" s="1"/>
  <c r="J48" i="8"/>
  <c r="BA48" i="8" s="1"/>
  <c r="J40" i="8"/>
  <c r="J41" i="8"/>
  <c r="BA41" i="8" s="1"/>
  <c r="J42" i="8"/>
  <c r="BA42" i="8" s="1"/>
  <c r="J43" i="8"/>
  <c r="BA43" i="8" s="1"/>
  <c r="J44" i="8"/>
  <c r="J45" i="8"/>
  <c r="BA45" i="8" s="1"/>
  <c r="J39" i="8"/>
  <c r="BA39" i="8" s="1"/>
  <c r="J31" i="8"/>
  <c r="BA31" i="8" s="1"/>
  <c r="J32" i="8"/>
  <c r="BA32" i="8" s="1"/>
  <c r="J33" i="8"/>
  <c r="BA33" i="8" s="1"/>
  <c r="J34" i="8"/>
  <c r="BA34" i="8" s="1"/>
  <c r="J35" i="8"/>
  <c r="BA35" i="8" s="1"/>
  <c r="J36" i="8"/>
  <c r="BA36" i="8" s="1"/>
  <c r="J30" i="8"/>
  <c r="J22" i="8"/>
  <c r="BA22" i="8" s="1"/>
  <c r="J23" i="8"/>
  <c r="BA23" i="8" s="1"/>
  <c r="J24" i="8"/>
  <c r="J25" i="8"/>
  <c r="J26" i="8"/>
  <c r="BA26" i="8" s="1"/>
  <c r="J27" i="8"/>
  <c r="BA27" i="8" s="1"/>
  <c r="J21" i="8"/>
  <c r="BA21" i="8" s="1"/>
  <c r="BA132" i="8" l="1"/>
  <c r="BA116" i="8"/>
  <c r="BA112" i="8"/>
  <c r="BA102" i="8"/>
  <c r="BA103" i="8"/>
  <c r="BA97" i="8"/>
  <c r="BA96" i="8"/>
  <c r="BA80" i="8"/>
  <c r="BA76" i="8"/>
  <c r="BA66" i="8"/>
  <c r="BA60" i="8"/>
  <c r="BA57" i="8"/>
  <c r="BA49" i="8"/>
  <c r="BA44" i="8"/>
  <c r="BA40" i="8"/>
  <c r="BA30" i="8"/>
  <c r="BA25" i="8"/>
  <c r="BA24" i="8"/>
  <c r="U4" i="8"/>
  <c r="Q5" i="8"/>
  <c r="Q7" i="8"/>
  <c r="Q4" i="8"/>
  <c r="J5" i="8"/>
  <c r="T4" i="8"/>
  <c r="P4" i="8"/>
  <c r="L4" i="8"/>
  <c r="T5" i="8"/>
  <c r="P5" i="8"/>
  <c r="L5" i="8"/>
  <c r="L6" i="8"/>
  <c r="T6" i="8"/>
  <c r="P6" i="8"/>
  <c r="M8" i="8"/>
  <c r="S7" i="8"/>
  <c r="N7" i="8"/>
  <c r="T8" i="8"/>
  <c r="P8" i="8"/>
  <c r="U9" i="8"/>
  <c r="Q9" i="8"/>
  <c r="U10" i="8"/>
  <c r="Q10" i="8"/>
  <c r="T11" i="8"/>
  <c r="S13" i="8"/>
  <c r="S14" i="8"/>
  <c r="T13" i="8"/>
  <c r="H17" i="8"/>
  <c r="H13" i="8"/>
  <c r="H9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6" i="8"/>
  <c r="N12" i="8"/>
  <c r="O15" i="8"/>
  <c r="P17" i="8"/>
  <c r="Q14" i="8"/>
  <c r="R15" i="8"/>
  <c r="S17" i="8"/>
  <c r="O4" i="8"/>
  <c r="S5" i="8"/>
  <c r="O5" i="8"/>
  <c r="K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S4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S9" i="8"/>
  <c r="P11" i="8"/>
  <c r="S10" i="8"/>
  <c r="R12" i="8"/>
  <c r="R11" i="8"/>
  <c r="T12" i="8"/>
  <c r="T14" i="8"/>
  <c r="U15" i="8"/>
  <c r="H15" i="8"/>
  <c r="H11" i="8"/>
  <c r="H7" i="8"/>
  <c r="I16" i="8"/>
  <c r="I12" i="8"/>
  <c r="I8" i="8"/>
  <c r="J16" i="8"/>
  <c r="J12" i="8"/>
  <c r="J8" i="8"/>
  <c r="K15" i="8"/>
  <c r="K11" i="8"/>
  <c r="L17" i="8"/>
  <c r="L13" i="8"/>
  <c r="M10" i="8"/>
  <c r="M14" i="8"/>
  <c r="N11" i="8"/>
  <c r="N14" i="8"/>
  <c r="O17" i="8"/>
  <c r="O13" i="8"/>
  <c r="P15" i="8"/>
  <c r="Q16" i="8"/>
  <c r="R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Q11" i="8"/>
  <c r="R10" i="8"/>
  <c r="U11" i="8"/>
  <c r="R13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BJ7" i="8" l="1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V15" i="8" s="1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AB1" i="8"/>
  <c r="U1" i="9"/>
  <c r="V4" i="8" l="1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I17" i="8" l="1"/>
  <c r="AI6" i="8"/>
  <c r="AI12" i="8"/>
  <c r="W4" i="8"/>
  <c r="AD4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V1" i="1"/>
  <c r="AW79" i="1"/>
  <c r="AW72" i="1"/>
  <c r="AW65" i="1"/>
  <c r="AW58" i="1"/>
  <c r="AW51" i="1"/>
  <c r="AW44" i="1"/>
  <c r="AW37" i="1"/>
  <c r="AW30" i="1"/>
  <c r="AW23" i="1"/>
  <c r="V1" i="3"/>
  <c r="AQ17" i="8" l="1"/>
  <c r="AG4" i="8"/>
  <c r="AF4" i="8"/>
  <c r="AQ9" i="8"/>
  <c r="AD9" i="8"/>
  <c r="AG9" i="8"/>
  <c r="AF9" i="8"/>
  <c r="AQ11" i="8"/>
  <c r="AG11" i="8"/>
  <c r="AF11" i="8"/>
  <c r="AD11" i="8"/>
  <c r="AQ8" i="8"/>
  <c r="AF8" i="8"/>
  <c r="AD8" i="8"/>
  <c r="AG8" i="8"/>
  <c r="AQ16" i="8"/>
  <c r="AF16" i="8"/>
  <c r="AD16" i="8"/>
  <c r="AG16" i="8"/>
  <c r="AQ7" i="8"/>
  <c r="AG7" i="8"/>
  <c r="AF7" i="8"/>
  <c r="AD7" i="8"/>
  <c r="AQ14" i="8"/>
  <c r="AG14" i="8"/>
  <c r="AF14" i="8"/>
  <c r="AD14" i="8"/>
  <c r="AQ15" i="8"/>
  <c r="AD15" i="8"/>
  <c r="AG15" i="8"/>
  <c r="AF15" i="8"/>
  <c r="AQ10" i="8"/>
  <c r="AG10" i="8"/>
  <c r="AF10" i="8"/>
  <c r="AD10" i="8"/>
  <c r="AQ6" i="8"/>
  <c r="AG6" i="8"/>
  <c r="AF6" i="8"/>
  <c r="AD6" i="8"/>
  <c r="AQ12" i="8"/>
  <c r="AD12" i="8"/>
  <c r="AF12" i="8"/>
  <c r="AG12" i="8"/>
  <c r="AQ13" i="8"/>
  <c r="AG13" i="8"/>
  <c r="AF13" i="8"/>
  <c r="AG17" i="8"/>
  <c r="AD13" i="8"/>
  <c r="AF17" i="8"/>
  <c r="AD17" i="8"/>
  <c r="AI18" i="8"/>
  <c r="AQ5" i="8"/>
  <c r="AD5" i="8"/>
  <c r="AG5" i="8"/>
  <c r="AF5" i="8"/>
  <c r="AQ4" i="8"/>
  <c r="U1" i="4"/>
  <c r="S8" i="4"/>
  <c r="AJ7" i="8" l="1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W1" i="2"/>
  <c r="AK17" i="8" l="1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X5" i="2"/>
  <c r="X6" i="2"/>
  <c r="X7" i="2"/>
  <c r="X8" i="2"/>
  <c r="X9" i="2"/>
  <c r="X10" i="2"/>
  <c r="X11" i="2"/>
  <c r="X4" i="2"/>
  <c r="E23" i="2"/>
  <c r="E24" i="2"/>
  <c r="E25" i="2"/>
  <c r="E22" i="2"/>
  <c r="E17" i="2"/>
  <c r="E18" i="2"/>
  <c r="E19" i="2"/>
  <c r="E16" i="2"/>
  <c r="C17" i="2"/>
  <c r="C18" i="2"/>
  <c r="C19" i="2"/>
  <c r="C16" i="2"/>
  <c r="AK18" i="8" l="1"/>
  <c r="AL8" i="8" s="1"/>
  <c r="AS21" i="4"/>
  <c r="AS20" i="4"/>
  <c r="AS12" i="4"/>
  <c r="AW53" i="1"/>
  <c r="AW47" i="1"/>
  <c r="AW41" i="1"/>
  <c r="AW19" i="1"/>
  <c r="AL7" i="8" l="1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S17" i="4"/>
  <c r="AS16" i="4"/>
  <c r="AS13" i="4"/>
  <c r="BA55" i="2"/>
  <c r="BA54" i="2"/>
  <c r="BA53" i="2"/>
  <c r="BA52" i="2"/>
  <c r="BA48" i="2"/>
  <c r="BA47" i="2"/>
  <c r="BA43" i="2"/>
  <c r="BA41" i="2"/>
  <c r="BA37" i="2"/>
  <c r="BA35" i="2"/>
  <c r="BA30" i="2"/>
  <c r="BA29" i="2"/>
  <c r="BA28" i="2"/>
  <c r="BA25" i="2"/>
  <c r="BA24" i="2"/>
  <c r="BA23" i="2"/>
  <c r="AM10" i="8" l="1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BA46" i="2"/>
  <c r="BA16" i="2"/>
  <c r="BA49" i="2"/>
  <c r="BA40" i="2"/>
  <c r="BA36" i="2"/>
  <c r="BA34" i="2"/>
  <c r="BA22" i="2"/>
  <c r="BA18" i="2"/>
  <c r="BA31" i="2"/>
  <c r="BA42" i="2"/>
  <c r="BA19" i="2"/>
  <c r="BA17" i="2"/>
  <c r="AW36" i="3"/>
  <c r="AW34" i="3"/>
  <c r="AW30" i="3"/>
  <c r="AW29" i="3"/>
  <c r="AW26" i="3"/>
  <c r="AW24" i="3"/>
  <c r="AW21" i="3"/>
  <c r="AW20" i="3"/>
  <c r="AM18" i="8" l="1"/>
  <c r="AW19" i="3"/>
  <c r="AW35" i="3"/>
  <c r="AW25" i="3"/>
  <c r="AW31" i="3"/>
  <c r="AW14" i="3"/>
  <c r="AW15" i="3"/>
  <c r="AW16" i="3"/>
  <c r="AV21" i="4"/>
  <c r="AU21" i="4"/>
  <c r="E21" i="4"/>
  <c r="C21" i="4"/>
  <c r="AV20" i="4"/>
  <c r="AU20" i="4"/>
  <c r="E20" i="4"/>
  <c r="C20" i="4"/>
  <c r="AV17" i="4"/>
  <c r="AU17" i="4"/>
  <c r="E17" i="4"/>
  <c r="C17" i="4"/>
  <c r="AV16" i="4"/>
  <c r="AU16" i="4"/>
  <c r="E16" i="4"/>
  <c r="C16" i="4"/>
  <c r="AZ13" i="4"/>
  <c r="AY13" i="4"/>
  <c r="AV13" i="4"/>
  <c r="AU13" i="4"/>
  <c r="E13" i="4"/>
  <c r="C13" i="4"/>
  <c r="AZ12" i="4"/>
  <c r="AY12" i="4"/>
  <c r="AV12" i="4"/>
  <c r="AU12" i="4"/>
  <c r="M4" i="4" s="1"/>
  <c r="E12" i="4"/>
  <c r="C12" i="4"/>
  <c r="AB6" i="4"/>
  <c r="BD7" i="4"/>
  <c r="BC7" i="4"/>
  <c r="BB7" i="4"/>
  <c r="BA7" i="4"/>
  <c r="AZ7" i="4"/>
  <c r="AY7" i="4"/>
  <c r="AX7" i="4"/>
  <c r="AW7" i="4"/>
  <c r="AV7" i="4"/>
  <c r="BG7" i="4" s="1"/>
  <c r="AB7" i="4"/>
  <c r="BD6" i="4"/>
  <c r="BC6" i="4"/>
  <c r="BB6" i="4"/>
  <c r="BA6" i="4"/>
  <c r="AZ6" i="4"/>
  <c r="AY6" i="4"/>
  <c r="AX6" i="4"/>
  <c r="AW6" i="4"/>
  <c r="AV6" i="4"/>
  <c r="BG6" i="4" s="1"/>
  <c r="BD5" i="4"/>
  <c r="BC5" i="4"/>
  <c r="BB5" i="4"/>
  <c r="BA5" i="4"/>
  <c r="AZ5" i="4"/>
  <c r="AY5" i="4"/>
  <c r="AX5" i="4"/>
  <c r="AW5" i="4"/>
  <c r="AV5" i="4"/>
  <c r="BG5" i="4" s="1"/>
  <c r="AB4" i="4"/>
  <c r="BD4" i="4"/>
  <c r="BC4" i="4"/>
  <c r="BB4" i="4"/>
  <c r="BA4" i="4"/>
  <c r="AZ4" i="4"/>
  <c r="AY4" i="4"/>
  <c r="AX4" i="4"/>
  <c r="AW4" i="4"/>
  <c r="AV4" i="4"/>
  <c r="BG4" i="4" s="1"/>
  <c r="AB5" i="4"/>
  <c r="AC7" i="3"/>
  <c r="AZ36" i="3"/>
  <c r="AY36" i="3"/>
  <c r="E36" i="3"/>
  <c r="C36" i="3"/>
  <c r="AZ35" i="3"/>
  <c r="AY35" i="3"/>
  <c r="E35" i="3"/>
  <c r="C35" i="3"/>
  <c r="AZ34" i="3"/>
  <c r="AY34" i="3"/>
  <c r="E34" i="3"/>
  <c r="C34" i="3"/>
  <c r="AZ31" i="3"/>
  <c r="AY31" i="3"/>
  <c r="E31" i="3"/>
  <c r="C31" i="3"/>
  <c r="AZ30" i="3"/>
  <c r="AY30" i="3"/>
  <c r="E30" i="3"/>
  <c r="C30" i="3"/>
  <c r="AZ29" i="3"/>
  <c r="AY29" i="3"/>
  <c r="E29" i="3"/>
  <c r="C29" i="3"/>
  <c r="AZ26" i="3"/>
  <c r="AY26" i="3"/>
  <c r="E26" i="3"/>
  <c r="C26" i="3"/>
  <c r="AZ25" i="3"/>
  <c r="AY25" i="3"/>
  <c r="E25" i="3"/>
  <c r="C25" i="3"/>
  <c r="AZ24" i="3"/>
  <c r="AY24" i="3"/>
  <c r="E24" i="3"/>
  <c r="C24" i="3"/>
  <c r="AZ21" i="3"/>
  <c r="AY21" i="3"/>
  <c r="E21" i="3"/>
  <c r="C21" i="3"/>
  <c r="AZ20" i="3"/>
  <c r="AY20" i="3"/>
  <c r="E20" i="3"/>
  <c r="C20" i="3"/>
  <c r="AZ19" i="3"/>
  <c r="AY19" i="3"/>
  <c r="E19" i="3"/>
  <c r="C19" i="3"/>
  <c r="BD16" i="3"/>
  <c r="BC16" i="3"/>
  <c r="AZ16" i="3"/>
  <c r="AY16" i="3"/>
  <c r="E16" i="3"/>
  <c r="C16" i="3"/>
  <c r="BD15" i="3"/>
  <c r="BC15" i="3"/>
  <c r="AZ15" i="3"/>
  <c r="AY15" i="3"/>
  <c r="E15" i="3"/>
  <c r="C15" i="3"/>
  <c r="BD14" i="3"/>
  <c r="BC14" i="3"/>
  <c r="AZ14" i="3"/>
  <c r="AY14" i="3"/>
  <c r="E14" i="3"/>
  <c r="C14" i="3"/>
  <c r="BH9" i="3"/>
  <c r="BG9" i="3"/>
  <c r="BF9" i="3"/>
  <c r="BE9" i="3"/>
  <c r="BD9" i="3"/>
  <c r="BC9" i="3"/>
  <c r="BB9" i="3"/>
  <c r="BA9" i="3"/>
  <c r="AZ9" i="3"/>
  <c r="BK9" i="3" s="1"/>
  <c r="AC5" i="3"/>
  <c r="BH8" i="3"/>
  <c r="BG8" i="3"/>
  <c r="BF8" i="3"/>
  <c r="BE8" i="3"/>
  <c r="BD8" i="3"/>
  <c r="BC8" i="3"/>
  <c r="BB8" i="3"/>
  <c r="BA8" i="3"/>
  <c r="AZ8" i="3"/>
  <c r="BK8" i="3" s="1"/>
  <c r="AC8" i="3"/>
  <c r="BH7" i="3"/>
  <c r="BG7" i="3"/>
  <c r="BF7" i="3"/>
  <c r="BE7" i="3"/>
  <c r="BD7" i="3"/>
  <c r="BC7" i="3"/>
  <c r="BB7" i="3"/>
  <c r="BA7" i="3"/>
  <c r="AZ7" i="3"/>
  <c r="BK7" i="3" s="1"/>
  <c r="AC9" i="3"/>
  <c r="BH6" i="3"/>
  <c r="BG6" i="3"/>
  <c r="BF6" i="3"/>
  <c r="BE6" i="3"/>
  <c r="BD6" i="3"/>
  <c r="BC6" i="3"/>
  <c r="BB6" i="3"/>
  <c r="BA6" i="3"/>
  <c r="AZ6" i="3"/>
  <c r="BK6" i="3" s="1"/>
  <c r="AC4" i="3"/>
  <c r="BH5" i="3"/>
  <c r="BG5" i="3"/>
  <c r="BF5" i="3"/>
  <c r="BE5" i="3"/>
  <c r="BD5" i="3"/>
  <c r="BC5" i="3"/>
  <c r="BB5" i="3"/>
  <c r="BA5" i="3"/>
  <c r="AZ5" i="3"/>
  <c r="BK5" i="3" s="1"/>
  <c r="BH4" i="3"/>
  <c r="BG4" i="3"/>
  <c r="BF4" i="3"/>
  <c r="BE4" i="3"/>
  <c r="BD4" i="3"/>
  <c r="BC4" i="3"/>
  <c r="BB4" i="3"/>
  <c r="BA4" i="3"/>
  <c r="AZ4" i="3"/>
  <c r="BK4" i="3" s="1"/>
  <c r="BA21" i="3" s="1"/>
  <c r="AC6" i="3"/>
  <c r="BD55" i="2"/>
  <c r="BC55" i="2"/>
  <c r="E55" i="2"/>
  <c r="C55" i="2"/>
  <c r="BD54" i="2"/>
  <c r="BC54" i="2"/>
  <c r="E54" i="2"/>
  <c r="C54" i="2"/>
  <c r="BD53" i="2"/>
  <c r="BC53" i="2"/>
  <c r="E53" i="2"/>
  <c r="C53" i="2"/>
  <c r="BD52" i="2"/>
  <c r="BC52" i="2"/>
  <c r="E52" i="2"/>
  <c r="C52" i="2"/>
  <c r="BD49" i="2"/>
  <c r="BC49" i="2"/>
  <c r="E49" i="2"/>
  <c r="C49" i="2"/>
  <c r="BD48" i="2"/>
  <c r="BC48" i="2"/>
  <c r="E48" i="2"/>
  <c r="C48" i="2"/>
  <c r="BD47" i="2"/>
  <c r="BC47" i="2"/>
  <c r="E47" i="2"/>
  <c r="C47" i="2"/>
  <c r="BD46" i="2"/>
  <c r="BC46" i="2"/>
  <c r="E46" i="2"/>
  <c r="C46" i="2"/>
  <c r="BD43" i="2"/>
  <c r="BC43" i="2"/>
  <c r="E43" i="2"/>
  <c r="C43" i="2"/>
  <c r="BD42" i="2"/>
  <c r="BC42" i="2"/>
  <c r="E42" i="2"/>
  <c r="C42" i="2"/>
  <c r="BD41" i="2"/>
  <c r="BC41" i="2"/>
  <c r="E41" i="2"/>
  <c r="C41" i="2"/>
  <c r="BD40" i="2"/>
  <c r="BC40" i="2"/>
  <c r="E40" i="2"/>
  <c r="C40" i="2"/>
  <c r="BD37" i="2"/>
  <c r="BC37" i="2"/>
  <c r="E37" i="2"/>
  <c r="C37" i="2"/>
  <c r="BD36" i="2"/>
  <c r="BC36" i="2"/>
  <c r="E36" i="2"/>
  <c r="C36" i="2"/>
  <c r="BD35" i="2"/>
  <c r="BC35" i="2"/>
  <c r="E35" i="2"/>
  <c r="C35" i="2"/>
  <c r="BD34" i="2"/>
  <c r="BC34" i="2"/>
  <c r="E34" i="2"/>
  <c r="C34" i="2"/>
  <c r="BD31" i="2"/>
  <c r="BC31" i="2"/>
  <c r="E31" i="2"/>
  <c r="C31" i="2"/>
  <c r="BD30" i="2"/>
  <c r="BC30" i="2"/>
  <c r="E30" i="2"/>
  <c r="C30" i="2"/>
  <c r="BD29" i="2"/>
  <c r="BC29" i="2"/>
  <c r="E29" i="2"/>
  <c r="C29" i="2"/>
  <c r="BD28" i="2"/>
  <c r="BC28" i="2"/>
  <c r="E28" i="2"/>
  <c r="C28" i="2"/>
  <c r="BD25" i="2"/>
  <c r="BC25" i="2"/>
  <c r="C25" i="2"/>
  <c r="BD24" i="2"/>
  <c r="BC24" i="2"/>
  <c r="C24" i="2"/>
  <c r="BD23" i="2"/>
  <c r="BC23" i="2"/>
  <c r="C23" i="2"/>
  <c r="BD22" i="2"/>
  <c r="BC22" i="2"/>
  <c r="C22" i="2"/>
  <c r="BH19" i="2"/>
  <c r="BG19" i="2"/>
  <c r="BD19" i="2"/>
  <c r="BC19" i="2"/>
  <c r="BH18" i="2"/>
  <c r="BG18" i="2"/>
  <c r="BD18" i="2"/>
  <c r="BC18" i="2"/>
  <c r="BH17" i="2"/>
  <c r="BG17" i="2"/>
  <c r="BD17" i="2"/>
  <c r="BC17" i="2"/>
  <c r="BH16" i="2"/>
  <c r="BG16" i="2"/>
  <c r="BD16" i="2"/>
  <c r="BC16" i="2"/>
  <c r="AE6" i="2"/>
  <c r="BL11" i="2"/>
  <c r="BK11" i="2"/>
  <c r="BJ11" i="2"/>
  <c r="BI11" i="2"/>
  <c r="BH11" i="2"/>
  <c r="BG11" i="2"/>
  <c r="BF11" i="2"/>
  <c r="BE11" i="2"/>
  <c r="BD11" i="2"/>
  <c r="BO11" i="2" s="1"/>
  <c r="AE10" i="2"/>
  <c r="BL10" i="2"/>
  <c r="BK10" i="2"/>
  <c r="BJ10" i="2"/>
  <c r="BI10" i="2"/>
  <c r="BH10" i="2"/>
  <c r="BG10" i="2"/>
  <c r="BF10" i="2"/>
  <c r="BE10" i="2"/>
  <c r="BD10" i="2"/>
  <c r="BO10" i="2" s="1"/>
  <c r="AE8" i="2"/>
  <c r="BL9" i="2"/>
  <c r="BK9" i="2"/>
  <c r="BJ9" i="2"/>
  <c r="BI9" i="2"/>
  <c r="BH9" i="2"/>
  <c r="BG9" i="2"/>
  <c r="BF9" i="2"/>
  <c r="BE9" i="2"/>
  <c r="BD9" i="2"/>
  <c r="BO9" i="2" s="1"/>
  <c r="AE9" i="2"/>
  <c r="BL8" i="2"/>
  <c r="BK8" i="2"/>
  <c r="BJ8" i="2"/>
  <c r="BI8" i="2"/>
  <c r="BH8" i="2"/>
  <c r="BG8" i="2"/>
  <c r="BF8" i="2"/>
  <c r="BE8" i="2"/>
  <c r="BD8" i="2"/>
  <c r="BO8" i="2" s="1"/>
  <c r="BL7" i="2"/>
  <c r="BK7" i="2"/>
  <c r="BJ7" i="2"/>
  <c r="BI7" i="2"/>
  <c r="BH7" i="2"/>
  <c r="BG7" i="2"/>
  <c r="BF7" i="2"/>
  <c r="BE7" i="2"/>
  <c r="BD7" i="2"/>
  <c r="BO7" i="2" s="1"/>
  <c r="AE5" i="2"/>
  <c r="BL6" i="2"/>
  <c r="BK6" i="2"/>
  <c r="BJ6" i="2"/>
  <c r="BI6" i="2"/>
  <c r="BH6" i="2"/>
  <c r="BG6" i="2"/>
  <c r="BF6" i="2"/>
  <c r="BE6" i="2"/>
  <c r="BD6" i="2"/>
  <c r="BO6" i="2" s="1"/>
  <c r="AE4" i="2"/>
  <c r="BL5" i="2"/>
  <c r="BK5" i="2"/>
  <c r="BJ5" i="2"/>
  <c r="BI5" i="2"/>
  <c r="BH5" i="2"/>
  <c r="BG5" i="2"/>
  <c r="BF5" i="2"/>
  <c r="BE5" i="2"/>
  <c r="BD5" i="2"/>
  <c r="BO5" i="2" s="1"/>
  <c r="AE11" i="2"/>
  <c r="BL4" i="2"/>
  <c r="BK4" i="2"/>
  <c r="BJ4" i="2"/>
  <c r="BI4" i="2"/>
  <c r="BH4" i="2"/>
  <c r="BG4" i="2"/>
  <c r="BF4" i="2"/>
  <c r="BE4" i="2"/>
  <c r="BD4" i="2"/>
  <c r="BO4" i="2" s="1"/>
  <c r="AE7" i="2"/>
  <c r="AN5" i="8" l="1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O4" i="2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W16" i="4"/>
  <c r="AX17" i="4"/>
  <c r="AY17" i="4" s="1"/>
  <c r="BH6" i="4"/>
  <c r="BH7" i="4"/>
  <c r="AX16" i="4"/>
  <c r="AY16" i="4" s="1"/>
  <c r="BH4" i="4"/>
  <c r="BH5" i="4"/>
  <c r="AW17" i="4"/>
  <c r="M5" i="4"/>
  <c r="O6" i="4"/>
  <c r="M7" i="4"/>
  <c r="P4" i="4"/>
  <c r="N5" i="4"/>
  <c r="P6" i="4"/>
  <c r="N7" i="4"/>
  <c r="O5" i="4"/>
  <c r="M6" i="4"/>
  <c r="O7" i="4"/>
  <c r="BB20" i="3"/>
  <c r="BC20" i="3" s="1"/>
  <c r="BB19" i="3"/>
  <c r="BC19" i="3" s="1"/>
  <c r="BA20" i="3"/>
  <c r="BD20" i="3" s="1"/>
  <c r="BA19" i="3"/>
  <c r="BD19" i="3" s="1"/>
  <c r="I9" i="3"/>
  <c r="BL5" i="3"/>
  <c r="BL6" i="3"/>
  <c r="BM6" i="3" s="1"/>
  <c r="BN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BD21" i="3"/>
  <c r="BB21" i="3"/>
  <c r="BC21" i="3" s="1"/>
  <c r="BL4" i="3"/>
  <c r="BL7" i="3"/>
  <c r="BL8" i="3"/>
  <c r="BL9" i="3"/>
  <c r="BF23" i="2"/>
  <c r="BG23" i="2" s="1"/>
  <c r="BE23" i="2"/>
  <c r="BH23" i="2" s="1"/>
  <c r="BE25" i="2"/>
  <c r="BP8" i="2"/>
  <c r="BQ8" i="2" s="1"/>
  <c r="BP7" i="2"/>
  <c r="BF24" i="2"/>
  <c r="BG24" i="2" s="1"/>
  <c r="BF25" i="2"/>
  <c r="BG25" i="2" s="1"/>
  <c r="BP11" i="2"/>
  <c r="BE24" i="2"/>
  <c r="BP4" i="2"/>
  <c r="BP5" i="2"/>
  <c r="BP6" i="2"/>
  <c r="BF22" i="2"/>
  <c r="BG22" i="2" s="1"/>
  <c r="BP9" i="2"/>
  <c r="BE22" i="2"/>
  <c r="BP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AP17" i="8" l="1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BF30" i="2"/>
  <c r="BG30" i="2" s="1"/>
  <c r="BH25" i="2"/>
  <c r="R7" i="3"/>
  <c r="R4" i="3"/>
  <c r="R8" i="3"/>
  <c r="R6" i="3"/>
  <c r="R5" i="3"/>
  <c r="R9" i="3"/>
  <c r="AZ17" i="4"/>
  <c r="AX21" i="4"/>
  <c r="AY21" i="4" s="1"/>
  <c r="BI4" i="4"/>
  <c r="AZ16" i="4"/>
  <c r="AX20" i="4"/>
  <c r="AY20" i="4" s="1"/>
  <c r="BI7" i="4"/>
  <c r="BI6" i="4"/>
  <c r="AW21" i="4"/>
  <c r="AW20" i="4"/>
  <c r="BI5" i="4"/>
  <c r="BA25" i="3"/>
  <c r="BD25" i="3" s="1"/>
  <c r="BM5" i="3"/>
  <c r="BA24" i="3"/>
  <c r="BD24" i="3" s="1"/>
  <c r="BM8" i="3"/>
  <c r="BB26" i="3"/>
  <c r="BC26" i="3" s="1"/>
  <c r="BB25" i="3"/>
  <c r="BC25" i="3" s="1"/>
  <c r="BM4" i="3"/>
  <c r="BM9" i="3"/>
  <c r="BB24" i="3"/>
  <c r="BC24" i="3" s="1"/>
  <c r="BA26" i="3"/>
  <c r="BM7" i="3"/>
  <c r="BO6" i="3"/>
  <c r="BE31" i="2"/>
  <c r="BH31" i="2" s="1"/>
  <c r="R11" i="2"/>
  <c r="R9" i="2"/>
  <c r="R8" i="2"/>
  <c r="R5" i="2"/>
  <c r="BE30" i="2"/>
  <c r="BQ7" i="2"/>
  <c r="BF36" i="2" s="1"/>
  <c r="BG36" i="2" s="1"/>
  <c r="R10" i="2"/>
  <c r="BF28" i="2"/>
  <c r="BG28" i="2" s="1"/>
  <c r="R6" i="2"/>
  <c r="BQ4" i="2"/>
  <c r="BF29" i="2"/>
  <c r="BG29" i="2" s="1"/>
  <c r="BH24" i="2"/>
  <c r="BH22" i="2"/>
  <c r="BQ9" i="2"/>
  <c r="BR8" i="2"/>
  <c r="R7" i="2"/>
  <c r="BE28" i="2"/>
  <c r="BQ5" i="2"/>
  <c r="BF31" i="2"/>
  <c r="BG31" i="2" s="1"/>
  <c r="BQ11" i="2"/>
  <c r="BQ10" i="2"/>
  <c r="BE29" i="2"/>
  <c r="BQ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AD5" i="4" l="1"/>
  <c r="AD6" i="4"/>
  <c r="AD4" i="4"/>
  <c r="AD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AE8" i="3"/>
  <c r="AE9" i="3"/>
  <c r="AE4" i="3"/>
  <c r="AE5" i="3"/>
  <c r="AE7" i="3"/>
  <c r="AE6" i="3"/>
  <c r="S8" i="3"/>
  <c r="S4" i="3"/>
  <c r="S9" i="3"/>
  <c r="S7" i="3"/>
  <c r="S5" i="3"/>
  <c r="S6" i="3"/>
  <c r="R5" i="4"/>
  <c r="R8" i="4"/>
  <c r="AL8" i="4" s="1"/>
  <c r="R4" i="4"/>
  <c r="R6" i="4"/>
  <c r="R7" i="4"/>
  <c r="S4" i="2"/>
  <c r="AG4" i="2"/>
  <c r="AG9" i="2"/>
  <c r="AG6" i="2"/>
  <c r="AG11" i="2"/>
  <c r="AG7" i="2"/>
  <c r="AG5" i="2"/>
  <c r="AG10" i="2"/>
  <c r="AG8" i="2"/>
  <c r="S5" i="2"/>
  <c r="S10" i="2"/>
  <c r="S9" i="2"/>
  <c r="S6" i="2"/>
  <c r="S8" i="2"/>
  <c r="S7" i="2"/>
  <c r="S11" i="2"/>
  <c r="AZ20" i="4"/>
  <c r="AZ21" i="4"/>
  <c r="BJ6" i="4"/>
  <c r="BJ4" i="4"/>
  <c r="BJ5" i="4"/>
  <c r="BJ7" i="4"/>
  <c r="BN5" i="3"/>
  <c r="BD26" i="3"/>
  <c r="BB29" i="3"/>
  <c r="BC29" i="3" s="1"/>
  <c r="BN9" i="3"/>
  <c r="BA29" i="3"/>
  <c r="BA30" i="3"/>
  <c r="BN7" i="3"/>
  <c r="BA34" i="3" s="1"/>
  <c r="BD34" i="3" s="1"/>
  <c r="BB31" i="3"/>
  <c r="BC31" i="3" s="1"/>
  <c r="BB30" i="3"/>
  <c r="BC30" i="3" s="1"/>
  <c r="BN8" i="3"/>
  <c r="BA31" i="3"/>
  <c r="BN4" i="3"/>
  <c r="BP6" i="3"/>
  <c r="BE36" i="2"/>
  <c r="BH29" i="2"/>
  <c r="BS8" i="2"/>
  <c r="BH30" i="2"/>
  <c r="BR5" i="2"/>
  <c r="BE34" i="2"/>
  <c r="BR10" i="2"/>
  <c r="BF34" i="2"/>
  <c r="BG34" i="2" s="1"/>
  <c r="BH28" i="2"/>
  <c r="BE37" i="2"/>
  <c r="BR4" i="2"/>
  <c r="BR6" i="2"/>
  <c r="BR11" i="2"/>
  <c r="BE35" i="2"/>
  <c r="BF35" i="2"/>
  <c r="BG35" i="2" s="1"/>
  <c r="BR9" i="2"/>
  <c r="BR7" i="2"/>
  <c r="BE42" i="2" s="1"/>
  <c r="BF37" i="2"/>
  <c r="BG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AD9" i="4" l="1"/>
  <c r="AE5" i="4" s="1"/>
  <c r="AE17" i="8"/>
  <c r="AE6" i="8"/>
  <c r="AC8" i="8"/>
  <c r="AE11" i="8"/>
  <c r="AC13" i="8"/>
  <c r="AC6" i="8"/>
  <c r="AE13" i="8"/>
  <c r="AC15" i="8"/>
  <c r="AE4" i="8"/>
  <c r="AE7" i="8"/>
  <c r="AE16" i="8"/>
  <c r="AE5" i="8"/>
  <c r="AC7" i="8"/>
  <c r="AE10" i="8"/>
  <c r="AC12" i="8"/>
  <c r="AE15" i="8"/>
  <c r="AC17" i="8"/>
  <c r="AE8" i="8"/>
  <c r="AC10" i="8"/>
  <c r="AC9" i="8"/>
  <c r="AC4" i="8"/>
  <c r="AE9" i="8"/>
  <c r="AC11" i="8"/>
  <c r="AE14" i="8"/>
  <c r="AC16" i="8"/>
  <c r="AC5" i="8"/>
  <c r="AE12" i="8"/>
  <c r="AC14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M7" i="3"/>
  <c r="AM6" i="3"/>
  <c r="AM4" i="3"/>
  <c r="AE11" i="3"/>
  <c r="AM5" i="3"/>
  <c r="AM8" i="3"/>
  <c r="AM9" i="3"/>
  <c r="AL6" i="4"/>
  <c r="AL4" i="4"/>
  <c r="AL7" i="4"/>
  <c r="AL5" i="4"/>
  <c r="BF43" i="2"/>
  <c r="BG43" i="2" s="1"/>
  <c r="BH36" i="2"/>
  <c r="AO11" i="2"/>
  <c r="AO9" i="2"/>
  <c r="AG13" i="2"/>
  <c r="AO7" i="2"/>
  <c r="AO10" i="2"/>
  <c r="AO8" i="2"/>
  <c r="AO5" i="2"/>
  <c r="AO6" i="2"/>
  <c r="AO12" i="2"/>
  <c r="AP12" i="2" s="1"/>
  <c r="AO4" i="2"/>
  <c r="BK5" i="4"/>
  <c r="BL5" i="4" s="1"/>
  <c r="BM5" i="4" s="1"/>
  <c r="BN5" i="4" s="1"/>
  <c r="BO5" i="4" s="1"/>
  <c r="AR7" i="4"/>
  <c r="BK4" i="4"/>
  <c r="AR6" i="4"/>
  <c r="BK7" i="4"/>
  <c r="BL7" i="4" s="1"/>
  <c r="BM7" i="4" s="1"/>
  <c r="BN7" i="4" s="1"/>
  <c r="BO7" i="4" s="1"/>
  <c r="BK6" i="4"/>
  <c r="BB35" i="3"/>
  <c r="BC35" i="3" s="1"/>
  <c r="BO5" i="3"/>
  <c r="BD31" i="3"/>
  <c r="BB34" i="3"/>
  <c r="BC34" i="3" s="1"/>
  <c r="BO4" i="3"/>
  <c r="BB36" i="3"/>
  <c r="BC36" i="3" s="1"/>
  <c r="BD30" i="3"/>
  <c r="BQ6" i="3"/>
  <c r="BA36" i="3"/>
  <c r="BO8" i="3"/>
  <c r="BO7" i="3"/>
  <c r="BA35" i="3"/>
  <c r="BD29" i="3"/>
  <c r="BO9" i="3"/>
  <c r="BH34" i="2"/>
  <c r="BF41" i="2"/>
  <c r="BG41" i="2" s="1"/>
  <c r="BS5" i="2"/>
  <c r="BS4" i="2"/>
  <c r="BE47" i="2" s="1"/>
  <c r="BF42" i="2"/>
  <c r="BG42" i="2" s="1"/>
  <c r="BH35" i="2"/>
  <c r="BS6" i="2"/>
  <c r="BE40" i="2"/>
  <c r="BH37" i="2"/>
  <c r="BS10" i="2"/>
  <c r="BT8" i="2"/>
  <c r="BE43" i="2"/>
  <c r="BS9" i="2"/>
  <c r="BE41" i="2"/>
  <c r="BS7" i="2"/>
  <c r="BF49" i="2" s="1"/>
  <c r="BG49" i="2" s="1"/>
  <c r="BS11" i="2"/>
  <c r="BF40" i="2"/>
  <c r="BG40" i="2" s="1"/>
  <c r="BH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AE6" i="4" l="1"/>
  <c r="AE7" i="4"/>
  <c r="AE4" i="4"/>
  <c r="AH8" i="2"/>
  <c r="AH4" i="2"/>
  <c r="AM10" i="1"/>
  <c r="AM7" i="1"/>
  <c r="AM4" i="1"/>
  <c r="AM12" i="1"/>
  <c r="AM9" i="1"/>
  <c r="AM5" i="1"/>
  <c r="AM13" i="1"/>
  <c r="AM11" i="1"/>
  <c r="AE15" i="1"/>
  <c r="AM6" i="1"/>
  <c r="AM8" i="1"/>
  <c r="AF7" i="3"/>
  <c r="AF4" i="3"/>
  <c r="AF8" i="3"/>
  <c r="AF9" i="3"/>
  <c r="AF5" i="3"/>
  <c r="AF6" i="3"/>
  <c r="AH10" i="2"/>
  <c r="AH11" i="2"/>
  <c r="AH6" i="2"/>
  <c r="AH7" i="2"/>
  <c r="AH9" i="2"/>
  <c r="AH5" i="2"/>
  <c r="AQ4" i="4"/>
  <c r="AS7" i="4"/>
  <c r="AA4" i="4" s="1"/>
  <c r="AR4" i="4"/>
  <c r="BL4" i="4"/>
  <c r="BM4" i="4" s="1"/>
  <c r="BN4" i="4" s="1"/>
  <c r="BO4" i="4" s="1"/>
  <c r="AR5" i="4"/>
  <c r="AQ7" i="4"/>
  <c r="BL6" i="4"/>
  <c r="BM6" i="4" s="1"/>
  <c r="BN6" i="4" s="1"/>
  <c r="BO6" i="4" s="1"/>
  <c r="AS6" i="4" s="1"/>
  <c r="AA5" i="4" s="1"/>
  <c r="AQ6" i="4"/>
  <c r="AQ5" i="4"/>
  <c r="AS5" i="4"/>
  <c r="AA6" i="4" s="1"/>
  <c r="BP5" i="3"/>
  <c r="AV8" i="3"/>
  <c r="BP9" i="3"/>
  <c r="BP7" i="3"/>
  <c r="BD36" i="3"/>
  <c r="BD35" i="3"/>
  <c r="BR6" i="3"/>
  <c r="BS6" i="3" s="1"/>
  <c r="BP4" i="3"/>
  <c r="BP8" i="3"/>
  <c r="AU6" i="3"/>
  <c r="Z7" i="3" s="1"/>
  <c r="BT9" i="2"/>
  <c r="BF48" i="2"/>
  <c r="BG48" i="2" s="1"/>
  <c r="BE48" i="2"/>
  <c r="BT4" i="2"/>
  <c r="BH47" i="2"/>
  <c r="BT7" i="2"/>
  <c r="BE53" i="2" s="1"/>
  <c r="BH43" i="2"/>
  <c r="BH40" i="2"/>
  <c r="BF46" i="2"/>
  <c r="BG46" i="2" s="1"/>
  <c r="BT11" i="2"/>
  <c r="BH41" i="2"/>
  <c r="BU8" i="2"/>
  <c r="BF47" i="2"/>
  <c r="BG47" i="2" s="1"/>
  <c r="BT10" i="2"/>
  <c r="BT6" i="2"/>
  <c r="BE46" i="2"/>
  <c r="BE49" i="2"/>
  <c r="BT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G9" i="3"/>
  <c r="AG8" i="3"/>
  <c r="AG6" i="3"/>
  <c r="AG4" i="3"/>
  <c r="AG5" i="3"/>
  <c r="AG7" i="3"/>
  <c r="AI10" i="2"/>
  <c r="AI8" i="2"/>
  <c r="AI9" i="2"/>
  <c r="AI11" i="2"/>
  <c r="AI4" i="2"/>
  <c r="AI6" i="2"/>
  <c r="AI5" i="2"/>
  <c r="AI7" i="2"/>
  <c r="AS4" i="4"/>
  <c r="AA7" i="4" s="1"/>
  <c r="BQ5" i="3"/>
  <c r="BR5" i="3" s="1"/>
  <c r="BS5" i="3" s="1"/>
  <c r="AW5" i="3" s="1"/>
  <c r="BQ9" i="3"/>
  <c r="AV7" i="3"/>
  <c r="BQ7" i="3"/>
  <c r="BQ8" i="3"/>
  <c r="BR8" i="3" s="1"/>
  <c r="BS8" i="3" s="1"/>
  <c r="BQ4" i="3"/>
  <c r="BR4" i="3" s="1"/>
  <c r="BS4" i="3" s="1"/>
  <c r="AW4" i="3" s="1"/>
  <c r="AW6" i="3"/>
  <c r="AB8" i="3" s="1"/>
  <c r="BH46" i="2"/>
  <c r="BV8" i="2"/>
  <c r="BU11" i="2"/>
  <c r="BE52" i="2"/>
  <c r="BU7" i="2"/>
  <c r="BE55" i="2"/>
  <c r="BU10" i="2"/>
  <c r="BH53" i="2"/>
  <c r="BE54" i="2"/>
  <c r="BU9" i="2"/>
  <c r="BF54" i="2"/>
  <c r="BG54" i="2" s="1"/>
  <c r="BU5" i="2"/>
  <c r="BF55" i="2"/>
  <c r="BU4" i="2"/>
  <c r="BH49" i="2"/>
  <c r="BF52" i="2"/>
  <c r="BG52" i="2" s="1"/>
  <c r="BU6" i="2"/>
  <c r="BF53" i="2"/>
  <c r="BG53" i="2" s="1"/>
  <c r="BH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F7" i="4" l="1"/>
  <c r="AF6" i="4"/>
  <c r="AG8" i="1"/>
  <c r="AG11" i="1"/>
  <c r="AG6" i="1"/>
  <c r="AG7" i="1"/>
  <c r="AG13" i="1"/>
  <c r="AG12" i="1"/>
  <c r="AG4" i="1"/>
  <c r="AG9" i="1"/>
  <c r="AG10" i="1"/>
  <c r="AG5" i="1"/>
  <c r="AG11" i="3"/>
  <c r="AF5" i="4"/>
  <c r="AF4" i="4"/>
  <c r="BG55" i="2"/>
  <c r="AY4" i="2"/>
  <c r="AI13" i="2"/>
  <c r="AJ4" i="2" s="1"/>
  <c r="AV9" i="3"/>
  <c r="AU5" i="3"/>
  <c r="Z8" i="3" s="1"/>
  <c r="BR7" i="3"/>
  <c r="BS7" i="3" s="1"/>
  <c r="BR9" i="3"/>
  <c r="BS9" i="3" s="1"/>
  <c r="AW8" i="3"/>
  <c r="AB5" i="3" s="1"/>
  <c r="AV6" i="3"/>
  <c r="AU8" i="3"/>
  <c r="Z5" i="3" s="1"/>
  <c r="AV5" i="3"/>
  <c r="AU9" i="3"/>
  <c r="Z4" i="3" s="1"/>
  <c r="AU4" i="3"/>
  <c r="Z9" i="3" s="1"/>
  <c r="AU7" i="3"/>
  <c r="Z6" i="3" s="1"/>
  <c r="BV4" i="2"/>
  <c r="BV5" i="2"/>
  <c r="BH54" i="2"/>
  <c r="BV10" i="2"/>
  <c r="BH52" i="2"/>
  <c r="BW8" i="2"/>
  <c r="BA8" i="2" s="1"/>
  <c r="AD9" i="2" s="1"/>
  <c r="BH55" i="2"/>
  <c r="BV11" i="2"/>
  <c r="BV6" i="2"/>
  <c r="BV9" i="2"/>
  <c r="BV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AF9" i="4" l="1"/>
  <c r="AG7" i="4" s="1"/>
  <c r="AG15" i="1"/>
  <c r="AH6" i="3"/>
  <c r="AH9" i="3"/>
  <c r="AH4" i="3"/>
  <c r="AH5" i="3"/>
  <c r="AH7" i="3"/>
  <c r="AH8" i="3"/>
  <c r="AJ10" i="2"/>
  <c r="AJ8" i="2"/>
  <c r="AJ6" i="2"/>
  <c r="AJ5" i="2"/>
  <c r="AJ11" i="2"/>
  <c r="AJ9" i="2"/>
  <c r="AJ7" i="2"/>
  <c r="AV4" i="3"/>
  <c r="AW9" i="3"/>
  <c r="AW7" i="3"/>
  <c r="BW11" i="2"/>
  <c r="BA11" i="2" s="1"/>
  <c r="AD11" i="2" s="1"/>
  <c r="BW7" i="2"/>
  <c r="BA7" i="2" s="1"/>
  <c r="AD10" i="2" s="1"/>
  <c r="BW9" i="2"/>
  <c r="BA9" i="2" s="1"/>
  <c r="AD7" i="2" s="1"/>
  <c r="AY8" i="2"/>
  <c r="AB9" i="2" s="1"/>
  <c r="BW4" i="2"/>
  <c r="BA4" i="2" s="1"/>
  <c r="AD6" i="2" s="1"/>
  <c r="BW6" i="2"/>
  <c r="BA6" i="2" s="1"/>
  <c r="AD8" i="2" s="1"/>
  <c r="BW10" i="2"/>
  <c r="BA10" i="2" s="1"/>
  <c r="AD5" i="2" s="1"/>
  <c r="BW5" i="2"/>
  <c r="BA5" i="2" s="1"/>
  <c r="AD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G6" i="4" l="1"/>
  <c r="AG5" i="4"/>
  <c r="AG4" i="4"/>
  <c r="AB7" i="3"/>
  <c r="AB6" i="3"/>
  <c r="AB9" i="3"/>
  <c r="AB4" i="3"/>
  <c r="AK4" i="2"/>
  <c r="AK5" i="2" s="1"/>
  <c r="AK6" i="2" s="1"/>
  <c r="AK7" i="2" s="1"/>
  <c r="AK8" i="2" s="1"/>
  <c r="AK9" i="2" s="1"/>
  <c r="AK10" i="2" s="1"/>
  <c r="AK11" i="2" s="1"/>
  <c r="AK12" i="2" s="1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I5" i="3"/>
  <c r="AI4" i="3"/>
  <c r="AI8" i="3"/>
  <c r="AI9" i="3"/>
  <c r="AI7" i="3"/>
  <c r="AI6" i="3"/>
  <c r="AZ11" i="2"/>
  <c r="AZ4" i="2"/>
  <c r="AZ10" i="2"/>
  <c r="AZ8" i="2"/>
  <c r="AY10" i="2"/>
  <c r="AB5" i="2" s="1"/>
  <c r="AY5" i="2"/>
  <c r="AZ9" i="2"/>
  <c r="AY7" i="2"/>
  <c r="AB10" i="2" s="1"/>
  <c r="AZ7" i="2"/>
  <c r="AY9" i="2"/>
  <c r="AB7" i="2" s="1"/>
  <c r="AB6" i="2"/>
  <c r="AZ6" i="2"/>
  <c r="AY11" i="2"/>
  <c r="AB11" i="2" s="1"/>
  <c r="AY6" i="2"/>
  <c r="AB8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J13" i="1" l="1"/>
  <c r="AH4" i="4"/>
  <c r="AH7" i="4"/>
  <c r="AH5" i="4"/>
  <c r="AH6" i="4"/>
  <c r="AB7" i="1"/>
  <c r="AJ12" i="1"/>
  <c r="AJ8" i="1"/>
  <c r="AJ11" i="1"/>
  <c r="AI15" i="1"/>
  <c r="AJ7" i="1"/>
  <c r="AJ4" i="1"/>
  <c r="AJ10" i="1"/>
  <c r="AJ6" i="1"/>
  <c r="AB5" i="1"/>
  <c r="AB11" i="1"/>
  <c r="AI11" i="3"/>
  <c r="AK13" i="2"/>
  <c r="AL6" i="2" s="1"/>
  <c r="AZ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H9" i="4" l="1"/>
  <c r="AI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J5" i="3"/>
  <c r="AJ7" i="3"/>
  <c r="AJ9" i="3"/>
  <c r="AJ8" i="3"/>
  <c r="AJ6" i="3"/>
  <c r="AJ4" i="3"/>
  <c r="AL5" i="2"/>
  <c r="AL10" i="2"/>
  <c r="AL11" i="2"/>
  <c r="AL4" i="2"/>
  <c r="AL8" i="2"/>
  <c r="AL7" i="2"/>
  <c r="AL9" i="2"/>
  <c r="Z11" i="1"/>
  <c r="Z4" i="1"/>
  <c r="Z6" i="1"/>
  <c r="Z10" i="1"/>
  <c r="Z12" i="1"/>
  <c r="Z8" i="1"/>
  <c r="Z5" i="1"/>
  <c r="Z13" i="1"/>
  <c r="Z9" i="1"/>
  <c r="Z7" i="1"/>
  <c r="AV6" i="1"/>
  <c r="AV4" i="1"/>
  <c r="AI6" i="4" l="1"/>
  <c r="AI5" i="4"/>
  <c r="AI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L8" i="3"/>
  <c r="AN8" i="3" s="1"/>
  <c r="AL9" i="3"/>
  <c r="AN9" i="3" s="1"/>
  <c r="AL4" i="3"/>
  <c r="AN4" i="3" s="1"/>
  <c r="AL7" i="3"/>
  <c r="AN7" i="3" s="1"/>
  <c r="AL6" i="3"/>
  <c r="AN6" i="3" s="1"/>
  <c r="AL5" i="3"/>
  <c r="AN5" i="3" s="1"/>
  <c r="AN11" i="2"/>
  <c r="AP11" i="2" s="1"/>
  <c r="AN9" i="2"/>
  <c r="AP9" i="2" s="1"/>
  <c r="AN5" i="2"/>
  <c r="AP5" i="2" s="1"/>
  <c r="AN7" i="2"/>
  <c r="AP7" i="2" s="1"/>
  <c r="AN10" i="2"/>
  <c r="AP10" i="2" s="1"/>
  <c r="AN8" i="2"/>
  <c r="AP8" i="2" s="1"/>
  <c r="AN6" i="2"/>
  <c r="AP6" i="2" s="1"/>
  <c r="AN4" i="2"/>
  <c r="AP4" i="2" s="1"/>
  <c r="AK5" i="4" l="1"/>
  <c r="AM5" i="4" s="1"/>
  <c r="AK7" i="4"/>
  <c r="AM7" i="4" s="1"/>
  <c r="AK6" i="4"/>
  <c r="AM6" i="4" s="1"/>
  <c r="AK4" i="4"/>
  <c r="AM4" i="4" s="1"/>
  <c r="AA4" i="1"/>
  <c r="Y4" i="1"/>
  <c r="Y8" i="1"/>
  <c r="Y6" i="1"/>
  <c r="Y10" i="1"/>
  <c r="AA9" i="1"/>
  <c r="Y11" i="1"/>
  <c r="AA8" i="1"/>
  <c r="Y13" i="1"/>
  <c r="AA13" i="1"/>
  <c r="AA11" i="1"/>
  <c r="Y14" i="1"/>
  <c r="AA6" i="1"/>
  <c r="Y9" i="1"/>
  <c r="Y7" i="1"/>
  <c r="AA7" i="1"/>
  <c r="Y5" i="1"/>
  <c r="AA5" i="1"/>
  <c r="Y12" i="1"/>
  <c r="AA12" i="1"/>
  <c r="AA10" i="1"/>
  <c r="AO4" i="3"/>
  <c r="T4" i="3" s="1"/>
  <c r="A4" i="3" s="1"/>
  <c r="AO7" i="3"/>
  <c r="T7" i="3" s="1"/>
  <c r="A7" i="3" s="1"/>
  <c r="AO5" i="3"/>
  <c r="T5" i="3" s="1"/>
  <c r="A5" i="3" s="1"/>
  <c r="AO9" i="3"/>
  <c r="T9" i="3" s="1"/>
  <c r="A9" i="3" s="1"/>
  <c r="AO6" i="3"/>
  <c r="T6" i="3" s="1"/>
  <c r="A6" i="3" s="1"/>
  <c r="AO8" i="3"/>
  <c r="T8" i="3" s="1"/>
  <c r="A8" i="3" s="1"/>
  <c r="AQ9" i="2"/>
  <c r="T9" i="2" s="1"/>
  <c r="A9" i="2" s="1"/>
  <c r="AQ4" i="2"/>
  <c r="T4" i="2" s="1"/>
  <c r="A4" i="2" s="1"/>
  <c r="AQ12" i="2"/>
  <c r="T12" i="2" s="1"/>
  <c r="A12" i="2" s="1"/>
  <c r="AQ11" i="2"/>
  <c r="T11" i="2" s="1"/>
  <c r="A11" i="2" s="1"/>
  <c r="AQ10" i="2"/>
  <c r="T10" i="2" s="1"/>
  <c r="A10" i="2" s="1"/>
  <c r="AQ5" i="2"/>
  <c r="T5" i="2" s="1"/>
  <c r="A5" i="2" s="1"/>
  <c r="AQ7" i="2"/>
  <c r="T7" i="2" s="1"/>
  <c r="A7" i="2" s="1"/>
  <c r="AQ6" i="2"/>
  <c r="T6" i="2" s="1"/>
  <c r="A6" i="2" s="1"/>
  <c r="AQ8" i="2"/>
  <c r="T8" i="2" s="1"/>
  <c r="A8" i="2" s="1"/>
  <c r="AN7" i="4" l="1"/>
  <c r="S7" i="4" s="1"/>
  <c r="A7" i="4" s="1"/>
  <c r="AN4" i="4"/>
  <c r="S4" i="4" s="1"/>
  <c r="A4" i="4" s="1"/>
  <c r="AN5" i="4"/>
  <c r="S5" i="4" s="1"/>
  <c r="A5" i="4" s="1"/>
  <c r="AN6" i="4"/>
  <c r="S6" i="4" s="1"/>
  <c r="A6" i="4" s="1"/>
  <c r="AA5" i="3"/>
  <c r="AA4" i="3"/>
  <c r="Y6" i="3"/>
  <c r="AA8" i="3"/>
  <c r="AA9" i="3"/>
  <c r="Y7" i="3"/>
  <c r="AA6" i="3"/>
  <c r="Y5" i="3"/>
  <c r="Y4" i="3"/>
  <c r="X10" i="3"/>
  <c r="AA7" i="3"/>
  <c r="Y8" i="3"/>
  <c r="Y9" i="3"/>
  <c r="AC5" i="2"/>
  <c r="AC9" i="2"/>
  <c r="AA5" i="2"/>
  <c r="AA9" i="2"/>
  <c r="AC6" i="2"/>
  <c r="AC10" i="2"/>
  <c r="AA6" i="2"/>
  <c r="AA10" i="2"/>
  <c r="AC7" i="2"/>
  <c r="AC11" i="2"/>
  <c r="AA7" i="2"/>
  <c r="AA11" i="2"/>
  <c r="AC8" i="2"/>
  <c r="AC4" i="2"/>
  <c r="AA8" i="2"/>
  <c r="AA4" i="2"/>
  <c r="Z12" i="2"/>
  <c r="AA12" i="2"/>
  <c r="AB4" i="2"/>
  <c r="X4" i="4" l="1"/>
  <c r="Y4" i="4"/>
  <c r="Z4" i="4"/>
  <c r="Z7" i="4"/>
  <c r="Z5" i="4"/>
  <c r="Y6" i="4"/>
  <c r="Z6" i="4"/>
  <c r="Y5" i="4"/>
  <c r="X6" i="4"/>
  <c r="X5" i="4"/>
  <c r="X7" i="4"/>
  <c r="Y7" i="4"/>
</calcChain>
</file>

<file path=xl/sharedStrings.xml><?xml version="1.0" encoding="utf-8"?>
<sst xmlns="http://schemas.openxmlformats.org/spreadsheetml/2006/main" count="707" uniqueCount="84">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</sst>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11" fillId="0" borderId="0" xfId="0" applyFont="1"/>
    <xf numFmtId="0" fontId="5" fillId="0" borderId="0" xfId="0" applyFont="1" applyAlignment="1" applyProtection="1"/>
    <xf numFmtId="0" fontId="5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3">
    <cellStyle name="Komma" xfId="2" builtinId="3"/>
    <cellStyle name="Standaard" xfId="0" builtinId="0"/>
    <cellStyle name="Standaard_Kopie van Uitslagen" xfId="1"/>
  </cellStyles>
  <dxfs count="34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797343"/>
        </patternFill>
      </fill>
    </dxf>
    <dxf>
      <fill>
        <patternFill>
          <bgColor theme="0" tint="-0.24994659260841701"/>
        </patternFill>
      </fill>
    </dxf>
    <dxf>
      <fill>
        <patternFill>
          <bgColor rgb="FFCEBD42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E196"/>
  <sheetViews>
    <sheetView tabSelected="1" view="pageBreakPreview" zoomScale="60" zoomScaleNormal="100" workbookViewId="0">
      <selection activeCell="X21" sqref="X21"/>
    </sheetView>
  </sheetViews>
  <sheetFormatPr defaultRowHeight="15" x14ac:dyDescent="0.25"/>
  <cols>
    <col min="1" max="2" width="3.42578125" customWidth="1"/>
    <col min="3" max="3" width="21.7109375" customWidth="1"/>
    <col min="8" max="21" width="3.7109375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C1" s="83" t="s">
        <v>31</v>
      </c>
      <c r="D1" s="83"/>
      <c r="E1" s="83"/>
      <c r="F1" s="83"/>
      <c r="G1" s="73" t="s">
        <v>32</v>
      </c>
      <c r="H1" s="73"/>
      <c r="I1" s="73"/>
      <c r="J1" s="73"/>
      <c r="K1" s="73"/>
      <c r="L1" s="73"/>
      <c r="M1" s="73"/>
      <c r="N1" s="73"/>
      <c r="O1" s="73"/>
      <c r="P1" s="73"/>
      <c r="Q1" s="73"/>
      <c r="R1" s="68"/>
      <c r="S1" s="68"/>
      <c r="T1" s="68"/>
      <c r="U1" s="82"/>
      <c r="V1" s="82"/>
      <c r="W1" s="82"/>
      <c r="X1" s="82"/>
      <c r="Y1" s="82"/>
      <c r="AB1" s="85" t="str">
        <f>"UITSLAG " &amp; G1</f>
        <v>UITSLAG GROEP A</v>
      </c>
      <c r="AC1" s="86"/>
      <c r="AD1" s="86"/>
      <c r="AE1" s="86"/>
      <c r="AF1" s="86"/>
      <c r="AG1" s="86"/>
    </row>
    <row r="2" spans="1:83" x14ac:dyDescent="0.25"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86" t="s">
        <v>22</v>
      </c>
      <c r="BE2" s="86"/>
      <c r="BF2" s="86"/>
      <c r="BG2" s="86"/>
      <c r="BH2" s="86"/>
      <c r="BI2" s="86"/>
      <c r="BJ2" s="86"/>
      <c r="BK2" s="86"/>
      <c r="BL2" s="86"/>
      <c r="BM2" s="74"/>
      <c r="BN2" s="74"/>
      <c r="BO2" s="74"/>
      <c r="BP2" s="74"/>
      <c r="BQ2" s="74"/>
      <c r="BR2" s="69"/>
      <c r="BS2" s="18"/>
      <c r="BT2" s="86" t="s">
        <v>23</v>
      </c>
      <c r="BU2" s="86"/>
      <c r="BV2" s="86"/>
      <c r="BW2" s="86"/>
      <c r="BX2" s="86"/>
      <c r="BY2" s="86"/>
      <c r="BZ2" s="86"/>
      <c r="CA2" s="86"/>
      <c r="CB2" s="86"/>
    </row>
    <row r="3" spans="1:83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G3" s="6"/>
      <c r="H3" s="77">
        <v>1</v>
      </c>
      <c r="I3" s="77">
        <v>2</v>
      </c>
      <c r="J3" s="77">
        <v>3</v>
      </c>
      <c r="K3" s="77">
        <v>4</v>
      </c>
      <c r="L3" s="77">
        <v>5</v>
      </c>
      <c r="M3" s="77">
        <v>6</v>
      </c>
      <c r="N3" s="77">
        <v>7</v>
      </c>
      <c r="O3" s="77">
        <v>8</v>
      </c>
      <c r="P3" s="77">
        <v>9</v>
      </c>
      <c r="Q3" s="77">
        <v>10</v>
      </c>
      <c r="R3" s="77">
        <v>11</v>
      </c>
      <c r="S3" s="77">
        <v>12</v>
      </c>
      <c r="T3" s="77">
        <v>13</v>
      </c>
      <c r="U3" s="77">
        <v>14</v>
      </c>
      <c r="V3" s="7" t="s">
        <v>17</v>
      </c>
      <c r="W3" s="7" t="s">
        <v>26</v>
      </c>
      <c r="X3" s="7" t="s">
        <v>69</v>
      </c>
      <c r="Z3" s="7" t="s">
        <v>33</v>
      </c>
      <c r="AA3" s="22" t="s">
        <v>30</v>
      </c>
      <c r="AB3" s="7" t="s">
        <v>6</v>
      </c>
      <c r="AC3" s="7" t="s">
        <v>29</v>
      </c>
      <c r="AD3" s="7" t="s">
        <v>24</v>
      </c>
      <c r="AE3" s="7" t="s">
        <v>26</v>
      </c>
      <c r="AF3" s="7" t="s">
        <v>34</v>
      </c>
      <c r="AG3" s="7" t="s">
        <v>35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81">
        <f>X4</f>
        <v>1</v>
      </c>
      <c r="B4" s="25">
        <v>1</v>
      </c>
      <c r="C4" s="25" t="s">
        <v>40</v>
      </c>
      <c r="D4" s="88"/>
      <c r="E4" s="89"/>
      <c r="F4" s="25">
        <v>1000</v>
      </c>
      <c r="G4" s="6"/>
      <c r="H4" s="78" t="str">
        <f>IF((SUMIF($BC$21:$BC$102,$B4*100+H$3,$BA$22:$BA$103)+SUMIF($BC$21:$BC$102,$B4+H$3*100,$BA$22:$BA$103))=1,(SUMIF($BC$21:$BC$102,$B4*100+H$3,$J$19:$J$99)+SUMIF($BD$21:$BD$102,$B4*100+H$3,$M$19:$M$99)),"")</f>
        <v/>
      </c>
      <c r="I4" s="79" t="str">
        <f>IF((SUMIF($BC$18:$BC$135,$B4*100+I$3,$BA$18:$BA$135)+SUMIF($BC$18:$BC$135,$B4+I$3*100,$BA$18:$BA$135))=1,(SUMIF($BC$18:$BC$135,$B4*100+I$3,$J$18:$J$135)+SUMIF($BD$18:$BD$135,$B4*100+I$3,$M$18:$M$135)),"")</f>
        <v/>
      </c>
      <c r="J4" s="79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9" t="str">
        <f t="shared" si="0"/>
        <v/>
      </c>
      <c r="L4" s="79" t="str">
        <f t="shared" si="0"/>
        <v/>
      </c>
      <c r="M4" s="79" t="str">
        <f t="shared" si="0"/>
        <v/>
      </c>
      <c r="N4" s="79" t="str">
        <f t="shared" si="0"/>
        <v/>
      </c>
      <c r="O4" s="79" t="str">
        <f t="shared" si="0"/>
        <v/>
      </c>
      <c r="P4" s="79" t="str">
        <f t="shared" si="0"/>
        <v/>
      </c>
      <c r="Q4" s="79" t="str">
        <f t="shared" si="0"/>
        <v/>
      </c>
      <c r="R4" s="79" t="str">
        <f t="shared" si="0"/>
        <v/>
      </c>
      <c r="S4" s="79" t="str">
        <f t="shared" si="0"/>
        <v/>
      </c>
      <c r="T4" s="79" t="str">
        <f t="shared" si="0"/>
        <v/>
      </c>
      <c r="U4" s="79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Z4" s="31">
        <v>1</v>
      </c>
      <c r="AA4" s="32">
        <v>14</v>
      </c>
      <c r="AB4" s="33" t="str">
        <f>IF(ISNA(VLOOKUP(Z4,$A$4:$W$17,3,FALSE)),C4,VLOOKUP(Z4,$A$4:$W$17,3,FALSE))</f>
        <v>A</v>
      </c>
      <c r="AC4" s="34">
        <f>IF(ISNA(VLOOKUP(B4,$A$4:$W$17,22,FALSE)),0,VLOOKUP(B4,$A$4:$W$17,22,FALSE))</f>
        <v>0</v>
      </c>
      <c r="AD4" s="34" t="e">
        <f t="shared" ref="AD4:AD16" si="1">VLOOKUP($W4,$AT$4:$AW$13,2,FALSE)</f>
        <v>#N/A</v>
      </c>
      <c r="AE4" s="55">
        <f>IF(ISNA(VLOOKUP(B4,$A$4:$WS$17,23,FALSE)),0,VLOOKUP(B4,$A$4:$WS$17,23,FALSE))</f>
        <v>0</v>
      </c>
      <c r="AF4" s="34" t="e">
        <f t="shared" ref="AF4:AF16" si="2">VLOOKUP($W4,$AT$4:$AW$13,4,FALSE)</f>
        <v>#N/A</v>
      </c>
      <c r="AG4" s="35" t="e">
        <f t="shared" ref="AG4:AG16" si="3">VLOOKUP($W4,$B$4:$R$13,5,FALSE)</f>
        <v>#N/A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4">SUMIF($AU$15:$AU$77,F4,$BA$19:$BA$81)+SUMIF($AV$15:$AV$77,F4,$BB$15:$BB$77)</f>
        <v>0</v>
      </c>
      <c r="AZ4" s="39">
        <f t="shared" ref="AZ4:AZ17" ca="1" si="5">SUMIF($AU$15:$AU$77,F4,$BC$19:$BC$80)+SUMIF($AV$15:$AV$77,F4,$BD$19:$BD$80)</f>
        <v>0</v>
      </c>
      <c r="BA4" s="39">
        <f t="shared" ref="BA4:BA17" si="6">SUM(BS4:CA4)</f>
        <v>0</v>
      </c>
      <c r="BB4" s="6"/>
      <c r="BC4" s="6">
        <v>1</v>
      </c>
      <c r="BD4" s="6">
        <f t="shared" ref="BD4:BP17" si="7" xml:space="preserve"> SUMIFS( $J$18:$J$77, $AU$18:$AU$77,$AY4, $AT$18:$AT$77,BD$3) + SUMIFS( $M$18:$M$77, $AV$18:$AV$77,$AY4, $AT$18:$AT$77,BD$3)</f>
        <v>0</v>
      </c>
      <c r="BE4" s="6">
        <f t="shared" si="7"/>
        <v>0</v>
      </c>
      <c r="BF4" s="6">
        <f t="shared" si="7"/>
        <v>0</v>
      </c>
      <c r="BG4" s="6">
        <f t="shared" si="7"/>
        <v>0</v>
      </c>
      <c r="BH4" s="6">
        <f t="shared" si="7"/>
        <v>0</v>
      </c>
      <c r="BI4" s="6">
        <f t="shared" si="7"/>
        <v>0</v>
      </c>
      <c r="BJ4" s="6">
        <f t="shared" si="7"/>
        <v>0</v>
      </c>
      <c r="BK4" s="6">
        <f t="shared" si="7"/>
        <v>0</v>
      </c>
      <c r="BL4" s="6">
        <f t="shared" si="7"/>
        <v>0</v>
      </c>
      <c r="BM4" s="6">
        <f t="shared" si="7"/>
        <v>0</v>
      </c>
      <c r="BN4" s="6">
        <f t="shared" si="7"/>
        <v>0</v>
      </c>
      <c r="BO4" s="6">
        <f t="shared" si="7"/>
        <v>0</v>
      </c>
      <c r="BP4" s="6">
        <f t="shared" si="7"/>
        <v>0</v>
      </c>
      <c r="BQ4" s="6"/>
      <c r="BR4" s="6">
        <v>1</v>
      </c>
      <c r="BS4" s="6">
        <f t="shared" ref="BS4:BS17" si="8">BD4</f>
        <v>0</v>
      </c>
      <c r="BT4" s="6">
        <f t="shared" ref="BT4:BT17" si="9">BS4+BE4</f>
        <v>0</v>
      </c>
      <c r="BU4" s="6">
        <f t="shared" ref="BU4:BU17" si="10">BT4+BF4</f>
        <v>0</v>
      </c>
      <c r="BV4" s="6">
        <f t="shared" ref="BV4:BV17" si="11">BU4+BG4</f>
        <v>0</v>
      </c>
      <c r="BW4" s="6">
        <f t="shared" ref="BW4:BW17" si="12">BV4+BH4</f>
        <v>0</v>
      </c>
      <c r="BX4" s="6">
        <f t="shared" ref="BX4:BX17" si="13">BW4+BI4</f>
        <v>0</v>
      </c>
      <c r="BY4" s="6">
        <f t="shared" ref="BY4:BY17" si="14">BX4+BJ4</f>
        <v>0</v>
      </c>
      <c r="BZ4" s="6">
        <f t="shared" ref="BZ4:BZ17" si="15">BY4+BK4</f>
        <v>0</v>
      </c>
      <c r="CA4" s="6">
        <f t="shared" ref="CA4:CA17" si="16">BZ4+BL4</f>
        <v>0</v>
      </c>
      <c r="CB4" s="6">
        <f t="shared" ref="CB4:CB17" si="17">CA4+BM4</f>
        <v>0</v>
      </c>
      <c r="CC4" s="6">
        <f t="shared" ref="CC4:CC17" si="18">CB4+BN4</f>
        <v>0</v>
      </c>
      <c r="CD4" s="6">
        <f t="shared" ref="CD4:CD17" si="19">CC4+BO4</f>
        <v>0</v>
      </c>
      <c r="CE4" s="6">
        <f t="shared" ref="CE4:CE17" si="20">CD4+BP4</f>
        <v>0</v>
      </c>
    </row>
    <row r="5" spans="1:83" x14ac:dyDescent="0.25">
      <c r="A5" s="81">
        <f t="shared" ref="A5:A17" si="21">X5</f>
        <v>1</v>
      </c>
      <c r="B5" s="25">
        <v>2</v>
      </c>
      <c r="C5" s="25" t="s">
        <v>41</v>
      </c>
      <c r="D5" s="88"/>
      <c r="E5" s="89"/>
      <c r="F5" s="25">
        <v>1000</v>
      </c>
      <c r="G5" s="6"/>
      <c r="H5" s="79" t="str">
        <f>IF((SUMIF($BC$18:$BC$135,$B5*100+H$3,$BA$18:$BA$135)+SUMIF($BC$18:$BC$135,$B5+H$3*100,$BA$18:$BA$135))=1,(SUMIF($BC$18:$BC$135,$B5*100+H$3,$J$18:$J$135)+SUMIF($BD$18:$BD$135,$B5*100+H$3,$M$18:$M$135)),"")</f>
        <v/>
      </c>
      <c r="I5" s="78" t="str">
        <f>IF((SUMIF($BC$21:$BC$102,$B5*100+I$3,$BA$22:$BA$103)+SUMIF($BC$21:$BC$102,$B5+I$3*100,$BA$22:$BA$103))=1,(SUMIF($BC$21:$BC$102,$B5*100+I$3,$J$19:$J$99)+SUMIF($BD$21:$BD$102,$B5*100+I$3,$M$19:$M$99)),"")</f>
        <v/>
      </c>
      <c r="J5" s="76" t="str">
        <f t="shared" si="0"/>
        <v/>
      </c>
      <c r="K5" s="76" t="str">
        <f t="shared" si="0"/>
        <v/>
      </c>
      <c r="L5" s="76" t="str">
        <f t="shared" si="0"/>
        <v/>
      </c>
      <c r="M5" s="76" t="str">
        <f t="shared" si="0"/>
        <v/>
      </c>
      <c r="N5" s="76" t="str">
        <f t="shared" si="0"/>
        <v/>
      </c>
      <c r="O5" s="76" t="str">
        <f t="shared" si="0"/>
        <v/>
      </c>
      <c r="P5" s="76" t="str">
        <f t="shared" si="0"/>
        <v/>
      </c>
      <c r="Q5" s="76" t="str">
        <f t="shared" si="0"/>
        <v/>
      </c>
      <c r="R5" s="76" t="str">
        <f t="shared" si="0"/>
        <v/>
      </c>
      <c r="S5" s="76" t="str">
        <f t="shared" si="0"/>
        <v/>
      </c>
      <c r="T5" s="76" t="str">
        <f t="shared" si="0"/>
        <v/>
      </c>
      <c r="U5" s="76" t="str">
        <f t="shared" si="0"/>
        <v/>
      </c>
      <c r="V5" s="8">
        <f t="shared" ref="V5:V17" si="22">SUM(H5:U5)</f>
        <v>0</v>
      </c>
      <c r="W5" s="8">
        <f t="shared" ref="W5:W17" si="23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4">AS5</f>
        <v>1</v>
      </c>
      <c r="Z5" s="31">
        <v>2</v>
      </c>
      <c r="AA5" s="32">
        <v>13</v>
      </c>
      <c r="AB5" s="33" t="str">
        <f t="shared" ref="AB5:AB17" si="25">IF(ISNA(VLOOKUP(Z5,$A$4:$W$17,3,FALSE)),C5,VLOOKUP(Z5,$A$4:$W$17,3,FALSE))</f>
        <v>B</v>
      </c>
      <c r="AC5" s="34">
        <f t="shared" ref="AC5:AC17" si="26">IF(ISNA(VLOOKUP(B5,$A$4:$W$17,22,FALSE)),0,VLOOKUP(B5,$A$4:$W$17,22,FALSE))</f>
        <v>0</v>
      </c>
      <c r="AD5" s="34" t="e">
        <f t="shared" si="1"/>
        <v>#N/A</v>
      </c>
      <c r="AE5" s="55">
        <f t="shared" ref="AE5:AE17" si="27">IF(ISNA(VLOOKUP(B5,$A$4:$WS$17,23,FALSE)),0,VLOOKUP(B5,$A$4:$WS$17,23,FALSE))</f>
        <v>0</v>
      </c>
      <c r="AF5" s="34" t="e">
        <f t="shared" si="2"/>
        <v>#N/A</v>
      </c>
      <c r="AG5" s="35" t="e">
        <f t="shared" si="3"/>
        <v>#N/A</v>
      </c>
      <c r="AH5" s="56"/>
      <c r="AI5" s="12">
        <f t="shared" ref="AI5:AI17" si="28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9">$AI$18*V5+AI5</f>
        <v>0</v>
      </c>
      <c r="AK5" s="12">
        <f t="shared" ref="AK5:AK17" si="30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31">$AK$18*AJ5+AK5</f>
        <v>0</v>
      </c>
      <c r="AM5" s="12">
        <f t="shared" ref="AM5:AM17" si="32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33">$AM$18*AL5+AM5</f>
        <v>0</v>
      </c>
      <c r="AO5" s="12"/>
      <c r="AP5" s="12">
        <f t="shared" ref="AP5:AP17" si="34">RANK(AN5,$AN$4:$AN$17,1)-1</f>
        <v>0</v>
      </c>
      <c r="AQ5" s="12">
        <f t="shared" ref="AQ5:AQ17" si="35">RANK(W5,$W$4:$W$17,1)-1</f>
        <v>0</v>
      </c>
      <c r="AR5" s="12">
        <f t="shared" ref="AR5:AR17" si="36">14*AP5+AQ5</f>
        <v>0</v>
      </c>
      <c r="AS5" s="12">
        <f t="shared" ref="AS5:AS17" si="37">RANK(AR5,$AR$4:$AR$17)</f>
        <v>1</v>
      </c>
      <c r="AT5" s="56"/>
      <c r="AU5" s="56"/>
      <c r="AV5" s="56"/>
      <c r="AW5" s="30"/>
      <c r="AX5" s="37">
        <v>2</v>
      </c>
      <c r="AY5" s="38">
        <f t="shared" si="4"/>
        <v>0</v>
      </c>
      <c r="AZ5" s="39">
        <f t="shared" ca="1" si="5"/>
        <v>0</v>
      </c>
      <c r="BA5" s="39">
        <f t="shared" si="6"/>
        <v>0</v>
      </c>
      <c r="BB5" s="6"/>
      <c r="BC5" s="6">
        <v>2</v>
      </c>
      <c r="BD5" s="6">
        <f t="shared" si="7"/>
        <v>0</v>
      </c>
      <c r="BE5" s="6">
        <f t="shared" si="7"/>
        <v>0</v>
      </c>
      <c r="BF5" s="6">
        <f t="shared" si="7"/>
        <v>0</v>
      </c>
      <c r="BG5" s="6">
        <f t="shared" si="7"/>
        <v>0</v>
      </c>
      <c r="BH5" s="6">
        <f t="shared" si="7"/>
        <v>0</v>
      </c>
      <c r="BI5" s="6">
        <f t="shared" si="7"/>
        <v>0</v>
      </c>
      <c r="BJ5" s="6">
        <f t="shared" si="7"/>
        <v>0</v>
      </c>
      <c r="BK5" s="6">
        <f t="shared" si="7"/>
        <v>0</v>
      </c>
      <c r="BL5" s="6">
        <f t="shared" si="7"/>
        <v>0</v>
      </c>
      <c r="BM5" s="6">
        <f t="shared" si="7"/>
        <v>0</v>
      </c>
      <c r="BN5" s="6">
        <f t="shared" si="7"/>
        <v>0</v>
      </c>
      <c r="BO5" s="6">
        <f t="shared" si="7"/>
        <v>0</v>
      </c>
      <c r="BP5" s="6">
        <f t="shared" si="7"/>
        <v>0</v>
      </c>
      <c r="BQ5" s="6"/>
      <c r="BR5" s="6">
        <v>2</v>
      </c>
      <c r="BS5" s="6">
        <f t="shared" si="8"/>
        <v>0</v>
      </c>
      <c r="BT5" s="6">
        <f t="shared" si="9"/>
        <v>0</v>
      </c>
      <c r="BU5" s="6">
        <f t="shared" si="10"/>
        <v>0</v>
      </c>
      <c r="BV5" s="6">
        <f t="shared" si="11"/>
        <v>0</v>
      </c>
      <c r="BW5" s="6">
        <f t="shared" si="12"/>
        <v>0</v>
      </c>
      <c r="BX5" s="6">
        <f t="shared" si="13"/>
        <v>0</v>
      </c>
      <c r="BY5" s="6">
        <f t="shared" si="14"/>
        <v>0</v>
      </c>
      <c r="BZ5" s="6">
        <f t="shared" si="15"/>
        <v>0</v>
      </c>
      <c r="CA5" s="6">
        <f t="shared" si="16"/>
        <v>0</v>
      </c>
      <c r="CB5" s="6">
        <f t="shared" si="17"/>
        <v>0</v>
      </c>
      <c r="CC5" s="6">
        <f t="shared" si="18"/>
        <v>0</v>
      </c>
      <c r="CD5" s="6">
        <f t="shared" si="19"/>
        <v>0</v>
      </c>
      <c r="CE5" s="6">
        <f t="shared" si="20"/>
        <v>0</v>
      </c>
    </row>
    <row r="6" spans="1:83" x14ac:dyDescent="0.25">
      <c r="A6" s="81">
        <f t="shared" si="21"/>
        <v>1</v>
      </c>
      <c r="B6" s="25">
        <v>3</v>
      </c>
      <c r="C6" s="25" t="s">
        <v>42</v>
      </c>
      <c r="D6" s="88"/>
      <c r="E6" s="89"/>
      <c r="F6" s="25">
        <v>1000</v>
      </c>
      <c r="G6" s="6"/>
      <c r="H6" s="79" t="str">
        <f t="shared" ref="H6:T17" si="38">IF((SUMIF($BC$18:$BC$135,$B6*100+H$3,$BA$18:$BA$135)+SUMIF($BC$18:$BC$135,$B6+H$3*100,$BA$18:$BA$135))=1,(SUMIF($BC$18:$BC$135,$B6*100+H$3,$J$18:$J$135)+SUMIF($BD$18:$BD$135,$B6*100+H$3,$M$18:$M$135)),"")</f>
        <v/>
      </c>
      <c r="I6" s="79" t="str">
        <f>IF((SUMIF($BC$18:$BC$135,$B6*100+I$3,$BA$18:$BA$135)+SUMIF($BC$18:$BC$135,$B6+I$3*100,$BA$18:$BA$135))=1,(SUMIF($BC$18:$BC$135,$B6*100+I$3,$J$18:$J$135)+SUMIF($BD$18:$BD$135,$B6*100+I$3,$M$18:$M$135)),"")</f>
        <v/>
      </c>
      <c r="J6" s="78" t="str">
        <f>IF((SUMIF($BC$21:$BC$102,$B6*100+J$3,$BA$22:$BA$103)+SUMIF($BC$21:$BC$102,$B6+J$3*100,$BA$22:$BA$103))=1,(SUMIF($BC$21:$BC$102,$B6*100+J$3,$J$19:$J$99)+SUMIF($BD$21:$BD$102,$B6*100+J$3,$M$19:$M$99)),"")</f>
        <v/>
      </c>
      <c r="K6" s="76" t="str">
        <f t="shared" si="0"/>
        <v/>
      </c>
      <c r="L6" s="76" t="str">
        <f t="shared" si="0"/>
        <v/>
      </c>
      <c r="M6" s="76" t="str">
        <f t="shared" si="0"/>
        <v/>
      </c>
      <c r="N6" s="76" t="str">
        <f t="shared" si="0"/>
        <v/>
      </c>
      <c r="O6" s="76" t="str">
        <f t="shared" si="0"/>
        <v/>
      </c>
      <c r="P6" s="76" t="str">
        <f t="shared" si="0"/>
        <v/>
      </c>
      <c r="Q6" s="76" t="str">
        <f t="shared" si="0"/>
        <v/>
      </c>
      <c r="R6" s="76" t="str">
        <f t="shared" si="0"/>
        <v/>
      </c>
      <c r="S6" s="76" t="str">
        <f t="shared" si="0"/>
        <v/>
      </c>
      <c r="T6" s="76" t="str">
        <f t="shared" si="0"/>
        <v/>
      </c>
      <c r="U6" s="76" t="str">
        <f t="shared" si="0"/>
        <v/>
      </c>
      <c r="V6" s="8">
        <f t="shared" si="22"/>
        <v>0</v>
      </c>
      <c r="W6" s="8">
        <f t="shared" si="23"/>
        <v>0</v>
      </c>
      <c r="X6" s="8">
        <f t="shared" si="24"/>
        <v>1</v>
      </c>
      <c r="Z6" s="31">
        <v>3</v>
      </c>
      <c r="AA6" s="32">
        <v>12</v>
      </c>
      <c r="AB6" s="33" t="str">
        <f t="shared" si="25"/>
        <v>C</v>
      </c>
      <c r="AC6" s="34">
        <f t="shared" si="26"/>
        <v>0</v>
      </c>
      <c r="AD6" s="34" t="e">
        <f t="shared" si="1"/>
        <v>#N/A</v>
      </c>
      <c r="AE6" s="55">
        <f t="shared" si="27"/>
        <v>0</v>
      </c>
      <c r="AF6" s="34" t="e">
        <f t="shared" si="2"/>
        <v>#N/A</v>
      </c>
      <c r="AG6" s="35" t="e">
        <f t="shared" si="3"/>
        <v>#N/A</v>
      </c>
      <c r="AH6" s="56"/>
      <c r="AI6" s="12">
        <f t="shared" si="28"/>
        <v>0</v>
      </c>
      <c r="AJ6" s="12">
        <f t="shared" si="29"/>
        <v>0</v>
      </c>
      <c r="AK6" s="12">
        <f t="shared" si="30"/>
        <v>0</v>
      </c>
      <c r="AL6" s="12">
        <f t="shared" si="31"/>
        <v>0</v>
      </c>
      <c r="AM6" s="12">
        <f t="shared" si="32"/>
        <v>0</v>
      </c>
      <c r="AN6" s="12">
        <f t="shared" si="33"/>
        <v>0</v>
      </c>
      <c r="AO6" s="12"/>
      <c r="AP6" s="12">
        <f t="shared" si="34"/>
        <v>0</v>
      </c>
      <c r="AQ6" s="12">
        <f t="shared" si="35"/>
        <v>0</v>
      </c>
      <c r="AR6" s="12">
        <f t="shared" si="36"/>
        <v>0</v>
      </c>
      <c r="AS6" s="12">
        <f t="shared" si="37"/>
        <v>1</v>
      </c>
      <c r="AT6" s="56"/>
      <c r="AU6" s="56"/>
      <c r="AV6" s="56"/>
      <c r="AW6" s="30"/>
      <c r="AX6" s="37">
        <v>3</v>
      </c>
      <c r="AY6" s="38">
        <f t="shared" si="4"/>
        <v>0</v>
      </c>
      <c r="AZ6" s="39">
        <f t="shared" ca="1" si="5"/>
        <v>0</v>
      </c>
      <c r="BA6" s="39">
        <f t="shared" si="6"/>
        <v>0</v>
      </c>
      <c r="BB6" s="6"/>
      <c r="BC6" s="6">
        <v>3</v>
      </c>
      <c r="BD6" s="6">
        <f t="shared" si="7"/>
        <v>0</v>
      </c>
      <c r="BE6" s="6">
        <f t="shared" si="7"/>
        <v>0</v>
      </c>
      <c r="BF6" s="6">
        <f t="shared" si="7"/>
        <v>0</v>
      </c>
      <c r="BG6" s="6">
        <f t="shared" si="7"/>
        <v>0</v>
      </c>
      <c r="BH6" s="6">
        <f t="shared" si="7"/>
        <v>0</v>
      </c>
      <c r="BI6" s="6">
        <f t="shared" si="7"/>
        <v>0</v>
      </c>
      <c r="BJ6" s="6">
        <f t="shared" si="7"/>
        <v>0</v>
      </c>
      <c r="BK6" s="6">
        <f t="shared" si="7"/>
        <v>0</v>
      </c>
      <c r="BL6" s="6">
        <f t="shared" si="7"/>
        <v>0</v>
      </c>
      <c r="BM6" s="6">
        <f t="shared" si="7"/>
        <v>0</v>
      </c>
      <c r="BN6" s="6">
        <f t="shared" si="7"/>
        <v>0</v>
      </c>
      <c r="BO6" s="6">
        <f t="shared" si="7"/>
        <v>0</v>
      </c>
      <c r="BP6" s="6">
        <f t="shared" si="7"/>
        <v>0</v>
      </c>
      <c r="BQ6" s="6"/>
      <c r="BR6" s="6">
        <v>3</v>
      </c>
      <c r="BS6" s="6">
        <f t="shared" si="8"/>
        <v>0</v>
      </c>
      <c r="BT6" s="6">
        <f t="shared" si="9"/>
        <v>0</v>
      </c>
      <c r="BU6" s="6">
        <f t="shared" si="10"/>
        <v>0</v>
      </c>
      <c r="BV6" s="6">
        <f t="shared" si="11"/>
        <v>0</v>
      </c>
      <c r="BW6" s="6">
        <f t="shared" si="12"/>
        <v>0</v>
      </c>
      <c r="BX6" s="6">
        <f t="shared" si="13"/>
        <v>0</v>
      </c>
      <c r="BY6" s="6">
        <f t="shared" si="14"/>
        <v>0</v>
      </c>
      <c r="BZ6" s="6">
        <f t="shared" si="15"/>
        <v>0</v>
      </c>
      <c r="CA6" s="6">
        <f t="shared" si="16"/>
        <v>0</v>
      </c>
      <c r="CB6" s="6">
        <f t="shared" si="17"/>
        <v>0</v>
      </c>
      <c r="CC6" s="6">
        <f t="shared" si="18"/>
        <v>0</v>
      </c>
      <c r="CD6" s="6">
        <f t="shared" si="19"/>
        <v>0</v>
      </c>
      <c r="CE6" s="6">
        <f t="shared" si="20"/>
        <v>0</v>
      </c>
    </row>
    <row r="7" spans="1:83" x14ac:dyDescent="0.25">
      <c r="A7" s="81">
        <f t="shared" si="21"/>
        <v>1</v>
      </c>
      <c r="B7" s="25">
        <v>4</v>
      </c>
      <c r="C7" s="25" t="s">
        <v>43</v>
      </c>
      <c r="D7" s="88"/>
      <c r="E7" s="89"/>
      <c r="F7" s="25">
        <v>1000</v>
      </c>
      <c r="G7" s="6"/>
      <c r="H7" s="79" t="str">
        <f t="shared" si="38"/>
        <v/>
      </c>
      <c r="I7" s="79" t="str">
        <f t="shared" si="38"/>
        <v/>
      </c>
      <c r="J7" s="79" t="str">
        <f t="shared" si="38"/>
        <v/>
      </c>
      <c r="K7" s="78" t="str">
        <f>IF((SUMIF($BC$21:$BC$102,$B7*100+K$3,$BA$22:$BA$103)+SUMIF($BC$21:$BC$102,$B7+K$3*100,$BA$22:$BA$103))=1,(SUMIF($BC$21:$BC$102,$B7*100+K$3,$J$19:$J$99)+SUMIF($BD$21:$BD$102,$B7*100+K$3,$M$19:$M$99)),"")</f>
        <v/>
      </c>
      <c r="L7" s="76" t="str">
        <f t="shared" si="0"/>
        <v/>
      </c>
      <c r="M7" s="76" t="str">
        <f t="shared" si="0"/>
        <v/>
      </c>
      <c r="N7" s="76" t="str">
        <f t="shared" si="0"/>
        <v/>
      </c>
      <c r="O7" s="76" t="str">
        <f t="shared" si="0"/>
        <v/>
      </c>
      <c r="P7" s="76" t="str">
        <f t="shared" si="0"/>
        <v/>
      </c>
      <c r="Q7" s="76" t="str">
        <f>IF((SUMIF($BC$18:$BC$135,$B7*100+Q$3,$BA$18:$BA$135)+SUMIF($BC$18:$BC$135,$B7+Q$3*100,$BA$18:$BA$135))=1,(SUMIF($BC$18:$BC$135,$B7*100+Q$3,$J$18:$J$135)+SUMIF($BD$18:$BD$135,$B7*100+Q$3,$M$18:$M$135)),"")</f>
        <v/>
      </c>
      <c r="R7" s="76" t="str">
        <f t="shared" si="0"/>
        <v/>
      </c>
      <c r="S7" s="76" t="str">
        <f t="shared" si="0"/>
        <v/>
      </c>
      <c r="T7" s="76" t="str">
        <f t="shared" si="0"/>
        <v/>
      </c>
      <c r="U7" s="76" t="str">
        <f t="shared" si="0"/>
        <v/>
      </c>
      <c r="V7" s="8">
        <f t="shared" si="22"/>
        <v>0</v>
      </c>
      <c r="W7" s="8">
        <f t="shared" si="23"/>
        <v>0</v>
      </c>
      <c r="X7" s="8">
        <f t="shared" si="24"/>
        <v>1</v>
      </c>
      <c r="Z7" s="31">
        <v>4</v>
      </c>
      <c r="AA7" s="32">
        <v>11</v>
      </c>
      <c r="AB7" s="33" t="str">
        <f t="shared" si="25"/>
        <v>D</v>
      </c>
      <c r="AC7" s="34">
        <f t="shared" si="26"/>
        <v>0</v>
      </c>
      <c r="AD7" s="34" t="e">
        <f t="shared" si="1"/>
        <v>#N/A</v>
      </c>
      <c r="AE7" s="55">
        <f t="shared" si="27"/>
        <v>0</v>
      </c>
      <c r="AF7" s="34" t="e">
        <f t="shared" si="2"/>
        <v>#N/A</v>
      </c>
      <c r="AG7" s="35" t="e">
        <f t="shared" si="3"/>
        <v>#N/A</v>
      </c>
      <c r="AH7" s="56"/>
      <c r="AI7" s="12">
        <f t="shared" si="28"/>
        <v>0</v>
      </c>
      <c r="AJ7" s="12">
        <f t="shared" si="29"/>
        <v>0</v>
      </c>
      <c r="AK7" s="12">
        <f t="shared" si="30"/>
        <v>0</v>
      </c>
      <c r="AL7" s="12">
        <f t="shared" si="31"/>
        <v>0</v>
      </c>
      <c r="AM7" s="12">
        <f t="shared" si="32"/>
        <v>0</v>
      </c>
      <c r="AN7" s="12">
        <f t="shared" si="33"/>
        <v>0</v>
      </c>
      <c r="AO7" s="12"/>
      <c r="AP7" s="12">
        <f t="shared" si="34"/>
        <v>0</v>
      </c>
      <c r="AQ7" s="12">
        <f t="shared" si="35"/>
        <v>0</v>
      </c>
      <c r="AR7" s="12">
        <f t="shared" si="36"/>
        <v>0</v>
      </c>
      <c r="AS7" s="12">
        <f t="shared" si="37"/>
        <v>1</v>
      </c>
      <c r="AT7" s="56"/>
      <c r="AU7" s="56"/>
      <c r="AV7" s="56"/>
      <c r="AW7" s="30"/>
      <c r="AX7" s="37">
        <v>4</v>
      </c>
      <c r="AY7" s="38">
        <f t="shared" si="4"/>
        <v>0</v>
      </c>
      <c r="AZ7" s="39">
        <f t="shared" ca="1" si="5"/>
        <v>0</v>
      </c>
      <c r="BA7" s="39">
        <f t="shared" si="6"/>
        <v>0</v>
      </c>
      <c r="BB7" s="6"/>
      <c r="BC7" s="6">
        <v>4</v>
      </c>
      <c r="BD7" s="6">
        <f t="shared" si="7"/>
        <v>0</v>
      </c>
      <c r="BE7" s="6">
        <f t="shared" si="7"/>
        <v>0</v>
      </c>
      <c r="BF7" s="6">
        <f t="shared" si="7"/>
        <v>0</v>
      </c>
      <c r="BG7" s="6">
        <f t="shared" si="7"/>
        <v>0</v>
      </c>
      <c r="BH7" s="6">
        <f t="shared" si="7"/>
        <v>0</v>
      </c>
      <c r="BI7" s="6">
        <f t="shared" si="7"/>
        <v>0</v>
      </c>
      <c r="BJ7" s="6">
        <f t="shared" si="7"/>
        <v>0</v>
      </c>
      <c r="BK7" s="6">
        <f t="shared" si="7"/>
        <v>0</v>
      </c>
      <c r="BL7" s="6">
        <f t="shared" si="7"/>
        <v>0</v>
      </c>
      <c r="BM7" s="6">
        <f t="shared" si="7"/>
        <v>0</v>
      </c>
      <c r="BN7" s="6">
        <f t="shared" si="7"/>
        <v>0</v>
      </c>
      <c r="BO7" s="6">
        <f t="shared" si="7"/>
        <v>0</v>
      </c>
      <c r="BP7" s="6">
        <f t="shared" si="7"/>
        <v>0</v>
      </c>
      <c r="BQ7" s="6"/>
      <c r="BR7" s="6">
        <v>4</v>
      </c>
      <c r="BS7" s="6">
        <f t="shared" si="8"/>
        <v>0</v>
      </c>
      <c r="BT7" s="6">
        <f t="shared" si="9"/>
        <v>0</v>
      </c>
      <c r="BU7" s="6">
        <f t="shared" si="10"/>
        <v>0</v>
      </c>
      <c r="BV7" s="6">
        <f t="shared" si="11"/>
        <v>0</v>
      </c>
      <c r="BW7" s="6">
        <f t="shared" si="12"/>
        <v>0</v>
      </c>
      <c r="BX7" s="6">
        <f t="shared" si="13"/>
        <v>0</v>
      </c>
      <c r="BY7" s="6">
        <f t="shared" si="14"/>
        <v>0</v>
      </c>
      <c r="BZ7" s="6">
        <f t="shared" si="15"/>
        <v>0</v>
      </c>
      <c r="CA7" s="6">
        <f t="shared" si="16"/>
        <v>0</v>
      </c>
      <c r="CB7" s="6">
        <f t="shared" si="17"/>
        <v>0</v>
      </c>
      <c r="CC7" s="6">
        <f t="shared" si="18"/>
        <v>0</v>
      </c>
      <c r="CD7" s="6">
        <f t="shared" si="19"/>
        <v>0</v>
      </c>
      <c r="CE7" s="6">
        <f t="shared" si="20"/>
        <v>0</v>
      </c>
    </row>
    <row r="8" spans="1:83" x14ac:dyDescent="0.25">
      <c r="A8" s="81">
        <f t="shared" si="21"/>
        <v>1</v>
      </c>
      <c r="B8" s="25">
        <v>5</v>
      </c>
      <c r="C8" s="25" t="s">
        <v>47</v>
      </c>
      <c r="D8" s="88"/>
      <c r="E8" s="89"/>
      <c r="F8" s="25">
        <v>1000</v>
      </c>
      <c r="G8" s="6"/>
      <c r="H8" s="79" t="str">
        <f t="shared" si="38"/>
        <v/>
      </c>
      <c r="I8" s="79" t="str">
        <f t="shared" si="38"/>
        <v/>
      </c>
      <c r="J8" s="79" t="str">
        <f t="shared" si="38"/>
        <v/>
      </c>
      <c r="K8" s="79" t="str">
        <f t="shared" si="38"/>
        <v/>
      </c>
      <c r="L8" s="78" t="str">
        <f>IF((SUMIF($BC$21:$BC$102,$B8*100+L$3,$BA$22:$BA$103)+SUMIF($BC$21:$BC$102,$B8+L$3*100,$BA$22:$BA$103))=1,(SUMIF($BC$21:$BC$102,$B8*100+L$3,$J$19:$J$99)+SUMIF($BD$21:$BD$102,$B8*100+L$3,$M$19:$M$99)),"")</f>
        <v/>
      </c>
      <c r="M8" s="76" t="str">
        <f t="shared" si="0"/>
        <v/>
      </c>
      <c r="N8" s="76" t="str">
        <f t="shared" si="0"/>
        <v/>
      </c>
      <c r="O8" s="76" t="str">
        <f t="shared" si="0"/>
        <v/>
      </c>
      <c r="P8" s="76" t="str">
        <f t="shared" si="0"/>
        <v/>
      </c>
      <c r="Q8" s="76" t="str">
        <f t="shared" si="0"/>
        <v/>
      </c>
      <c r="R8" s="76" t="str">
        <f t="shared" si="0"/>
        <v/>
      </c>
      <c r="S8" s="76" t="str">
        <f t="shared" si="0"/>
        <v/>
      </c>
      <c r="T8" s="76" t="str">
        <f t="shared" si="0"/>
        <v/>
      </c>
      <c r="U8" s="76" t="str">
        <f t="shared" si="0"/>
        <v/>
      </c>
      <c r="V8" s="8">
        <f t="shared" si="22"/>
        <v>0</v>
      </c>
      <c r="W8" s="8">
        <f t="shared" si="23"/>
        <v>0</v>
      </c>
      <c r="X8" s="8">
        <f t="shared" si="24"/>
        <v>1</v>
      </c>
      <c r="Z8" s="31">
        <v>5</v>
      </c>
      <c r="AA8" s="32">
        <v>10</v>
      </c>
      <c r="AB8" s="33" t="str">
        <f t="shared" si="25"/>
        <v>E</v>
      </c>
      <c r="AC8" s="34">
        <f t="shared" si="26"/>
        <v>0</v>
      </c>
      <c r="AD8" s="34" t="e">
        <f t="shared" si="1"/>
        <v>#N/A</v>
      </c>
      <c r="AE8" s="55">
        <f t="shared" si="27"/>
        <v>0</v>
      </c>
      <c r="AF8" s="34" t="e">
        <f t="shared" si="2"/>
        <v>#N/A</v>
      </c>
      <c r="AG8" s="35" t="e">
        <f t="shared" si="3"/>
        <v>#N/A</v>
      </c>
      <c r="AH8" s="56"/>
      <c r="AI8" s="12">
        <f t="shared" si="28"/>
        <v>0</v>
      </c>
      <c r="AJ8" s="12">
        <f t="shared" si="29"/>
        <v>0</v>
      </c>
      <c r="AK8" s="12">
        <f t="shared" si="30"/>
        <v>0</v>
      </c>
      <c r="AL8" s="12">
        <f t="shared" si="31"/>
        <v>0</v>
      </c>
      <c r="AM8" s="12">
        <f t="shared" si="32"/>
        <v>0</v>
      </c>
      <c r="AN8" s="12">
        <f t="shared" si="33"/>
        <v>0</v>
      </c>
      <c r="AO8" s="12"/>
      <c r="AP8" s="12">
        <f t="shared" si="34"/>
        <v>0</v>
      </c>
      <c r="AQ8" s="12">
        <f t="shared" si="35"/>
        <v>0</v>
      </c>
      <c r="AR8" s="12">
        <f t="shared" si="36"/>
        <v>0</v>
      </c>
      <c r="AS8" s="12">
        <f t="shared" si="37"/>
        <v>1</v>
      </c>
      <c r="AT8" s="56"/>
      <c r="AU8" s="56"/>
      <c r="AV8" s="56"/>
      <c r="AW8" s="30"/>
      <c r="AX8" s="37">
        <v>5</v>
      </c>
      <c r="AY8" s="38">
        <f t="shared" si="4"/>
        <v>0</v>
      </c>
      <c r="AZ8" s="39">
        <f t="shared" ca="1" si="5"/>
        <v>0</v>
      </c>
      <c r="BA8" s="39">
        <f t="shared" si="6"/>
        <v>0</v>
      </c>
      <c r="BB8" s="6"/>
      <c r="BC8" s="6">
        <v>5</v>
      </c>
      <c r="BD8" s="6">
        <f t="shared" si="7"/>
        <v>0</v>
      </c>
      <c r="BE8" s="6">
        <f t="shared" si="7"/>
        <v>0</v>
      </c>
      <c r="BF8" s="6">
        <f t="shared" si="7"/>
        <v>0</v>
      </c>
      <c r="BG8" s="6">
        <f t="shared" si="7"/>
        <v>0</v>
      </c>
      <c r="BH8" s="6">
        <f t="shared" si="7"/>
        <v>0</v>
      </c>
      <c r="BI8" s="6">
        <f t="shared" si="7"/>
        <v>0</v>
      </c>
      <c r="BJ8" s="6">
        <f t="shared" si="7"/>
        <v>0</v>
      </c>
      <c r="BK8" s="6">
        <f t="shared" si="7"/>
        <v>0</v>
      </c>
      <c r="BL8" s="6">
        <f t="shared" si="7"/>
        <v>0</v>
      </c>
      <c r="BM8" s="6">
        <f t="shared" si="7"/>
        <v>0</v>
      </c>
      <c r="BN8" s="6">
        <f t="shared" si="7"/>
        <v>0</v>
      </c>
      <c r="BO8" s="6">
        <f t="shared" si="7"/>
        <v>0</v>
      </c>
      <c r="BP8" s="6">
        <f t="shared" si="7"/>
        <v>0</v>
      </c>
      <c r="BQ8" s="6"/>
      <c r="BR8" s="6">
        <v>5</v>
      </c>
      <c r="BS8" s="6">
        <f t="shared" si="8"/>
        <v>0</v>
      </c>
      <c r="BT8" s="6">
        <f t="shared" si="9"/>
        <v>0</v>
      </c>
      <c r="BU8" s="6">
        <f t="shared" si="10"/>
        <v>0</v>
      </c>
      <c r="BV8" s="6">
        <f t="shared" si="11"/>
        <v>0</v>
      </c>
      <c r="BW8" s="6">
        <f t="shared" si="12"/>
        <v>0</v>
      </c>
      <c r="BX8" s="6">
        <f t="shared" si="13"/>
        <v>0</v>
      </c>
      <c r="BY8" s="6">
        <f t="shared" si="14"/>
        <v>0</v>
      </c>
      <c r="BZ8" s="6">
        <f t="shared" si="15"/>
        <v>0</v>
      </c>
      <c r="CA8" s="6">
        <f t="shared" si="16"/>
        <v>0</v>
      </c>
      <c r="CB8" s="6">
        <f t="shared" si="17"/>
        <v>0</v>
      </c>
      <c r="CC8" s="6">
        <f t="shared" si="18"/>
        <v>0</v>
      </c>
      <c r="CD8" s="6">
        <f t="shared" si="19"/>
        <v>0</v>
      </c>
      <c r="CE8" s="6">
        <f t="shared" si="20"/>
        <v>0</v>
      </c>
    </row>
    <row r="9" spans="1:83" x14ac:dyDescent="0.25">
      <c r="A9" s="81">
        <f t="shared" si="21"/>
        <v>1</v>
      </c>
      <c r="B9" s="25">
        <v>6</v>
      </c>
      <c r="C9" s="25" t="s">
        <v>45</v>
      </c>
      <c r="D9" s="88"/>
      <c r="E9" s="89"/>
      <c r="F9" s="25">
        <v>1000</v>
      </c>
      <c r="G9" s="6"/>
      <c r="H9" s="79" t="str">
        <f t="shared" si="38"/>
        <v/>
      </c>
      <c r="I9" s="79" t="str">
        <f t="shared" si="38"/>
        <v/>
      </c>
      <c r="J9" s="79" t="str">
        <f t="shared" si="38"/>
        <v/>
      </c>
      <c r="K9" s="79" t="str">
        <f t="shared" si="38"/>
        <v/>
      </c>
      <c r="L9" s="79" t="str">
        <f t="shared" si="38"/>
        <v/>
      </c>
      <c r="M9" s="78" t="str">
        <f>IF((SUMIF($BC$21:$BC$102,$B9*100+M$3,$BA$22:$BA$103)+SUMIF($BC$21:$BC$102,$B9+M$3*100,$BA$22:$BA$103))=1,(SUMIF($BC$21:$BC$102,$B9*100+M$3,$J$19:$J$99)+SUMIF($BD$21:$BD$102,$B9*100+M$3,$M$19:$M$99)),"")</f>
        <v/>
      </c>
      <c r="N9" s="76" t="str">
        <f t="shared" si="0"/>
        <v/>
      </c>
      <c r="O9" s="76" t="str">
        <f t="shared" si="0"/>
        <v/>
      </c>
      <c r="P9" s="76" t="str">
        <f t="shared" si="0"/>
        <v/>
      </c>
      <c r="Q9" s="76" t="str">
        <f t="shared" si="0"/>
        <v/>
      </c>
      <c r="R9" s="76" t="str">
        <f t="shared" si="0"/>
        <v/>
      </c>
      <c r="S9" s="76" t="str">
        <f t="shared" si="0"/>
        <v/>
      </c>
      <c r="T9" s="76" t="str">
        <f t="shared" si="0"/>
        <v/>
      </c>
      <c r="U9" s="76" t="str">
        <f t="shared" si="0"/>
        <v/>
      </c>
      <c r="V9" s="8">
        <f t="shared" si="22"/>
        <v>0</v>
      </c>
      <c r="W9" s="8">
        <f t="shared" si="23"/>
        <v>0</v>
      </c>
      <c r="X9" s="8">
        <f t="shared" si="24"/>
        <v>1</v>
      </c>
      <c r="Z9" s="31">
        <v>6</v>
      </c>
      <c r="AA9" s="32">
        <v>9</v>
      </c>
      <c r="AB9" s="33" t="str">
        <f t="shared" si="25"/>
        <v>G</v>
      </c>
      <c r="AC9" s="34">
        <f t="shared" si="26"/>
        <v>0</v>
      </c>
      <c r="AD9" s="34" t="e">
        <f t="shared" si="1"/>
        <v>#N/A</v>
      </c>
      <c r="AE9" s="55">
        <f t="shared" si="27"/>
        <v>0</v>
      </c>
      <c r="AF9" s="34" t="e">
        <f t="shared" si="2"/>
        <v>#N/A</v>
      </c>
      <c r="AG9" s="35" t="e">
        <f t="shared" si="3"/>
        <v>#N/A</v>
      </c>
      <c r="AH9" s="56"/>
      <c r="AI9" s="12">
        <f t="shared" si="28"/>
        <v>0</v>
      </c>
      <c r="AJ9" s="12">
        <f t="shared" si="29"/>
        <v>0</v>
      </c>
      <c r="AK9" s="12">
        <f t="shared" si="30"/>
        <v>0</v>
      </c>
      <c r="AL9" s="12">
        <f t="shared" si="31"/>
        <v>0</v>
      </c>
      <c r="AM9" s="12">
        <f t="shared" si="32"/>
        <v>0</v>
      </c>
      <c r="AN9" s="12">
        <f t="shared" si="33"/>
        <v>0</v>
      </c>
      <c r="AO9" s="12"/>
      <c r="AP9" s="12">
        <f t="shared" si="34"/>
        <v>0</v>
      </c>
      <c r="AQ9" s="12">
        <f t="shared" si="35"/>
        <v>0</v>
      </c>
      <c r="AR9" s="12">
        <f t="shared" si="36"/>
        <v>0</v>
      </c>
      <c r="AS9" s="12">
        <f t="shared" si="37"/>
        <v>1</v>
      </c>
      <c r="AT9" s="56"/>
      <c r="AU9" s="56"/>
      <c r="AV9" s="56"/>
      <c r="AW9" s="30"/>
      <c r="AX9" s="37">
        <v>6</v>
      </c>
      <c r="AY9" s="38">
        <f t="shared" si="4"/>
        <v>0</v>
      </c>
      <c r="AZ9" s="39">
        <f t="shared" ca="1" si="5"/>
        <v>0</v>
      </c>
      <c r="BA9" s="39">
        <f t="shared" si="6"/>
        <v>0</v>
      </c>
      <c r="BB9" s="6"/>
      <c r="BC9" s="6">
        <v>6</v>
      </c>
      <c r="BD9" s="6">
        <f t="shared" si="7"/>
        <v>0</v>
      </c>
      <c r="BE9" s="6">
        <f t="shared" si="7"/>
        <v>0</v>
      </c>
      <c r="BF9" s="6">
        <f t="shared" si="7"/>
        <v>0</v>
      </c>
      <c r="BG9" s="6">
        <f t="shared" si="7"/>
        <v>0</v>
      </c>
      <c r="BH9" s="6">
        <f t="shared" si="7"/>
        <v>0</v>
      </c>
      <c r="BI9" s="6">
        <f t="shared" si="7"/>
        <v>0</v>
      </c>
      <c r="BJ9" s="6">
        <f t="shared" si="7"/>
        <v>0</v>
      </c>
      <c r="BK9" s="6">
        <f t="shared" si="7"/>
        <v>0</v>
      </c>
      <c r="BL9" s="6">
        <f t="shared" si="7"/>
        <v>0</v>
      </c>
      <c r="BM9" s="6">
        <f t="shared" si="7"/>
        <v>0</v>
      </c>
      <c r="BN9" s="6">
        <f t="shared" si="7"/>
        <v>0</v>
      </c>
      <c r="BO9" s="6">
        <f t="shared" si="7"/>
        <v>0</v>
      </c>
      <c r="BP9" s="6">
        <f t="shared" si="7"/>
        <v>0</v>
      </c>
      <c r="BQ9" s="6"/>
      <c r="BR9" s="6">
        <v>6</v>
      </c>
      <c r="BS9" s="6">
        <f t="shared" si="8"/>
        <v>0</v>
      </c>
      <c r="BT9" s="6">
        <f t="shared" si="9"/>
        <v>0</v>
      </c>
      <c r="BU9" s="6">
        <f t="shared" si="10"/>
        <v>0</v>
      </c>
      <c r="BV9" s="6">
        <f t="shared" si="11"/>
        <v>0</v>
      </c>
      <c r="BW9" s="6">
        <f t="shared" si="12"/>
        <v>0</v>
      </c>
      <c r="BX9" s="6">
        <f t="shared" si="13"/>
        <v>0</v>
      </c>
      <c r="BY9" s="6">
        <f t="shared" si="14"/>
        <v>0</v>
      </c>
      <c r="BZ9" s="6">
        <f t="shared" si="15"/>
        <v>0</v>
      </c>
      <c r="CA9" s="6">
        <f t="shared" si="16"/>
        <v>0</v>
      </c>
      <c r="CB9" s="6">
        <f t="shared" si="17"/>
        <v>0</v>
      </c>
      <c r="CC9" s="6">
        <f t="shared" si="18"/>
        <v>0</v>
      </c>
      <c r="CD9" s="6">
        <f t="shared" si="19"/>
        <v>0</v>
      </c>
      <c r="CE9" s="6">
        <f t="shared" si="20"/>
        <v>0</v>
      </c>
    </row>
    <row r="10" spans="1:83" x14ac:dyDescent="0.25">
      <c r="A10" s="81">
        <f t="shared" si="21"/>
        <v>1</v>
      </c>
      <c r="B10" s="25">
        <v>7</v>
      </c>
      <c r="C10" s="25" t="s">
        <v>46</v>
      </c>
      <c r="D10" s="88"/>
      <c r="E10" s="89"/>
      <c r="F10" s="25">
        <v>1000</v>
      </c>
      <c r="G10" s="6"/>
      <c r="H10" s="79" t="str">
        <f t="shared" si="38"/>
        <v/>
      </c>
      <c r="I10" s="79" t="str">
        <f t="shared" si="38"/>
        <v/>
      </c>
      <c r="J10" s="79" t="str">
        <f t="shared" si="38"/>
        <v/>
      </c>
      <c r="K10" s="79" t="str">
        <f t="shared" si="38"/>
        <v/>
      </c>
      <c r="L10" s="79" t="str">
        <f t="shared" si="38"/>
        <v/>
      </c>
      <c r="M10" s="79" t="str">
        <f t="shared" si="38"/>
        <v/>
      </c>
      <c r="N10" s="78" t="str">
        <f>IF((SUMIF($BC$21:$BC$102,$B10*100+N$3,$BA$22:$BA$103)+SUMIF($BC$21:$BC$102,$B10+N$3*100,$BA$22:$BA$103))=1,(SUMIF($BC$21:$BC$102,$B10*100+N$3,$J$19:$J$99)+SUMIF($BD$21:$BD$102,$B10*100+N$3,$M$19:$M$99)),"")</f>
        <v/>
      </c>
      <c r="O10" s="76" t="str">
        <f t="shared" si="0"/>
        <v/>
      </c>
      <c r="P10" s="76" t="str">
        <f t="shared" si="0"/>
        <v/>
      </c>
      <c r="Q10" s="76" t="str">
        <f t="shared" si="0"/>
        <v/>
      </c>
      <c r="R10" s="76" t="str">
        <f t="shared" si="0"/>
        <v/>
      </c>
      <c r="S10" s="76" t="str">
        <f t="shared" si="0"/>
        <v/>
      </c>
      <c r="T10" s="76" t="str">
        <f t="shared" si="0"/>
        <v/>
      </c>
      <c r="U10" s="76" t="str">
        <f t="shared" si="0"/>
        <v/>
      </c>
      <c r="V10" s="8">
        <f t="shared" si="22"/>
        <v>0</v>
      </c>
      <c r="W10" s="8">
        <f t="shared" si="23"/>
        <v>0</v>
      </c>
      <c r="X10" s="8">
        <f t="shared" si="24"/>
        <v>1</v>
      </c>
      <c r="Z10" s="31">
        <v>7</v>
      </c>
      <c r="AA10" s="32">
        <v>8</v>
      </c>
      <c r="AB10" s="33" t="str">
        <f t="shared" si="25"/>
        <v>H</v>
      </c>
      <c r="AC10" s="34">
        <f t="shared" si="26"/>
        <v>0</v>
      </c>
      <c r="AD10" s="34" t="e">
        <f t="shared" si="1"/>
        <v>#N/A</v>
      </c>
      <c r="AE10" s="55">
        <f t="shared" si="27"/>
        <v>0</v>
      </c>
      <c r="AF10" s="34" t="e">
        <f t="shared" si="2"/>
        <v>#N/A</v>
      </c>
      <c r="AG10" s="35" t="e">
        <f t="shared" si="3"/>
        <v>#N/A</v>
      </c>
      <c r="AH10" s="56"/>
      <c r="AI10" s="12">
        <f t="shared" si="28"/>
        <v>0</v>
      </c>
      <c r="AJ10" s="12">
        <f t="shared" si="29"/>
        <v>0</v>
      </c>
      <c r="AK10" s="12">
        <f t="shared" si="30"/>
        <v>0</v>
      </c>
      <c r="AL10" s="12">
        <f t="shared" si="31"/>
        <v>0</v>
      </c>
      <c r="AM10" s="12">
        <f t="shared" si="32"/>
        <v>0</v>
      </c>
      <c r="AN10" s="12">
        <f t="shared" si="33"/>
        <v>0</v>
      </c>
      <c r="AO10" s="12"/>
      <c r="AP10" s="12">
        <f t="shared" si="34"/>
        <v>0</v>
      </c>
      <c r="AQ10" s="12">
        <f t="shared" si="35"/>
        <v>0</v>
      </c>
      <c r="AR10" s="12">
        <f t="shared" si="36"/>
        <v>0</v>
      </c>
      <c r="AS10" s="12">
        <f t="shared" si="37"/>
        <v>1</v>
      </c>
      <c r="AT10" s="56"/>
      <c r="AU10" s="56"/>
      <c r="AV10" s="56"/>
      <c r="AW10" s="30"/>
      <c r="AX10" s="37">
        <v>7</v>
      </c>
      <c r="AY10" s="38">
        <f t="shared" si="4"/>
        <v>0</v>
      </c>
      <c r="AZ10" s="39">
        <f t="shared" ca="1" si="5"/>
        <v>0</v>
      </c>
      <c r="BA10" s="39">
        <f t="shared" si="6"/>
        <v>0</v>
      </c>
      <c r="BB10" s="6"/>
      <c r="BC10" s="6">
        <v>7</v>
      </c>
      <c r="BD10" s="6">
        <f t="shared" si="7"/>
        <v>0</v>
      </c>
      <c r="BE10" s="6">
        <f t="shared" si="7"/>
        <v>0</v>
      </c>
      <c r="BF10" s="6">
        <f t="shared" si="7"/>
        <v>0</v>
      </c>
      <c r="BG10" s="6">
        <f t="shared" si="7"/>
        <v>0</v>
      </c>
      <c r="BH10" s="6">
        <f t="shared" si="7"/>
        <v>0</v>
      </c>
      <c r="BI10" s="6">
        <f t="shared" si="7"/>
        <v>0</v>
      </c>
      <c r="BJ10" s="6">
        <f t="shared" si="7"/>
        <v>0</v>
      </c>
      <c r="BK10" s="6">
        <f t="shared" si="7"/>
        <v>0</v>
      </c>
      <c r="BL10" s="6">
        <f t="shared" si="7"/>
        <v>0</v>
      </c>
      <c r="BM10" s="6">
        <f t="shared" si="7"/>
        <v>0</v>
      </c>
      <c r="BN10" s="6">
        <f t="shared" si="7"/>
        <v>0</v>
      </c>
      <c r="BO10" s="6">
        <f t="shared" si="7"/>
        <v>0</v>
      </c>
      <c r="BP10" s="6">
        <f t="shared" si="7"/>
        <v>0</v>
      </c>
      <c r="BQ10" s="6"/>
      <c r="BR10" s="6">
        <v>7</v>
      </c>
      <c r="BS10" s="6">
        <f t="shared" si="8"/>
        <v>0</v>
      </c>
      <c r="BT10" s="6">
        <f t="shared" si="9"/>
        <v>0</v>
      </c>
      <c r="BU10" s="6">
        <f t="shared" si="10"/>
        <v>0</v>
      </c>
      <c r="BV10" s="6">
        <f t="shared" si="11"/>
        <v>0</v>
      </c>
      <c r="BW10" s="6">
        <f t="shared" si="12"/>
        <v>0</v>
      </c>
      <c r="BX10" s="6">
        <f t="shared" si="13"/>
        <v>0</v>
      </c>
      <c r="BY10" s="6">
        <f t="shared" si="14"/>
        <v>0</v>
      </c>
      <c r="BZ10" s="6">
        <f t="shared" si="15"/>
        <v>0</v>
      </c>
      <c r="CA10" s="6">
        <f t="shared" si="16"/>
        <v>0</v>
      </c>
      <c r="CB10" s="6">
        <f t="shared" si="17"/>
        <v>0</v>
      </c>
      <c r="CC10" s="6">
        <f t="shared" si="18"/>
        <v>0</v>
      </c>
      <c r="CD10" s="6">
        <f t="shared" si="19"/>
        <v>0</v>
      </c>
      <c r="CE10" s="6">
        <f t="shared" si="20"/>
        <v>0</v>
      </c>
    </row>
    <row r="11" spans="1:83" x14ac:dyDescent="0.25">
      <c r="A11" s="81">
        <f t="shared" si="21"/>
        <v>1</v>
      </c>
      <c r="B11" s="25">
        <v>8</v>
      </c>
      <c r="C11" s="25" t="s">
        <v>48</v>
      </c>
      <c r="D11" s="88"/>
      <c r="E11" s="89"/>
      <c r="F11" s="25">
        <v>1000</v>
      </c>
      <c r="G11" s="6"/>
      <c r="H11" s="79" t="str">
        <f t="shared" si="38"/>
        <v/>
      </c>
      <c r="I11" s="79" t="str">
        <f t="shared" si="38"/>
        <v/>
      </c>
      <c r="J11" s="79" t="str">
        <f t="shared" si="38"/>
        <v/>
      </c>
      <c r="K11" s="79" t="str">
        <f t="shared" si="38"/>
        <v/>
      </c>
      <c r="L11" s="79" t="str">
        <f t="shared" si="38"/>
        <v/>
      </c>
      <c r="M11" s="79" t="str">
        <f t="shared" si="38"/>
        <v/>
      </c>
      <c r="N11" s="79" t="str">
        <f t="shared" si="38"/>
        <v/>
      </c>
      <c r="O11" s="78" t="str">
        <f>IF((SUMIF($BC$21:$BC$102,$B11*100+O$3,$BA$22:$BA$103)+SUMIF($BC$21:$BC$102,$B11+O$3*100,$BA$22:$BA$103))=1,(SUMIF($BC$21:$BC$102,$B11*100+O$3,$J$19:$J$99)+SUMIF($BD$21:$BD$102,$B11*100+O$3,$M$19:$M$99)),"")</f>
        <v/>
      </c>
      <c r="P11" s="76" t="str">
        <f t="shared" si="0"/>
        <v/>
      </c>
      <c r="Q11" s="76" t="str">
        <f t="shared" si="0"/>
        <v/>
      </c>
      <c r="R11" s="76" t="str">
        <f t="shared" si="0"/>
        <v/>
      </c>
      <c r="S11" s="76" t="str">
        <f t="shared" si="0"/>
        <v/>
      </c>
      <c r="T11" s="76" t="str">
        <f t="shared" si="0"/>
        <v/>
      </c>
      <c r="U11" s="76" t="str">
        <f t="shared" si="0"/>
        <v/>
      </c>
      <c r="V11" s="8">
        <f t="shared" si="22"/>
        <v>0</v>
      </c>
      <c r="W11" s="8">
        <f t="shared" si="23"/>
        <v>0</v>
      </c>
      <c r="X11" s="8">
        <f t="shared" si="24"/>
        <v>1</v>
      </c>
      <c r="Z11" s="31">
        <v>8</v>
      </c>
      <c r="AA11" s="32">
        <v>7</v>
      </c>
      <c r="AB11" s="33" t="str">
        <f t="shared" si="25"/>
        <v>I</v>
      </c>
      <c r="AC11" s="34">
        <f t="shared" si="26"/>
        <v>0</v>
      </c>
      <c r="AD11" s="34" t="e">
        <f t="shared" si="1"/>
        <v>#N/A</v>
      </c>
      <c r="AE11" s="55">
        <f t="shared" si="27"/>
        <v>0</v>
      </c>
      <c r="AF11" s="34" t="e">
        <f t="shared" si="2"/>
        <v>#N/A</v>
      </c>
      <c r="AG11" s="35" t="e">
        <f t="shared" si="3"/>
        <v>#N/A</v>
      </c>
      <c r="AH11" s="56"/>
      <c r="AI11" s="12">
        <f t="shared" si="28"/>
        <v>0</v>
      </c>
      <c r="AJ11" s="12">
        <f t="shared" si="29"/>
        <v>0</v>
      </c>
      <c r="AK11" s="12">
        <f t="shared" si="30"/>
        <v>0</v>
      </c>
      <c r="AL11" s="12">
        <f t="shared" si="31"/>
        <v>0</v>
      </c>
      <c r="AM11" s="12">
        <f t="shared" si="32"/>
        <v>0</v>
      </c>
      <c r="AN11" s="12">
        <f t="shared" si="33"/>
        <v>0</v>
      </c>
      <c r="AO11" s="12"/>
      <c r="AP11" s="12">
        <f t="shared" si="34"/>
        <v>0</v>
      </c>
      <c r="AQ11" s="12">
        <f t="shared" si="35"/>
        <v>0</v>
      </c>
      <c r="AR11" s="12">
        <f t="shared" si="36"/>
        <v>0</v>
      </c>
      <c r="AS11" s="12">
        <f t="shared" si="37"/>
        <v>1</v>
      </c>
      <c r="AT11" s="56"/>
      <c r="AU11" s="56"/>
      <c r="AV11" s="56"/>
      <c r="AW11" s="30"/>
      <c r="AX11" s="37">
        <v>8</v>
      </c>
      <c r="AY11" s="38">
        <f t="shared" si="4"/>
        <v>0</v>
      </c>
      <c r="AZ11" s="39">
        <f t="shared" ca="1" si="5"/>
        <v>0</v>
      </c>
      <c r="BA11" s="39">
        <f t="shared" si="6"/>
        <v>0</v>
      </c>
      <c r="BB11" s="6"/>
      <c r="BC11" s="6">
        <v>8</v>
      </c>
      <c r="BD11" s="6">
        <f t="shared" si="7"/>
        <v>0</v>
      </c>
      <c r="BE11" s="6">
        <f t="shared" si="7"/>
        <v>0</v>
      </c>
      <c r="BF11" s="6">
        <f t="shared" si="7"/>
        <v>0</v>
      </c>
      <c r="BG11" s="6">
        <f t="shared" si="7"/>
        <v>0</v>
      </c>
      <c r="BH11" s="6">
        <f t="shared" si="7"/>
        <v>0</v>
      </c>
      <c r="BI11" s="6">
        <f t="shared" si="7"/>
        <v>0</v>
      </c>
      <c r="BJ11" s="6">
        <f t="shared" si="7"/>
        <v>0</v>
      </c>
      <c r="BK11" s="6">
        <f t="shared" si="7"/>
        <v>0</v>
      </c>
      <c r="BL11" s="6">
        <f t="shared" si="7"/>
        <v>0</v>
      </c>
      <c r="BM11" s="6">
        <f t="shared" si="7"/>
        <v>0</v>
      </c>
      <c r="BN11" s="6">
        <f t="shared" si="7"/>
        <v>0</v>
      </c>
      <c r="BO11" s="6">
        <f t="shared" si="7"/>
        <v>0</v>
      </c>
      <c r="BP11" s="6">
        <f t="shared" si="7"/>
        <v>0</v>
      </c>
      <c r="BQ11" s="6"/>
      <c r="BR11" s="6">
        <v>8</v>
      </c>
      <c r="BS11" s="6">
        <f t="shared" si="8"/>
        <v>0</v>
      </c>
      <c r="BT11" s="6">
        <f t="shared" si="9"/>
        <v>0</v>
      </c>
      <c r="BU11" s="6">
        <f t="shared" si="10"/>
        <v>0</v>
      </c>
      <c r="BV11" s="6">
        <f t="shared" si="11"/>
        <v>0</v>
      </c>
      <c r="BW11" s="6">
        <f t="shared" si="12"/>
        <v>0</v>
      </c>
      <c r="BX11" s="6">
        <f t="shared" si="13"/>
        <v>0</v>
      </c>
      <c r="BY11" s="6">
        <f t="shared" si="14"/>
        <v>0</v>
      </c>
      <c r="BZ11" s="6">
        <f t="shared" si="15"/>
        <v>0</v>
      </c>
      <c r="CA11" s="6">
        <f t="shared" si="16"/>
        <v>0</v>
      </c>
      <c r="CB11" s="6">
        <f t="shared" si="17"/>
        <v>0</v>
      </c>
      <c r="CC11" s="6">
        <f t="shared" si="18"/>
        <v>0</v>
      </c>
      <c r="CD11" s="6">
        <f t="shared" si="19"/>
        <v>0</v>
      </c>
      <c r="CE11" s="6">
        <f t="shared" si="20"/>
        <v>0</v>
      </c>
    </row>
    <row r="12" spans="1:83" x14ac:dyDescent="0.25">
      <c r="A12" s="81">
        <f t="shared" si="21"/>
        <v>1</v>
      </c>
      <c r="B12" s="25">
        <v>9</v>
      </c>
      <c r="C12" s="25" t="s">
        <v>49</v>
      </c>
      <c r="D12" s="88"/>
      <c r="E12" s="89"/>
      <c r="F12" s="25">
        <v>1000</v>
      </c>
      <c r="G12" s="6"/>
      <c r="H12" s="79" t="str">
        <f t="shared" si="38"/>
        <v/>
      </c>
      <c r="I12" s="79" t="str">
        <f t="shared" si="38"/>
        <v/>
      </c>
      <c r="J12" s="79" t="str">
        <f t="shared" si="38"/>
        <v/>
      </c>
      <c r="K12" s="79" t="str">
        <f t="shared" si="38"/>
        <v/>
      </c>
      <c r="L12" s="79" t="str">
        <f t="shared" si="38"/>
        <v/>
      </c>
      <c r="M12" s="79" t="str">
        <f t="shared" si="38"/>
        <v/>
      </c>
      <c r="N12" s="79" t="str">
        <f t="shared" si="38"/>
        <v/>
      </c>
      <c r="O12" s="79" t="str">
        <f t="shared" si="38"/>
        <v/>
      </c>
      <c r="P12" s="78" t="str">
        <f>IF((SUMIF($BC$21:$BC$102,$B12*100+P$3,$BA$22:$BA$103)+SUMIF($BC$21:$BC$102,$B12+P$3*100,$BA$22:$BA$103))=1,(SUMIF($BC$21:$BC$102,$B12*100+P$3,$J$19:$J$99)+SUMIF($BD$21:$BD$102,$B12*100+P$3,$M$19:$M$99)),"")</f>
        <v/>
      </c>
      <c r="Q12" s="76" t="str">
        <f t="shared" si="0"/>
        <v/>
      </c>
      <c r="R12" s="76" t="str">
        <f t="shared" si="0"/>
        <v/>
      </c>
      <c r="S12" s="76" t="str">
        <f t="shared" si="0"/>
        <v/>
      </c>
      <c r="T12" s="76" t="str">
        <f t="shared" si="0"/>
        <v/>
      </c>
      <c r="U12" s="76" t="str">
        <f t="shared" si="0"/>
        <v/>
      </c>
      <c r="V12" s="8">
        <f t="shared" si="22"/>
        <v>0</v>
      </c>
      <c r="W12" s="8">
        <f t="shared" si="23"/>
        <v>0</v>
      </c>
      <c r="X12" s="8">
        <f t="shared" si="24"/>
        <v>1</v>
      </c>
      <c r="Z12" s="31">
        <v>9</v>
      </c>
      <c r="AA12" s="32">
        <v>6</v>
      </c>
      <c r="AB12" s="33" t="str">
        <f t="shared" si="25"/>
        <v>J</v>
      </c>
      <c r="AC12" s="34">
        <f t="shared" si="26"/>
        <v>0</v>
      </c>
      <c r="AD12" s="34" t="e">
        <f t="shared" si="1"/>
        <v>#N/A</v>
      </c>
      <c r="AE12" s="55">
        <f t="shared" si="27"/>
        <v>0</v>
      </c>
      <c r="AF12" s="34" t="e">
        <f t="shared" si="2"/>
        <v>#N/A</v>
      </c>
      <c r="AG12" s="35" t="e">
        <f t="shared" si="3"/>
        <v>#N/A</v>
      </c>
      <c r="AH12" s="56"/>
      <c r="AI12" s="12">
        <f t="shared" si="28"/>
        <v>0</v>
      </c>
      <c r="AJ12" s="12">
        <f t="shared" si="29"/>
        <v>0</v>
      </c>
      <c r="AK12" s="12">
        <f t="shared" si="30"/>
        <v>0</v>
      </c>
      <c r="AL12" s="12">
        <f t="shared" si="31"/>
        <v>0</v>
      </c>
      <c r="AM12" s="12">
        <f t="shared" si="32"/>
        <v>0</v>
      </c>
      <c r="AN12" s="12">
        <f t="shared" si="33"/>
        <v>0</v>
      </c>
      <c r="AO12" s="12"/>
      <c r="AP12" s="12">
        <f t="shared" si="34"/>
        <v>0</v>
      </c>
      <c r="AQ12" s="12">
        <f t="shared" si="35"/>
        <v>0</v>
      </c>
      <c r="AR12" s="12">
        <f t="shared" si="36"/>
        <v>0</v>
      </c>
      <c r="AS12" s="12">
        <f t="shared" si="37"/>
        <v>1</v>
      </c>
      <c r="AT12" s="56"/>
      <c r="AU12" s="56"/>
      <c r="AV12" s="56"/>
      <c r="AW12" s="30"/>
      <c r="AX12" s="37">
        <v>9</v>
      </c>
      <c r="AY12" s="38">
        <f t="shared" si="4"/>
        <v>0</v>
      </c>
      <c r="AZ12" s="39">
        <f t="shared" ca="1" si="5"/>
        <v>0</v>
      </c>
      <c r="BA12" s="39">
        <f t="shared" si="6"/>
        <v>0</v>
      </c>
      <c r="BB12" s="6"/>
      <c r="BC12" s="6">
        <v>9</v>
      </c>
      <c r="BD12" s="6">
        <f t="shared" si="7"/>
        <v>0</v>
      </c>
      <c r="BE12" s="6">
        <f t="shared" si="7"/>
        <v>0</v>
      </c>
      <c r="BF12" s="6">
        <f t="shared" si="7"/>
        <v>0</v>
      </c>
      <c r="BG12" s="6">
        <f t="shared" si="7"/>
        <v>0</v>
      </c>
      <c r="BH12" s="6">
        <f t="shared" si="7"/>
        <v>0</v>
      </c>
      <c r="BI12" s="6">
        <f t="shared" si="7"/>
        <v>0</v>
      </c>
      <c r="BJ12" s="6">
        <f t="shared" si="7"/>
        <v>0</v>
      </c>
      <c r="BK12" s="6">
        <f t="shared" si="7"/>
        <v>0</v>
      </c>
      <c r="BL12" s="6">
        <f t="shared" si="7"/>
        <v>0</v>
      </c>
      <c r="BM12" s="6">
        <f t="shared" si="7"/>
        <v>0</v>
      </c>
      <c r="BN12" s="6">
        <f t="shared" si="7"/>
        <v>0</v>
      </c>
      <c r="BO12" s="6">
        <f t="shared" si="7"/>
        <v>0</v>
      </c>
      <c r="BP12" s="6">
        <f t="shared" si="7"/>
        <v>0</v>
      </c>
      <c r="BQ12" s="6"/>
      <c r="BR12" s="6">
        <v>9</v>
      </c>
      <c r="BS12" s="6">
        <f t="shared" si="8"/>
        <v>0</v>
      </c>
      <c r="BT12" s="6">
        <f t="shared" si="9"/>
        <v>0</v>
      </c>
      <c r="BU12" s="6">
        <f t="shared" si="10"/>
        <v>0</v>
      </c>
      <c r="BV12" s="6">
        <f t="shared" si="11"/>
        <v>0</v>
      </c>
      <c r="BW12" s="6">
        <f t="shared" si="12"/>
        <v>0</v>
      </c>
      <c r="BX12" s="6">
        <f t="shared" si="13"/>
        <v>0</v>
      </c>
      <c r="BY12" s="6">
        <f t="shared" si="14"/>
        <v>0</v>
      </c>
      <c r="BZ12" s="6">
        <f t="shared" si="15"/>
        <v>0</v>
      </c>
      <c r="CA12" s="6">
        <f t="shared" si="16"/>
        <v>0</v>
      </c>
      <c r="CB12" s="6">
        <f t="shared" si="17"/>
        <v>0</v>
      </c>
      <c r="CC12" s="6">
        <f t="shared" si="18"/>
        <v>0</v>
      </c>
      <c r="CD12" s="6">
        <f t="shared" si="19"/>
        <v>0</v>
      </c>
      <c r="CE12" s="6">
        <f t="shared" si="20"/>
        <v>0</v>
      </c>
    </row>
    <row r="13" spans="1:83" x14ac:dyDescent="0.25">
      <c r="A13" s="81">
        <f t="shared" si="21"/>
        <v>1</v>
      </c>
      <c r="B13" s="25">
        <v>10</v>
      </c>
      <c r="C13" s="25" t="s">
        <v>75</v>
      </c>
      <c r="D13" s="90"/>
      <c r="E13" s="91"/>
      <c r="F13" s="25">
        <v>1000</v>
      </c>
      <c r="G13" s="6"/>
      <c r="H13" s="79" t="str">
        <f t="shared" si="38"/>
        <v/>
      </c>
      <c r="I13" s="79" t="str">
        <f t="shared" si="38"/>
        <v/>
      </c>
      <c r="J13" s="79" t="str">
        <f t="shared" si="38"/>
        <v/>
      </c>
      <c r="K13" s="79" t="str">
        <f t="shared" si="38"/>
        <v/>
      </c>
      <c r="L13" s="79" t="str">
        <f t="shared" si="38"/>
        <v/>
      </c>
      <c r="M13" s="79" t="str">
        <f t="shared" si="38"/>
        <v/>
      </c>
      <c r="N13" s="79" t="str">
        <f t="shared" si="38"/>
        <v/>
      </c>
      <c r="O13" s="79" t="str">
        <f t="shared" si="38"/>
        <v/>
      </c>
      <c r="P13" s="79" t="str">
        <f t="shared" si="38"/>
        <v/>
      </c>
      <c r="Q13" s="78" t="str">
        <f>IF((SUMIF($BC$21:$BC$102,$B13*100+Q$3,$BA$22:$BA$103)+SUMIF($BC$21:$BC$102,$B13+Q$3*100,$BA$22:$BA$103))=1,(SUMIF($BC$21:$BC$102,$B13*100+Q$3,$J$19:$J$99)+SUMIF($BD$21:$BD$102,$B13*100+Q$3,$M$19:$M$99)),"")</f>
        <v/>
      </c>
      <c r="R13" s="76" t="str">
        <f t="shared" si="0"/>
        <v/>
      </c>
      <c r="S13" s="76" t="str">
        <f t="shared" si="0"/>
        <v/>
      </c>
      <c r="T13" s="76" t="str">
        <f t="shared" si="0"/>
        <v/>
      </c>
      <c r="U13" s="76" t="str">
        <f t="shared" si="0"/>
        <v/>
      </c>
      <c r="V13" s="8">
        <f t="shared" si="22"/>
        <v>0</v>
      </c>
      <c r="W13" s="8">
        <f t="shared" si="23"/>
        <v>0</v>
      </c>
      <c r="X13" s="8">
        <f t="shared" si="24"/>
        <v>1</v>
      </c>
      <c r="Z13" s="31">
        <v>10</v>
      </c>
      <c r="AA13" s="32">
        <v>6</v>
      </c>
      <c r="AB13" s="33" t="str">
        <f t="shared" si="25"/>
        <v>K</v>
      </c>
      <c r="AC13" s="34">
        <f t="shared" si="26"/>
        <v>0</v>
      </c>
      <c r="AD13" s="34" t="e">
        <f t="shared" si="1"/>
        <v>#N/A</v>
      </c>
      <c r="AE13" s="55">
        <f t="shared" si="27"/>
        <v>0</v>
      </c>
      <c r="AF13" s="34" t="e">
        <f t="shared" si="2"/>
        <v>#N/A</v>
      </c>
      <c r="AG13" s="35" t="e">
        <f t="shared" si="3"/>
        <v>#N/A</v>
      </c>
      <c r="AH13" s="56"/>
      <c r="AI13" s="12">
        <f t="shared" si="28"/>
        <v>0</v>
      </c>
      <c r="AJ13" s="12">
        <f t="shared" si="29"/>
        <v>0</v>
      </c>
      <c r="AK13" s="12">
        <f t="shared" si="30"/>
        <v>0</v>
      </c>
      <c r="AL13" s="12">
        <f t="shared" si="31"/>
        <v>0</v>
      </c>
      <c r="AM13" s="12">
        <f t="shared" si="32"/>
        <v>0</v>
      </c>
      <c r="AN13" s="12">
        <f t="shared" si="33"/>
        <v>0</v>
      </c>
      <c r="AO13" s="12"/>
      <c r="AP13" s="12">
        <f t="shared" si="34"/>
        <v>0</v>
      </c>
      <c r="AQ13" s="12">
        <f t="shared" si="35"/>
        <v>0</v>
      </c>
      <c r="AR13" s="12">
        <f t="shared" si="36"/>
        <v>0</v>
      </c>
      <c r="AS13" s="12">
        <f t="shared" si="37"/>
        <v>1</v>
      </c>
      <c r="AT13" s="56"/>
      <c r="AU13" s="56"/>
      <c r="AV13" s="56"/>
      <c r="AW13" s="30"/>
      <c r="AX13" s="37">
        <v>10</v>
      </c>
      <c r="AY13" s="38">
        <f t="shared" si="4"/>
        <v>0</v>
      </c>
      <c r="AZ13" s="39">
        <f t="shared" ca="1" si="5"/>
        <v>0</v>
      </c>
      <c r="BA13" s="39">
        <f t="shared" si="6"/>
        <v>0</v>
      </c>
      <c r="BB13" s="6"/>
      <c r="BC13" s="6">
        <v>10</v>
      </c>
      <c r="BD13" s="6">
        <f t="shared" si="7"/>
        <v>0</v>
      </c>
      <c r="BE13" s="6">
        <f t="shared" si="7"/>
        <v>0</v>
      </c>
      <c r="BF13" s="6">
        <f t="shared" si="7"/>
        <v>0</v>
      </c>
      <c r="BG13" s="6">
        <f t="shared" si="7"/>
        <v>0</v>
      </c>
      <c r="BH13" s="6">
        <f t="shared" si="7"/>
        <v>0</v>
      </c>
      <c r="BI13" s="6">
        <f t="shared" si="7"/>
        <v>0</v>
      </c>
      <c r="BJ13" s="6">
        <f t="shared" si="7"/>
        <v>0</v>
      </c>
      <c r="BK13" s="6">
        <f t="shared" si="7"/>
        <v>0</v>
      </c>
      <c r="BL13" s="6">
        <f t="shared" si="7"/>
        <v>0</v>
      </c>
      <c r="BM13" s="6">
        <f t="shared" si="7"/>
        <v>0</v>
      </c>
      <c r="BN13" s="6">
        <f t="shared" si="7"/>
        <v>0</v>
      </c>
      <c r="BO13" s="6">
        <f t="shared" si="7"/>
        <v>0</v>
      </c>
      <c r="BP13" s="6">
        <f t="shared" si="7"/>
        <v>0</v>
      </c>
      <c r="BQ13" s="6"/>
      <c r="BR13" s="6">
        <v>10</v>
      </c>
      <c r="BS13" s="6">
        <f t="shared" si="8"/>
        <v>0</v>
      </c>
      <c r="BT13" s="6">
        <f t="shared" si="9"/>
        <v>0</v>
      </c>
      <c r="BU13" s="6">
        <f t="shared" si="10"/>
        <v>0</v>
      </c>
      <c r="BV13" s="6">
        <f t="shared" si="11"/>
        <v>0</v>
      </c>
      <c r="BW13" s="6">
        <f t="shared" si="12"/>
        <v>0</v>
      </c>
      <c r="BX13" s="6">
        <f t="shared" si="13"/>
        <v>0</v>
      </c>
      <c r="BY13" s="6">
        <f t="shared" si="14"/>
        <v>0</v>
      </c>
      <c r="BZ13" s="6">
        <f t="shared" si="15"/>
        <v>0</v>
      </c>
      <c r="CA13" s="6">
        <f t="shared" si="16"/>
        <v>0</v>
      </c>
      <c r="CB13" s="6">
        <f t="shared" si="17"/>
        <v>0</v>
      </c>
      <c r="CC13" s="6">
        <f t="shared" si="18"/>
        <v>0</v>
      </c>
      <c r="CD13" s="6">
        <f t="shared" si="19"/>
        <v>0</v>
      </c>
      <c r="CE13" s="6">
        <f t="shared" si="20"/>
        <v>0</v>
      </c>
    </row>
    <row r="14" spans="1:83" x14ac:dyDescent="0.25">
      <c r="A14" s="81">
        <f t="shared" si="21"/>
        <v>1</v>
      </c>
      <c r="B14" s="25">
        <v>11</v>
      </c>
      <c r="C14" s="70" t="s">
        <v>76</v>
      </c>
      <c r="D14" s="90"/>
      <c r="E14" s="91"/>
      <c r="F14" s="25">
        <v>1000</v>
      </c>
      <c r="G14" s="6"/>
      <c r="H14" s="79" t="str">
        <f t="shared" si="38"/>
        <v/>
      </c>
      <c r="I14" s="79" t="str">
        <f t="shared" si="38"/>
        <v/>
      </c>
      <c r="J14" s="79" t="str">
        <f t="shared" si="38"/>
        <v/>
      </c>
      <c r="K14" s="79" t="str">
        <f t="shared" si="38"/>
        <v/>
      </c>
      <c r="L14" s="79" t="str">
        <f t="shared" si="38"/>
        <v/>
      </c>
      <c r="M14" s="79" t="str">
        <f t="shared" si="38"/>
        <v/>
      </c>
      <c r="N14" s="79" t="str">
        <f t="shared" si="38"/>
        <v/>
      </c>
      <c r="O14" s="79" t="str">
        <f t="shared" si="38"/>
        <v/>
      </c>
      <c r="P14" s="79" t="str">
        <f t="shared" si="38"/>
        <v/>
      </c>
      <c r="Q14" s="79" t="str">
        <f t="shared" si="38"/>
        <v/>
      </c>
      <c r="R14" s="78" t="str">
        <f>IF((SUMIF($BC$21:$BC$102,$B14*100+R$3,$BA$22:$BA$103)+SUMIF($BC$21:$BC$102,$B14+R$3*100,$BA$22:$BA$103))=1,(SUMIF($BC$21:$BC$102,$B14*100+R$3,$J$19:$J$99)+SUMIF($BD$21:$BD$102,$B14*100+R$3,$M$19:$M$99)),"")</f>
        <v/>
      </c>
      <c r="S14" s="76" t="str">
        <f t="shared" si="0"/>
        <v/>
      </c>
      <c r="T14" s="76" t="str">
        <f t="shared" si="0"/>
        <v/>
      </c>
      <c r="U14" s="76" t="str">
        <f t="shared" si="0"/>
        <v/>
      </c>
      <c r="V14" s="8">
        <f t="shared" si="22"/>
        <v>0</v>
      </c>
      <c r="W14" s="8">
        <f t="shared" si="23"/>
        <v>0</v>
      </c>
      <c r="X14" s="8">
        <f t="shared" si="24"/>
        <v>1</v>
      </c>
      <c r="Z14" s="31">
        <v>11</v>
      </c>
      <c r="AA14" s="32">
        <v>5</v>
      </c>
      <c r="AB14" s="33" t="str">
        <f t="shared" si="25"/>
        <v>L</v>
      </c>
      <c r="AC14" s="34">
        <f t="shared" si="26"/>
        <v>0</v>
      </c>
      <c r="AD14" s="34" t="e">
        <f t="shared" si="1"/>
        <v>#N/A</v>
      </c>
      <c r="AE14" s="55">
        <f t="shared" si="27"/>
        <v>0</v>
      </c>
      <c r="AF14" s="34" t="e">
        <f t="shared" si="2"/>
        <v>#N/A</v>
      </c>
      <c r="AG14" s="35" t="e">
        <f t="shared" si="3"/>
        <v>#N/A</v>
      </c>
      <c r="AH14" s="56"/>
      <c r="AI14" s="12">
        <f t="shared" si="28"/>
        <v>0</v>
      </c>
      <c r="AJ14" s="12">
        <f t="shared" si="29"/>
        <v>0</v>
      </c>
      <c r="AK14" s="12">
        <f t="shared" si="30"/>
        <v>0</v>
      </c>
      <c r="AL14" s="12">
        <f t="shared" si="31"/>
        <v>0</v>
      </c>
      <c r="AM14" s="12">
        <f t="shared" si="32"/>
        <v>0</v>
      </c>
      <c r="AN14" s="12">
        <f t="shared" si="33"/>
        <v>0</v>
      </c>
      <c r="AO14" s="12"/>
      <c r="AP14" s="12">
        <f t="shared" si="34"/>
        <v>0</v>
      </c>
      <c r="AQ14" s="12">
        <f t="shared" si="35"/>
        <v>0</v>
      </c>
      <c r="AR14" s="12">
        <f t="shared" si="36"/>
        <v>0</v>
      </c>
      <c r="AS14" s="12">
        <f t="shared" si="37"/>
        <v>1</v>
      </c>
      <c r="AT14" s="6"/>
      <c r="AU14" s="6"/>
      <c r="AV14" s="6"/>
      <c r="AW14" s="6"/>
      <c r="AX14" s="37">
        <v>11</v>
      </c>
      <c r="AY14" s="38">
        <f t="shared" si="4"/>
        <v>0</v>
      </c>
      <c r="AZ14" s="39">
        <f t="shared" ca="1" si="5"/>
        <v>0</v>
      </c>
      <c r="BA14" s="39">
        <f t="shared" si="6"/>
        <v>0</v>
      </c>
      <c r="BB14" s="6"/>
      <c r="BC14" s="6">
        <v>11</v>
      </c>
      <c r="BD14" s="6">
        <f t="shared" si="7"/>
        <v>0</v>
      </c>
      <c r="BE14" s="6">
        <f t="shared" si="7"/>
        <v>0</v>
      </c>
      <c r="BF14" s="6">
        <f t="shared" si="7"/>
        <v>0</v>
      </c>
      <c r="BG14" s="6">
        <f t="shared" si="7"/>
        <v>0</v>
      </c>
      <c r="BH14" s="6">
        <f t="shared" si="7"/>
        <v>0</v>
      </c>
      <c r="BI14" s="6">
        <f t="shared" si="7"/>
        <v>0</v>
      </c>
      <c r="BJ14" s="6">
        <f t="shared" si="7"/>
        <v>0</v>
      </c>
      <c r="BK14" s="6">
        <f t="shared" si="7"/>
        <v>0</v>
      </c>
      <c r="BL14" s="6">
        <f t="shared" si="7"/>
        <v>0</v>
      </c>
      <c r="BM14" s="6">
        <f t="shared" si="7"/>
        <v>0</v>
      </c>
      <c r="BN14" s="6">
        <f t="shared" si="7"/>
        <v>0</v>
      </c>
      <c r="BO14" s="6">
        <f t="shared" si="7"/>
        <v>0</v>
      </c>
      <c r="BP14" s="6">
        <f t="shared" si="7"/>
        <v>0</v>
      </c>
      <c r="BQ14" s="6"/>
      <c r="BR14" s="6">
        <v>11</v>
      </c>
      <c r="BS14" s="6">
        <f t="shared" si="8"/>
        <v>0</v>
      </c>
      <c r="BT14" s="6">
        <f t="shared" si="9"/>
        <v>0</v>
      </c>
      <c r="BU14" s="6">
        <f t="shared" si="10"/>
        <v>0</v>
      </c>
      <c r="BV14" s="6">
        <f t="shared" si="11"/>
        <v>0</v>
      </c>
      <c r="BW14" s="6">
        <f t="shared" si="12"/>
        <v>0</v>
      </c>
      <c r="BX14" s="6">
        <f t="shared" si="13"/>
        <v>0</v>
      </c>
      <c r="BY14" s="6">
        <f t="shared" si="14"/>
        <v>0</v>
      </c>
      <c r="BZ14" s="6">
        <f t="shared" si="15"/>
        <v>0</v>
      </c>
      <c r="CA14" s="6">
        <f t="shared" si="16"/>
        <v>0</v>
      </c>
      <c r="CB14" s="6">
        <f t="shared" si="17"/>
        <v>0</v>
      </c>
      <c r="CC14" s="6">
        <f t="shared" si="18"/>
        <v>0</v>
      </c>
      <c r="CD14" s="6">
        <f t="shared" si="19"/>
        <v>0</v>
      </c>
      <c r="CE14" s="6">
        <f t="shared" si="20"/>
        <v>0</v>
      </c>
    </row>
    <row r="15" spans="1:83" x14ac:dyDescent="0.25">
      <c r="A15" s="81">
        <f t="shared" si="21"/>
        <v>1</v>
      </c>
      <c r="B15" s="25">
        <v>12</v>
      </c>
      <c r="C15" s="25" t="s">
        <v>77</v>
      </c>
      <c r="D15" s="90"/>
      <c r="E15" s="91"/>
      <c r="F15" s="25">
        <v>1000</v>
      </c>
      <c r="G15" s="6"/>
      <c r="H15" s="79" t="str">
        <f t="shared" si="38"/>
        <v/>
      </c>
      <c r="I15" s="79" t="str">
        <f t="shared" si="38"/>
        <v/>
      </c>
      <c r="J15" s="79" t="str">
        <f t="shared" si="38"/>
        <v/>
      </c>
      <c r="K15" s="79" t="str">
        <f t="shared" si="38"/>
        <v/>
      </c>
      <c r="L15" s="79" t="str">
        <f t="shared" si="38"/>
        <v/>
      </c>
      <c r="M15" s="79" t="str">
        <f t="shared" si="38"/>
        <v/>
      </c>
      <c r="N15" s="79" t="str">
        <f t="shared" si="38"/>
        <v/>
      </c>
      <c r="O15" s="79" t="str">
        <f t="shared" si="38"/>
        <v/>
      </c>
      <c r="P15" s="79" t="str">
        <f t="shared" si="38"/>
        <v/>
      </c>
      <c r="Q15" s="79" t="str">
        <f t="shared" si="38"/>
        <v/>
      </c>
      <c r="R15" s="79" t="str">
        <f t="shared" si="38"/>
        <v/>
      </c>
      <c r="S15" s="78" t="str">
        <f>IF((SUMIF($BC$21:$BC$102,$B15*100+S$3,$BA$22:$BA$103)+SUMIF($BC$21:$BC$102,$B15+S$3*100,$BA$22:$BA$103))=1,(SUMIF($BC$21:$BC$102,$B15*100+S$3,$J$19:$J$99)+SUMIF($BD$21:$BD$102,$B15*100+S$3,$M$19:$M$99)),"")</f>
        <v/>
      </c>
      <c r="T15" s="76" t="str">
        <f t="shared" si="0"/>
        <v/>
      </c>
      <c r="U15" s="76" t="str">
        <f t="shared" si="0"/>
        <v/>
      </c>
      <c r="V15" s="8">
        <f t="shared" si="22"/>
        <v>0</v>
      </c>
      <c r="W15" s="8">
        <f t="shared" si="23"/>
        <v>0</v>
      </c>
      <c r="X15" s="8">
        <f t="shared" si="24"/>
        <v>1</v>
      </c>
      <c r="Z15" s="31">
        <v>12</v>
      </c>
      <c r="AA15" s="32">
        <v>3</v>
      </c>
      <c r="AB15" s="33" t="str">
        <f t="shared" si="25"/>
        <v>M</v>
      </c>
      <c r="AC15" s="34">
        <f t="shared" si="26"/>
        <v>0</v>
      </c>
      <c r="AD15" s="34" t="e">
        <f t="shared" si="1"/>
        <v>#N/A</v>
      </c>
      <c r="AE15" s="55">
        <f t="shared" si="27"/>
        <v>0</v>
      </c>
      <c r="AF15" s="34" t="e">
        <f t="shared" si="2"/>
        <v>#N/A</v>
      </c>
      <c r="AG15" s="35" t="e">
        <f t="shared" si="3"/>
        <v>#N/A</v>
      </c>
      <c r="AH15" s="56"/>
      <c r="AI15" s="12">
        <f t="shared" si="28"/>
        <v>0</v>
      </c>
      <c r="AJ15" s="12">
        <f t="shared" si="29"/>
        <v>0</v>
      </c>
      <c r="AK15" s="12">
        <f t="shared" si="30"/>
        <v>0</v>
      </c>
      <c r="AL15" s="12">
        <f t="shared" si="31"/>
        <v>0</v>
      </c>
      <c r="AM15" s="12">
        <f t="shared" si="32"/>
        <v>0</v>
      </c>
      <c r="AN15" s="12">
        <f t="shared" si="33"/>
        <v>0</v>
      </c>
      <c r="AO15" s="12"/>
      <c r="AP15" s="12">
        <f t="shared" si="34"/>
        <v>0</v>
      </c>
      <c r="AQ15" s="12">
        <f t="shared" si="35"/>
        <v>0</v>
      </c>
      <c r="AR15" s="12">
        <f t="shared" si="36"/>
        <v>0</v>
      </c>
      <c r="AS15" s="12">
        <f t="shared" si="37"/>
        <v>1</v>
      </c>
      <c r="AT15" s="6"/>
      <c r="AU15" s="6"/>
      <c r="AV15" s="6"/>
      <c r="AW15" s="6"/>
      <c r="AX15" s="37">
        <v>12</v>
      </c>
      <c r="AY15" s="38">
        <f t="shared" si="4"/>
        <v>0</v>
      </c>
      <c r="AZ15" s="39">
        <f t="shared" ca="1" si="5"/>
        <v>0</v>
      </c>
      <c r="BA15" s="39">
        <f t="shared" si="6"/>
        <v>0</v>
      </c>
      <c r="BB15" s="6"/>
      <c r="BC15" s="6">
        <v>12</v>
      </c>
      <c r="BD15" s="6">
        <f t="shared" si="7"/>
        <v>0</v>
      </c>
      <c r="BE15" s="6">
        <f t="shared" si="7"/>
        <v>0</v>
      </c>
      <c r="BF15" s="6">
        <f t="shared" si="7"/>
        <v>0</v>
      </c>
      <c r="BG15" s="6">
        <f t="shared" si="7"/>
        <v>0</v>
      </c>
      <c r="BH15" s="6">
        <f t="shared" si="7"/>
        <v>0</v>
      </c>
      <c r="BI15" s="6">
        <f t="shared" si="7"/>
        <v>0</v>
      </c>
      <c r="BJ15" s="6">
        <f t="shared" si="7"/>
        <v>0</v>
      </c>
      <c r="BK15" s="6">
        <f t="shared" si="7"/>
        <v>0</v>
      </c>
      <c r="BL15" s="6">
        <f t="shared" si="7"/>
        <v>0</v>
      </c>
      <c r="BM15" s="6">
        <f t="shared" si="7"/>
        <v>0</v>
      </c>
      <c r="BN15" s="6">
        <f t="shared" si="7"/>
        <v>0</v>
      </c>
      <c r="BO15" s="6">
        <f t="shared" si="7"/>
        <v>0</v>
      </c>
      <c r="BP15" s="6">
        <f t="shared" si="7"/>
        <v>0</v>
      </c>
      <c r="BQ15" s="6"/>
      <c r="BR15" s="6">
        <v>12</v>
      </c>
      <c r="BS15" s="6">
        <f t="shared" si="8"/>
        <v>0</v>
      </c>
      <c r="BT15" s="6">
        <f t="shared" si="9"/>
        <v>0</v>
      </c>
      <c r="BU15" s="6">
        <f t="shared" si="10"/>
        <v>0</v>
      </c>
      <c r="BV15" s="6">
        <f t="shared" si="11"/>
        <v>0</v>
      </c>
      <c r="BW15" s="6">
        <f t="shared" si="12"/>
        <v>0</v>
      </c>
      <c r="BX15" s="6">
        <f t="shared" si="13"/>
        <v>0</v>
      </c>
      <c r="BY15" s="6">
        <f t="shared" si="14"/>
        <v>0</v>
      </c>
      <c r="BZ15" s="6">
        <f t="shared" si="15"/>
        <v>0</v>
      </c>
      <c r="CA15" s="6">
        <f t="shared" si="16"/>
        <v>0</v>
      </c>
      <c r="CB15" s="6">
        <f t="shared" si="17"/>
        <v>0</v>
      </c>
      <c r="CC15" s="6">
        <f t="shared" si="18"/>
        <v>0</v>
      </c>
      <c r="CD15" s="6">
        <f t="shared" si="19"/>
        <v>0</v>
      </c>
      <c r="CE15" s="6">
        <f t="shared" si="20"/>
        <v>0</v>
      </c>
    </row>
    <row r="16" spans="1:83" x14ac:dyDescent="0.25">
      <c r="A16" s="81">
        <f>X16</f>
        <v>1</v>
      </c>
      <c r="B16" s="25">
        <v>13</v>
      </c>
      <c r="C16" s="25" t="s">
        <v>79</v>
      </c>
      <c r="D16" s="90"/>
      <c r="E16" s="91"/>
      <c r="F16" s="25">
        <v>1000</v>
      </c>
      <c r="G16" s="6"/>
      <c r="H16" s="79" t="str">
        <f t="shared" si="38"/>
        <v/>
      </c>
      <c r="I16" s="79" t="str">
        <f t="shared" si="38"/>
        <v/>
      </c>
      <c r="J16" s="79" t="str">
        <f t="shared" si="38"/>
        <v/>
      </c>
      <c r="K16" s="79" t="str">
        <f t="shared" si="38"/>
        <v/>
      </c>
      <c r="L16" s="79" t="str">
        <f t="shared" si="38"/>
        <v/>
      </c>
      <c r="M16" s="79" t="str">
        <f t="shared" si="38"/>
        <v/>
      </c>
      <c r="N16" s="79" t="str">
        <f t="shared" si="38"/>
        <v/>
      </c>
      <c r="O16" s="79" t="str">
        <f t="shared" si="38"/>
        <v/>
      </c>
      <c r="P16" s="79" t="str">
        <f t="shared" si="38"/>
        <v/>
      </c>
      <c r="Q16" s="79" t="str">
        <f t="shared" si="38"/>
        <v/>
      </c>
      <c r="R16" s="79" t="str">
        <f t="shared" si="38"/>
        <v/>
      </c>
      <c r="S16" s="79" t="str">
        <f t="shared" si="38"/>
        <v/>
      </c>
      <c r="T16" s="78" t="str">
        <f>IF((SUMIF($BC$21:$BC$102,$B16*100+T$3,$BA$22:$BA$103)+SUMIF($BC$21:$BC$102,$B16+T$3*100,$BA$22:$BA$103))=1,(SUMIF($BC$21:$BC$102,$B16*100+T$3,$J$19:$J$99)+SUMIF($BD$21:$BD$102,$B16*100+T$3,$M$19:$M$99)),"")</f>
        <v/>
      </c>
      <c r="U16" s="76" t="str">
        <f t="shared" si="0"/>
        <v/>
      </c>
      <c r="V16" s="8">
        <f t="shared" si="22"/>
        <v>0</v>
      </c>
      <c r="W16" s="8">
        <f t="shared" si="23"/>
        <v>0</v>
      </c>
      <c r="X16" s="8">
        <f t="shared" si="24"/>
        <v>1</v>
      </c>
      <c r="Z16" s="31">
        <v>13</v>
      </c>
      <c r="AA16" s="32">
        <v>2</v>
      </c>
      <c r="AB16" s="33" t="str">
        <f t="shared" si="25"/>
        <v>N</v>
      </c>
      <c r="AC16" s="34">
        <f t="shared" si="26"/>
        <v>0</v>
      </c>
      <c r="AD16" s="34" t="e">
        <f t="shared" si="1"/>
        <v>#N/A</v>
      </c>
      <c r="AE16" s="55">
        <f t="shared" si="27"/>
        <v>0</v>
      </c>
      <c r="AF16" s="34" t="e">
        <f t="shared" si="2"/>
        <v>#N/A</v>
      </c>
      <c r="AG16" s="35" t="e">
        <f t="shared" si="3"/>
        <v>#N/A</v>
      </c>
      <c r="AH16" s="56"/>
      <c r="AI16" s="12">
        <f t="shared" si="28"/>
        <v>0</v>
      </c>
      <c r="AJ16" s="12">
        <f t="shared" si="29"/>
        <v>0</v>
      </c>
      <c r="AK16" s="12">
        <f t="shared" si="30"/>
        <v>0</v>
      </c>
      <c r="AL16" s="12">
        <f t="shared" si="31"/>
        <v>0</v>
      </c>
      <c r="AM16" s="12">
        <f t="shared" si="32"/>
        <v>0</v>
      </c>
      <c r="AN16" s="12">
        <f t="shared" si="33"/>
        <v>0</v>
      </c>
      <c r="AO16" s="12"/>
      <c r="AP16" s="12">
        <f t="shared" si="34"/>
        <v>0</v>
      </c>
      <c r="AQ16" s="12">
        <f t="shared" si="35"/>
        <v>0</v>
      </c>
      <c r="AR16" s="12">
        <f t="shared" si="36"/>
        <v>0</v>
      </c>
      <c r="AS16" s="12">
        <f t="shared" si="37"/>
        <v>1</v>
      </c>
      <c r="AT16" s="6"/>
      <c r="AU16" s="6"/>
      <c r="AV16" s="6"/>
      <c r="AW16" s="6"/>
      <c r="AX16" s="37">
        <v>13</v>
      </c>
      <c r="AY16" s="38">
        <f t="shared" si="4"/>
        <v>0</v>
      </c>
      <c r="AZ16" s="39">
        <f t="shared" ca="1" si="5"/>
        <v>0</v>
      </c>
      <c r="BA16" s="39">
        <f t="shared" si="6"/>
        <v>0</v>
      </c>
      <c r="BB16" s="6"/>
      <c r="BC16" s="6">
        <v>13</v>
      </c>
      <c r="BD16" s="6">
        <f t="shared" si="7"/>
        <v>0</v>
      </c>
      <c r="BE16" s="6">
        <f t="shared" si="7"/>
        <v>0</v>
      </c>
      <c r="BF16" s="6">
        <f t="shared" si="7"/>
        <v>0</v>
      </c>
      <c r="BG16" s="6">
        <f t="shared" si="7"/>
        <v>0</v>
      </c>
      <c r="BH16" s="6">
        <f t="shared" si="7"/>
        <v>0</v>
      </c>
      <c r="BI16" s="6">
        <f t="shared" si="7"/>
        <v>0</v>
      </c>
      <c r="BJ16" s="6">
        <f t="shared" si="7"/>
        <v>0</v>
      </c>
      <c r="BK16" s="6">
        <f t="shared" si="7"/>
        <v>0</v>
      </c>
      <c r="BL16" s="6">
        <f t="shared" si="7"/>
        <v>0</v>
      </c>
      <c r="BM16" s="6">
        <f t="shared" si="7"/>
        <v>0</v>
      </c>
      <c r="BN16" s="6">
        <f t="shared" si="7"/>
        <v>0</v>
      </c>
      <c r="BO16" s="6">
        <f t="shared" si="7"/>
        <v>0</v>
      </c>
      <c r="BP16" s="6">
        <f t="shared" si="7"/>
        <v>0</v>
      </c>
      <c r="BQ16" s="6"/>
      <c r="BR16" s="6">
        <v>13</v>
      </c>
      <c r="BS16" s="6">
        <f t="shared" si="8"/>
        <v>0</v>
      </c>
      <c r="BT16" s="6">
        <f t="shared" si="9"/>
        <v>0</v>
      </c>
      <c r="BU16" s="6">
        <f t="shared" si="10"/>
        <v>0</v>
      </c>
      <c r="BV16" s="6">
        <f t="shared" si="11"/>
        <v>0</v>
      </c>
      <c r="BW16" s="6">
        <f t="shared" si="12"/>
        <v>0</v>
      </c>
      <c r="BX16" s="6">
        <f t="shared" si="13"/>
        <v>0</v>
      </c>
      <c r="BY16" s="6">
        <f t="shared" si="14"/>
        <v>0</v>
      </c>
      <c r="BZ16" s="6">
        <f t="shared" si="15"/>
        <v>0</v>
      </c>
      <c r="CA16" s="6">
        <f t="shared" si="16"/>
        <v>0</v>
      </c>
      <c r="CB16" s="6">
        <f t="shared" si="17"/>
        <v>0</v>
      </c>
      <c r="CC16" s="6">
        <f t="shared" si="18"/>
        <v>0</v>
      </c>
      <c r="CD16" s="6">
        <f t="shared" si="19"/>
        <v>0</v>
      </c>
      <c r="CE16" s="6">
        <f t="shared" si="20"/>
        <v>0</v>
      </c>
    </row>
    <row r="17" spans="1:83" x14ac:dyDescent="0.25">
      <c r="A17" s="81">
        <f t="shared" si="21"/>
        <v>1</v>
      </c>
      <c r="B17" s="25">
        <v>14</v>
      </c>
      <c r="C17" s="25" t="s">
        <v>78</v>
      </c>
      <c r="D17" s="88"/>
      <c r="E17" s="89"/>
      <c r="F17" s="25">
        <v>1000</v>
      </c>
      <c r="G17" s="6"/>
      <c r="H17" s="79" t="str">
        <f t="shared" si="38"/>
        <v/>
      </c>
      <c r="I17" s="79" t="str">
        <f t="shared" si="38"/>
        <v/>
      </c>
      <c r="J17" s="79" t="str">
        <f t="shared" si="38"/>
        <v/>
      </c>
      <c r="K17" s="79" t="str">
        <f t="shared" si="38"/>
        <v/>
      </c>
      <c r="L17" s="79" t="str">
        <f t="shared" si="38"/>
        <v/>
      </c>
      <c r="M17" s="79" t="str">
        <f t="shared" si="38"/>
        <v/>
      </c>
      <c r="N17" s="79" t="str">
        <f t="shared" si="38"/>
        <v/>
      </c>
      <c r="O17" s="79" t="str">
        <f t="shared" si="38"/>
        <v/>
      </c>
      <c r="P17" s="79" t="str">
        <f t="shared" si="38"/>
        <v/>
      </c>
      <c r="Q17" s="79" t="str">
        <f t="shared" si="38"/>
        <v/>
      </c>
      <c r="R17" s="79" t="str">
        <f t="shared" si="38"/>
        <v/>
      </c>
      <c r="S17" s="79" t="str">
        <f t="shared" si="38"/>
        <v/>
      </c>
      <c r="T17" s="79" t="str">
        <f t="shared" si="38"/>
        <v/>
      </c>
      <c r="U17" s="78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22"/>
        <v>0</v>
      </c>
      <c r="W17" s="8">
        <f t="shared" si="23"/>
        <v>0</v>
      </c>
      <c r="X17" s="8">
        <f t="shared" si="24"/>
        <v>1</v>
      </c>
      <c r="Z17" s="31">
        <v>14</v>
      </c>
      <c r="AA17" s="32">
        <v>1</v>
      </c>
      <c r="AB17" s="33" t="str">
        <f t="shared" si="25"/>
        <v>O</v>
      </c>
      <c r="AC17" s="34">
        <f t="shared" si="26"/>
        <v>0</v>
      </c>
      <c r="AD17" s="34" t="e">
        <f>VLOOKUP($W13,$AT$4:$AW$13,2,FALSE)</f>
        <v>#N/A</v>
      </c>
      <c r="AE17" s="55">
        <f t="shared" si="27"/>
        <v>0</v>
      </c>
      <c r="AF17" s="34" t="e">
        <f>VLOOKUP($W13,$AT$4:$AW$13,4,FALSE)</f>
        <v>#N/A</v>
      </c>
      <c r="AG17" s="35" t="e">
        <f>VLOOKUP($W13,$B$4:$R$13,5,FALSE)</f>
        <v>#N/A</v>
      </c>
      <c r="AH17" s="56"/>
      <c r="AI17" s="12">
        <f t="shared" si="28"/>
        <v>0</v>
      </c>
      <c r="AJ17" s="12">
        <f t="shared" si="29"/>
        <v>0</v>
      </c>
      <c r="AK17" s="12">
        <f t="shared" si="30"/>
        <v>0</v>
      </c>
      <c r="AL17" s="12">
        <f t="shared" si="31"/>
        <v>0</v>
      </c>
      <c r="AM17" s="12">
        <f t="shared" si="32"/>
        <v>0</v>
      </c>
      <c r="AN17" s="12">
        <f t="shared" si="33"/>
        <v>0</v>
      </c>
      <c r="AO17" s="12"/>
      <c r="AP17" s="12">
        <f t="shared" si="34"/>
        <v>0</v>
      </c>
      <c r="AQ17" s="12">
        <f t="shared" si="35"/>
        <v>0</v>
      </c>
      <c r="AR17" s="12">
        <f t="shared" si="36"/>
        <v>0</v>
      </c>
      <c r="AS17" s="12">
        <f t="shared" si="37"/>
        <v>1</v>
      </c>
      <c r="AT17" s="6"/>
      <c r="AU17" s="6"/>
      <c r="AV17" s="6"/>
      <c r="AW17" s="6"/>
      <c r="AX17" s="37">
        <v>14</v>
      </c>
      <c r="AY17" s="38">
        <f t="shared" si="4"/>
        <v>0</v>
      </c>
      <c r="AZ17" s="39">
        <f t="shared" ca="1" si="5"/>
        <v>0</v>
      </c>
      <c r="BA17" s="39">
        <f t="shared" si="6"/>
        <v>0</v>
      </c>
      <c r="BB17" s="6"/>
      <c r="BC17" s="6">
        <v>14</v>
      </c>
      <c r="BD17" s="6">
        <f t="shared" si="7"/>
        <v>0</v>
      </c>
      <c r="BE17" s="6">
        <f t="shared" si="7"/>
        <v>0</v>
      </c>
      <c r="BF17" s="6">
        <f t="shared" si="7"/>
        <v>0</v>
      </c>
      <c r="BG17" s="6">
        <f t="shared" si="7"/>
        <v>0</v>
      </c>
      <c r="BH17" s="6">
        <f t="shared" si="7"/>
        <v>0</v>
      </c>
      <c r="BI17" s="6">
        <f t="shared" si="7"/>
        <v>0</v>
      </c>
      <c r="BJ17" s="6">
        <f t="shared" si="7"/>
        <v>0</v>
      </c>
      <c r="BK17" s="6">
        <f t="shared" si="7"/>
        <v>0</v>
      </c>
      <c r="BL17" s="6">
        <f t="shared" si="7"/>
        <v>0</v>
      </c>
      <c r="BM17" s="6">
        <f t="shared" si="7"/>
        <v>0</v>
      </c>
      <c r="BN17" s="6">
        <f t="shared" si="7"/>
        <v>0</v>
      </c>
      <c r="BO17" s="6">
        <f t="shared" si="7"/>
        <v>0</v>
      </c>
      <c r="BP17" s="6">
        <f t="shared" si="7"/>
        <v>0</v>
      </c>
      <c r="BQ17" s="6"/>
      <c r="BR17" s="6">
        <v>14</v>
      </c>
      <c r="BS17" s="6">
        <f t="shared" si="8"/>
        <v>0</v>
      </c>
      <c r="BT17" s="6">
        <f t="shared" si="9"/>
        <v>0</v>
      </c>
      <c r="BU17" s="6">
        <f t="shared" si="10"/>
        <v>0</v>
      </c>
      <c r="BV17" s="6">
        <f t="shared" si="11"/>
        <v>0</v>
      </c>
      <c r="BW17" s="6">
        <f t="shared" si="12"/>
        <v>0</v>
      </c>
      <c r="BX17" s="6">
        <f t="shared" si="13"/>
        <v>0</v>
      </c>
      <c r="BY17" s="6">
        <f t="shared" si="14"/>
        <v>0</v>
      </c>
      <c r="BZ17" s="6">
        <f t="shared" si="15"/>
        <v>0</v>
      </c>
      <c r="CA17" s="6">
        <f t="shared" si="16"/>
        <v>0</v>
      </c>
      <c r="CB17" s="6">
        <f t="shared" si="17"/>
        <v>0</v>
      </c>
      <c r="CC17" s="6">
        <f t="shared" si="18"/>
        <v>0</v>
      </c>
      <c r="CD17" s="6">
        <f t="shared" si="19"/>
        <v>0</v>
      </c>
      <c r="CE17" s="6">
        <f t="shared" si="20"/>
        <v>0</v>
      </c>
    </row>
    <row r="18" spans="1:83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C18" s="34"/>
      <c r="AD18" s="6"/>
      <c r="AE18" s="6"/>
      <c r="AF18" s="6"/>
      <c r="AG18" s="6"/>
      <c r="AH18" s="6"/>
      <c r="AI18" s="80">
        <f>2*MAX(AI4:AI17)+1</f>
        <v>1</v>
      </c>
      <c r="AJ18" s="6"/>
      <c r="AK18" s="80">
        <f>2*MAX(AK4:AK17)+1</f>
        <v>1</v>
      </c>
      <c r="AL18" s="6"/>
      <c r="AM18" s="80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71"/>
      <c r="AY18" s="72"/>
      <c r="AZ18" s="72"/>
      <c r="BA18" s="72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84" t="str">
        <f t="shared" ref="E21:E27" si="39">VLOOKUP(AZ21,$B$4:$F$17,2,FALSE)</f>
        <v>O</v>
      </c>
      <c r="F21" s="84"/>
      <c r="G21" s="84"/>
      <c r="H21" s="84"/>
      <c r="I21" s="6"/>
      <c r="J21" s="84" t="str">
        <f>IF(X21="","",VLOOKUP(X21,Configuratie!$B$1:$E$10,3,FALSE))</f>
        <v/>
      </c>
      <c r="K21" s="84"/>
      <c r="L21" s="6" t="s">
        <v>5</v>
      </c>
      <c r="M21" s="84" t="str">
        <f>IF(X21="","",VLOOKUP(X21,Configuratie!$B$1:$E$10,4,FALSE))</f>
        <v/>
      </c>
      <c r="N21" s="84"/>
      <c r="O21" s="6"/>
      <c r="P21" s="6"/>
      <c r="Q21" s="6"/>
      <c r="R21" s="6"/>
      <c r="S21" s="6"/>
      <c r="T21" s="6"/>
      <c r="U21" s="6"/>
      <c r="V21" s="6" t="str">
        <f>IF(X21="","",VLOOKUP(X21,Configuratie!$B$1:$E$10,2,FALSE))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40">VLOOKUP(AY22,$B$4:$F$17,2,FALSE)</f>
        <v>B</v>
      </c>
      <c r="D22" s="46" t="s">
        <v>5</v>
      </c>
      <c r="E22" s="84" t="str">
        <f t="shared" si="39"/>
        <v>N</v>
      </c>
      <c r="F22" s="84"/>
      <c r="G22" s="84"/>
      <c r="H22" s="84"/>
      <c r="I22" s="6"/>
      <c r="J22" s="84" t="str">
        <f>IF(X22="","",VLOOKUP(X22,Configuratie!$B$1:$E$10,3,FALSE))</f>
        <v/>
      </c>
      <c r="K22" s="84"/>
      <c r="L22" s="6" t="s">
        <v>5</v>
      </c>
      <c r="M22" s="84" t="str">
        <f>IF(X22="","",VLOOKUP(X22,Configuratie!$B$1:$E$10,4,FALSE))</f>
        <v/>
      </c>
      <c r="N22" s="84"/>
      <c r="O22" s="6"/>
      <c r="P22" s="6"/>
      <c r="Q22" s="6"/>
      <c r="R22" s="6"/>
      <c r="S22" s="6"/>
      <c r="T22" s="6"/>
      <c r="U22" s="6"/>
      <c r="V22" s="6" t="str">
        <f>IF(X22="","",VLOOKUP(X22,Configuratie!$B$1:$E$10,2,FALSE))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41">IF(AND(ISNUMBER(J22),ISNUMBER(M22)),IF(J22+M22=1,1,0),"")</f>
        <v/>
      </c>
      <c r="BB22" s="6"/>
      <c r="BC22" s="48">
        <f t="shared" ref="BC22:BC27" si="42">AY22*100+AZ22</f>
        <v>213</v>
      </c>
      <c r="BD22" s="48">
        <f t="shared" ref="BD22:BD26" si="43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40"/>
        <v>C</v>
      </c>
      <c r="D23" s="46" t="s">
        <v>5</v>
      </c>
      <c r="E23" s="84" t="str">
        <f t="shared" si="39"/>
        <v>M</v>
      </c>
      <c r="F23" s="84"/>
      <c r="G23" s="84"/>
      <c r="H23" s="84"/>
      <c r="I23" s="6"/>
      <c r="J23" s="84" t="str">
        <f>IF(X23="","",VLOOKUP(X23,Configuratie!$B$1:$E$10,3,FALSE))</f>
        <v/>
      </c>
      <c r="K23" s="84"/>
      <c r="L23" s="6" t="s">
        <v>5</v>
      </c>
      <c r="M23" s="84" t="str">
        <f>IF(X23="","",VLOOKUP(X23,Configuratie!$B$1:$E$10,4,FALSE))</f>
        <v/>
      </c>
      <c r="N23" s="84"/>
      <c r="O23" s="6"/>
      <c r="P23" s="6"/>
      <c r="Q23" s="6"/>
      <c r="R23" s="6"/>
      <c r="S23" s="6"/>
      <c r="T23" s="6"/>
      <c r="U23" s="6"/>
      <c r="V23" s="6" t="str">
        <f>IF(X23="","",VLOOKUP(X23,Configuratie!$B$1:$E$10,2,FALSE))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41"/>
        <v/>
      </c>
      <c r="BB23" s="6"/>
      <c r="BC23" s="48">
        <f t="shared" si="42"/>
        <v>312</v>
      </c>
      <c r="BD23" s="48">
        <f t="shared" si="43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40"/>
        <v>D</v>
      </c>
      <c r="D24" s="46" t="s">
        <v>5</v>
      </c>
      <c r="E24" s="84" t="str">
        <f t="shared" si="39"/>
        <v>L</v>
      </c>
      <c r="F24" s="84"/>
      <c r="G24" s="84"/>
      <c r="H24" s="84"/>
      <c r="I24" s="6"/>
      <c r="J24" s="84" t="str">
        <f>IF(X24="","",VLOOKUP(X24,Configuratie!$B$1:$E$10,3,FALSE))</f>
        <v/>
      </c>
      <c r="K24" s="84"/>
      <c r="L24" s="6" t="s">
        <v>5</v>
      </c>
      <c r="M24" s="84" t="str">
        <f>IF(X24="","",VLOOKUP(X24,Configuratie!$B$1:$E$10,4,FALSE))</f>
        <v/>
      </c>
      <c r="N24" s="84"/>
      <c r="O24" s="6"/>
      <c r="P24" s="6"/>
      <c r="Q24" s="6"/>
      <c r="R24" s="6"/>
      <c r="S24" s="6"/>
      <c r="T24" s="6"/>
      <c r="U24" s="6"/>
      <c r="V24" s="6" t="str">
        <f>IF(X24="","",VLOOKUP(X24,Configuratie!$B$1:$E$10,2,FALSE))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41"/>
        <v/>
      </c>
      <c r="BB24" s="6"/>
      <c r="BC24" s="48">
        <f t="shared" si="42"/>
        <v>411</v>
      </c>
      <c r="BD24" s="48">
        <f t="shared" si="43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40"/>
        <v>E</v>
      </c>
      <c r="D25" s="46" t="s">
        <v>5</v>
      </c>
      <c r="E25" s="84" t="str">
        <f t="shared" si="39"/>
        <v>K</v>
      </c>
      <c r="F25" s="84"/>
      <c r="G25" s="84"/>
      <c r="H25" s="84"/>
      <c r="I25" s="6"/>
      <c r="J25" s="84" t="str">
        <f>IF(X25="","",VLOOKUP(X25,Configuratie!$B$1:$E$10,3,FALSE))</f>
        <v/>
      </c>
      <c r="K25" s="84"/>
      <c r="L25" s="6" t="s">
        <v>5</v>
      </c>
      <c r="M25" s="84" t="str">
        <f>IF(X25="","",VLOOKUP(X25,Configuratie!$B$1:$E$10,4,FALSE))</f>
        <v/>
      </c>
      <c r="N25" s="84"/>
      <c r="O25" s="6"/>
      <c r="P25" s="6"/>
      <c r="Q25" s="6"/>
      <c r="R25" s="6"/>
      <c r="S25" s="6"/>
      <c r="T25" s="6"/>
      <c r="U25" s="6"/>
      <c r="V25" s="6" t="str">
        <f>IF(X25="","",VLOOKUP(X25,Configuratie!$B$1:$E$10,2,FALSE))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41"/>
        <v/>
      </c>
      <c r="BB25" s="6"/>
      <c r="BC25" s="48">
        <f t="shared" si="42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40"/>
        <v>G</v>
      </c>
      <c r="D26" s="46" t="s">
        <v>5</v>
      </c>
      <c r="E26" s="84" t="str">
        <f t="shared" si="39"/>
        <v>J</v>
      </c>
      <c r="F26" s="84"/>
      <c r="G26" s="84"/>
      <c r="H26" s="84"/>
      <c r="I26" s="6"/>
      <c r="J26" s="84" t="str">
        <f>IF(X26="","",VLOOKUP(X26,Configuratie!$B$1:$E$10,3,FALSE))</f>
        <v/>
      </c>
      <c r="K26" s="84"/>
      <c r="L26" s="6" t="s">
        <v>5</v>
      </c>
      <c r="M26" s="84" t="str">
        <f>IF(X26="","",VLOOKUP(X26,Configuratie!$B$1:$E$10,4,FALSE))</f>
        <v/>
      </c>
      <c r="N26" s="84"/>
      <c r="O26" s="6"/>
      <c r="P26" s="6"/>
      <c r="Q26" s="6"/>
      <c r="R26" s="6"/>
      <c r="S26" s="6"/>
      <c r="T26" s="6"/>
      <c r="U26" s="6"/>
      <c r="V26" s="6" t="str">
        <f>IF(X26="","",VLOOKUP(X26,Configuratie!$B$1:$E$10,2,FALSE))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41"/>
        <v/>
      </c>
      <c r="BB26" s="6"/>
      <c r="BC26" s="48">
        <f t="shared" si="42"/>
        <v>609</v>
      </c>
      <c r="BD26" s="48">
        <f t="shared" si="43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40"/>
        <v>H</v>
      </c>
      <c r="D27" s="46" t="s">
        <v>5</v>
      </c>
      <c r="E27" s="84" t="str">
        <f t="shared" si="39"/>
        <v>I</v>
      </c>
      <c r="F27" s="84"/>
      <c r="G27" s="84"/>
      <c r="H27" s="84"/>
      <c r="I27" s="6"/>
      <c r="J27" s="84" t="str">
        <f>IF(X27="","",VLOOKUP(X27,Configuratie!$B$1:$E$10,3,FALSE))</f>
        <v/>
      </c>
      <c r="K27" s="84"/>
      <c r="L27" s="6" t="s">
        <v>5</v>
      </c>
      <c r="M27" s="84" t="str">
        <f>IF(X27="","",VLOOKUP(X27,Configuratie!$B$1:$E$10,4,FALSE))</f>
        <v/>
      </c>
      <c r="N27" s="84"/>
      <c r="O27" s="6"/>
      <c r="P27" s="6"/>
      <c r="Q27" s="6"/>
      <c r="R27" s="6"/>
      <c r="S27" s="6"/>
      <c r="T27" s="6"/>
      <c r="U27" s="6"/>
      <c r="V27" s="6" t="str">
        <f>IF(X27="","",VLOOKUP(X27,Configuratie!$B$1:$E$10,2,FALSE))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41"/>
        <v/>
      </c>
      <c r="BB27" s="6"/>
      <c r="BC27" s="48">
        <f t="shared" si="42"/>
        <v>708</v>
      </c>
      <c r="BD27" s="48">
        <f>AZ27*100+AY27</f>
        <v>807</v>
      </c>
      <c r="BE27" s="6" t="e">
        <f t="shared" ref="BE27:BF31" si="44">VLOOKUP(AY30,$BJ$3:$BW$13,$AT24,FALSE)</f>
        <v>#N/A</v>
      </c>
      <c r="BF27" s="6" t="e">
        <f t="shared" si="44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45">IF(AND(ISNUMBER(N24),ISNUMBER(Q24)),IF(N24+Q24=1,1,0),"")</f>
        <v/>
      </c>
      <c r="BB28" s="6"/>
      <c r="BC28" s="48"/>
      <c r="BD28" s="48"/>
      <c r="BE28" s="6" t="e">
        <f t="shared" si="44"/>
        <v>#N/A</v>
      </c>
      <c r="BF28" s="6" t="e">
        <f t="shared" si="44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45"/>
        <v/>
      </c>
      <c r="BB29" s="6"/>
      <c r="BC29" s="48"/>
      <c r="BD29" s="48"/>
      <c r="BE29" s="6" t="e">
        <f t="shared" si="44"/>
        <v>#N/A</v>
      </c>
      <c r="BF29" s="6" t="e">
        <f t="shared" si="44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84" t="str">
        <f t="shared" ref="E30:E36" si="46">VLOOKUP(AZ30,$B$4:$F$17,2,FALSE)</f>
        <v>A</v>
      </c>
      <c r="F30" s="84"/>
      <c r="G30" s="84"/>
      <c r="H30" s="84"/>
      <c r="I30" s="6"/>
      <c r="J30" s="84" t="str">
        <f>IF(X30="","",VLOOKUP(X30,Configuratie!$B$1:$E$10,3,FALSE))</f>
        <v/>
      </c>
      <c r="K30" s="84"/>
      <c r="L30" s="6" t="s">
        <v>5</v>
      </c>
      <c r="M30" s="84" t="str">
        <f>IF(X30="","",VLOOKUP(X30,Configuratie!$B$1:$E$10,4,FALSE))</f>
        <v/>
      </c>
      <c r="N30" s="84"/>
      <c r="O30" s="6"/>
      <c r="P30" s="6"/>
      <c r="Q30" s="6"/>
      <c r="R30" s="6"/>
      <c r="S30" s="6"/>
      <c r="T30" s="6"/>
      <c r="U30" s="6"/>
      <c r="V30" s="6" t="str">
        <f>IF(X30="","",VLOOKUP(X30,Configuratie!$B$1:$E$10,2,FALSE))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7">AY30*100+AZ30</f>
        <v>1301</v>
      </c>
      <c r="BD30" s="48">
        <f>AZ30*100+AY30</f>
        <v>113</v>
      </c>
      <c r="BE30" s="6" t="e">
        <f t="shared" si="44"/>
        <v>#N/A</v>
      </c>
      <c r="BF30" s="6" t="e">
        <f t="shared" si="44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8">VLOOKUP(AY31,$B$4:$F$17,2,FALSE)</f>
        <v>M</v>
      </c>
      <c r="D31" s="46" t="s">
        <v>5</v>
      </c>
      <c r="E31" s="84" t="str">
        <f t="shared" si="46"/>
        <v>B</v>
      </c>
      <c r="F31" s="84"/>
      <c r="G31" s="84"/>
      <c r="H31" s="84"/>
      <c r="I31" s="6"/>
      <c r="J31" s="84" t="str">
        <f>IF(X31="","",VLOOKUP(X31,Configuratie!$B$1:$E$10,3,FALSE))</f>
        <v/>
      </c>
      <c r="K31" s="84"/>
      <c r="L31" s="6" t="s">
        <v>5</v>
      </c>
      <c r="M31" s="84" t="str">
        <f>IF(X31="","",VLOOKUP(X31,Configuratie!$B$1:$E$10,4,FALSE))</f>
        <v/>
      </c>
      <c r="N31" s="84"/>
      <c r="O31" s="6"/>
      <c r="P31" s="6"/>
      <c r="Q31" s="6"/>
      <c r="R31" s="6"/>
      <c r="S31" s="6"/>
      <c r="T31" s="6"/>
      <c r="U31" s="6"/>
      <c r="V31" s="6" t="str">
        <f>IF(X31="","",VLOOKUP(X31,Configuratie!$B$1:$E$10,2,FALSE))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9">IF(AND(ISNUMBER(J31),ISNUMBER(M31)),IF(J31+M31=1,1,0),"")</f>
        <v/>
      </c>
      <c r="BB31" s="6"/>
      <c r="BC31" s="48">
        <f t="shared" si="47"/>
        <v>1202</v>
      </c>
      <c r="BD31" s="48">
        <f t="shared" ref="BD31:BD35" si="50">AZ31*100+AY31</f>
        <v>212</v>
      </c>
      <c r="BE31" s="6" t="e">
        <f t="shared" si="44"/>
        <v>#N/A</v>
      </c>
      <c r="BF31" s="6" t="e">
        <f t="shared" si="44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8"/>
        <v>L</v>
      </c>
      <c r="D32" s="46" t="s">
        <v>5</v>
      </c>
      <c r="E32" s="84" t="str">
        <f t="shared" si="46"/>
        <v>C</v>
      </c>
      <c r="F32" s="84"/>
      <c r="G32" s="84"/>
      <c r="H32" s="84"/>
      <c r="I32" s="6"/>
      <c r="J32" s="84" t="str">
        <f>IF(X32="","",VLOOKUP(X32,Configuratie!$B$1:$E$10,3,FALSE))</f>
        <v/>
      </c>
      <c r="K32" s="84"/>
      <c r="L32" s="6" t="s">
        <v>5</v>
      </c>
      <c r="M32" s="84" t="str">
        <f>IF(X32="","",VLOOKUP(X32,Configuratie!$B$1:$E$10,4,FALSE))</f>
        <v/>
      </c>
      <c r="N32" s="84"/>
      <c r="O32" s="6"/>
      <c r="P32" s="6"/>
      <c r="Q32" s="6"/>
      <c r="R32" s="6"/>
      <c r="S32" s="6"/>
      <c r="T32" s="6"/>
      <c r="U32" s="6"/>
      <c r="V32" s="6" t="str">
        <f>IF(X32="","",VLOOKUP(X32,Configuratie!$B$1:$E$10,2,FALSE))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9"/>
        <v/>
      </c>
      <c r="BB32" s="6"/>
      <c r="BC32" s="48">
        <f t="shared" si="47"/>
        <v>1103</v>
      </c>
      <c r="BD32" s="48">
        <f t="shared" si="50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8"/>
        <v>K</v>
      </c>
      <c r="D33" s="46" t="s">
        <v>5</v>
      </c>
      <c r="E33" s="84" t="str">
        <f t="shared" si="46"/>
        <v>D</v>
      </c>
      <c r="F33" s="84"/>
      <c r="G33" s="84"/>
      <c r="H33" s="84"/>
      <c r="I33" s="6"/>
      <c r="J33" s="84" t="str">
        <f>IF(X33="","",VLOOKUP(X33,Configuratie!$B$1:$E$10,3,FALSE))</f>
        <v/>
      </c>
      <c r="K33" s="84"/>
      <c r="L33" s="6" t="s">
        <v>5</v>
      </c>
      <c r="M33" s="84" t="str">
        <f>IF(X33="","",VLOOKUP(X33,Configuratie!$B$1:$E$10,4,FALSE))</f>
        <v/>
      </c>
      <c r="N33" s="84"/>
      <c r="O33" s="6"/>
      <c r="P33" s="6"/>
      <c r="Q33" s="6"/>
      <c r="R33" s="6"/>
      <c r="S33" s="6"/>
      <c r="T33" s="6"/>
      <c r="U33" s="6"/>
      <c r="V33" s="6" t="str">
        <f>IF(X33="","",VLOOKUP(X33,Configuratie!$B$1:$E$10,2,FALSE))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9"/>
        <v/>
      </c>
      <c r="BB33" s="6"/>
      <c r="BC33" s="48">
        <f t="shared" si="47"/>
        <v>1004</v>
      </c>
      <c r="BD33" s="48">
        <f t="shared" si="50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8"/>
        <v>J</v>
      </c>
      <c r="D34" s="46" t="s">
        <v>5</v>
      </c>
      <c r="E34" s="84" t="str">
        <f t="shared" si="46"/>
        <v>E</v>
      </c>
      <c r="F34" s="84"/>
      <c r="G34" s="84"/>
      <c r="H34" s="84"/>
      <c r="I34" s="6"/>
      <c r="J34" s="84" t="str">
        <f>IF(X34="","",VLOOKUP(X34,Configuratie!$B$1:$E$10,3,FALSE))</f>
        <v/>
      </c>
      <c r="K34" s="84"/>
      <c r="L34" s="6" t="s">
        <v>5</v>
      </c>
      <c r="M34" s="84" t="str">
        <f>IF(X34="","",VLOOKUP(X34,Configuratie!$B$1:$E$10,4,FALSE))</f>
        <v/>
      </c>
      <c r="N34" s="84"/>
      <c r="O34" s="6"/>
      <c r="P34" s="6"/>
      <c r="Q34" s="6"/>
      <c r="R34" s="6"/>
      <c r="S34" s="6"/>
      <c r="T34" s="6"/>
      <c r="U34" s="6"/>
      <c r="V34" s="6" t="str">
        <f>IF(X34="","",VLOOKUP(X34,Configuratie!$B$1:$E$10,2,FALSE))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9"/>
        <v/>
      </c>
      <c r="BB34" s="6"/>
      <c r="BC34" s="48">
        <f t="shared" si="47"/>
        <v>905</v>
      </c>
      <c r="BD34" s="48">
        <f>AZ34*100+AY34</f>
        <v>509</v>
      </c>
      <c r="BE34" s="6" t="e">
        <f t="shared" ref="BE34:BF38" si="51">VLOOKUP(AY39,$BJ$3:$BW$13,$AT31,FALSE)</f>
        <v>#N/A</v>
      </c>
      <c r="BF34" s="6" t="e">
        <f t="shared" si="51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8"/>
        <v>I</v>
      </c>
      <c r="D35" s="46" t="s">
        <v>5</v>
      </c>
      <c r="E35" s="84" t="str">
        <f t="shared" si="46"/>
        <v>G</v>
      </c>
      <c r="F35" s="84"/>
      <c r="G35" s="84"/>
      <c r="H35" s="84"/>
      <c r="I35" s="6"/>
      <c r="J35" s="84" t="str">
        <f>IF(X35="","",VLOOKUP(X35,Configuratie!$B$1:$E$10,3,FALSE))</f>
        <v/>
      </c>
      <c r="K35" s="84"/>
      <c r="L35" s="6" t="s">
        <v>5</v>
      </c>
      <c r="M35" s="84" t="str">
        <f>IF(X35="","",VLOOKUP(X35,Configuratie!$B$1:$E$10,4,FALSE))</f>
        <v/>
      </c>
      <c r="N35" s="84"/>
      <c r="O35" s="6"/>
      <c r="P35" s="6"/>
      <c r="Q35" s="6"/>
      <c r="R35" s="6"/>
      <c r="S35" s="6"/>
      <c r="T35" s="6"/>
      <c r="U35" s="6"/>
      <c r="V35" s="6" t="str">
        <f>IF(X35="","",VLOOKUP(X35,Configuratie!$B$1:$E$10,2,FALSE))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9"/>
        <v/>
      </c>
      <c r="BB35" s="6"/>
      <c r="BC35" s="48">
        <f t="shared" si="47"/>
        <v>806</v>
      </c>
      <c r="BD35" s="48">
        <f t="shared" si="50"/>
        <v>608</v>
      </c>
      <c r="BE35" s="6" t="e">
        <f t="shared" si="51"/>
        <v>#N/A</v>
      </c>
      <c r="BF35" s="6" t="e">
        <f t="shared" si="51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8"/>
        <v>O</v>
      </c>
      <c r="D36" s="46" t="s">
        <v>5</v>
      </c>
      <c r="E36" s="84" t="str">
        <f t="shared" si="46"/>
        <v>H</v>
      </c>
      <c r="F36" s="84"/>
      <c r="G36" s="84"/>
      <c r="H36" s="84"/>
      <c r="I36" s="6"/>
      <c r="J36" s="84" t="str">
        <f>IF(X36="","",VLOOKUP(X36,Configuratie!$B$1:$E$10,3,FALSE))</f>
        <v/>
      </c>
      <c r="K36" s="84"/>
      <c r="L36" s="6" t="s">
        <v>5</v>
      </c>
      <c r="M36" s="84" t="str">
        <f>IF(X36="","",VLOOKUP(X36,Configuratie!$B$1:$E$10,4,FALSE))</f>
        <v/>
      </c>
      <c r="N36" s="84"/>
      <c r="O36" s="6"/>
      <c r="P36" s="6"/>
      <c r="Q36" s="6"/>
      <c r="R36" s="6"/>
      <c r="S36" s="6"/>
      <c r="T36" s="6"/>
      <c r="U36" s="6"/>
      <c r="V36" s="6" t="str">
        <f>IF(X36="","",VLOOKUP(X36,Configuratie!$B$1:$E$10,2,FALSE))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9"/>
        <v/>
      </c>
      <c r="BB36" s="6"/>
      <c r="BC36" s="48">
        <f t="shared" si="47"/>
        <v>1407</v>
      </c>
      <c r="BD36" s="48">
        <f>AZ36*100+AY36</f>
        <v>714</v>
      </c>
      <c r="BE36" s="6" t="e">
        <f t="shared" si="51"/>
        <v>#N/A</v>
      </c>
      <c r="BF36" s="6" t="e">
        <f t="shared" si="51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52">IF(AND(ISNUMBER(N33),ISNUMBER(Q33)),IF(N33+Q33=1,1,0),"")</f>
        <v/>
      </c>
      <c r="BB37" s="6"/>
      <c r="BC37" s="48"/>
      <c r="BD37" s="48"/>
      <c r="BE37" s="6" t="e">
        <f t="shared" si="51"/>
        <v>#N/A</v>
      </c>
      <c r="BF37" s="6" t="e">
        <f t="shared" si="51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5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52"/>
        <v/>
      </c>
      <c r="BB38" s="6"/>
      <c r="BC38" s="48"/>
      <c r="BD38" s="48"/>
      <c r="BE38" s="6" t="e">
        <f t="shared" si="51"/>
        <v>#N/A</v>
      </c>
      <c r="BF38" s="6" t="e">
        <f t="shared" si="51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84" t="str">
        <f t="shared" ref="E39:E45" si="53">VLOOKUP(AZ39,$B$4:$F$17,2,FALSE)</f>
        <v>O</v>
      </c>
      <c r="F39" s="84"/>
      <c r="G39" s="84"/>
      <c r="H39" s="84"/>
      <c r="I39" s="6"/>
      <c r="J39" s="84" t="str">
        <f>IF(X39="","",VLOOKUP(X39,Configuratie!$B$1:$E$10,3,FALSE))</f>
        <v/>
      </c>
      <c r="K39" s="84"/>
      <c r="L39" s="6" t="s">
        <v>5</v>
      </c>
      <c r="M39" s="84" t="str">
        <f>IF(X39="","",VLOOKUP(X39,Configuratie!$B$1:$E$10,4,FALSE))</f>
        <v/>
      </c>
      <c r="N39" s="84"/>
      <c r="O39" s="6"/>
      <c r="P39" s="6"/>
      <c r="Q39" s="6"/>
      <c r="R39" s="6"/>
      <c r="S39" s="6"/>
      <c r="T39" s="6"/>
      <c r="U39" s="6"/>
      <c r="V39" s="6" t="str">
        <f>IF(X39="","",VLOOKUP(X39,Configuratie!$B$1:$E$10,2,FALSE))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54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55">VLOOKUP(AY40,$B$4:$F$17,2,FALSE)</f>
        <v>A</v>
      </c>
      <c r="D40" s="46" t="s">
        <v>5</v>
      </c>
      <c r="E40" s="84" t="str">
        <f t="shared" si="53"/>
        <v>M</v>
      </c>
      <c r="F40" s="84"/>
      <c r="G40" s="84"/>
      <c r="H40" s="84"/>
      <c r="I40" s="6"/>
      <c r="J40" s="84" t="str">
        <f>IF(X40="","",VLOOKUP(X40,Configuratie!$B$1:$E$10,3,FALSE))</f>
        <v/>
      </c>
      <c r="K40" s="84"/>
      <c r="L40" s="6" t="s">
        <v>5</v>
      </c>
      <c r="M40" s="84" t="str">
        <f>IF(X40="","",VLOOKUP(X40,Configuratie!$B$1:$E$10,4,FALSE))</f>
        <v/>
      </c>
      <c r="N40" s="84"/>
      <c r="O40" s="6"/>
      <c r="P40" s="6"/>
      <c r="Q40" s="6"/>
      <c r="R40" s="6"/>
      <c r="S40" s="6"/>
      <c r="T40" s="6"/>
      <c r="U40" s="6"/>
      <c r="V40" s="6" t="str">
        <f>IF(X40="","",VLOOKUP(X40,Configuratie!$B$1:$E$10,2,FALSE))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6">IF(AND(ISNUMBER(J40),ISNUMBER(M40)),IF(J40+M40=1,1,0),"")</f>
        <v/>
      </c>
      <c r="BB40" s="6"/>
      <c r="BC40" s="48">
        <f t="shared" si="54"/>
        <v>112</v>
      </c>
      <c r="BD40" s="48">
        <f t="shared" ref="BD40:BD44" si="57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55"/>
        <v>B</v>
      </c>
      <c r="D41" s="46" t="s">
        <v>5</v>
      </c>
      <c r="E41" s="84" t="str">
        <f t="shared" si="53"/>
        <v>L</v>
      </c>
      <c r="F41" s="84"/>
      <c r="G41" s="84"/>
      <c r="H41" s="84"/>
      <c r="I41" s="6"/>
      <c r="J41" s="84" t="str">
        <f>IF(X41="","",VLOOKUP(X41,Configuratie!$B$1:$E$10,3,FALSE))</f>
        <v/>
      </c>
      <c r="K41" s="84"/>
      <c r="L41" s="6" t="s">
        <v>5</v>
      </c>
      <c r="M41" s="84" t="str">
        <f>IF(X41="","",VLOOKUP(X41,Configuratie!$B$1:$E$10,4,FALSE))</f>
        <v/>
      </c>
      <c r="N41" s="84"/>
      <c r="O41" s="6"/>
      <c r="P41" s="6"/>
      <c r="Q41" s="6"/>
      <c r="R41" s="6"/>
      <c r="S41" s="6"/>
      <c r="T41" s="6"/>
      <c r="U41" s="6"/>
      <c r="V41" s="6" t="str">
        <f>IF(X41="","",VLOOKUP(X41,Configuratie!$B$1:$E$10,2,FALSE))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6"/>
        <v/>
      </c>
      <c r="BB41" s="6"/>
      <c r="BC41" s="48">
        <f t="shared" si="54"/>
        <v>211</v>
      </c>
      <c r="BD41" s="48">
        <f t="shared" si="57"/>
        <v>1102</v>
      </c>
      <c r="BE41" s="6" t="e">
        <f t="shared" ref="BE41:BF45" si="58">VLOOKUP(AY48,$BJ$3:$BW$13,$AT38,FALSE)</f>
        <v>#N/A</v>
      </c>
      <c r="BF41" s="6" t="e">
        <f t="shared" si="58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55"/>
        <v>C</v>
      </c>
      <c r="D42" s="46" t="s">
        <v>5</v>
      </c>
      <c r="E42" s="84" t="str">
        <f t="shared" si="53"/>
        <v>K</v>
      </c>
      <c r="F42" s="84"/>
      <c r="G42" s="84"/>
      <c r="H42" s="84"/>
      <c r="I42" s="6"/>
      <c r="J42" s="84" t="str">
        <f>IF(X42="","",VLOOKUP(X42,Configuratie!$B$1:$E$10,3,FALSE))</f>
        <v/>
      </c>
      <c r="K42" s="84"/>
      <c r="L42" s="6" t="s">
        <v>5</v>
      </c>
      <c r="M42" s="84" t="str">
        <f>IF(X42="","",VLOOKUP(X42,Configuratie!$B$1:$E$10,4,FALSE))</f>
        <v/>
      </c>
      <c r="N42" s="84"/>
      <c r="O42" s="6"/>
      <c r="P42" s="6"/>
      <c r="Q42" s="6"/>
      <c r="R42" s="6"/>
      <c r="S42" s="6"/>
      <c r="T42" s="6"/>
      <c r="U42" s="6"/>
      <c r="V42" s="6" t="str">
        <f>IF(X42="","",VLOOKUP(X42,Configuratie!$B$1:$E$10,2,FALSE))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6"/>
        <v/>
      </c>
      <c r="BB42" s="6"/>
      <c r="BC42" s="48">
        <f t="shared" si="54"/>
        <v>310</v>
      </c>
      <c r="BD42" s="48">
        <f t="shared" si="57"/>
        <v>1003</v>
      </c>
      <c r="BE42" s="6" t="e">
        <f t="shared" si="58"/>
        <v>#N/A</v>
      </c>
      <c r="BF42" s="6" t="e">
        <f t="shared" si="58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55"/>
        <v>D</v>
      </c>
      <c r="D43" s="46" t="s">
        <v>5</v>
      </c>
      <c r="E43" s="84" t="str">
        <f t="shared" si="53"/>
        <v>J</v>
      </c>
      <c r="F43" s="84"/>
      <c r="G43" s="84"/>
      <c r="H43" s="84"/>
      <c r="I43" s="6"/>
      <c r="J43" s="84" t="str">
        <f>IF(X43="","",VLOOKUP(X43,Configuratie!$B$1:$E$10,3,FALSE))</f>
        <v/>
      </c>
      <c r="K43" s="84"/>
      <c r="L43" s="6" t="s">
        <v>5</v>
      </c>
      <c r="M43" s="84" t="str">
        <f>IF(X43="","",VLOOKUP(X43,Configuratie!$B$1:$E$10,4,FALSE))</f>
        <v/>
      </c>
      <c r="N43" s="84"/>
      <c r="O43" s="6"/>
      <c r="P43" s="6"/>
      <c r="Q43" s="6"/>
      <c r="R43" s="6"/>
      <c r="S43" s="6"/>
      <c r="T43" s="6"/>
      <c r="U43" s="6"/>
      <c r="V43" s="6" t="str">
        <f>IF(X43="","",VLOOKUP(X43,Configuratie!$B$1:$E$10,2,FALSE))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6"/>
        <v/>
      </c>
      <c r="BB43" s="6"/>
      <c r="BC43" s="48">
        <f t="shared" si="54"/>
        <v>409</v>
      </c>
      <c r="BD43" s="48">
        <f>AZ43*100+AY43</f>
        <v>904</v>
      </c>
      <c r="BE43" s="6" t="e">
        <f t="shared" si="58"/>
        <v>#N/A</v>
      </c>
      <c r="BF43" s="6" t="e">
        <f t="shared" si="58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55"/>
        <v>E</v>
      </c>
      <c r="D44" s="46" t="s">
        <v>5</v>
      </c>
      <c r="E44" s="84" t="str">
        <f t="shared" si="53"/>
        <v>I</v>
      </c>
      <c r="F44" s="84"/>
      <c r="G44" s="84"/>
      <c r="H44" s="84"/>
      <c r="I44" s="6"/>
      <c r="J44" s="84" t="str">
        <f>IF(X44="","",VLOOKUP(X44,Configuratie!$B$1:$E$10,3,FALSE))</f>
        <v/>
      </c>
      <c r="K44" s="84"/>
      <c r="L44" s="6" t="s">
        <v>5</v>
      </c>
      <c r="M44" s="84" t="str">
        <f>IF(X44="","",VLOOKUP(X44,Configuratie!$B$1:$E$10,4,FALSE))</f>
        <v/>
      </c>
      <c r="N44" s="84"/>
      <c r="O44" s="6"/>
      <c r="P44" s="6"/>
      <c r="Q44" s="6"/>
      <c r="R44" s="6"/>
      <c r="S44" s="6"/>
      <c r="T44" s="6"/>
      <c r="U44" s="6"/>
      <c r="V44" s="6" t="str">
        <f>IF(X44="","",VLOOKUP(X44,Configuratie!$B$1:$E$10,2,FALSE))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6"/>
        <v/>
      </c>
      <c r="BB44" s="6"/>
      <c r="BC44" s="48">
        <f t="shared" si="54"/>
        <v>508</v>
      </c>
      <c r="BD44" s="48">
        <f t="shared" si="57"/>
        <v>805</v>
      </c>
      <c r="BE44" s="6" t="e">
        <f t="shared" si="58"/>
        <v>#N/A</v>
      </c>
      <c r="BF44" s="6" t="e">
        <f t="shared" si="58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55"/>
        <v>G</v>
      </c>
      <c r="D45" s="46" t="s">
        <v>5</v>
      </c>
      <c r="E45" s="84" t="str">
        <f t="shared" si="53"/>
        <v>H</v>
      </c>
      <c r="F45" s="84"/>
      <c r="G45" s="84"/>
      <c r="H45" s="84"/>
      <c r="I45" s="6"/>
      <c r="J45" s="84" t="str">
        <f>IF(X45="","",VLOOKUP(X45,Configuratie!$B$1:$E$10,3,FALSE))</f>
        <v/>
      </c>
      <c r="K45" s="84"/>
      <c r="L45" s="6" t="s">
        <v>5</v>
      </c>
      <c r="M45" s="84" t="str">
        <f>IF(X45="","",VLOOKUP(X45,Configuratie!$B$1:$E$10,4,FALSE))</f>
        <v/>
      </c>
      <c r="N45" s="84"/>
      <c r="O45" s="6"/>
      <c r="P45" s="6"/>
      <c r="Q45" s="6"/>
      <c r="R45" s="6"/>
      <c r="S45" s="6"/>
      <c r="T45" s="6"/>
      <c r="U45" s="6"/>
      <c r="V45" s="6" t="str">
        <f>IF(X45="","",VLOOKUP(X45,Configuratie!$B$1:$E$10,2,FALSE))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6"/>
        <v/>
      </c>
      <c r="BB45" s="6"/>
      <c r="BC45" s="48">
        <f t="shared" si="54"/>
        <v>607</v>
      </c>
      <c r="BD45" s="48">
        <f>AZ45*100+AY45</f>
        <v>706</v>
      </c>
      <c r="BE45" s="6" t="e">
        <f t="shared" si="58"/>
        <v>#N/A</v>
      </c>
      <c r="BF45" s="6" t="e">
        <f t="shared" si="58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9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5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9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60">VLOOKUP(AY48,$B$4:$F$17,2,FALSE)</f>
        <v>M</v>
      </c>
      <c r="D48" s="46" t="s">
        <v>5</v>
      </c>
      <c r="E48" s="84" t="str">
        <f t="shared" ref="E48:E54" si="61">VLOOKUP(AZ48,$B$4:$F$17,2,FALSE)</f>
        <v>N</v>
      </c>
      <c r="F48" s="84"/>
      <c r="G48" s="84"/>
      <c r="H48" s="84"/>
      <c r="I48" s="6"/>
      <c r="J48" s="84" t="str">
        <f>IF(X48="","",VLOOKUP(X48,Configuratie!$B$1:$E$10,3,FALSE))</f>
        <v/>
      </c>
      <c r="K48" s="84"/>
      <c r="L48" s="6" t="s">
        <v>5</v>
      </c>
      <c r="M48" s="84" t="str">
        <f>IF(X48="","",VLOOKUP(X48,Configuratie!$B$1:$E$10,4,FALSE))</f>
        <v/>
      </c>
      <c r="N48" s="84"/>
      <c r="O48" s="6"/>
      <c r="P48" s="6"/>
      <c r="Q48" s="6"/>
      <c r="R48" s="6"/>
      <c r="S48" s="6"/>
      <c r="T48" s="6"/>
      <c r="U48" s="6"/>
      <c r="V48" s="6" t="str">
        <f>IF(X48="","",VLOOKUP(X48,Configuratie!$B$1:$E$10,2,FALSE))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62">AY48*100+AZ48</f>
        <v>1213</v>
      </c>
      <c r="BD48" s="48">
        <f>AZ48*100+AY48</f>
        <v>1312</v>
      </c>
      <c r="BE48" s="6" t="e">
        <f t="shared" ref="BE48:BF52" si="63">VLOOKUP(AY57,$BJ$3:$BW$13,$AT45,FALSE)</f>
        <v>#N/A</v>
      </c>
      <c r="BF48" s="6" t="e">
        <f t="shared" si="63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60"/>
        <v>L</v>
      </c>
      <c r="D49" s="46" t="s">
        <v>5</v>
      </c>
      <c r="E49" s="84" t="str">
        <f t="shared" si="61"/>
        <v>A</v>
      </c>
      <c r="F49" s="84"/>
      <c r="G49" s="84"/>
      <c r="H49" s="84"/>
      <c r="I49" s="6"/>
      <c r="J49" s="84" t="str">
        <f>IF(X49="","",VLOOKUP(X49,Configuratie!$B$1:$E$10,3,FALSE))</f>
        <v/>
      </c>
      <c r="K49" s="84"/>
      <c r="L49" s="6" t="s">
        <v>5</v>
      </c>
      <c r="M49" s="84" t="str">
        <f>IF(X49="","",VLOOKUP(X49,Configuratie!$B$1:$E$10,4,FALSE))</f>
        <v/>
      </c>
      <c r="N49" s="84"/>
      <c r="O49" s="6"/>
      <c r="P49" s="6"/>
      <c r="Q49" s="6"/>
      <c r="R49" s="6"/>
      <c r="S49" s="6"/>
      <c r="T49" s="6"/>
      <c r="U49" s="6"/>
      <c r="V49" s="6" t="str">
        <f>IF(X49="","",VLOOKUP(X49,Configuratie!$B$1:$E$10,2,FALSE))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64">IF(AND(ISNUMBER(J49),ISNUMBER(M49)),IF(J49+M49=1,1,0),"")</f>
        <v/>
      </c>
      <c r="BB49" s="6"/>
      <c r="BC49" s="48">
        <f t="shared" si="62"/>
        <v>1101</v>
      </c>
      <c r="BD49" s="48">
        <f t="shared" ref="BD49:BD53" si="65">AZ49*100+AY49</f>
        <v>111</v>
      </c>
      <c r="BE49" s="6" t="e">
        <f t="shared" si="63"/>
        <v>#N/A</v>
      </c>
      <c r="BF49" s="6" t="e">
        <f t="shared" si="63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60"/>
        <v>K</v>
      </c>
      <c r="D50" s="46" t="s">
        <v>5</v>
      </c>
      <c r="E50" s="84" t="str">
        <f t="shared" si="61"/>
        <v>B</v>
      </c>
      <c r="F50" s="84"/>
      <c r="G50" s="84"/>
      <c r="H50" s="84"/>
      <c r="I50" s="6"/>
      <c r="J50" s="84" t="str">
        <f>IF(X50="","",VLOOKUP(X50,Configuratie!$B$1:$E$10,3,FALSE))</f>
        <v/>
      </c>
      <c r="K50" s="84"/>
      <c r="L50" s="6" t="s">
        <v>5</v>
      </c>
      <c r="M50" s="84" t="str">
        <f>IF(X50="","",VLOOKUP(X50,Configuratie!$B$1:$E$10,4,FALSE))</f>
        <v/>
      </c>
      <c r="N50" s="84"/>
      <c r="O50" s="6"/>
      <c r="P50" s="6"/>
      <c r="Q50" s="6"/>
      <c r="R50" s="6"/>
      <c r="S50" s="6"/>
      <c r="T50" s="6"/>
      <c r="U50" s="6"/>
      <c r="V50" s="6" t="str">
        <f>IF(X50="","",VLOOKUP(X50,Configuratie!$B$1:$E$10,2,FALSE))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64"/>
        <v/>
      </c>
      <c r="BB50" s="6"/>
      <c r="BC50" s="48">
        <f t="shared" si="62"/>
        <v>1002</v>
      </c>
      <c r="BD50" s="48">
        <f t="shared" si="65"/>
        <v>210</v>
      </c>
      <c r="BE50" s="6" t="e">
        <f t="shared" si="63"/>
        <v>#N/A</v>
      </c>
      <c r="BF50" s="6" t="e">
        <f t="shared" si="63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60"/>
        <v>J</v>
      </c>
      <c r="D51" s="46" t="s">
        <v>5</v>
      </c>
      <c r="E51" s="84" t="str">
        <f t="shared" si="61"/>
        <v>C</v>
      </c>
      <c r="F51" s="84"/>
      <c r="G51" s="84"/>
      <c r="H51" s="84"/>
      <c r="I51" s="6"/>
      <c r="J51" s="84" t="str">
        <f>IF(X51="","",VLOOKUP(X51,Configuratie!$B$1:$E$10,3,FALSE))</f>
        <v/>
      </c>
      <c r="K51" s="84"/>
      <c r="L51" s="6" t="s">
        <v>5</v>
      </c>
      <c r="M51" s="84" t="str">
        <f>IF(X51="","",VLOOKUP(X51,Configuratie!$B$1:$E$10,4,FALSE))</f>
        <v/>
      </c>
      <c r="N51" s="84"/>
      <c r="O51" s="6"/>
      <c r="P51" s="6"/>
      <c r="Q51" s="6"/>
      <c r="R51" s="6"/>
      <c r="S51" s="6"/>
      <c r="T51" s="6"/>
      <c r="U51" s="6"/>
      <c r="V51" s="6" t="str">
        <f>IF(X51="","",VLOOKUP(X51,Configuratie!$B$1:$E$10,2,FALSE))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64"/>
        <v/>
      </c>
      <c r="BB51" s="6"/>
      <c r="BC51" s="48">
        <f t="shared" si="62"/>
        <v>903</v>
      </c>
      <c r="BD51" s="48">
        <f t="shared" si="65"/>
        <v>309</v>
      </c>
      <c r="BE51" s="6" t="e">
        <f t="shared" si="63"/>
        <v>#N/A</v>
      </c>
      <c r="BF51" s="6" t="e">
        <f t="shared" si="63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60"/>
        <v>I</v>
      </c>
      <c r="D52" s="46" t="s">
        <v>5</v>
      </c>
      <c r="E52" s="84" t="str">
        <f t="shared" si="61"/>
        <v>D</v>
      </c>
      <c r="F52" s="84"/>
      <c r="G52" s="84"/>
      <c r="H52" s="84"/>
      <c r="I52" s="6"/>
      <c r="J52" s="84" t="str">
        <f>IF(X52="","",VLOOKUP(X52,Configuratie!$B$1:$E$10,3,FALSE))</f>
        <v/>
      </c>
      <c r="K52" s="84"/>
      <c r="L52" s="6" t="s">
        <v>5</v>
      </c>
      <c r="M52" s="84" t="str">
        <f>IF(X52="","",VLOOKUP(X52,Configuratie!$B$1:$E$10,4,FALSE))</f>
        <v/>
      </c>
      <c r="N52" s="84"/>
      <c r="O52" s="6"/>
      <c r="P52" s="6"/>
      <c r="Q52" s="6"/>
      <c r="R52" s="6"/>
      <c r="S52" s="6"/>
      <c r="T52" s="6"/>
      <c r="U52" s="6"/>
      <c r="V52" s="6" t="str">
        <f>IF(X52="","",VLOOKUP(X52,Configuratie!$B$1:$E$10,2,FALSE))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64"/>
        <v/>
      </c>
      <c r="BB52" s="6"/>
      <c r="BC52" s="48">
        <f t="shared" si="62"/>
        <v>804</v>
      </c>
      <c r="BD52" s="48">
        <f>AZ52*100+AY52</f>
        <v>408</v>
      </c>
      <c r="BE52" s="6" t="e">
        <f t="shared" si="63"/>
        <v>#N/A</v>
      </c>
      <c r="BF52" s="6" t="e">
        <f t="shared" si="63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60"/>
        <v>H</v>
      </c>
      <c r="D53" s="46" t="s">
        <v>5</v>
      </c>
      <c r="E53" s="84" t="str">
        <f t="shared" si="61"/>
        <v>E</v>
      </c>
      <c r="F53" s="84"/>
      <c r="G53" s="84"/>
      <c r="H53" s="84"/>
      <c r="I53" s="6"/>
      <c r="J53" s="84" t="str">
        <f>IF(X53="","",VLOOKUP(X53,Configuratie!$B$1:$E$10,3,FALSE))</f>
        <v/>
      </c>
      <c r="K53" s="84"/>
      <c r="L53" s="6" t="s">
        <v>5</v>
      </c>
      <c r="M53" s="84" t="str">
        <f>IF(X53="","",VLOOKUP(X53,Configuratie!$B$1:$E$10,4,FALSE))</f>
        <v/>
      </c>
      <c r="N53" s="84"/>
      <c r="O53" s="6"/>
      <c r="P53" s="6"/>
      <c r="Q53" s="6"/>
      <c r="R53" s="6"/>
      <c r="S53" s="6"/>
      <c r="T53" s="6"/>
      <c r="U53" s="6"/>
      <c r="V53" s="6" t="str">
        <f>IF(X53="","",VLOOKUP(X53,Configuratie!$B$1:$E$10,2,FALSE))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64"/>
        <v/>
      </c>
      <c r="BB53" s="6"/>
      <c r="BC53" s="48">
        <f t="shared" si="62"/>
        <v>705</v>
      </c>
      <c r="BD53" s="48">
        <f t="shared" si="65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60"/>
        <v>O</v>
      </c>
      <c r="D54" s="46" t="s">
        <v>5</v>
      </c>
      <c r="E54" s="84" t="str">
        <f t="shared" si="61"/>
        <v>G</v>
      </c>
      <c r="F54" s="84"/>
      <c r="G54" s="84"/>
      <c r="H54" s="84"/>
      <c r="I54" s="6"/>
      <c r="J54" s="84" t="str">
        <f>IF(X54="","",VLOOKUP(X54,Configuratie!$B$1:$E$10,3,FALSE))</f>
        <v/>
      </c>
      <c r="K54" s="84"/>
      <c r="L54" s="6" t="s">
        <v>5</v>
      </c>
      <c r="M54" s="84" t="str">
        <f>IF(X54="","",VLOOKUP(X54,Configuratie!$B$1:$E$10,4,FALSE))</f>
        <v/>
      </c>
      <c r="N54" s="84"/>
      <c r="O54" s="6"/>
      <c r="P54" s="6"/>
      <c r="Q54" s="6"/>
      <c r="R54" s="6"/>
      <c r="S54" s="6"/>
      <c r="T54" s="6"/>
      <c r="U54" s="6"/>
      <c r="V54" s="6" t="str">
        <f>IF(X54="","",VLOOKUP(X54,Configuratie!$B$1:$E$10,2,FALSE))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64"/>
        <v/>
      </c>
      <c r="BB54" s="6"/>
      <c r="BC54" s="48">
        <f t="shared" si="62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6">VLOOKUP(AY66,$BJ$3:$BW$13,$AT52,FALSE)</f>
        <v>#N/A</v>
      </c>
      <c r="BF55" s="6" t="e">
        <f t="shared" si="66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7">IF(AND(ISNUMBER(N52),ISNUMBER(Q52)),IF(N52+Q52=1,1,0),"")</f>
        <v/>
      </c>
      <c r="BB56" s="6"/>
      <c r="BC56" s="48"/>
      <c r="BD56" s="48"/>
      <c r="BE56" s="6" t="e">
        <f t="shared" si="66"/>
        <v>#N/A</v>
      </c>
      <c r="BF56" s="6" t="e">
        <f t="shared" si="66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84" t="str">
        <f t="shared" ref="E57:E63" si="68">VLOOKUP(AZ57,$B$4:$F$17,2,FALSE)</f>
        <v>O</v>
      </c>
      <c r="F57" s="84"/>
      <c r="G57" s="84"/>
      <c r="H57" s="84"/>
      <c r="I57" s="6"/>
      <c r="J57" s="84" t="str">
        <f>IF(X57="","",VLOOKUP(X57,Configuratie!$B$1:$E$10,3,FALSE))</f>
        <v/>
      </c>
      <c r="K57" s="84"/>
      <c r="L57" s="6" t="s">
        <v>5</v>
      </c>
      <c r="M57" s="84" t="str">
        <f>IF(X57="","",VLOOKUP(X57,Configuratie!$B$1:$E$10,4,FALSE))</f>
        <v/>
      </c>
      <c r="N57" s="84"/>
      <c r="O57" s="6"/>
      <c r="P57" s="6"/>
      <c r="Q57" s="6"/>
      <c r="R57" s="6"/>
      <c r="S57" s="6"/>
      <c r="T57" s="6"/>
      <c r="U57" s="6"/>
      <c r="V57" s="6" t="str">
        <f>IF(X57="","",VLOOKUP(X57,Configuratie!$B$1:$E$10,2,FALSE))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9">AY57*100+AZ57</f>
        <v>1214</v>
      </c>
      <c r="BD57" s="48">
        <f>AZ57*100+AY57</f>
        <v>1412</v>
      </c>
      <c r="BE57" s="6" t="e">
        <f t="shared" si="66"/>
        <v>#N/A</v>
      </c>
      <c r="BF57" s="6" t="e">
        <f t="shared" si="66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70">VLOOKUP(AY58,$B$4:$F$17,2,FALSE)</f>
        <v>N</v>
      </c>
      <c r="D58" s="46" t="s">
        <v>5</v>
      </c>
      <c r="E58" s="84" t="str">
        <f t="shared" si="68"/>
        <v>L</v>
      </c>
      <c r="F58" s="84"/>
      <c r="G58" s="84"/>
      <c r="H58" s="84"/>
      <c r="I58" s="6"/>
      <c r="J58" s="84" t="str">
        <f>IF(X58="","",VLOOKUP(X58,Configuratie!$B$1:$E$10,3,FALSE))</f>
        <v/>
      </c>
      <c r="K58" s="84"/>
      <c r="L58" s="6" t="s">
        <v>5</v>
      </c>
      <c r="M58" s="84" t="str">
        <f>IF(X58="","",VLOOKUP(X58,Configuratie!$B$1:$E$10,4,FALSE))</f>
        <v/>
      </c>
      <c r="N58" s="84"/>
      <c r="O58" s="6"/>
      <c r="P58" s="6"/>
      <c r="Q58" s="6"/>
      <c r="R58" s="6"/>
      <c r="S58" s="6"/>
      <c r="T58" s="6"/>
      <c r="U58" s="6"/>
      <c r="V58" s="6" t="str">
        <f>IF(X58="","",VLOOKUP(X58,Configuratie!$B$1:$E$10,2,FALSE))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71">IF(AND(ISNUMBER(J58),ISNUMBER(M58)),IF(J58+M58=1,1,0),"")</f>
        <v/>
      </c>
      <c r="BB58" s="6"/>
      <c r="BC58" s="48">
        <f t="shared" si="69"/>
        <v>1311</v>
      </c>
      <c r="BD58" s="48">
        <f t="shared" ref="BD58:BD62" si="72">AZ58*100+AY58</f>
        <v>1113</v>
      </c>
      <c r="BE58" s="6" t="e">
        <f t="shared" si="66"/>
        <v>#N/A</v>
      </c>
      <c r="BF58" s="6" t="e">
        <f t="shared" si="66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70"/>
        <v>A</v>
      </c>
      <c r="D59" s="46" t="s">
        <v>5</v>
      </c>
      <c r="E59" s="84" t="str">
        <f t="shared" si="68"/>
        <v>K</v>
      </c>
      <c r="F59" s="84"/>
      <c r="G59" s="84"/>
      <c r="H59" s="84"/>
      <c r="I59" s="6"/>
      <c r="J59" s="84" t="str">
        <f>IF(X59="","",VLOOKUP(X59,Configuratie!$B$1:$E$10,3,FALSE))</f>
        <v/>
      </c>
      <c r="K59" s="84"/>
      <c r="L59" s="6" t="s">
        <v>5</v>
      </c>
      <c r="M59" s="84" t="str">
        <f>IF(X59="","",VLOOKUP(X59,Configuratie!$B$1:$E$10,4,FALSE))</f>
        <v/>
      </c>
      <c r="N59" s="84"/>
      <c r="O59" s="6"/>
      <c r="P59" s="6"/>
      <c r="Q59" s="6"/>
      <c r="R59" s="6"/>
      <c r="S59" s="6"/>
      <c r="T59" s="6"/>
      <c r="U59" s="6"/>
      <c r="V59" s="6" t="str">
        <f>IF(X59="","",VLOOKUP(X59,Configuratie!$B$1:$E$10,2,FALSE))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71"/>
        <v/>
      </c>
      <c r="BB59" s="6"/>
      <c r="BC59" s="48">
        <f t="shared" si="69"/>
        <v>110</v>
      </c>
      <c r="BD59" s="48">
        <f t="shared" si="72"/>
        <v>1001</v>
      </c>
      <c r="BE59" s="6" t="e">
        <f t="shared" si="66"/>
        <v>#VALUE!</v>
      </c>
      <c r="BF59" s="6" t="e">
        <f t="shared" si="66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70"/>
        <v>B</v>
      </c>
      <c r="D60" s="46" t="s">
        <v>5</v>
      </c>
      <c r="E60" s="84" t="str">
        <f t="shared" si="68"/>
        <v>J</v>
      </c>
      <c r="F60" s="84"/>
      <c r="G60" s="84"/>
      <c r="H60" s="84"/>
      <c r="I60" s="6"/>
      <c r="J60" s="84" t="str">
        <f>IF(X60="","",VLOOKUP(X60,Configuratie!$B$1:$E$10,3,FALSE))</f>
        <v/>
      </c>
      <c r="K60" s="84"/>
      <c r="L60" s="6" t="s">
        <v>5</v>
      </c>
      <c r="M60" s="84" t="str">
        <f>IF(X60="","",VLOOKUP(X60,Configuratie!$B$1:$E$10,4,FALSE))</f>
        <v/>
      </c>
      <c r="N60" s="84"/>
      <c r="O60" s="6"/>
      <c r="P60" s="6"/>
      <c r="Q60" s="6"/>
      <c r="R60" s="6"/>
      <c r="S60" s="6"/>
      <c r="T60" s="6"/>
      <c r="U60" s="6"/>
      <c r="V60" s="6" t="str">
        <f>IF(X60="","",VLOOKUP(X60,Configuratie!$B$1:$E$10,2,FALSE))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71"/>
        <v/>
      </c>
      <c r="BB60" s="6"/>
      <c r="BC60" s="48">
        <f t="shared" si="69"/>
        <v>209</v>
      </c>
      <c r="BD60" s="48">
        <f t="shared" si="72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70"/>
        <v>C</v>
      </c>
      <c r="D61" s="46" t="s">
        <v>5</v>
      </c>
      <c r="E61" s="84" t="str">
        <f t="shared" si="68"/>
        <v>I</v>
      </c>
      <c r="F61" s="84"/>
      <c r="G61" s="84"/>
      <c r="H61" s="84"/>
      <c r="I61" s="6"/>
      <c r="J61" s="84" t="str">
        <f>IF(X61="","",VLOOKUP(X61,Configuratie!$B$1:$E$10,3,FALSE))</f>
        <v/>
      </c>
      <c r="K61" s="84"/>
      <c r="L61" s="6" t="s">
        <v>5</v>
      </c>
      <c r="M61" s="84" t="str">
        <f>IF(X61="","",VLOOKUP(X61,Configuratie!$B$1:$E$10,4,FALSE))</f>
        <v/>
      </c>
      <c r="N61" s="84"/>
      <c r="O61" s="6"/>
      <c r="P61" s="6"/>
      <c r="Q61" s="6"/>
      <c r="R61" s="6"/>
      <c r="S61" s="6"/>
      <c r="T61" s="6"/>
      <c r="U61" s="6"/>
      <c r="V61" s="6" t="str">
        <f>IF(X61="","",VLOOKUP(X61,Configuratie!$B$1:$E$10,2,FALSE))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71"/>
        <v/>
      </c>
      <c r="BB61" s="6"/>
      <c r="BC61" s="48">
        <f t="shared" si="69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70"/>
        <v>D</v>
      </c>
      <c r="D62" s="46" t="s">
        <v>5</v>
      </c>
      <c r="E62" s="84" t="str">
        <f t="shared" si="68"/>
        <v>H</v>
      </c>
      <c r="F62" s="84"/>
      <c r="G62" s="84"/>
      <c r="H62" s="84"/>
      <c r="I62" s="6"/>
      <c r="J62" s="84" t="str">
        <f>IF(X62="","",VLOOKUP(X62,Configuratie!$B$1:$E$10,3,FALSE))</f>
        <v/>
      </c>
      <c r="K62" s="84"/>
      <c r="L62" s="6" t="s">
        <v>5</v>
      </c>
      <c r="M62" s="84" t="str">
        <f>IF(X62="","",VLOOKUP(X62,Configuratie!$B$1:$E$10,4,FALSE))</f>
        <v/>
      </c>
      <c r="N62" s="84"/>
      <c r="O62" s="6"/>
      <c r="P62" s="6"/>
      <c r="Q62" s="6"/>
      <c r="R62" s="6"/>
      <c r="S62" s="6"/>
      <c r="T62" s="6"/>
      <c r="U62" s="6"/>
      <c r="V62" s="6" t="str">
        <f>IF(X62="","",VLOOKUP(X62,Configuratie!$B$1:$E$10,2,FALSE))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71"/>
        <v/>
      </c>
      <c r="BB62" s="6"/>
      <c r="BC62" s="48">
        <f t="shared" si="69"/>
        <v>407</v>
      </c>
      <c r="BD62" s="48">
        <f t="shared" si="72"/>
        <v>704</v>
      </c>
      <c r="BE62" s="6" t="e">
        <f t="shared" ref="BE62:BF66" si="73">VLOOKUP(AY75,$BJ$3:$BW$13,$AT59,FALSE)</f>
        <v>#N/A</v>
      </c>
      <c r="BF62" s="6" t="e">
        <f t="shared" si="73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70"/>
        <v>E</v>
      </c>
      <c r="D63" s="46" t="s">
        <v>5</v>
      </c>
      <c r="E63" s="84" t="str">
        <f t="shared" si="68"/>
        <v>G</v>
      </c>
      <c r="F63" s="84"/>
      <c r="G63" s="84"/>
      <c r="H63" s="84"/>
      <c r="I63" s="6"/>
      <c r="J63" s="84" t="str">
        <f>IF(X63="","",VLOOKUP(X63,Configuratie!$B$1:$E$10,3,FALSE))</f>
        <v/>
      </c>
      <c r="K63" s="84"/>
      <c r="L63" s="6" t="s">
        <v>5</v>
      </c>
      <c r="M63" s="84" t="str">
        <f>IF(X63="","",VLOOKUP(X63,Configuratie!$B$1:$E$10,4,FALSE))</f>
        <v/>
      </c>
      <c r="N63" s="84"/>
      <c r="O63" s="6"/>
      <c r="P63" s="6"/>
      <c r="Q63" s="6"/>
      <c r="R63" s="6"/>
      <c r="S63" s="6"/>
      <c r="T63" s="6"/>
      <c r="U63" s="6"/>
      <c r="V63" s="6" t="str">
        <f>IF(X63="","",VLOOKUP(X63,Configuratie!$B$1:$E$10,2,FALSE))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71"/>
        <v/>
      </c>
      <c r="BB63" s="6"/>
      <c r="BC63" s="48">
        <f t="shared" si="69"/>
        <v>506</v>
      </c>
      <c r="BD63" s="48">
        <f>AZ63*100+AY63</f>
        <v>605</v>
      </c>
      <c r="BE63" s="6" t="e">
        <f t="shared" si="73"/>
        <v>#N/A</v>
      </c>
      <c r="BF63" s="6" t="e">
        <f t="shared" si="73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74">IF(AND(ISNUMBER(N60),ISNUMBER(Q60)),IF(N60+Q60=1,1,0),"")</f>
        <v/>
      </c>
      <c r="BB64" s="6"/>
      <c r="BC64" s="48"/>
      <c r="BD64" s="48"/>
      <c r="BE64" s="6" t="e">
        <f t="shared" si="73"/>
        <v>#N/A</v>
      </c>
      <c r="BF64" s="6" t="e">
        <f t="shared" si="73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5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74"/>
        <v/>
      </c>
      <c r="BB65" s="6"/>
      <c r="BC65" s="48"/>
      <c r="BD65" s="48"/>
      <c r="BE65" s="6" t="e">
        <f t="shared" si="73"/>
        <v>#N/A</v>
      </c>
      <c r="BF65" s="6" t="e">
        <f t="shared" si="73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75">VLOOKUP(AY66,$B$4:$F$17,2,FALSE)</f>
        <v>L</v>
      </c>
      <c r="D66" s="46" t="s">
        <v>5</v>
      </c>
      <c r="E66" s="84" t="str">
        <f t="shared" ref="E66:E72" si="76">VLOOKUP(AZ66,$B$4:$F$17,2,FALSE)</f>
        <v>M</v>
      </c>
      <c r="F66" s="84"/>
      <c r="G66" s="84"/>
      <c r="H66" s="84"/>
      <c r="I66" s="6"/>
      <c r="J66" s="84" t="str">
        <f>IF(X66="","",VLOOKUP(X66,Configuratie!$B$1:$E$10,3,FALSE))</f>
        <v/>
      </c>
      <c r="K66" s="84"/>
      <c r="L66" s="6" t="s">
        <v>5</v>
      </c>
      <c r="M66" s="84" t="str">
        <f>IF(X66="","",VLOOKUP(X66,Configuratie!$B$1:$E$10,4,FALSE))</f>
        <v/>
      </c>
      <c r="N66" s="84"/>
      <c r="O66" s="6"/>
      <c r="P66" s="6"/>
      <c r="Q66" s="6"/>
      <c r="R66" s="6"/>
      <c r="S66" s="6"/>
      <c r="T66" s="6"/>
      <c r="U66" s="6"/>
      <c r="V66" s="6" t="str">
        <f>IF(X66="","",VLOOKUP(X66,Configuratie!$B$1:$E$10,2,FALSE))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7">AY66*100+AZ66</f>
        <v>1112</v>
      </c>
      <c r="BD66" s="48">
        <f>AZ66*100+AY66</f>
        <v>1211</v>
      </c>
      <c r="BE66" s="6" t="e">
        <f t="shared" si="73"/>
        <v>#N/A</v>
      </c>
      <c r="BF66" s="6" t="e">
        <f t="shared" si="73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75"/>
        <v>K</v>
      </c>
      <c r="D67" s="46" t="s">
        <v>5</v>
      </c>
      <c r="E67" s="84" t="str">
        <f t="shared" si="76"/>
        <v>N</v>
      </c>
      <c r="F67" s="84"/>
      <c r="G67" s="84"/>
      <c r="H67" s="84"/>
      <c r="I67" s="6"/>
      <c r="J67" s="84" t="str">
        <f>IF(X67="","",VLOOKUP(X67,Configuratie!$B$1:$E$10,3,FALSE))</f>
        <v/>
      </c>
      <c r="K67" s="84"/>
      <c r="L67" s="6" t="s">
        <v>5</v>
      </c>
      <c r="M67" s="84" t="str">
        <f>IF(X67="","",VLOOKUP(X67,Configuratie!$B$1:$E$10,4,FALSE))</f>
        <v/>
      </c>
      <c r="N67" s="84"/>
      <c r="O67" s="6"/>
      <c r="P67" s="6"/>
      <c r="Q67" s="6"/>
      <c r="R67" s="6"/>
      <c r="S67" s="6"/>
      <c r="T67" s="6"/>
      <c r="U67" s="6"/>
      <c r="V67" s="6" t="str">
        <f>IF(X67="","",VLOOKUP(X67,Configuratie!$B$1:$E$10,2,FALSE))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8">IF(AND(ISNUMBER(J67),ISNUMBER(M67)),IF(J67+M67=1,1,0),"")</f>
        <v/>
      </c>
      <c r="BB67" s="6"/>
      <c r="BC67" s="48">
        <f t="shared" si="77"/>
        <v>1013</v>
      </c>
      <c r="BD67" s="48">
        <f t="shared" ref="BD67:BD71" si="79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75"/>
        <v>J</v>
      </c>
      <c r="D68" s="46" t="s">
        <v>5</v>
      </c>
      <c r="E68" s="84" t="str">
        <f t="shared" si="76"/>
        <v>A</v>
      </c>
      <c r="F68" s="84"/>
      <c r="G68" s="84"/>
      <c r="H68" s="84"/>
      <c r="I68" s="6"/>
      <c r="J68" s="84" t="str">
        <f>IF(X68="","",VLOOKUP(X68,Configuratie!$B$1:$E$10,3,FALSE))</f>
        <v/>
      </c>
      <c r="K68" s="84"/>
      <c r="L68" s="6" t="s">
        <v>5</v>
      </c>
      <c r="M68" s="84" t="str">
        <f>IF(X68="","",VLOOKUP(X68,Configuratie!$B$1:$E$10,4,FALSE))</f>
        <v/>
      </c>
      <c r="N68" s="84"/>
      <c r="O68" s="6"/>
      <c r="P68" s="6"/>
      <c r="Q68" s="6"/>
      <c r="R68" s="6"/>
      <c r="S68" s="6"/>
      <c r="T68" s="6"/>
      <c r="U68" s="6"/>
      <c r="V68" s="6" t="str">
        <f>IF(X68="","",VLOOKUP(X68,Configuratie!$B$1:$E$10,2,FALSE))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8"/>
        <v/>
      </c>
      <c r="BB68" s="6"/>
      <c r="BC68" s="48">
        <f t="shared" si="77"/>
        <v>901</v>
      </c>
      <c r="BD68" s="48">
        <f t="shared" si="79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75"/>
        <v>I</v>
      </c>
      <c r="D69" s="46" t="s">
        <v>5</v>
      </c>
      <c r="E69" s="84" t="str">
        <f t="shared" si="76"/>
        <v>B</v>
      </c>
      <c r="F69" s="84"/>
      <c r="G69" s="84"/>
      <c r="H69" s="84"/>
      <c r="I69" s="6"/>
      <c r="J69" s="84" t="str">
        <f>IF(X69="","",VLOOKUP(X69,Configuratie!$B$1:$E$10,3,FALSE))</f>
        <v/>
      </c>
      <c r="K69" s="84"/>
      <c r="L69" s="6" t="s">
        <v>5</v>
      </c>
      <c r="M69" s="84" t="str">
        <f>IF(X69="","",VLOOKUP(X69,Configuratie!$B$1:$E$10,4,FALSE))</f>
        <v/>
      </c>
      <c r="N69" s="84"/>
      <c r="O69" s="6"/>
      <c r="P69" s="6"/>
      <c r="Q69" s="6"/>
      <c r="R69" s="6"/>
      <c r="S69" s="6"/>
      <c r="T69" s="6"/>
      <c r="U69" s="6"/>
      <c r="V69" s="6" t="str">
        <f>IF(X69="","",VLOOKUP(X69,Configuratie!$B$1:$E$10,2,FALSE))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8"/>
        <v/>
      </c>
      <c r="BB69" s="6"/>
      <c r="BC69" s="48">
        <f t="shared" si="77"/>
        <v>802</v>
      </c>
      <c r="BD69" s="48">
        <f t="shared" si="79"/>
        <v>208</v>
      </c>
      <c r="BE69" s="6" t="e">
        <f t="shared" ref="BE69:BF73" si="80">VLOOKUP(AY84,$BJ$3:$BW$13,$AT66,FALSE)</f>
        <v>#N/A</v>
      </c>
      <c r="BF69" s="6" t="e">
        <f t="shared" si="80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75"/>
        <v>H</v>
      </c>
      <c r="D70" s="46" t="s">
        <v>5</v>
      </c>
      <c r="E70" s="84" t="str">
        <f t="shared" si="76"/>
        <v>C</v>
      </c>
      <c r="F70" s="84"/>
      <c r="G70" s="84"/>
      <c r="H70" s="84"/>
      <c r="I70" s="6"/>
      <c r="J70" s="84" t="str">
        <f>IF(X70="","",VLOOKUP(X70,Configuratie!$B$1:$E$10,3,FALSE))</f>
        <v/>
      </c>
      <c r="K70" s="84"/>
      <c r="L70" s="6" t="s">
        <v>5</v>
      </c>
      <c r="M70" s="84" t="str">
        <f>IF(X70="","",VLOOKUP(X70,Configuratie!$B$1:$E$10,4,FALSE))</f>
        <v/>
      </c>
      <c r="N70" s="84"/>
      <c r="O70" s="6"/>
      <c r="P70" s="6"/>
      <c r="Q70" s="6"/>
      <c r="R70" s="6"/>
      <c r="S70" s="6"/>
      <c r="T70" s="6"/>
      <c r="U70" s="6"/>
      <c r="V70" s="6" t="str">
        <f>IF(X70="","",VLOOKUP(X70,Configuratie!$B$1:$E$10,2,FALSE))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8"/>
        <v/>
      </c>
      <c r="BB70" s="6"/>
      <c r="BC70" s="48">
        <f t="shared" si="77"/>
        <v>703</v>
      </c>
      <c r="BD70" s="48">
        <f>AZ70*100+AY70</f>
        <v>307</v>
      </c>
      <c r="BE70" s="6" t="e">
        <f t="shared" si="80"/>
        <v>#N/A</v>
      </c>
      <c r="BF70" s="6" t="e">
        <f t="shared" si="80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75"/>
        <v>G</v>
      </c>
      <c r="D71" s="46" t="s">
        <v>5</v>
      </c>
      <c r="E71" s="84" t="str">
        <f t="shared" si="76"/>
        <v>D</v>
      </c>
      <c r="F71" s="84"/>
      <c r="G71" s="84"/>
      <c r="H71" s="84"/>
      <c r="I71" s="6"/>
      <c r="J71" s="84" t="str">
        <f>IF(X71="","",VLOOKUP(X71,Configuratie!$B$1:$E$10,3,FALSE))</f>
        <v/>
      </c>
      <c r="K71" s="84"/>
      <c r="L71" s="6" t="s">
        <v>5</v>
      </c>
      <c r="M71" s="84" t="str">
        <f>IF(X71="","",VLOOKUP(X71,Configuratie!$B$1:$E$10,4,FALSE))</f>
        <v/>
      </c>
      <c r="N71" s="84"/>
      <c r="O71" s="6"/>
      <c r="P71" s="6"/>
      <c r="Q71" s="6"/>
      <c r="R71" s="6"/>
      <c r="S71" s="6"/>
      <c r="T71" s="6"/>
      <c r="U71" s="6"/>
      <c r="V71" s="6" t="str">
        <f>IF(X71="","",VLOOKUP(X71,Configuratie!$B$1:$E$10,2,FALSE))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8"/>
        <v/>
      </c>
      <c r="BB71" s="6"/>
      <c r="BC71" s="48">
        <f t="shared" si="77"/>
        <v>604</v>
      </c>
      <c r="BD71" s="48">
        <f t="shared" si="79"/>
        <v>406</v>
      </c>
      <c r="BE71" s="6" t="e">
        <f t="shared" si="80"/>
        <v>#N/A</v>
      </c>
      <c r="BF71" s="6" t="e">
        <f t="shared" si="80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75"/>
        <v>O</v>
      </c>
      <c r="D72" s="46" t="s">
        <v>5</v>
      </c>
      <c r="E72" s="84" t="str">
        <f t="shared" si="76"/>
        <v>E</v>
      </c>
      <c r="F72" s="84"/>
      <c r="G72" s="84"/>
      <c r="H72" s="84"/>
      <c r="I72" s="6"/>
      <c r="J72" s="84" t="str">
        <f>IF(X72="","",VLOOKUP(X72,Configuratie!$B$1:$E$10,3,FALSE))</f>
        <v/>
      </c>
      <c r="K72" s="84"/>
      <c r="L72" s="6" t="s">
        <v>5</v>
      </c>
      <c r="M72" s="84" t="str">
        <f>IF(X72="","",VLOOKUP(X72,Configuratie!$B$1:$E$10,4,FALSE))</f>
        <v/>
      </c>
      <c r="N72" s="84"/>
      <c r="O72" s="6"/>
      <c r="P72" s="6"/>
      <c r="Q72" s="6"/>
      <c r="R72" s="6"/>
      <c r="S72" s="6"/>
      <c r="T72" s="6"/>
      <c r="U72" s="6"/>
      <c r="V72" s="6" t="str">
        <f>IF(X72="","",VLOOKUP(X72,Configuratie!$B$1:$E$10,2,FALSE))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8"/>
        <v/>
      </c>
      <c r="BB72" s="6"/>
      <c r="BC72" s="48">
        <f t="shared" si="77"/>
        <v>1405</v>
      </c>
      <c r="BD72" s="48">
        <f>AZ72*100+AY72</f>
        <v>514</v>
      </c>
      <c r="BE72" s="6" t="e">
        <f t="shared" si="80"/>
        <v>#VALUE!</v>
      </c>
      <c r="BF72" s="6" t="e">
        <f t="shared" si="80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81">IF(AND(ISNUMBER(N69),ISNUMBER(Q69)),IF(N69+Q69=1,1,0),"")</f>
        <v/>
      </c>
      <c r="BB73" s="6"/>
      <c r="BC73" s="48"/>
      <c r="BD73" s="48"/>
      <c r="BE73" s="6" t="e">
        <f t="shared" si="80"/>
        <v>#N/A</v>
      </c>
      <c r="BF73" s="6" t="e">
        <f t="shared" si="80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81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82">VLOOKUP(AY75,$B$4:$F$17,2,FALSE)</f>
        <v>L</v>
      </c>
      <c r="D75" s="46" t="s">
        <v>5</v>
      </c>
      <c r="E75" s="84" t="str">
        <f t="shared" ref="E75:E81" si="83">VLOOKUP(AZ75,$B$4:$F$17,2,FALSE)</f>
        <v>O</v>
      </c>
      <c r="F75" s="84"/>
      <c r="G75" s="84"/>
      <c r="H75" s="84"/>
      <c r="I75" s="6"/>
      <c r="J75" s="84" t="str">
        <f>IF(X75="","",VLOOKUP(X75,Configuratie!$B$1:$E$10,3,FALSE))</f>
        <v/>
      </c>
      <c r="K75" s="84"/>
      <c r="L75" s="6" t="s">
        <v>5</v>
      </c>
      <c r="M75" s="84" t="str">
        <f>IF(X75="","",VLOOKUP(X75,Configuratie!$B$1:$E$10,4,FALSE))</f>
        <v/>
      </c>
      <c r="N75" s="84"/>
      <c r="O75" s="6"/>
      <c r="P75" s="6"/>
      <c r="Q75" s="6"/>
      <c r="R75" s="6"/>
      <c r="S75" s="6"/>
      <c r="T75" s="6"/>
      <c r="U75" s="6"/>
      <c r="V75" s="6" t="str">
        <f>IF(X75="","",VLOOKUP(X75,Configuratie!$B$1:$E$10,2,FALSE))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84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82"/>
        <v>M</v>
      </c>
      <c r="D76" s="46" t="s">
        <v>5</v>
      </c>
      <c r="E76" s="84" t="str">
        <f t="shared" si="83"/>
        <v>K</v>
      </c>
      <c r="F76" s="84"/>
      <c r="G76" s="84"/>
      <c r="H76" s="84"/>
      <c r="I76" s="6"/>
      <c r="J76" s="84" t="str">
        <f>IF(X76="","",VLOOKUP(X76,Configuratie!$B$1:$E$10,3,FALSE))</f>
        <v/>
      </c>
      <c r="K76" s="84"/>
      <c r="L76" s="6" t="s">
        <v>5</v>
      </c>
      <c r="M76" s="84" t="str">
        <f>IF(X76="","",VLOOKUP(X76,Configuratie!$B$1:$E$10,4,FALSE))</f>
        <v/>
      </c>
      <c r="N76" s="84"/>
      <c r="O76" s="6"/>
      <c r="P76" s="6"/>
      <c r="Q76" s="6"/>
      <c r="R76" s="6"/>
      <c r="S76" s="6"/>
      <c r="T76" s="6"/>
      <c r="U76" s="6"/>
      <c r="V76" s="6" t="str">
        <f>IF(X76="","",VLOOKUP(X76,Configuratie!$B$1:$E$10,2,FALSE))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85">IF(AND(ISNUMBER(J76),ISNUMBER(M76)),IF(J76+M76=1,1,0),"")</f>
        <v/>
      </c>
      <c r="BB76" s="6"/>
      <c r="BC76" s="48">
        <f t="shared" si="84"/>
        <v>1210</v>
      </c>
      <c r="BD76" s="48">
        <f t="shared" ref="BD76:BD80" si="86">AZ76*100+AY76</f>
        <v>1012</v>
      </c>
      <c r="BE76" s="6" t="e">
        <f t="shared" ref="BE76:BF80" si="87">VLOOKUP(AY93,$BJ$3:$BW$13,$AT73,FALSE)</f>
        <v>#N/A</v>
      </c>
      <c r="BF76" s="6" t="e">
        <f t="shared" si="87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82"/>
        <v>N</v>
      </c>
      <c r="D77" s="46" t="s">
        <v>5</v>
      </c>
      <c r="E77" s="84" t="str">
        <f t="shared" si="83"/>
        <v>J</v>
      </c>
      <c r="F77" s="84"/>
      <c r="G77" s="84"/>
      <c r="H77" s="84"/>
      <c r="I77" s="6"/>
      <c r="J77" s="84" t="str">
        <f>IF(X77="","",VLOOKUP(X77,Configuratie!$B$1:$E$10,3,FALSE))</f>
        <v/>
      </c>
      <c r="K77" s="84"/>
      <c r="L77" s="6" t="s">
        <v>5</v>
      </c>
      <c r="M77" s="84" t="str">
        <f>IF(X77="","",VLOOKUP(X77,Configuratie!$B$1:$E$10,4,FALSE))</f>
        <v/>
      </c>
      <c r="N77" s="84"/>
      <c r="O77" s="6"/>
      <c r="P77" s="6"/>
      <c r="Q77" s="6"/>
      <c r="R77" s="6"/>
      <c r="S77" s="6"/>
      <c r="T77" s="6"/>
      <c r="U77" s="6"/>
      <c r="V77" s="6" t="str">
        <f>IF(X77="","",VLOOKUP(X77,Configuratie!$B$1:$E$10,2,FALSE))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85"/>
        <v/>
      </c>
      <c r="BB77" s="6"/>
      <c r="BC77" s="48">
        <f t="shared" si="84"/>
        <v>1309</v>
      </c>
      <c r="BD77" s="48">
        <f t="shared" si="86"/>
        <v>913</v>
      </c>
      <c r="BE77" s="6" t="e">
        <f t="shared" si="87"/>
        <v>#N/A</v>
      </c>
      <c r="BF77" s="6" t="e">
        <f t="shared" si="87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82"/>
        <v>A</v>
      </c>
      <c r="D78" s="46" t="s">
        <v>5</v>
      </c>
      <c r="E78" s="84" t="str">
        <f t="shared" si="83"/>
        <v>I</v>
      </c>
      <c r="F78" s="84"/>
      <c r="G78" s="84"/>
      <c r="H78" s="84"/>
      <c r="I78" s="6"/>
      <c r="J78" s="84" t="str">
        <f>IF(X78="","",VLOOKUP(X78,Configuratie!$B$1:$E$10,3,FALSE))</f>
        <v/>
      </c>
      <c r="K78" s="84"/>
      <c r="L78" s="6" t="s">
        <v>5</v>
      </c>
      <c r="M78" s="84" t="str">
        <f>IF(X78="","",VLOOKUP(X78,Configuratie!$B$1:$E$10,4,FALSE))</f>
        <v/>
      </c>
      <c r="N78" s="84"/>
      <c r="O78" s="6"/>
      <c r="P78" s="6"/>
      <c r="Q78" s="6"/>
      <c r="R78" s="6"/>
      <c r="S78" s="6"/>
      <c r="T78" s="6"/>
      <c r="U78" s="6"/>
      <c r="V78" s="6" t="str">
        <f>IF(X78="","",VLOOKUP(X78,Configuratie!$B$1:$E$10,2,FALSE))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85"/>
        <v/>
      </c>
      <c r="BB78" s="6"/>
      <c r="BC78" s="48">
        <f t="shared" si="84"/>
        <v>108</v>
      </c>
      <c r="BD78" s="48">
        <f t="shared" si="86"/>
        <v>801</v>
      </c>
      <c r="BE78" s="6" t="e">
        <f t="shared" si="87"/>
        <v>#N/A</v>
      </c>
      <c r="BF78" s="6" t="e">
        <f t="shared" si="87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82"/>
        <v>B</v>
      </c>
      <c r="D79" s="46" t="s">
        <v>5</v>
      </c>
      <c r="E79" s="84" t="str">
        <f t="shared" si="83"/>
        <v>H</v>
      </c>
      <c r="F79" s="84"/>
      <c r="G79" s="84"/>
      <c r="H79" s="84"/>
      <c r="I79" s="6"/>
      <c r="J79" s="84" t="str">
        <f>IF(X79="","",VLOOKUP(X79,Configuratie!$B$1:$E$10,3,FALSE))</f>
        <v/>
      </c>
      <c r="K79" s="84"/>
      <c r="L79" s="6" t="s">
        <v>5</v>
      </c>
      <c r="M79" s="84" t="str">
        <f>IF(X79="","",VLOOKUP(X79,Configuratie!$B$1:$E$10,4,FALSE))</f>
        <v/>
      </c>
      <c r="N79" s="84"/>
      <c r="O79" s="6"/>
      <c r="P79" s="6"/>
      <c r="Q79" s="6"/>
      <c r="R79" s="6"/>
      <c r="S79" s="6"/>
      <c r="T79" s="6"/>
      <c r="U79" s="6"/>
      <c r="V79" s="6" t="str">
        <f>IF(X79="","",VLOOKUP(X79,Configuratie!$B$1:$E$10,2,FALSE))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85"/>
        <v/>
      </c>
      <c r="BB79" s="6"/>
      <c r="BC79" s="48">
        <f t="shared" si="84"/>
        <v>207</v>
      </c>
      <c r="BD79" s="48">
        <f>AZ79*100+AY79</f>
        <v>702</v>
      </c>
      <c r="BE79" s="6" t="e">
        <f t="shared" si="87"/>
        <v>#N/A</v>
      </c>
      <c r="BF79" s="6" t="e">
        <f t="shared" si="87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82"/>
        <v>C</v>
      </c>
      <c r="D80" s="46" t="s">
        <v>5</v>
      </c>
      <c r="E80" s="84" t="str">
        <f t="shared" si="83"/>
        <v>G</v>
      </c>
      <c r="F80" s="84"/>
      <c r="G80" s="84"/>
      <c r="H80" s="84"/>
      <c r="I80" s="6"/>
      <c r="J80" s="84" t="str">
        <f>IF(X80="","",VLOOKUP(X80,Configuratie!$B$1:$E$10,3,FALSE))</f>
        <v/>
      </c>
      <c r="K80" s="84"/>
      <c r="L80" s="6" t="s">
        <v>5</v>
      </c>
      <c r="M80" s="84" t="str">
        <f>IF(X80="","",VLOOKUP(X80,Configuratie!$B$1:$E$10,4,FALSE))</f>
        <v/>
      </c>
      <c r="N80" s="84"/>
      <c r="O80" s="6"/>
      <c r="P80" s="6"/>
      <c r="Q80" s="6"/>
      <c r="R80" s="6"/>
      <c r="S80" s="6"/>
      <c r="T80" s="6"/>
      <c r="U80" s="6"/>
      <c r="V80" s="6" t="str">
        <f>IF(X80="","",VLOOKUP(X80,Configuratie!$B$1:$E$10,2,FALSE))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85"/>
        <v/>
      </c>
      <c r="BB80" s="6"/>
      <c r="BC80" s="48">
        <f t="shared" si="84"/>
        <v>306</v>
      </c>
      <c r="BD80" s="48">
        <f t="shared" si="86"/>
        <v>603</v>
      </c>
      <c r="BE80" s="6" t="e">
        <f t="shared" si="87"/>
        <v>#N/A</v>
      </c>
      <c r="BF80" s="6" t="e">
        <f t="shared" si="87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82"/>
        <v>D</v>
      </c>
      <c r="D81" s="46" t="s">
        <v>5</v>
      </c>
      <c r="E81" s="84" t="str">
        <f t="shared" si="83"/>
        <v>E</v>
      </c>
      <c r="F81" s="84"/>
      <c r="G81" s="84"/>
      <c r="H81" s="84"/>
      <c r="I81" s="6"/>
      <c r="J81" s="84" t="str">
        <f>IF(X81="","",VLOOKUP(X81,Configuratie!$B$1:$E$10,3,FALSE))</f>
        <v/>
      </c>
      <c r="K81" s="84"/>
      <c r="L81" s="6" t="s">
        <v>5</v>
      </c>
      <c r="M81" s="84" t="str">
        <f>IF(X81="","",VLOOKUP(X81,Configuratie!$B$1:$E$10,4,FALSE))</f>
        <v/>
      </c>
      <c r="N81" s="84"/>
      <c r="O81" s="6"/>
      <c r="P81" s="6"/>
      <c r="Q81" s="6"/>
      <c r="R81" s="6"/>
      <c r="S81" s="6"/>
      <c r="T81" s="6"/>
      <c r="U81" s="6"/>
      <c r="V81" s="6" t="str">
        <f>IF(X81="","",VLOOKUP(X81,Configuratie!$B$1:$E$10,2,FALSE))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85"/>
        <v/>
      </c>
      <c r="BB81" s="6"/>
      <c r="BC81" s="48">
        <f t="shared" si="84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8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9">VLOOKUP(AY84,$B$4:$F$17,2,FALSE)</f>
        <v>K</v>
      </c>
      <c r="D84" s="46" t="s">
        <v>5</v>
      </c>
      <c r="E84" s="84" t="str">
        <f t="shared" ref="E84:E90" si="90">VLOOKUP(AZ84,$B$4:$F$17,2,FALSE)</f>
        <v>L</v>
      </c>
      <c r="F84" s="84"/>
      <c r="G84" s="84"/>
      <c r="H84" s="84"/>
      <c r="I84" s="6"/>
      <c r="J84" s="84" t="str">
        <f>IF(X84="","",VLOOKUP(X84,Configuratie!$B$1:$E$10,3,FALSE))</f>
        <v/>
      </c>
      <c r="K84" s="84"/>
      <c r="L84" s="6" t="s">
        <v>5</v>
      </c>
      <c r="M84" s="84" t="str">
        <f>IF(X84="","",VLOOKUP(X84,Configuratie!$B$1:$E$10,4,FALSE))</f>
        <v/>
      </c>
      <c r="N84" s="84"/>
      <c r="O84" s="6"/>
      <c r="P84" s="6"/>
      <c r="Q84" s="6"/>
      <c r="R84" s="6"/>
      <c r="S84" s="6"/>
      <c r="T84" s="6"/>
      <c r="U84" s="6"/>
      <c r="V84" s="6" t="str">
        <f>IF(X84="","",VLOOKUP(X84,Configuratie!$B$1:$E$10,2,FALSE))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91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9"/>
        <v>J</v>
      </c>
      <c r="D85" s="46" t="s">
        <v>5</v>
      </c>
      <c r="E85" s="84" t="str">
        <f t="shared" si="90"/>
        <v>M</v>
      </c>
      <c r="F85" s="84"/>
      <c r="G85" s="84"/>
      <c r="H85" s="84"/>
      <c r="I85" s="6"/>
      <c r="J85" s="84" t="str">
        <f>IF(X85="","",VLOOKUP(X85,Configuratie!$B$1:$E$10,3,FALSE))</f>
        <v/>
      </c>
      <c r="K85" s="84"/>
      <c r="L85" s="6" t="s">
        <v>5</v>
      </c>
      <c r="M85" s="84" t="str">
        <f>IF(X85="","",VLOOKUP(X85,Configuratie!$B$1:$E$10,4,FALSE))</f>
        <v/>
      </c>
      <c r="N85" s="84"/>
      <c r="O85" s="6"/>
      <c r="P85" s="6"/>
      <c r="Q85" s="6"/>
      <c r="R85" s="6"/>
      <c r="S85" s="6"/>
      <c r="T85" s="6"/>
      <c r="U85" s="6"/>
      <c r="V85" s="6" t="str">
        <f>IF(X85="","",VLOOKUP(X85,Configuratie!$B$1:$E$10,2,FALSE))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92">IF(AND(ISNUMBER(J85),ISNUMBER(M85)),IF(J85+M85=1,1,0),"")</f>
        <v/>
      </c>
      <c r="BB85" s="6"/>
      <c r="BC85" s="48">
        <f t="shared" si="91"/>
        <v>912</v>
      </c>
      <c r="BD85" s="48">
        <f t="shared" ref="BD85:BD89" si="93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9"/>
        <v>I</v>
      </c>
      <c r="D86" s="46" t="s">
        <v>5</v>
      </c>
      <c r="E86" s="84" t="str">
        <f t="shared" si="90"/>
        <v>N</v>
      </c>
      <c r="F86" s="84"/>
      <c r="G86" s="84"/>
      <c r="H86" s="84"/>
      <c r="I86" s="6"/>
      <c r="J86" s="84" t="str">
        <f>IF(X86="","",VLOOKUP(X86,Configuratie!$B$1:$E$10,3,FALSE))</f>
        <v/>
      </c>
      <c r="K86" s="84"/>
      <c r="L86" s="6" t="s">
        <v>5</v>
      </c>
      <c r="M86" s="84" t="str">
        <f>IF(X86="","",VLOOKUP(X86,Configuratie!$B$1:$E$10,4,FALSE))</f>
        <v/>
      </c>
      <c r="N86" s="84"/>
      <c r="O86" s="6"/>
      <c r="P86" s="6"/>
      <c r="Q86" s="6"/>
      <c r="R86" s="6"/>
      <c r="S86" s="6"/>
      <c r="T86" s="6"/>
      <c r="U86" s="6"/>
      <c r="V86" s="6" t="str">
        <f>IF(X86="","",VLOOKUP(X86,Configuratie!$B$1:$E$10,2,FALSE))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92"/>
        <v/>
      </c>
      <c r="BB86" s="6"/>
      <c r="BC86" s="48">
        <f t="shared" si="91"/>
        <v>813</v>
      </c>
      <c r="BD86" s="48">
        <f t="shared" si="93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9"/>
        <v>H</v>
      </c>
      <c r="D87" s="46" t="s">
        <v>5</v>
      </c>
      <c r="E87" s="84" t="str">
        <f t="shared" si="90"/>
        <v>A</v>
      </c>
      <c r="F87" s="84"/>
      <c r="G87" s="84"/>
      <c r="H87" s="84"/>
      <c r="I87" s="6"/>
      <c r="J87" s="84" t="str">
        <f>IF(X87="","",VLOOKUP(X87,Configuratie!$B$1:$E$10,3,FALSE))</f>
        <v/>
      </c>
      <c r="K87" s="84"/>
      <c r="L87" s="6" t="s">
        <v>5</v>
      </c>
      <c r="M87" s="84" t="str">
        <f>IF(X87="","",VLOOKUP(X87,Configuratie!$B$1:$E$10,4,FALSE))</f>
        <v/>
      </c>
      <c r="N87" s="84"/>
      <c r="O87" s="6"/>
      <c r="P87" s="6"/>
      <c r="Q87" s="6"/>
      <c r="R87" s="6"/>
      <c r="S87" s="6"/>
      <c r="T87" s="6"/>
      <c r="U87" s="6"/>
      <c r="V87" s="6" t="str">
        <f>IF(X87="","",VLOOKUP(X87,Configuratie!$B$1:$E$10,2,FALSE))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92"/>
        <v/>
      </c>
      <c r="BB87" s="6"/>
      <c r="BC87" s="48">
        <f t="shared" si="91"/>
        <v>701</v>
      </c>
      <c r="BD87" s="48">
        <f t="shared" si="93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9"/>
        <v>G</v>
      </c>
      <c r="D88" s="46" t="s">
        <v>5</v>
      </c>
      <c r="E88" s="84" t="str">
        <f t="shared" si="90"/>
        <v>B</v>
      </c>
      <c r="F88" s="84"/>
      <c r="G88" s="84"/>
      <c r="H88" s="84"/>
      <c r="I88" s="6"/>
      <c r="J88" s="84" t="str">
        <f>IF(X88="","",VLOOKUP(X88,Configuratie!$B$1:$E$10,3,FALSE))</f>
        <v/>
      </c>
      <c r="K88" s="84"/>
      <c r="L88" s="6" t="s">
        <v>5</v>
      </c>
      <c r="M88" s="84" t="str">
        <f>IF(X88="","",VLOOKUP(X88,Configuratie!$B$1:$E$10,4,FALSE))</f>
        <v/>
      </c>
      <c r="N88" s="84"/>
      <c r="O88" s="6"/>
      <c r="P88" s="6"/>
      <c r="Q88" s="6"/>
      <c r="R88" s="6"/>
      <c r="S88" s="6"/>
      <c r="T88" s="6"/>
      <c r="U88" s="6"/>
      <c r="V88" s="6" t="str">
        <f>IF(X88="","",VLOOKUP(X88,Configuratie!$B$1:$E$10,2,FALSE))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92"/>
        <v/>
      </c>
      <c r="BB88" s="6"/>
      <c r="BC88" s="48">
        <f t="shared" si="91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9"/>
        <v>E</v>
      </c>
      <c r="D89" s="46" t="s">
        <v>5</v>
      </c>
      <c r="E89" s="84" t="str">
        <f t="shared" si="90"/>
        <v>C</v>
      </c>
      <c r="F89" s="84"/>
      <c r="G89" s="84"/>
      <c r="H89" s="84"/>
      <c r="I89" s="6"/>
      <c r="J89" s="84" t="str">
        <f>IF(X89="","",VLOOKUP(X89,Configuratie!$B$1:$E$10,3,FALSE))</f>
        <v/>
      </c>
      <c r="K89" s="84"/>
      <c r="L89" s="6" t="s">
        <v>5</v>
      </c>
      <c r="M89" s="84" t="str">
        <f>IF(X89="","",VLOOKUP(X89,Configuratie!$B$1:$E$10,4,FALSE))</f>
        <v/>
      </c>
      <c r="N89" s="84"/>
      <c r="O89" s="6"/>
      <c r="P89" s="6"/>
      <c r="Q89" s="6"/>
      <c r="R89" s="6"/>
      <c r="S89" s="6"/>
      <c r="T89" s="6"/>
      <c r="U89" s="6"/>
      <c r="V89" s="6" t="str">
        <f>IF(X89="","",VLOOKUP(X89,Configuratie!$B$1:$E$10,2,FALSE))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92"/>
        <v/>
      </c>
      <c r="BB89" s="6"/>
      <c r="BC89" s="48">
        <f t="shared" si="91"/>
        <v>503</v>
      </c>
      <c r="BD89" s="48">
        <f t="shared" si="93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9"/>
        <v>O</v>
      </c>
      <c r="D90" s="46" t="s">
        <v>5</v>
      </c>
      <c r="E90" s="84" t="str">
        <f t="shared" si="90"/>
        <v>D</v>
      </c>
      <c r="F90" s="84"/>
      <c r="G90" s="84"/>
      <c r="H90" s="84"/>
      <c r="I90" s="6"/>
      <c r="J90" s="84" t="str">
        <f>IF(X90="","",VLOOKUP(X90,Configuratie!$B$1:$E$10,3,FALSE))</f>
        <v/>
      </c>
      <c r="K90" s="84"/>
      <c r="L90" s="6" t="s">
        <v>5</v>
      </c>
      <c r="M90" s="84" t="str">
        <f>IF(X90="","",VLOOKUP(X90,Configuratie!$B$1:$E$10,4,FALSE))</f>
        <v/>
      </c>
      <c r="N90" s="84"/>
      <c r="O90" s="6"/>
      <c r="P90" s="6"/>
      <c r="Q90" s="6"/>
      <c r="R90" s="6"/>
      <c r="S90" s="6"/>
      <c r="T90" s="6"/>
      <c r="U90" s="6"/>
      <c r="V90" s="6" t="str">
        <f>IF(X90="","",VLOOKUP(X90,Configuratie!$B$1:$E$10,2,FALSE))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92"/>
        <v/>
      </c>
      <c r="BB90" s="6"/>
      <c r="BC90" s="48">
        <f t="shared" si="91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94">VLOOKUP(AY93,$B$4:$F$17,2,FALSE)</f>
        <v>K</v>
      </c>
      <c r="D93" s="46" t="s">
        <v>5</v>
      </c>
      <c r="E93" s="84" t="str">
        <f t="shared" ref="E93:E99" si="95">VLOOKUP(AZ93,$B$4:$F$17,2,FALSE)</f>
        <v>O</v>
      </c>
      <c r="F93" s="84"/>
      <c r="G93" s="84"/>
      <c r="H93" s="84"/>
      <c r="I93" s="6"/>
      <c r="J93" s="84" t="str">
        <f>IF(X93="","",VLOOKUP(X93,Configuratie!$B$1:$E$10,3,FALSE))</f>
        <v/>
      </c>
      <c r="K93" s="84"/>
      <c r="L93" s="6" t="s">
        <v>5</v>
      </c>
      <c r="M93" s="84" t="str">
        <f>IF(X93="","",VLOOKUP(X93,Configuratie!$B$1:$E$10,4,FALSE))</f>
        <v/>
      </c>
      <c r="N93" s="84"/>
      <c r="O93" s="6"/>
      <c r="P93" s="6"/>
      <c r="Q93" s="6"/>
      <c r="R93" s="6"/>
      <c r="S93" s="6"/>
      <c r="T93" s="6"/>
      <c r="U93" s="6"/>
      <c r="V93" s="6" t="str">
        <f>IF(X93="","",VLOOKUP(X93,Configuratie!$B$1:$E$10,2,FALSE))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6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94"/>
        <v>L</v>
      </c>
      <c r="D94" s="46" t="s">
        <v>5</v>
      </c>
      <c r="E94" s="84" t="str">
        <f t="shared" si="95"/>
        <v>J</v>
      </c>
      <c r="F94" s="84"/>
      <c r="G94" s="84"/>
      <c r="H94" s="84"/>
      <c r="I94" s="6"/>
      <c r="J94" s="84" t="str">
        <f>IF(X94="","",VLOOKUP(X94,Configuratie!$B$1:$E$10,3,FALSE))</f>
        <v/>
      </c>
      <c r="K94" s="84"/>
      <c r="L94" s="6" t="s">
        <v>5</v>
      </c>
      <c r="M94" s="84" t="str">
        <f>IF(X94="","",VLOOKUP(X94,Configuratie!$B$1:$E$10,4,FALSE))</f>
        <v/>
      </c>
      <c r="N94" s="84"/>
      <c r="O94" s="6"/>
      <c r="P94" s="6"/>
      <c r="Q94" s="6"/>
      <c r="R94" s="6"/>
      <c r="S94" s="6"/>
      <c r="T94" s="6"/>
      <c r="U94" s="6"/>
      <c r="V94" s="6" t="str">
        <f>IF(X94="","",VLOOKUP(X94,Configuratie!$B$1:$E$10,2,FALSE))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7">IF(AND(ISNUMBER(J94),ISNUMBER(M94)),IF(J94+M94=1,1,0),"")</f>
        <v/>
      </c>
      <c r="BB94" s="6"/>
      <c r="BC94" s="48">
        <f t="shared" si="96"/>
        <v>1109</v>
      </c>
      <c r="BD94" s="48">
        <f t="shared" ref="BD94:BD98" si="98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94"/>
        <v>M</v>
      </c>
      <c r="D95" s="46" t="s">
        <v>5</v>
      </c>
      <c r="E95" s="84" t="str">
        <f t="shared" si="95"/>
        <v>I</v>
      </c>
      <c r="F95" s="84"/>
      <c r="G95" s="84"/>
      <c r="H95" s="84"/>
      <c r="I95" s="6"/>
      <c r="J95" s="84" t="str">
        <f>IF(X95="","",VLOOKUP(X95,Configuratie!$B$1:$E$10,3,FALSE))</f>
        <v/>
      </c>
      <c r="K95" s="84"/>
      <c r="L95" s="6" t="s">
        <v>5</v>
      </c>
      <c r="M95" s="84" t="str">
        <f>IF(X95="","",VLOOKUP(X95,Configuratie!$B$1:$E$10,4,FALSE))</f>
        <v/>
      </c>
      <c r="N95" s="84"/>
      <c r="O95" s="6"/>
      <c r="P95" s="6"/>
      <c r="Q95" s="6"/>
      <c r="R95" s="6"/>
      <c r="S95" s="6"/>
      <c r="T95" s="6"/>
      <c r="U95" s="6"/>
      <c r="V95" s="6" t="str">
        <f>IF(X95="","",VLOOKUP(X95,Configuratie!$B$1:$E$10,2,FALSE))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7"/>
        <v/>
      </c>
      <c r="BB95" s="6"/>
      <c r="BC95" s="48">
        <f t="shared" si="96"/>
        <v>1208</v>
      </c>
      <c r="BD95" s="48">
        <f t="shared" si="98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94"/>
        <v>N</v>
      </c>
      <c r="D96" s="46" t="s">
        <v>5</v>
      </c>
      <c r="E96" s="84" t="str">
        <f t="shared" si="95"/>
        <v>H</v>
      </c>
      <c r="F96" s="84"/>
      <c r="G96" s="84"/>
      <c r="H96" s="84"/>
      <c r="I96" s="6"/>
      <c r="J96" s="84" t="str">
        <f>IF(X96="","",VLOOKUP(X96,Configuratie!$B$1:$E$10,3,FALSE))</f>
        <v/>
      </c>
      <c r="K96" s="84"/>
      <c r="L96" s="6" t="s">
        <v>5</v>
      </c>
      <c r="M96" s="84" t="str">
        <f>IF(X96="","",VLOOKUP(X96,Configuratie!$B$1:$E$10,4,FALSE))</f>
        <v/>
      </c>
      <c r="N96" s="84"/>
      <c r="O96" s="6"/>
      <c r="P96" s="6"/>
      <c r="Q96" s="6"/>
      <c r="R96" s="6"/>
      <c r="S96" s="6"/>
      <c r="T96" s="6"/>
      <c r="U96" s="6"/>
      <c r="V96" s="6" t="str">
        <f>IF(X96="","",VLOOKUP(X96,Configuratie!$B$1:$E$10,2,FALSE))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7"/>
        <v/>
      </c>
      <c r="BB96" s="6"/>
      <c r="BC96" s="48">
        <f t="shared" si="96"/>
        <v>1307</v>
      </c>
      <c r="BD96" s="48">
        <f t="shared" si="98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94"/>
        <v>A</v>
      </c>
      <c r="D97" s="46" t="s">
        <v>5</v>
      </c>
      <c r="E97" s="84" t="str">
        <f t="shared" si="95"/>
        <v>G</v>
      </c>
      <c r="F97" s="84"/>
      <c r="G97" s="84"/>
      <c r="H97" s="84"/>
      <c r="I97" s="6"/>
      <c r="J97" s="84" t="str">
        <f>IF(X97="","",VLOOKUP(X97,Configuratie!$B$1:$E$10,3,FALSE))</f>
        <v/>
      </c>
      <c r="K97" s="84"/>
      <c r="L97" s="6" t="s">
        <v>5</v>
      </c>
      <c r="M97" s="84" t="str">
        <f>IF(X97="","",VLOOKUP(X97,Configuratie!$B$1:$E$10,4,FALSE))</f>
        <v/>
      </c>
      <c r="N97" s="84"/>
      <c r="O97" s="6"/>
      <c r="P97" s="6"/>
      <c r="Q97" s="6"/>
      <c r="R97" s="6"/>
      <c r="S97" s="6"/>
      <c r="T97" s="6"/>
      <c r="U97" s="6"/>
      <c r="V97" s="6" t="str">
        <f>IF(X97="","",VLOOKUP(X97,Configuratie!$B$1:$E$10,2,FALSE))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7"/>
        <v/>
      </c>
      <c r="BB97" s="6"/>
      <c r="BC97" s="48">
        <f t="shared" si="96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94"/>
        <v>B</v>
      </c>
      <c r="D98" s="46" t="s">
        <v>5</v>
      </c>
      <c r="E98" s="84" t="str">
        <f t="shared" si="95"/>
        <v>E</v>
      </c>
      <c r="F98" s="84"/>
      <c r="G98" s="84"/>
      <c r="H98" s="84"/>
      <c r="I98" s="6"/>
      <c r="J98" s="84" t="str">
        <f>IF(X98="","",VLOOKUP(X98,Configuratie!$B$1:$E$10,3,FALSE))</f>
        <v/>
      </c>
      <c r="K98" s="84"/>
      <c r="L98" s="6" t="s">
        <v>5</v>
      </c>
      <c r="M98" s="84" t="str">
        <f>IF(X98="","",VLOOKUP(X98,Configuratie!$B$1:$E$10,4,FALSE))</f>
        <v/>
      </c>
      <c r="N98" s="84"/>
      <c r="O98" s="6"/>
      <c r="P98" s="6"/>
      <c r="Q98" s="6"/>
      <c r="R98" s="6"/>
      <c r="S98" s="6"/>
      <c r="T98" s="6"/>
      <c r="U98" s="6"/>
      <c r="V98" s="6" t="str">
        <f>IF(X98="","",VLOOKUP(X98,Configuratie!$B$1:$E$10,2,FALSE))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7"/>
        <v/>
      </c>
      <c r="BB98" s="6"/>
      <c r="BC98" s="48">
        <f t="shared" si="96"/>
        <v>205</v>
      </c>
      <c r="BD98" s="48">
        <f t="shared" si="98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94"/>
        <v>C</v>
      </c>
      <c r="D99" s="46" t="s">
        <v>5</v>
      </c>
      <c r="E99" s="84" t="str">
        <f t="shared" si="95"/>
        <v>D</v>
      </c>
      <c r="F99" s="84"/>
      <c r="G99" s="84"/>
      <c r="H99" s="84"/>
      <c r="I99" s="6"/>
      <c r="J99" s="84" t="str">
        <f>IF(X99="","",VLOOKUP(X99,Configuratie!$B$1:$E$10,3,FALSE))</f>
        <v/>
      </c>
      <c r="K99" s="84"/>
      <c r="L99" s="6" t="s">
        <v>5</v>
      </c>
      <c r="M99" s="84" t="str">
        <f>IF(X99="","",VLOOKUP(X99,Configuratie!$B$1:$E$10,4,FALSE))</f>
        <v/>
      </c>
      <c r="N99" s="84"/>
      <c r="O99" s="6"/>
      <c r="P99" s="6"/>
      <c r="Q99" s="6"/>
      <c r="R99" s="6"/>
      <c r="S99" s="6"/>
      <c r="T99" s="6"/>
      <c r="U99" s="6"/>
      <c r="V99" s="6" t="str">
        <f>IF(X99="","",VLOOKUP(X99,Configuratie!$B$1:$E$10,2,FALSE))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7"/>
        <v/>
      </c>
      <c r="BB99" s="6"/>
      <c r="BC99" s="48">
        <f t="shared" si="96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9">VLOOKUP(AY102,$B$4:$F$17,2,FALSE)</f>
        <v>J</v>
      </c>
      <c r="D102" s="46" t="s">
        <v>5</v>
      </c>
      <c r="E102" s="84" t="str">
        <f t="shared" ref="E102:E108" si="100">VLOOKUP(AZ102,$B$4:$F$17,2,FALSE)</f>
        <v>K</v>
      </c>
      <c r="F102" s="84"/>
      <c r="G102" s="84"/>
      <c r="H102" s="84"/>
      <c r="I102" s="6"/>
      <c r="J102" s="84" t="str">
        <f>IF(X102="","",VLOOKUP(X102,Configuratie!$B$1:$E$10,3,FALSE))</f>
        <v/>
      </c>
      <c r="K102" s="84"/>
      <c r="L102" s="6" t="s">
        <v>5</v>
      </c>
      <c r="M102" s="84" t="str">
        <f>IF(X102="","",VLOOKUP(X102,Configuratie!$B$1:$E$10,4,FALSE))</f>
        <v/>
      </c>
      <c r="N102" s="84"/>
      <c r="O102" s="6"/>
      <c r="P102" s="6"/>
      <c r="Q102" s="6"/>
      <c r="R102" s="6"/>
      <c r="S102" s="6"/>
      <c r="T102" s="6"/>
      <c r="U102" s="6"/>
      <c r="V102" s="6" t="str">
        <f>IF(X102="","",VLOOKUP(X102,Configuratie!$B$1:$E$10,2,FALSE))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101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102">VLOOKUP(AY103,$B$4:$F$17,2,FALSE)</f>
        <v>I</v>
      </c>
      <c r="D103" s="46" t="s">
        <v>5</v>
      </c>
      <c r="E103" s="84" t="str">
        <f t="shared" si="100"/>
        <v>L</v>
      </c>
      <c r="F103" s="84"/>
      <c r="G103" s="84"/>
      <c r="H103" s="84"/>
      <c r="I103" s="6"/>
      <c r="J103" s="84" t="str">
        <f>IF(X103="","",VLOOKUP(X103,Configuratie!$B$1:$E$10,3,FALSE))</f>
        <v/>
      </c>
      <c r="K103" s="84"/>
      <c r="L103" s="6" t="s">
        <v>5</v>
      </c>
      <c r="M103" s="84" t="str">
        <f>IF(X103="","",VLOOKUP(X103,Configuratie!$B$1:$E$10,4,FALSE))</f>
        <v/>
      </c>
      <c r="N103" s="84"/>
      <c r="O103" s="6"/>
      <c r="P103" s="6"/>
      <c r="Q103" s="6"/>
      <c r="R103" s="6"/>
      <c r="S103" s="6"/>
      <c r="T103" s="6"/>
      <c r="U103" s="6"/>
      <c r="V103" s="6" t="str">
        <f>IF(X103="","",VLOOKUP(X103,Configuratie!$B$1:$E$10,2,FALSE))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103">IF(AND(ISNUMBER(J103),ISNUMBER(M103)),IF(J103+M103=1,1,0),"")</f>
        <v/>
      </c>
      <c r="BB103" s="6"/>
      <c r="BC103" s="48">
        <f t="shared" si="101"/>
        <v>811</v>
      </c>
      <c r="BD103" s="48">
        <f t="shared" ref="BD103:BD107" si="104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102"/>
        <v>H</v>
      </c>
      <c r="D104" s="46" t="s">
        <v>5</v>
      </c>
      <c r="E104" s="84" t="str">
        <f t="shared" si="100"/>
        <v>M</v>
      </c>
      <c r="F104" s="84"/>
      <c r="G104" s="84"/>
      <c r="H104" s="84"/>
      <c r="I104" s="6"/>
      <c r="J104" s="84" t="str">
        <f>IF(X104="","",VLOOKUP(X104,Configuratie!$B$1:$E$10,3,FALSE))</f>
        <v/>
      </c>
      <c r="K104" s="84"/>
      <c r="L104" s="6" t="s">
        <v>5</v>
      </c>
      <c r="M104" s="84" t="str">
        <f>IF(X104="","",VLOOKUP(X104,Configuratie!$B$1:$E$10,4,FALSE))</f>
        <v/>
      </c>
      <c r="N104" s="84"/>
      <c r="O104" s="6"/>
      <c r="P104" s="6"/>
      <c r="Q104" s="6"/>
      <c r="R104" s="6"/>
      <c r="S104" s="6"/>
      <c r="T104" s="6"/>
      <c r="U104" s="6"/>
      <c r="V104" s="6" t="str">
        <f>IF(X104="","",VLOOKUP(X104,Configuratie!$B$1:$E$10,2,FALSE))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103"/>
        <v/>
      </c>
      <c r="BB104" s="6"/>
      <c r="BC104" s="48">
        <f t="shared" si="101"/>
        <v>712</v>
      </c>
      <c r="BD104" s="48">
        <f t="shared" si="104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102"/>
        <v>G</v>
      </c>
      <c r="D105" s="46" t="s">
        <v>5</v>
      </c>
      <c r="E105" s="84" t="str">
        <f t="shared" si="100"/>
        <v>N</v>
      </c>
      <c r="F105" s="84"/>
      <c r="G105" s="84"/>
      <c r="H105" s="84"/>
      <c r="I105" s="6"/>
      <c r="J105" s="84" t="str">
        <f>IF(X105="","",VLOOKUP(X105,Configuratie!$B$1:$E$10,3,FALSE))</f>
        <v/>
      </c>
      <c r="K105" s="84"/>
      <c r="L105" s="6" t="s">
        <v>5</v>
      </c>
      <c r="M105" s="84" t="str">
        <f>IF(X105="","",VLOOKUP(X105,Configuratie!$B$1:$E$10,4,FALSE))</f>
        <v/>
      </c>
      <c r="N105" s="84"/>
      <c r="O105" s="6"/>
      <c r="P105" s="6"/>
      <c r="Q105" s="6"/>
      <c r="R105" s="6"/>
      <c r="S105" s="6"/>
      <c r="T105" s="6"/>
      <c r="U105" s="6"/>
      <c r="V105" s="6" t="str">
        <f>IF(X105="","",VLOOKUP(X105,Configuratie!$B$1:$E$10,2,FALSE))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103"/>
        <v/>
      </c>
      <c r="BB105" s="6"/>
      <c r="BC105" s="48">
        <f t="shared" si="101"/>
        <v>613</v>
      </c>
      <c r="BD105" s="48">
        <f t="shared" si="104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102"/>
        <v>E</v>
      </c>
      <c r="D106" s="46" t="s">
        <v>5</v>
      </c>
      <c r="E106" s="84" t="str">
        <f t="shared" si="100"/>
        <v>A</v>
      </c>
      <c r="F106" s="84"/>
      <c r="G106" s="84"/>
      <c r="H106" s="84"/>
      <c r="I106" s="6"/>
      <c r="J106" s="84" t="str">
        <f>IF(X106="","",VLOOKUP(X106,Configuratie!$B$1:$E$10,3,FALSE))</f>
        <v/>
      </c>
      <c r="K106" s="84"/>
      <c r="L106" s="6" t="s">
        <v>5</v>
      </c>
      <c r="M106" s="84" t="str">
        <f>IF(X106="","",VLOOKUP(X106,Configuratie!$B$1:$E$10,4,FALSE))</f>
        <v/>
      </c>
      <c r="N106" s="84"/>
      <c r="O106" s="6"/>
      <c r="P106" s="6"/>
      <c r="Q106" s="6"/>
      <c r="R106" s="6"/>
      <c r="S106" s="6"/>
      <c r="T106" s="6"/>
      <c r="U106" s="6"/>
      <c r="V106" s="6" t="str">
        <f>IF(X106="","",VLOOKUP(X106,Configuratie!$B$1:$E$10,2,FALSE))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103"/>
        <v/>
      </c>
      <c r="BB106" s="6"/>
      <c r="BC106" s="48">
        <f t="shared" si="101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102"/>
        <v>D</v>
      </c>
      <c r="D107" s="46" t="s">
        <v>5</v>
      </c>
      <c r="E107" s="84" t="str">
        <f t="shared" si="100"/>
        <v>B</v>
      </c>
      <c r="F107" s="84"/>
      <c r="G107" s="84"/>
      <c r="H107" s="84"/>
      <c r="I107" s="6"/>
      <c r="J107" s="84" t="str">
        <f>IF(X107="","",VLOOKUP(X107,Configuratie!$B$1:$E$10,3,FALSE))</f>
        <v/>
      </c>
      <c r="K107" s="84"/>
      <c r="L107" s="6" t="s">
        <v>5</v>
      </c>
      <c r="M107" s="84" t="str">
        <f>IF(X107="","",VLOOKUP(X107,Configuratie!$B$1:$E$10,4,FALSE))</f>
        <v/>
      </c>
      <c r="N107" s="84"/>
      <c r="O107" s="6"/>
      <c r="P107" s="6"/>
      <c r="Q107" s="6"/>
      <c r="R107" s="6"/>
      <c r="S107" s="6"/>
      <c r="T107" s="6"/>
      <c r="U107" s="6"/>
      <c r="V107" s="6" t="str">
        <f>IF(X107="","",VLOOKUP(X107,Configuratie!$B$1:$E$10,2,FALSE))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103"/>
        <v/>
      </c>
      <c r="BB107" s="6"/>
      <c r="BC107" s="48">
        <f t="shared" si="101"/>
        <v>402</v>
      </c>
      <c r="BD107" s="48">
        <f t="shared" si="104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102"/>
        <v>O</v>
      </c>
      <c r="D108" s="46" t="s">
        <v>5</v>
      </c>
      <c r="E108" s="84" t="str">
        <f t="shared" si="100"/>
        <v>C</v>
      </c>
      <c r="F108" s="84"/>
      <c r="G108" s="84"/>
      <c r="H108" s="84"/>
      <c r="I108" s="6"/>
      <c r="J108" s="84" t="str">
        <f>IF(X108="","",VLOOKUP(X108,Configuratie!$B$1:$E$10,3,FALSE))</f>
        <v/>
      </c>
      <c r="K108" s="84"/>
      <c r="L108" s="6" t="s">
        <v>5</v>
      </c>
      <c r="M108" s="84" t="str">
        <f>IF(X108="","",VLOOKUP(X108,Configuratie!$B$1:$E$10,4,FALSE))</f>
        <v/>
      </c>
      <c r="N108" s="84"/>
      <c r="O108" s="6"/>
      <c r="P108" s="6"/>
      <c r="Q108" s="6"/>
      <c r="R108" s="6"/>
      <c r="S108" s="6"/>
      <c r="T108" s="6"/>
      <c r="U108" s="6"/>
      <c r="V108" s="6" t="str">
        <f>IF(X108="","",VLOOKUP(X108,Configuratie!$B$1:$E$10,2,FALSE))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103"/>
        <v/>
      </c>
      <c r="BB108" s="6"/>
      <c r="BC108" s="48">
        <f t="shared" si="101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105">VLOOKUP(AY111,$B$4:$F$17,2,FALSE)</f>
        <v>J</v>
      </c>
      <c r="D111" s="46" t="s">
        <v>5</v>
      </c>
      <c r="E111" s="84" t="str">
        <f t="shared" ref="E111:E117" si="106">VLOOKUP(AZ111,$B$4:$F$17,2,FALSE)</f>
        <v>O</v>
      </c>
      <c r="F111" s="84"/>
      <c r="G111" s="84"/>
      <c r="H111" s="84"/>
      <c r="I111" s="6"/>
      <c r="J111" s="84" t="str">
        <f>IF(X111="","",VLOOKUP(X111,Configuratie!$B$1:$E$10,3,FALSE))</f>
        <v/>
      </c>
      <c r="K111" s="84"/>
      <c r="L111" s="6" t="s">
        <v>5</v>
      </c>
      <c r="M111" s="84" t="str">
        <f>IF(X111="","",VLOOKUP(X111,Configuratie!$B$1:$E$10,4,FALSE))</f>
        <v/>
      </c>
      <c r="N111" s="84"/>
      <c r="O111" s="6"/>
      <c r="P111" s="6"/>
      <c r="Q111" s="6"/>
      <c r="R111" s="6"/>
      <c r="S111" s="6"/>
      <c r="T111" s="6"/>
      <c r="U111" s="6"/>
      <c r="V111" s="6" t="str">
        <f>IF(X111="","",VLOOKUP(X111,Configuratie!$B$1:$E$10,2,FALSE))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7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105"/>
        <v>K</v>
      </c>
      <c r="D112" s="46" t="s">
        <v>5</v>
      </c>
      <c r="E112" s="84" t="str">
        <f t="shared" si="106"/>
        <v>I</v>
      </c>
      <c r="F112" s="84"/>
      <c r="G112" s="84"/>
      <c r="H112" s="84"/>
      <c r="I112" s="6"/>
      <c r="J112" s="84" t="str">
        <f>IF(X112="","",VLOOKUP(X112,Configuratie!$B$1:$E$10,3,FALSE))</f>
        <v/>
      </c>
      <c r="K112" s="84"/>
      <c r="L112" s="6" t="s">
        <v>5</v>
      </c>
      <c r="M112" s="84" t="str">
        <f>IF(X112="","",VLOOKUP(X112,Configuratie!$B$1:$E$10,4,FALSE))</f>
        <v/>
      </c>
      <c r="N112" s="84"/>
      <c r="O112" s="6"/>
      <c r="P112" s="6"/>
      <c r="Q112" s="6"/>
      <c r="R112" s="6"/>
      <c r="S112" s="6"/>
      <c r="T112" s="6"/>
      <c r="U112" s="6"/>
      <c r="V112" s="6" t="str">
        <f>IF(X112="","",VLOOKUP(X112,Configuratie!$B$1:$E$10,2,FALSE))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8">IF(AND(ISNUMBER(J112),ISNUMBER(M112)),IF(J112+M112=1,1,0),"")</f>
        <v/>
      </c>
      <c r="BB112" s="6"/>
      <c r="BC112" s="48">
        <f t="shared" si="107"/>
        <v>1008</v>
      </c>
      <c r="BD112" s="48">
        <f t="shared" ref="BD112:BD116" si="109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105"/>
        <v>L</v>
      </c>
      <c r="D113" s="46" t="s">
        <v>5</v>
      </c>
      <c r="E113" s="84" t="str">
        <f t="shared" si="106"/>
        <v>H</v>
      </c>
      <c r="F113" s="84"/>
      <c r="G113" s="84"/>
      <c r="H113" s="84"/>
      <c r="I113" s="6"/>
      <c r="J113" s="84" t="str">
        <f>IF(X113="","",VLOOKUP(X113,Configuratie!$B$1:$E$10,3,FALSE))</f>
        <v/>
      </c>
      <c r="K113" s="84"/>
      <c r="L113" s="6" t="s">
        <v>5</v>
      </c>
      <c r="M113" s="84" t="str">
        <f>IF(X113="","",VLOOKUP(X113,Configuratie!$B$1:$E$10,4,FALSE))</f>
        <v/>
      </c>
      <c r="N113" s="84"/>
      <c r="O113" s="6"/>
      <c r="P113" s="6"/>
      <c r="Q113" s="6"/>
      <c r="R113" s="6"/>
      <c r="S113" s="6"/>
      <c r="T113" s="6"/>
      <c r="U113" s="6"/>
      <c r="V113" s="6" t="str">
        <f>IF(X113="","",VLOOKUP(X113,Configuratie!$B$1:$E$10,2,FALSE))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8"/>
        <v/>
      </c>
      <c r="BB113" s="6"/>
      <c r="BC113" s="48">
        <f t="shared" si="107"/>
        <v>1107</v>
      </c>
      <c r="BD113" s="48">
        <f t="shared" si="109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105"/>
        <v>M</v>
      </c>
      <c r="D114" s="46" t="s">
        <v>5</v>
      </c>
      <c r="E114" s="84" t="str">
        <f t="shared" si="106"/>
        <v>G</v>
      </c>
      <c r="F114" s="84"/>
      <c r="G114" s="84"/>
      <c r="H114" s="84"/>
      <c r="I114" s="6"/>
      <c r="J114" s="84" t="str">
        <f>IF(X114="","",VLOOKUP(X114,Configuratie!$B$1:$E$10,3,FALSE))</f>
        <v/>
      </c>
      <c r="K114" s="84"/>
      <c r="L114" s="6" t="s">
        <v>5</v>
      </c>
      <c r="M114" s="84" t="str">
        <f>IF(X114="","",VLOOKUP(X114,Configuratie!$B$1:$E$10,4,FALSE))</f>
        <v/>
      </c>
      <c r="N114" s="84"/>
      <c r="O114" s="6"/>
      <c r="P114" s="6"/>
      <c r="Q114" s="6"/>
      <c r="R114" s="6"/>
      <c r="S114" s="6"/>
      <c r="T114" s="6"/>
      <c r="U114" s="6"/>
      <c r="V114" s="6" t="str">
        <f>IF(X114="","",VLOOKUP(X114,Configuratie!$B$1:$E$10,2,FALSE))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8"/>
        <v/>
      </c>
      <c r="BB114" s="6"/>
      <c r="BC114" s="48">
        <f t="shared" si="107"/>
        <v>1206</v>
      </c>
      <c r="BD114" s="48">
        <f t="shared" si="109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105"/>
        <v>N</v>
      </c>
      <c r="D115" s="46" t="s">
        <v>5</v>
      </c>
      <c r="E115" s="84" t="str">
        <f t="shared" si="106"/>
        <v>E</v>
      </c>
      <c r="F115" s="84"/>
      <c r="G115" s="84"/>
      <c r="H115" s="84"/>
      <c r="I115" s="6"/>
      <c r="J115" s="84" t="str">
        <f>IF(X115="","",VLOOKUP(X115,Configuratie!$B$1:$E$10,3,FALSE))</f>
        <v/>
      </c>
      <c r="K115" s="84"/>
      <c r="L115" s="6" t="s">
        <v>5</v>
      </c>
      <c r="M115" s="84" t="str">
        <f>IF(X115="","",VLOOKUP(X115,Configuratie!$B$1:$E$10,4,FALSE))</f>
        <v/>
      </c>
      <c r="N115" s="84"/>
      <c r="O115" s="6"/>
      <c r="P115" s="6"/>
      <c r="Q115" s="6"/>
      <c r="R115" s="6"/>
      <c r="S115" s="6"/>
      <c r="T115" s="6"/>
      <c r="U115" s="6"/>
      <c r="V115" s="6" t="str">
        <f>IF(X115="","",VLOOKUP(X115,Configuratie!$B$1:$E$10,2,FALSE))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8"/>
        <v/>
      </c>
      <c r="BB115" s="6"/>
      <c r="BC115" s="48">
        <f t="shared" si="107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105"/>
        <v>A</v>
      </c>
      <c r="D116" s="46" t="s">
        <v>5</v>
      </c>
      <c r="E116" s="84" t="str">
        <f t="shared" si="106"/>
        <v>D</v>
      </c>
      <c r="F116" s="84"/>
      <c r="G116" s="84"/>
      <c r="H116" s="84"/>
      <c r="I116" s="6"/>
      <c r="J116" s="84" t="str">
        <f>IF(X116="","",VLOOKUP(X116,Configuratie!$B$1:$E$10,3,FALSE))</f>
        <v/>
      </c>
      <c r="K116" s="84"/>
      <c r="L116" s="6" t="s">
        <v>5</v>
      </c>
      <c r="M116" s="84" t="str">
        <f>IF(X116="","",VLOOKUP(X116,Configuratie!$B$1:$E$10,4,FALSE))</f>
        <v/>
      </c>
      <c r="N116" s="84"/>
      <c r="O116" s="6"/>
      <c r="P116" s="6"/>
      <c r="Q116" s="6"/>
      <c r="R116" s="6"/>
      <c r="S116" s="6"/>
      <c r="T116" s="6"/>
      <c r="U116" s="6"/>
      <c r="V116" s="6" t="str">
        <f>IF(X116="","",VLOOKUP(X116,Configuratie!$B$1:$E$10,2,FALSE))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8"/>
        <v/>
      </c>
      <c r="BB116" s="6"/>
      <c r="BC116" s="48">
        <f t="shared" si="107"/>
        <v>104</v>
      </c>
      <c r="BD116" s="48">
        <f t="shared" si="109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105"/>
        <v>B</v>
      </c>
      <c r="D117" s="46" t="s">
        <v>5</v>
      </c>
      <c r="E117" s="84" t="str">
        <f t="shared" si="106"/>
        <v>C</v>
      </c>
      <c r="F117" s="84"/>
      <c r="G117" s="84"/>
      <c r="H117" s="84"/>
      <c r="I117" s="6"/>
      <c r="J117" s="84" t="str">
        <f>IF(X117="","",VLOOKUP(X117,Configuratie!$B$1:$E$10,3,FALSE))</f>
        <v/>
      </c>
      <c r="K117" s="84"/>
      <c r="L117" s="6" t="s">
        <v>5</v>
      </c>
      <c r="M117" s="84" t="str">
        <f>IF(X117="","",VLOOKUP(X117,Configuratie!$B$1:$E$10,4,FALSE))</f>
        <v/>
      </c>
      <c r="N117" s="84"/>
      <c r="O117" s="6"/>
      <c r="P117" s="6"/>
      <c r="Q117" s="6"/>
      <c r="R117" s="6"/>
      <c r="S117" s="6"/>
      <c r="T117" s="6"/>
      <c r="U117" s="6"/>
      <c r="V117" s="6" t="str">
        <f>IF(X117="","",VLOOKUP(X117,Configuratie!$B$1:$E$10,2,FALSE))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8"/>
        <v/>
      </c>
      <c r="BB117" s="6"/>
      <c r="BC117" s="48">
        <f t="shared" si="107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10">VLOOKUP(AY120,$B$4:$F$17,2,FALSE)</f>
        <v>I</v>
      </c>
      <c r="D120" s="46" t="s">
        <v>5</v>
      </c>
      <c r="E120" s="84" t="str">
        <f t="shared" ref="E120:E126" si="111">VLOOKUP(AZ120,$B$4:$F$17,2,FALSE)</f>
        <v>J</v>
      </c>
      <c r="F120" s="84"/>
      <c r="G120" s="84"/>
      <c r="H120" s="84"/>
      <c r="I120" s="6"/>
      <c r="J120" s="84" t="str">
        <f>IF(X120="","",VLOOKUP(X120,Configuratie!$B$1:$E$10,3,FALSE))</f>
        <v/>
      </c>
      <c r="K120" s="84"/>
      <c r="L120" s="6" t="s">
        <v>5</v>
      </c>
      <c r="M120" s="84" t="str">
        <f>IF(X120="","",VLOOKUP(X120,Configuratie!$B$1:$E$10,4,FALSE))</f>
        <v/>
      </c>
      <c r="N120" s="84"/>
      <c r="O120" s="6"/>
      <c r="P120" s="6"/>
      <c r="Q120" s="6"/>
      <c r="R120" s="6"/>
      <c r="S120" s="6"/>
      <c r="T120" s="6"/>
      <c r="U120" s="6"/>
      <c r="V120" s="6" t="str">
        <f>IF(X120="","",VLOOKUP(X120,Configuratie!$B$1:$E$10,2,FALSE))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12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10"/>
        <v>H</v>
      </c>
      <c r="D121" s="46" t="s">
        <v>5</v>
      </c>
      <c r="E121" s="84" t="str">
        <f t="shared" si="111"/>
        <v>K</v>
      </c>
      <c r="F121" s="84"/>
      <c r="G121" s="84"/>
      <c r="H121" s="84"/>
      <c r="I121" s="6"/>
      <c r="J121" s="84" t="str">
        <f>IF(X121="","",VLOOKUP(X121,Configuratie!$B$1:$E$10,3,FALSE))</f>
        <v/>
      </c>
      <c r="K121" s="84"/>
      <c r="L121" s="6" t="s">
        <v>5</v>
      </c>
      <c r="M121" s="84" t="str">
        <f>IF(X121="","",VLOOKUP(X121,Configuratie!$B$1:$E$10,4,FALSE))</f>
        <v/>
      </c>
      <c r="N121" s="84"/>
      <c r="O121" s="6"/>
      <c r="P121" s="6"/>
      <c r="Q121" s="6"/>
      <c r="R121" s="6"/>
      <c r="S121" s="6"/>
      <c r="T121" s="6"/>
      <c r="U121" s="6"/>
      <c r="V121" s="6" t="str">
        <f>IF(X121="","",VLOOKUP(X121,Configuratie!$B$1:$E$10,2,FALSE))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13">IF(AND(ISNUMBER(J121),ISNUMBER(M121)),IF(J121+M121=1,1,0),"")</f>
        <v/>
      </c>
      <c r="BB121" s="6"/>
      <c r="BC121" s="48">
        <f t="shared" si="112"/>
        <v>710</v>
      </c>
      <c r="BD121" s="48">
        <f t="shared" ref="BD121:BD125" si="114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10"/>
        <v>G</v>
      </c>
      <c r="D122" s="46" t="s">
        <v>5</v>
      </c>
      <c r="E122" s="84" t="str">
        <f t="shared" si="111"/>
        <v>L</v>
      </c>
      <c r="F122" s="84"/>
      <c r="G122" s="84"/>
      <c r="H122" s="84"/>
      <c r="I122" s="6"/>
      <c r="J122" s="84" t="str">
        <f>IF(X122="","",VLOOKUP(X122,Configuratie!$B$1:$E$10,3,FALSE))</f>
        <v/>
      </c>
      <c r="K122" s="84"/>
      <c r="L122" s="6" t="s">
        <v>5</v>
      </c>
      <c r="M122" s="84" t="str">
        <f>IF(X122="","",VLOOKUP(X122,Configuratie!$B$1:$E$10,4,FALSE))</f>
        <v/>
      </c>
      <c r="N122" s="84"/>
      <c r="O122" s="6"/>
      <c r="P122" s="6"/>
      <c r="Q122" s="6"/>
      <c r="R122" s="6"/>
      <c r="S122" s="6"/>
      <c r="T122" s="6"/>
      <c r="U122" s="6"/>
      <c r="V122" s="6" t="str">
        <f>IF(X122="","",VLOOKUP(X122,Configuratie!$B$1:$E$10,2,FALSE))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13"/>
        <v/>
      </c>
      <c r="BB122" s="6"/>
      <c r="BC122" s="48">
        <f t="shared" si="112"/>
        <v>611</v>
      </c>
      <c r="BD122" s="48">
        <f t="shared" si="114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10"/>
        <v>E</v>
      </c>
      <c r="D123" s="46" t="s">
        <v>5</v>
      </c>
      <c r="E123" s="84" t="str">
        <f t="shared" si="111"/>
        <v>M</v>
      </c>
      <c r="F123" s="84"/>
      <c r="G123" s="84"/>
      <c r="H123" s="84"/>
      <c r="I123" s="6"/>
      <c r="J123" s="84" t="str">
        <f>IF(X123="","",VLOOKUP(X123,Configuratie!$B$1:$E$10,3,FALSE))</f>
        <v/>
      </c>
      <c r="K123" s="84"/>
      <c r="L123" s="6" t="s">
        <v>5</v>
      </c>
      <c r="M123" s="84" t="str">
        <f>IF(X123="","",VLOOKUP(X123,Configuratie!$B$1:$E$10,4,FALSE))</f>
        <v/>
      </c>
      <c r="N123" s="84"/>
      <c r="O123" s="6"/>
      <c r="P123" s="6"/>
      <c r="Q123" s="6"/>
      <c r="R123" s="6"/>
      <c r="S123" s="6"/>
      <c r="T123" s="6"/>
      <c r="U123" s="6"/>
      <c r="V123" s="6" t="str">
        <f>IF(X123="","",VLOOKUP(X123,Configuratie!$B$1:$E$10,2,FALSE))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13"/>
        <v/>
      </c>
      <c r="BB123" s="6"/>
      <c r="BC123" s="48">
        <f t="shared" si="112"/>
        <v>512</v>
      </c>
      <c r="BD123" s="48">
        <f t="shared" si="114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10"/>
        <v>D</v>
      </c>
      <c r="D124" s="46" t="s">
        <v>5</v>
      </c>
      <c r="E124" s="84" t="str">
        <f t="shared" si="111"/>
        <v>N</v>
      </c>
      <c r="F124" s="84"/>
      <c r="G124" s="84"/>
      <c r="H124" s="84"/>
      <c r="I124" s="6"/>
      <c r="J124" s="84" t="str">
        <f>IF(X124="","",VLOOKUP(X124,Configuratie!$B$1:$E$10,3,FALSE))</f>
        <v/>
      </c>
      <c r="K124" s="84"/>
      <c r="L124" s="6" t="s">
        <v>5</v>
      </c>
      <c r="M124" s="84" t="str">
        <f>IF(X124="","",VLOOKUP(X124,Configuratie!$B$1:$E$10,4,FALSE))</f>
        <v/>
      </c>
      <c r="N124" s="84"/>
      <c r="O124" s="6"/>
      <c r="P124" s="6"/>
      <c r="Q124" s="6"/>
      <c r="R124" s="6"/>
      <c r="S124" s="6"/>
      <c r="T124" s="6"/>
      <c r="U124" s="6"/>
      <c r="V124" s="6" t="str">
        <f>IF(X124="","",VLOOKUP(X124,Configuratie!$B$1:$E$10,2,FALSE))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13"/>
        <v/>
      </c>
      <c r="BB124" s="6"/>
      <c r="BC124" s="48">
        <f t="shared" si="112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10"/>
        <v>C</v>
      </c>
      <c r="D125" s="46" t="s">
        <v>5</v>
      </c>
      <c r="E125" s="84" t="str">
        <f t="shared" si="111"/>
        <v>A</v>
      </c>
      <c r="F125" s="84"/>
      <c r="G125" s="84"/>
      <c r="H125" s="84"/>
      <c r="I125" s="6"/>
      <c r="J125" s="84" t="str">
        <f>IF(X125="","",VLOOKUP(X125,Configuratie!$B$1:$E$10,3,FALSE))</f>
        <v/>
      </c>
      <c r="K125" s="84"/>
      <c r="L125" s="6" t="s">
        <v>5</v>
      </c>
      <c r="M125" s="84" t="str">
        <f>IF(X125="","",VLOOKUP(X125,Configuratie!$B$1:$E$10,4,FALSE))</f>
        <v/>
      </c>
      <c r="N125" s="84"/>
      <c r="O125" s="6"/>
      <c r="P125" s="6"/>
      <c r="Q125" s="6"/>
      <c r="R125" s="6"/>
      <c r="S125" s="6"/>
      <c r="T125" s="6"/>
      <c r="U125" s="6"/>
      <c r="V125" s="6" t="str">
        <f>IF(X125="","",VLOOKUP(X125,Configuratie!$B$1:$E$10,2,FALSE))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13"/>
        <v/>
      </c>
      <c r="BB125" s="6"/>
      <c r="BC125" s="48">
        <f t="shared" si="112"/>
        <v>301</v>
      </c>
      <c r="BD125" s="48">
        <f t="shared" si="114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10"/>
        <v>B</v>
      </c>
      <c r="D126" s="46" t="s">
        <v>5</v>
      </c>
      <c r="E126" s="84" t="str">
        <f t="shared" si="111"/>
        <v>O</v>
      </c>
      <c r="F126" s="84"/>
      <c r="G126" s="84"/>
      <c r="H126" s="84"/>
      <c r="I126" s="6"/>
      <c r="J126" s="84" t="str">
        <f>IF(X126="","",VLOOKUP(X126,Configuratie!$B$1:$E$10,3,FALSE))</f>
        <v/>
      </c>
      <c r="K126" s="84"/>
      <c r="L126" s="6" t="s">
        <v>5</v>
      </c>
      <c r="M126" s="84" t="str">
        <f>IF(X126="","",VLOOKUP(X126,Configuratie!$B$1:$E$10,4,FALSE))</f>
        <v/>
      </c>
      <c r="N126" s="84"/>
      <c r="O126" s="6"/>
      <c r="P126" s="6"/>
      <c r="Q126" s="6"/>
      <c r="R126" s="6"/>
      <c r="S126" s="6"/>
      <c r="T126" s="6"/>
      <c r="U126" s="6"/>
      <c r="V126" s="6" t="str">
        <f>IF(X126="","",VLOOKUP(X126,Configuratie!$B$1:$E$10,2,FALSE))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13"/>
        <v/>
      </c>
      <c r="BB126" s="6"/>
      <c r="BC126" s="48">
        <f t="shared" si="112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15">VLOOKUP(AY129,$B$4:$F$17,2,FALSE)</f>
        <v>O</v>
      </c>
      <c r="D129" s="46" t="s">
        <v>5</v>
      </c>
      <c r="E129" s="84" t="str">
        <f t="shared" ref="E129:E135" si="116">VLOOKUP(AZ129,$B$4:$F$17,2,FALSE)</f>
        <v>I</v>
      </c>
      <c r="F129" s="84"/>
      <c r="G129" s="84"/>
      <c r="H129" s="84"/>
      <c r="I129" s="6"/>
      <c r="J129" s="84" t="str">
        <f>IF(X129="","",VLOOKUP(X129,Configuratie!$B$1:$E$10,3,FALSE))</f>
        <v/>
      </c>
      <c r="K129" s="84"/>
      <c r="L129" s="6" t="s">
        <v>5</v>
      </c>
      <c r="M129" s="84" t="str">
        <f>IF(X129="","",VLOOKUP(X129,Configuratie!$B$1:$E$10,4,FALSE))</f>
        <v/>
      </c>
      <c r="N129" s="84"/>
      <c r="O129" s="6"/>
      <c r="P129" s="6"/>
      <c r="Q129" s="6"/>
      <c r="R129" s="6"/>
      <c r="S129" s="6"/>
      <c r="T129" s="6"/>
      <c r="U129" s="6"/>
      <c r="V129" s="6" t="str">
        <f>IF(X129="","",VLOOKUP(X129,Configuratie!$B$1:$E$10,2,FALSE))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7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15"/>
        <v>J</v>
      </c>
      <c r="D130" s="46" t="s">
        <v>5</v>
      </c>
      <c r="E130" s="84" t="str">
        <f t="shared" si="116"/>
        <v>H</v>
      </c>
      <c r="F130" s="84"/>
      <c r="G130" s="84"/>
      <c r="H130" s="84"/>
      <c r="I130" s="6"/>
      <c r="J130" s="84" t="str">
        <f>IF(X130="","",VLOOKUP(X130,Configuratie!$B$1:$E$10,3,FALSE))</f>
        <v/>
      </c>
      <c r="K130" s="84"/>
      <c r="L130" s="6" t="s">
        <v>5</v>
      </c>
      <c r="M130" s="84" t="str">
        <f>IF(X130="","",VLOOKUP(X130,Configuratie!$B$1:$E$10,4,FALSE))</f>
        <v/>
      </c>
      <c r="N130" s="84"/>
      <c r="O130" s="6"/>
      <c r="P130" s="6"/>
      <c r="Q130" s="6"/>
      <c r="R130" s="6"/>
      <c r="S130" s="6"/>
      <c r="T130" s="6"/>
      <c r="U130" s="6"/>
      <c r="V130" s="6" t="str">
        <f>IF(X130="","",VLOOKUP(X130,Configuratie!$B$1:$E$10,2,FALSE))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8">IF(AND(ISNUMBER(J130),ISNUMBER(M130)),IF(J130+M130=1,1,0),"")</f>
        <v/>
      </c>
      <c r="BB130" s="6"/>
      <c r="BC130" s="48">
        <f t="shared" si="117"/>
        <v>907</v>
      </c>
      <c r="BD130" s="48">
        <f t="shared" ref="BD130:BD134" si="119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15"/>
        <v>K</v>
      </c>
      <c r="D131" s="46" t="s">
        <v>5</v>
      </c>
      <c r="E131" s="84" t="str">
        <f t="shared" si="116"/>
        <v>G</v>
      </c>
      <c r="F131" s="84"/>
      <c r="G131" s="84"/>
      <c r="H131" s="84"/>
      <c r="I131" s="6"/>
      <c r="J131" s="84" t="str">
        <f>IF(X131="","",VLOOKUP(X131,Configuratie!$B$1:$E$10,3,FALSE))</f>
        <v/>
      </c>
      <c r="K131" s="84"/>
      <c r="L131" s="6" t="s">
        <v>5</v>
      </c>
      <c r="M131" s="84" t="str">
        <f>IF(X131="","",VLOOKUP(X131,Configuratie!$B$1:$E$10,4,FALSE))</f>
        <v/>
      </c>
      <c r="N131" s="84"/>
      <c r="O131" s="6"/>
      <c r="P131" s="6"/>
      <c r="Q131" s="6"/>
      <c r="R131" s="6"/>
      <c r="S131" s="6"/>
      <c r="T131" s="6"/>
      <c r="U131" s="6"/>
      <c r="V131" s="6" t="str">
        <f>IF(X131="","",VLOOKUP(X131,Configuratie!$B$1:$E$10,2,FALSE))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8"/>
        <v/>
      </c>
      <c r="BB131" s="6"/>
      <c r="BC131" s="48">
        <f t="shared" si="117"/>
        <v>1006</v>
      </c>
      <c r="BD131" s="48">
        <f t="shared" si="119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15"/>
        <v>L</v>
      </c>
      <c r="D132" s="46" t="s">
        <v>5</v>
      </c>
      <c r="E132" s="84" t="str">
        <f t="shared" si="116"/>
        <v>E</v>
      </c>
      <c r="F132" s="84"/>
      <c r="G132" s="84"/>
      <c r="H132" s="84"/>
      <c r="I132" s="6"/>
      <c r="J132" s="84" t="str">
        <f>IF(X132="","",VLOOKUP(X132,Configuratie!$B$1:$E$10,3,FALSE))</f>
        <v/>
      </c>
      <c r="K132" s="84"/>
      <c r="L132" s="6" t="s">
        <v>5</v>
      </c>
      <c r="M132" s="84" t="str">
        <f>IF(X132="","",VLOOKUP(X132,Configuratie!$B$1:$E$10,4,FALSE))</f>
        <v/>
      </c>
      <c r="N132" s="84"/>
      <c r="O132" s="6"/>
      <c r="P132" s="6"/>
      <c r="Q132" s="6"/>
      <c r="R132" s="6"/>
      <c r="S132" s="6"/>
      <c r="T132" s="6"/>
      <c r="U132" s="6"/>
      <c r="V132" s="6" t="str">
        <f>IF(X132="","",VLOOKUP(X132,Configuratie!$B$1:$E$10,2,FALSE))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8"/>
        <v/>
      </c>
      <c r="BB132" s="6"/>
      <c r="BC132" s="48">
        <f t="shared" si="117"/>
        <v>1105</v>
      </c>
      <c r="BD132" s="48">
        <f t="shared" si="119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15"/>
        <v>M</v>
      </c>
      <c r="D133" s="46" t="s">
        <v>5</v>
      </c>
      <c r="E133" s="84" t="str">
        <f t="shared" si="116"/>
        <v>D</v>
      </c>
      <c r="F133" s="84"/>
      <c r="G133" s="84"/>
      <c r="H133" s="84"/>
      <c r="I133" s="6"/>
      <c r="J133" s="84" t="str">
        <f>IF(X133="","",VLOOKUP(X133,Configuratie!$B$1:$E$10,3,FALSE))</f>
        <v/>
      </c>
      <c r="K133" s="84"/>
      <c r="L133" s="6" t="s">
        <v>5</v>
      </c>
      <c r="M133" s="84" t="str">
        <f>IF(X133="","",VLOOKUP(X133,Configuratie!$B$1:$E$10,4,FALSE))</f>
        <v/>
      </c>
      <c r="N133" s="84"/>
      <c r="O133" s="6"/>
      <c r="P133" s="6"/>
      <c r="Q133" s="6"/>
      <c r="R133" s="6"/>
      <c r="S133" s="6"/>
      <c r="T133" s="6"/>
      <c r="U133" s="6"/>
      <c r="V133" s="6" t="str">
        <f>IF(X133="","",VLOOKUP(X133,Configuratie!$B$1:$E$10,2,FALSE))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8"/>
        <v/>
      </c>
      <c r="BB133" s="6"/>
      <c r="BC133" s="48">
        <f t="shared" si="117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15"/>
        <v>N</v>
      </c>
      <c r="D134" s="46" t="s">
        <v>5</v>
      </c>
      <c r="E134" s="84" t="str">
        <f t="shared" si="116"/>
        <v>C</v>
      </c>
      <c r="F134" s="84"/>
      <c r="G134" s="84"/>
      <c r="H134" s="84"/>
      <c r="I134" s="6"/>
      <c r="J134" s="84" t="str">
        <f>IF(X134="","",VLOOKUP(X134,Configuratie!$B$1:$E$10,3,FALSE))</f>
        <v/>
      </c>
      <c r="K134" s="84"/>
      <c r="L134" s="6" t="s">
        <v>5</v>
      </c>
      <c r="M134" s="84" t="str">
        <f>IF(X134="","",VLOOKUP(X134,Configuratie!$B$1:$E$10,4,FALSE))</f>
        <v/>
      </c>
      <c r="N134" s="84"/>
      <c r="O134" s="6"/>
      <c r="P134" s="6"/>
      <c r="Q134" s="6"/>
      <c r="R134" s="6"/>
      <c r="S134" s="6"/>
      <c r="T134" s="6"/>
      <c r="U134" s="6"/>
      <c r="V134" s="6" t="str">
        <f>IF(X134="","",VLOOKUP(X134,Configuratie!$B$1:$E$10,2,FALSE))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8"/>
        <v/>
      </c>
      <c r="BB134" s="6"/>
      <c r="BC134" s="48">
        <f t="shared" si="117"/>
        <v>1303</v>
      </c>
      <c r="BD134" s="48">
        <f t="shared" si="119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15"/>
        <v>A</v>
      </c>
      <c r="D135" s="46" t="s">
        <v>5</v>
      </c>
      <c r="E135" s="84" t="str">
        <f t="shared" si="116"/>
        <v>B</v>
      </c>
      <c r="F135" s="84"/>
      <c r="G135" s="84"/>
      <c r="H135" s="84"/>
      <c r="I135" s="6"/>
      <c r="J135" s="84" t="str">
        <f>IF(X135="","",VLOOKUP(X135,Configuratie!$B$1:$E$10,3,FALSE))</f>
        <v/>
      </c>
      <c r="K135" s="84"/>
      <c r="L135" s="6" t="s">
        <v>5</v>
      </c>
      <c r="M135" s="84" t="str">
        <f>IF(X135="","",VLOOKUP(X135,Configuratie!$B$1:$E$10,4,FALSE))</f>
        <v/>
      </c>
      <c r="N135" s="84"/>
      <c r="O135" s="6"/>
      <c r="P135" s="6"/>
      <c r="Q135" s="6"/>
      <c r="R135" s="6"/>
      <c r="S135" s="6"/>
      <c r="T135" s="6"/>
      <c r="U135" s="6"/>
      <c r="V135" s="6" t="str">
        <f>IF(X135="","",VLOOKUP(X135,Configuratie!$B$1:$E$10,2,FALSE))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8"/>
        <v/>
      </c>
      <c r="BB135" s="6"/>
      <c r="BC135" s="48">
        <f t="shared" si="117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x14ac:dyDescent="0.25"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6:80" x14ac:dyDescent="0.25"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6:80" x14ac:dyDescent="0.25"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6:80" x14ac:dyDescent="0.25"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6:80" x14ac:dyDescent="0.25"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6:80" x14ac:dyDescent="0.25"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6:80" x14ac:dyDescent="0.25"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6:80" x14ac:dyDescent="0.25"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6:80" x14ac:dyDescent="0.25"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6:80" x14ac:dyDescent="0.25"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6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6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6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6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6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6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6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password="CA5D" sheet="1" objects="1" scenarios="1" selectLockedCells="1"/>
  <mergeCells count="292"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E69:H69"/>
    <mergeCell ref="E67:H67"/>
    <mergeCell ref="E57:H57"/>
    <mergeCell ref="J57:K57"/>
    <mergeCell ref="J87:K87"/>
    <mergeCell ref="M87:N87"/>
    <mergeCell ref="M80:N80"/>
    <mergeCell ref="E81:H81"/>
    <mergeCell ref="J81:K81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E78:H78"/>
    <mergeCell ref="J78:K78"/>
    <mergeCell ref="M78:N78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35:H35"/>
    <mergeCell ref="E32:H32"/>
    <mergeCell ref="J32:K32"/>
    <mergeCell ref="M32:N32"/>
    <mergeCell ref="E33:H33"/>
    <mergeCell ref="E31:H31"/>
    <mergeCell ref="J31:K31"/>
    <mergeCell ref="M31:N31"/>
    <mergeCell ref="E49:H49"/>
    <mergeCell ref="J49:K49"/>
    <mergeCell ref="M49:N49"/>
    <mergeCell ref="E44:H44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E77:H77"/>
    <mergeCell ref="J77:K77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J68:K68"/>
    <mergeCell ref="M68:N68"/>
    <mergeCell ref="M57:N57"/>
    <mergeCell ref="E58:H58"/>
    <mergeCell ref="E54:H54"/>
    <mergeCell ref="J54:K54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J58:K58"/>
    <mergeCell ref="M58:N58"/>
    <mergeCell ref="E25:H25"/>
    <mergeCell ref="J25:K25"/>
    <mergeCell ref="M25:N25"/>
    <mergeCell ref="E27:H27"/>
    <mergeCell ref="J30:K30"/>
    <mergeCell ref="M30:N30"/>
    <mergeCell ref="E43:H43"/>
    <mergeCell ref="J43:K43"/>
    <mergeCell ref="M43:N43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E42:H42"/>
    <mergeCell ref="J42:K42"/>
    <mergeCell ref="M42:N42"/>
    <mergeCell ref="J26:K26"/>
    <mergeCell ref="M26:N26"/>
    <mergeCell ref="AB1:AG1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</mergeCells>
  <conditionalFormatting sqref="H4 I5:U5 J6:U6 K7:U7 L8:U8 M9:U9 N10:U10 O11:U11 P12:U12 Q13:U13 R14:U14 S15:U15 T16:U16 U16:U17">
    <cfRule type="cellIs" dxfId="33" priority="18" stopIfTrue="1" operator="between">
      <formula>0</formula>
      <formula>1</formula>
    </cfRule>
  </conditionalFormatting>
  <conditionalFormatting sqref="I4:U4">
    <cfRule type="cellIs" dxfId="32" priority="17" stopIfTrue="1" operator="between">
      <formula>0</formula>
      <formula>1</formula>
    </cfRule>
  </conditionalFormatting>
  <conditionalFormatting sqref="H5:H17">
    <cfRule type="cellIs" dxfId="31" priority="16" stopIfTrue="1" operator="between">
      <formula>0</formula>
      <formula>1</formula>
    </cfRule>
  </conditionalFormatting>
  <conditionalFormatting sqref="I6:I17">
    <cfRule type="cellIs" dxfId="30" priority="15" stopIfTrue="1" operator="between">
      <formula>0</formula>
      <formula>1</formula>
    </cfRule>
  </conditionalFormatting>
  <conditionalFormatting sqref="J7:J17">
    <cfRule type="cellIs" dxfId="29" priority="14" stopIfTrue="1" operator="between">
      <formula>0</formula>
      <formula>1</formula>
    </cfRule>
  </conditionalFormatting>
  <conditionalFormatting sqref="K8:K17">
    <cfRule type="cellIs" dxfId="28" priority="13" stopIfTrue="1" operator="between">
      <formula>0</formula>
      <formula>1</formula>
    </cfRule>
  </conditionalFormatting>
  <conditionalFormatting sqref="L9:L17">
    <cfRule type="cellIs" dxfId="27" priority="12" stopIfTrue="1" operator="between">
      <formula>0</formula>
      <formula>1</formula>
    </cfRule>
  </conditionalFormatting>
  <conditionalFormatting sqref="M10:M17">
    <cfRule type="cellIs" dxfId="26" priority="11" stopIfTrue="1" operator="between">
      <formula>0</formula>
      <formula>1</formula>
    </cfRule>
  </conditionalFormatting>
  <conditionalFormatting sqref="N11:N17">
    <cfRule type="cellIs" dxfId="25" priority="10" stopIfTrue="1" operator="between">
      <formula>0</formula>
      <formula>1</formula>
    </cfRule>
  </conditionalFormatting>
  <conditionalFormatting sqref="O12:O17">
    <cfRule type="cellIs" dxfId="24" priority="9" stopIfTrue="1" operator="between">
      <formula>0</formula>
      <formula>1</formula>
    </cfRule>
  </conditionalFormatting>
  <conditionalFormatting sqref="P13:P17">
    <cfRule type="cellIs" dxfId="23" priority="8" stopIfTrue="1" operator="between">
      <formula>0</formula>
      <formula>1</formula>
    </cfRule>
  </conditionalFormatting>
  <conditionalFormatting sqref="Q14:Q17">
    <cfRule type="cellIs" dxfId="22" priority="7" stopIfTrue="1" operator="between">
      <formula>0</formula>
      <formula>1</formula>
    </cfRule>
  </conditionalFormatting>
  <conditionalFormatting sqref="R15:R17">
    <cfRule type="cellIs" dxfId="21" priority="6" stopIfTrue="1" operator="between">
      <formula>0</formula>
      <formula>1</formula>
    </cfRule>
  </conditionalFormatting>
  <conditionalFormatting sqref="S16:S17">
    <cfRule type="cellIs" dxfId="20" priority="5" stopIfTrue="1" operator="between">
      <formula>0</formula>
      <formula>1</formula>
    </cfRule>
  </conditionalFormatting>
  <conditionalFormatting sqref="T17">
    <cfRule type="cellIs" dxfId="19" priority="4" stopIfTrue="1" operator="between">
      <formula>0</formula>
      <formula>1</formula>
    </cfRule>
  </conditionalFormatting>
  <conditionalFormatting sqref="X4:X17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ageMargins left="0.7" right="0.7" top="0.75" bottom="0.75" header="0.3" footer="0.3"/>
  <pageSetup paperSize="9" scale="92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"/>
  <sheetViews>
    <sheetView workbookViewId="0">
      <selection sqref="A1:E1"/>
    </sheetView>
  </sheetViews>
  <sheetFormatPr defaultRowHeight="15" x14ac:dyDescent="0.25"/>
  <sheetData>
    <row r="1" spans="1:26" ht="26.25" x14ac:dyDescent="0.4">
      <c r="A1" s="83" t="s">
        <v>31</v>
      </c>
      <c r="B1" s="83"/>
      <c r="C1" s="83"/>
      <c r="D1" s="83"/>
      <c r="E1" s="83"/>
      <c r="F1" s="92" t="s">
        <v>32</v>
      </c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68"/>
      <c r="S1" s="68"/>
      <c r="T1" s="68"/>
      <c r="U1" s="85" t="str">
        <f>"UITSLAG " &amp; F1</f>
        <v>UITSLAG GROEP A</v>
      </c>
      <c r="V1" s="86"/>
      <c r="W1" s="86"/>
      <c r="X1" s="86"/>
      <c r="Y1" s="86"/>
      <c r="Z1" s="86"/>
    </row>
  </sheetData>
  <sheetProtection password="CA5D" sheet="1" objects="1" scenarios="1" selectLockedCells="1"/>
  <mergeCells count="3">
    <mergeCell ref="A1:E1"/>
    <mergeCell ref="F1:Q1"/>
    <mergeCell ref="U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BT79"/>
  <sheetViews>
    <sheetView view="pageBreakPreview" topLeftCell="D1" zoomScaleNormal="100" zoomScaleSheetLayoutView="100" workbookViewId="0">
      <selection activeCell="T19" sqref="T19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3.7109375" style="6" customWidth="1"/>
    <col min="18" max="20" width="10.5703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10</v>
      </c>
      <c r="B1" s="83" t="s">
        <v>31</v>
      </c>
      <c r="C1" s="83"/>
      <c r="D1" s="83"/>
      <c r="E1" s="83"/>
      <c r="F1" s="83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85" t="str">
        <f>"UITSLAG " &amp; G1</f>
        <v>UITSLAG GROEP A</v>
      </c>
      <c r="W1" s="86"/>
      <c r="X1" s="86"/>
      <c r="Y1" s="86"/>
      <c r="Z1" s="86"/>
      <c r="AA1" s="86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6" t="s">
        <v>22</v>
      </c>
      <c r="BA2" s="86"/>
      <c r="BB2" s="86"/>
      <c r="BC2" s="86"/>
      <c r="BD2" s="86"/>
      <c r="BE2" s="86"/>
      <c r="BF2" s="86"/>
      <c r="BG2" s="86"/>
      <c r="BH2" s="86"/>
      <c r="BI2" s="17"/>
      <c r="BJ2" s="18"/>
      <c r="BK2" s="86" t="s">
        <v>23</v>
      </c>
      <c r="BL2" s="86"/>
      <c r="BM2" s="86"/>
      <c r="BN2" s="86"/>
      <c r="BO2" s="86"/>
      <c r="BP2" s="86"/>
      <c r="BQ2" s="86"/>
      <c r="BR2" s="86"/>
      <c r="BS2" s="86"/>
    </row>
    <row r="3" spans="1:71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88"/>
      <c r="E4" s="89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V4" s="31">
        <v>1</v>
      </c>
      <c r="W4" s="32">
        <v>10</v>
      </c>
      <c r="X4" s="33" t="str">
        <f>IF(ISNA(VLOOKUP(V4,$A$4:$S$13,3,FALSE)),C4,VLOOKUP(V4,$A$4:$S$13,3,FALSE))</f>
        <v>A</v>
      </c>
      <c r="Y4" s="34">
        <f>IF(ISNA(VLOOKUP(B4,$A$4:$S$13,18,FALSE)),0,VLOOKUP(B4,$A$4:$S$13,18,FALSE))</f>
        <v>0</v>
      </c>
      <c r="Z4" s="34">
        <f t="shared" ref="Z4:Z13" si="1">VLOOKUP($W4,$AT$4:$AW$13,2,FALSE)</f>
        <v>0</v>
      </c>
      <c r="AA4" s="55">
        <f>IF(ISNA(VLOOKUP(B4,$A$4:$S$13,19,FALSE)),0,VLOOKUP(B4,$A$4:$S$13,19,FALSE))</f>
        <v>0</v>
      </c>
      <c r="AB4" s="34">
        <f t="shared" ref="AB4:AB13" si="2">VLOOKUP($W4,$AT$4:$AW$13,4,FALSE)</f>
        <v>0</v>
      </c>
      <c r="AC4" s="35">
        <f t="shared" ref="AC4:AC13" si="3">VLOOKUP($W4,$B$4:$R$13,5,FALSE)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4">SUMIF($AU$15:$AU$78,B4,$BA$15:$BA$78)+SUMIF($AV$15:$AV$78,B4,$BB$15:$BB$78)</f>
        <v>0</v>
      </c>
      <c r="AV4" s="39" t="e">
        <f t="shared" ref="AV4:AV13" si="5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6" xml:space="preserve"> SUMIFS( $J$18:$J$78, $AU$18:$AU$78,$AY4, $AT$18:$AT$78,AZ$3) + SUMIFS( $M$18:$M$78, $AV$18:$AV$78,$AY4, $AT$18:$AT$78,AZ$3)</f>
        <v>0</v>
      </c>
      <c r="BA4" s="6">
        <f t="shared" si="6"/>
        <v>0</v>
      </c>
      <c r="BB4" s="6">
        <f t="shared" si="6"/>
        <v>0</v>
      </c>
      <c r="BC4" s="6">
        <f t="shared" si="6"/>
        <v>0</v>
      </c>
      <c r="BD4" s="6">
        <f t="shared" si="6"/>
        <v>0</v>
      </c>
      <c r="BE4" s="6">
        <f t="shared" si="6"/>
        <v>0</v>
      </c>
      <c r="BF4" s="6">
        <f t="shared" si="6"/>
        <v>0</v>
      </c>
      <c r="BG4" s="6">
        <f t="shared" si="6"/>
        <v>0</v>
      </c>
      <c r="BH4" s="6">
        <f t="shared" si="6"/>
        <v>0</v>
      </c>
      <c r="BJ4" s="6">
        <v>1</v>
      </c>
      <c r="BK4" s="6">
        <f>AZ4</f>
        <v>0</v>
      </c>
      <c r="BL4" s="6">
        <f t="shared" ref="BL4:BL13" si="7">BK4+BA4</f>
        <v>0</v>
      </c>
      <c r="BM4" s="6">
        <f t="shared" ref="BM4:BM13" si="8">BL4+BB4</f>
        <v>0</v>
      </c>
      <c r="BN4" s="6">
        <f t="shared" ref="BN4:BN13" si="9">BM4+BC4</f>
        <v>0</v>
      </c>
      <c r="BO4" s="6">
        <f t="shared" ref="BO4:BO13" si="10">BN4+BD4</f>
        <v>0</v>
      </c>
      <c r="BP4" s="6">
        <f t="shared" ref="BP4:BP13" si="11">BO4+BE4</f>
        <v>0</v>
      </c>
      <c r="BQ4" s="6">
        <f t="shared" ref="BQ4:BQ13" si="12">BP4+BF4</f>
        <v>0</v>
      </c>
      <c r="BR4" s="6">
        <f t="shared" ref="BR4:BR13" si="13">BQ4+BG4</f>
        <v>0</v>
      </c>
      <c r="BS4" s="6">
        <f t="shared" ref="BS4:BS13" si="14">BR4+BH4</f>
        <v>0</v>
      </c>
    </row>
    <row r="5" spans="1:71" x14ac:dyDescent="0.25">
      <c r="A5" s="51">
        <f t="shared" ref="A5:A13" si="15">T5</f>
        <v>1</v>
      </c>
      <c r="B5" s="25">
        <v>2</v>
      </c>
      <c r="C5" s="25" t="s">
        <v>41</v>
      </c>
      <c r="D5" s="88"/>
      <c r="E5" s="89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6">SUM(H5:Q5)</f>
        <v>0</v>
      </c>
      <c r="S5" s="8">
        <f t="shared" ref="S5:S8" si="17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8">AO5</f>
        <v>1</v>
      </c>
      <c r="U5" s="30"/>
      <c r="V5" s="31">
        <v>2</v>
      </c>
      <c r="W5" s="32">
        <v>9</v>
      </c>
      <c r="X5" s="33" t="str">
        <f t="shared" ref="X5:X13" si="19">IF(ISNA(VLOOKUP(V5,$A$4:$S$13,3,FALSE)),C5,VLOOKUP(V5,$A$4:$S$13,3,FALSE))</f>
        <v>B</v>
      </c>
      <c r="Y5" s="34">
        <f t="shared" ref="Y5:Y14" si="20">IF(ISNA(VLOOKUP(B5,$A$4:$S$13,18,FALSE)),0,VLOOKUP(B5,$A$4:$S$13,18,FALSE))</f>
        <v>0</v>
      </c>
      <c r="Z5" s="34">
        <f t="shared" si="1"/>
        <v>0</v>
      </c>
      <c r="AA5" s="55">
        <f t="shared" ref="AA5:AA13" si="21">IF(ISNA(VLOOKUP(B5,$A$4:$S$13,19,FALSE)),0,VLOOKUP(B5,$A$4:$S$13,19,FALSE))</f>
        <v>0</v>
      </c>
      <c r="AB5" s="34">
        <f t="shared" si="2"/>
        <v>0</v>
      </c>
      <c r="AC5" s="35">
        <f t="shared" si="3"/>
        <v>1000</v>
      </c>
      <c r="AD5" s="56"/>
      <c r="AE5" s="12">
        <f t="shared" ref="AE5:AE13" si="22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23">$AE$15*R5+AE5</f>
        <v>0</v>
      </c>
      <c r="AG5" s="12">
        <f t="shared" ref="AG5:AG13" si="24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5">$AG$15*AF5+AG5</f>
        <v>0</v>
      </c>
      <c r="AI5" s="12">
        <f t="shared" ref="AI5:AI13" si="26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7">$AG$15*AH5+AI5</f>
        <v>0</v>
      </c>
      <c r="AK5" s="12"/>
      <c r="AL5" s="12">
        <f t="shared" ref="AL5:AL13" si="28">RANK(AJ5,$AJ$4:$AJ$13,1)-1</f>
        <v>0</v>
      </c>
      <c r="AM5" s="12">
        <f t="shared" ref="AM5:AM13" si="29">RANK(S5,$S$4:$S$13,1)-1</f>
        <v>0</v>
      </c>
      <c r="AN5" s="12">
        <f t="shared" ref="AN5:AN13" si="30">10*AL5+AM5</f>
        <v>0</v>
      </c>
      <c r="AO5" s="12">
        <f t="shared" ref="AO5:AO14" si="31">RANK(AN5,$AN$4:$AN$13)</f>
        <v>1</v>
      </c>
      <c r="AP5" s="56"/>
      <c r="AQ5" s="56"/>
      <c r="AR5" s="56"/>
      <c r="AS5" s="30"/>
      <c r="AT5" s="37">
        <v>2</v>
      </c>
      <c r="AU5" s="38">
        <f t="shared" si="4"/>
        <v>0</v>
      </c>
      <c r="AV5" s="39" t="e">
        <f t="shared" si="5"/>
        <v>#VALUE!</v>
      </c>
      <c r="AW5" s="39">
        <f t="shared" ref="AW5:AW13" si="32">SUM(BK5:BS5)</f>
        <v>0</v>
      </c>
      <c r="AY5" s="6">
        <v>2</v>
      </c>
      <c r="AZ5" s="6">
        <f t="shared" si="6"/>
        <v>0</v>
      </c>
      <c r="BA5" s="6">
        <f t="shared" si="6"/>
        <v>0</v>
      </c>
      <c r="BB5" s="6">
        <f t="shared" si="6"/>
        <v>0</v>
      </c>
      <c r="BC5" s="6">
        <f t="shared" si="6"/>
        <v>0</v>
      </c>
      <c r="BD5" s="6">
        <f t="shared" si="6"/>
        <v>0</v>
      </c>
      <c r="BE5" s="6">
        <f t="shared" si="6"/>
        <v>0</v>
      </c>
      <c r="BF5" s="6">
        <f t="shared" si="6"/>
        <v>0</v>
      </c>
      <c r="BG5" s="6">
        <f t="shared" si="6"/>
        <v>0</v>
      </c>
      <c r="BH5" s="6">
        <f t="shared" si="6"/>
        <v>0</v>
      </c>
      <c r="BJ5" s="6">
        <v>2</v>
      </c>
      <c r="BK5" s="6">
        <f t="shared" ref="BK5:BK13" si="33">AZ5</f>
        <v>0</v>
      </c>
      <c r="BL5" s="6">
        <f t="shared" si="7"/>
        <v>0</v>
      </c>
      <c r="BM5" s="6">
        <f t="shared" si="8"/>
        <v>0</v>
      </c>
      <c r="BN5" s="6">
        <f t="shared" si="9"/>
        <v>0</v>
      </c>
      <c r="BO5" s="6">
        <f t="shared" si="10"/>
        <v>0</v>
      </c>
      <c r="BP5" s="6">
        <f t="shared" si="11"/>
        <v>0</v>
      </c>
      <c r="BQ5" s="6">
        <f t="shared" si="12"/>
        <v>0</v>
      </c>
      <c r="BR5" s="6">
        <f t="shared" si="13"/>
        <v>0</v>
      </c>
      <c r="BS5" s="6">
        <f t="shared" si="14"/>
        <v>0</v>
      </c>
    </row>
    <row r="6" spans="1:71" x14ac:dyDescent="0.25">
      <c r="A6" s="51">
        <f t="shared" si="15"/>
        <v>1</v>
      </c>
      <c r="B6" s="25">
        <v>3</v>
      </c>
      <c r="C6" s="25" t="s">
        <v>42</v>
      </c>
      <c r="D6" s="88"/>
      <c r="E6" s="89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6"/>
        <v>0</v>
      </c>
      <c r="S6" s="8">
        <f t="shared" si="17"/>
        <v>0</v>
      </c>
      <c r="T6" s="59">
        <f t="shared" si="18"/>
        <v>1</v>
      </c>
      <c r="U6" s="30"/>
      <c r="V6" s="31">
        <v>3</v>
      </c>
      <c r="W6" s="32">
        <v>8</v>
      </c>
      <c r="X6" s="33" t="str">
        <f t="shared" si="19"/>
        <v>C</v>
      </c>
      <c r="Y6" s="34">
        <f t="shared" si="20"/>
        <v>0</v>
      </c>
      <c r="Z6" s="34">
        <f t="shared" si="1"/>
        <v>0</v>
      </c>
      <c r="AA6" s="55">
        <f t="shared" si="21"/>
        <v>0</v>
      </c>
      <c r="AB6" s="34">
        <f t="shared" si="2"/>
        <v>0</v>
      </c>
      <c r="AC6" s="35">
        <f t="shared" si="3"/>
        <v>1000</v>
      </c>
      <c r="AD6" s="56"/>
      <c r="AE6" s="12">
        <f t="shared" si="22"/>
        <v>0</v>
      </c>
      <c r="AF6" s="12">
        <f t="shared" si="23"/>
        <v>0</v>
      </c>
      <c r="AG6" s="12">
        <f t="shared" si="24"/>
        <v>0</v>
      </c>
      <c r="AH6" s="12">
        <f t="shared" si="25"/>
        <v>0</v>
      </c>
      <c r="AI6" s="12">
        <f t="shared" si="26"/>
        <v>0</v>
      </c>
      <c r="AJ6" s="12">
        <f t="shared" si="27"/>
        <v>0</v>
      </c>
      <c r="AK6" s="12"/>
      <c r="AL6" s="12">
        <f t="shared" si="28"/>
        <v>0</v>
      </c>
      <c r="AM6" s="12">
        <f t="shared" si="29"/>
        <v>0</v>
      </c>
      <c r="AN6" s="12">
        <f t="shared" si="30"/>
        <v>0</v>
      </c>
      <c r="AO6" s="12">
        <f t="shared" si="31"/>
        <v>1</v>
      </c>
      <c r="AP6" s="56"/>
      <c r="AQ6" s="56"/>
      <c r="AR6" s="56"/>
      <c r="AS6" s="30"/>
      <c r="AT6" s="37">
        <v>3</v>
      </c>
      <c r="AU6" s="38">
        <f t="shared" si="4"/>
        <v>0</v>
      </c>
      <c r="AV6" s="39" t="e">
        <f t="shared" si="5"/>
        <v>#VALUE!</v>
      </c>
      <c r="AW6" s="39">
        <f t="shared" si="32"/>
        <v>0</v>
      </c>
      <c r="AY6" s="6">
        <v>3</v>
      </c>
      <c r="AZ6" s="6">
        <f t="shared" si="6"/>
        <v>0</v>
      </c>
      <c r="BA6" s="6">
        <f t="shared" si="6"/>
        <v>0</v>
      </c>
      <c r="BB6" s="6">
        <f t="shared" si="6"/>
        <v>0</v>
      </c>
      <c r="BC6" s="6">
        <f t="shared" si="6"/>
        <v>0</v>
      </c>
      <c r="BD6" s="6">
        <f t="shared" si="6"/>
        <v>0</v>
      </c>
      <c r="BE6" s="6">
        <f t="shared" si="6"/>
        <v>0</v>
      </c>
      <c r="BF6" s="6">
        <f t="shared" si="6"/>
        <v>0</v>
      </c>
      <c r="BG6" s="6">
        <f t="shared" si="6"/>
        <v>0</v>
      </c>
      <c r="BH6" s="6">
        <f t="shared" si="6"/>
        <v>0</v>
      </c>
      <c r="BJ6" s="6">
        <v>3</v>
      </c>
      <c r="BK6" s="6">
        <f t="shared" si="33"/>
        <v>0</v>
      </c>
      <c r="BL6" s="6">
        <f t="shared" si="7"/>
        <v>0</v>
      </c>
      <c r="BM6" s="6">
        <f t="shared" si="8"/>
        <v>0</v>
      </c>
      <c r="BN6" s="6">
        <f t="shared" si="9"/>
        <v>0</v>
      </c>
      <c r="BO6" s="6">
        <f t="shared" si="10"/>
        <v>0</v>
      </c>
      <c r="BP6" s="6">
        <f t="shared" si="11"/>
        <v>0</v>
      </c>
      <c r="BQ6" s="6">
        <f t="shared" si="12"/>
        <v>0</v>
      </c>
      <c r="BR6" s="6">
        <f t="shared" si="13"/>
        <v>0</v>
      </c>
      <c r="BS6" s="6">
        <f t="shared" si="14"/>
        <v>0</v>
      </c>
    </row>
    <row r="7" spans="1:71" x14ac:dyDescent="0.25">
      <c r="A7" s="51">
        <f t="shared" si="15"/>
        <v>1</v>
      </c>
      <c r="B7" s="25">
        <v>4</v>
      </c>
      <c r="C7" s="25" t="s">
        <v>43</v>
      </c>
      <c r="D7" s="88"/>
      <c r="E7" s="89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6"/>
        <v>0</v>
      </c>
      <c r="S7" s="8">
        <f t="shared" si="17"/>
        <v>0</v>
      </c>
      <c r="T7" s="59">
        <f t="shared" si="18"/>
        <v>1</v>
      </c>
      <c r="U7" s="30"/>
      <c r="V7" s="31">
        <v>4</v>
      </c>
      <c r="W7" s="32">
        <v>7</v>
      </c>
      <c r="X7" s="33" t="str">
        <f t="shared" si="19"/>
        <v>D</v>
      </c>
      <c r="Y7" s="34">
        <f t="shared" si="20"/>
        <v>0</v>
      </c>
      <c r="Z7" s="34">
        <f t="shared" si="1"/>
        <v>0</v>
      </c>
      <c r="AA7" s="55">
        <f t="shared" si="21"/>
        <v>0</v>
      </c>
      <c r="AB7" s="34">
        <f t="shared" si="2"/>
        <v>0</v>
      </c>
      <c r="AC7" s="35">
        <f t="shared" si="3"/>
        <v>1000</v>
      </c>
      <c r="AD7" s="56"/>
      <c r="AE7" s="12">
        <f t="shared" si="22"/>
        <v>0</v>
      </c>
      <c r="AF7" s="12">
        <f t="shared" si="23"/>
        <v>0</v>
      </c>
      <c r="AG7" s="12">
        <f t="shared" si="24"/>
        <v>0</v>
      </c>
      <c r="AH7" s="12">
        <f t="shared" si="25"/>
        <v>0</v>
      </c>
      <c r="AI7" s="12">
        <f t="shared" si="26"/>
        <v>0</v>
      </c>
      <c r="AJ7" s="12">
        <f t="shared" si="27"/>
        <v>0</v>
      </c>
      <c r="AK7" s="12"/>
      <c r="AL7" s="12">
        <f t="shared" si="28"/>
        <v>0</v>
      </c>
      <c r="AM7" s="12">
        <f t="shared" si="29"/>
        <v>0</v>
      </c>
      <c r="AN7" s="12">
        <f t="shared" si="30"/>
        <v>0</v>
      </c>
      <c r="AO7" s="12">
        <f t="shared" si="31"/>
        <v>1</v>
      </c>
      <c r="AP7" s="56"/>
      <c r="AQ7" s="56"/>
      <c r="AR7" s="56"/>
      <c r="AS7" s="30"/>
      <c r="AT7" s="37">
        <v>4</v>
      </c>
      <c r="AU7" s="38">
        <f t="shared" si="4"/>
        <v>0</v>
      </c>
      <c r="AV7" s="39" t="e">
        <f t="shared" si="5"/>
        <v>#VALUE!</v>
      </c>
      <c r="AW7" s="39">
        <f t="shared" si="32"/>
        <v>0</v>
      </c>
      <c r="AY7" s="6">
        <v>4</v>
      </c>
      <c r="AZ7" s="6">
        <f t="shared" si="6"/>
        <v>0</v>
      </c>
      <c r="BA7" s="6">
        <f t="shared" si="6"/>
        <v>0</v>
      </c>
      <c r="BB7" s="6">
        <f t="shared" si="6"/>
        <v>0</v>
      </c>
      <c r="BC7" s="6">
        <f t="shared" si="6"/>
        <v>0</v>
      </c>
      <c r="BD7" s="6">
        <f t="shared" si="6"/>
        <v>0</v>
      </c>
      <c r="BE7" s="6">
        <f t="shared" si="6"/>
        <v>0</v>
      </c>
      <c r="BF7" s="6">
        <f t="shared" si="6"/>
        <v>0</v>
      </c>
      <c r="BG7" s="6">
        <f t="shared" si="6"/>
        <v>0</v>
      </c>
      <c r="BH7" s="6">
        <f t="shared" si="6"/>
        <v>0</v>
      </c>
      <c r="BJ7" s="6">
        <v>4</v>
      </c>
      <c r="BK7" s="6">
        <f t="shared" si="33"/>
        <v>0</v>
      </c>
      <c r="BL7" s="6">
        <f t="shared" si="7"/>
        <v>0</v>
      </c>
      <c r="BM7" s="6">
        <f t="shared" si="8"/>
        <v>0</v>
      </c>
      <c r="BN7" s="6">
        <f t="shared" si="9"/>
        <v>0</v>
      </c>
      <c r="BO7" s="6">
        <f t="shared" si="10"/>
        <v>0</v>
      </c>
      <c r="BP7" s="6">
        <f t="shared" si="11"/>
        <v>0</v>
      </c>
      <c r="BQ7" s="6">
        <f t="shared" si="12"/>
        <v>0</v>
      </c>
      <c r="BR7" s="6">
        <f t="shared" si="13"/>
        <v>0</v>
      </c>
      <c r="BS7" s="6">
        <f t="shared" si="14"/>
        <v>0</v>
      </c>
    </row>
    <row r="8" spans="1:71" x14ac:dyDescent="0.25">
      <c r="A8" s="51">
        <f t="shared" si="15"/>
        <v>1</v>
      </c>
      <c r="B8" s="25">
        <v>5</v>
      </c>
      <c r="C8" s="25" t="s">
        <v>47</v>
      </c>
      <c r="D8" s="88"/>
      <c r="E8" s="89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6"/>
        <v>0</v>
      </c>
      <c r="S8" s="8">
        <f t="shared" si="17"/>
        <v>0</v>
      </c>
      <c r="T8" s="59">
        <f t="shared" si="18"/>
        <v>1</v>
      </c>
      <c r="U8" s="30"/>
      <c r="V8" s="31">
        <v>5</v>
      </c>
      <c r="W8" s="32">
        <v>6</v>
      </c>
      <c r="X8" s="33" t="str">
        <f t="shared" si="19"/>
        <v>E</v>
      </c>
      <c r="Y8" s="34">
        <f t="shared" si="20"/>
        <v>0</v>
      </c>
      <c r="Z8" s="34">
        <f t="shared" si="1"/>
        <v>0</v>
      </c>
      <c r="AA8" s="55">
        <f t="shared" si="21"/>
        <v>0</v>
      </c>
      <c r="AB8" s="34">
        <f t="shared" si="2"/>
        <v>0</v>
      </c>
      <c r="AC8" s="35">
        <f t="shared" si="3"/>
        <v>1000</v>
      </c>
      <c r="AD8" s="56"/>
      <c r="AE8" s="12">
        <f t="shared" si="22"/>
        <v>0</v>
      </c>
      <c r="AF8" s="12">
        <f t="shared" si="23"/>
        <v>0</v>
      </c>
      <c r="AG8" s="12">
        <f t="shared" si="24"/>
        <v>0</v>
      </c>
      <c r="AH8" s="12">
        <f t="shared" si="25"/>
        <v>0</v>
      </c>
      <c r="AI8" s="12">
        <f t="shared" si="26"/>
        <v>0</v>
      </c>
      <c r="AJ8" s="12">
        <f t="shared" si="27"/>
        <v>0</v>
      </c>
      <c r="AK8" s="12"/>
      <c r="AL8" s="12">
        <f t="shared" si="28"/>
        <v>0</v>
      </c>
      <c r="AM8" s="12">
        <f t="shared" si="29"/>
        <v>0</v>
      </c>
      <c r="AN8" s="12">
        <f t="shared" si="30"/>
        <v>0</v>
      </c>
      <c r="AO8" s="12">
        <f t="shared" si="31"/>
        <v>1</v>
      </c>
      <c r="AP8" s="56"/>
      <c r="AQ8" s="56"/>
      <c r="AR8" s="56"/>
      <c r="AS8" s="30"/>
      <c r="AT8" s="37">
        <v>5</v>
      </c>
      <c r="AU8" s="38">
        <f t="shared" si="4"/>
        <v>0</v>
      </c>
      <c r="AV8" s="39" t="e">
        <f t="shared" si="5"/>
        <v>#VALUE!</v>
      </c>
      <c r="AW8" s="39">
        <f t="shared" si="32"/>
        <v>0</v>
      </c>
      <c r="AY8" s="6">
        <v>5</v>
      </c>
      <c r="AZ8" s="6">
        <f t="shared" si="6"/>
        <v>0</v>
      </c>
      <c r="BA8" s="6">
        <f t="shared" si="6"/>
        <v>0</v>
      </c>
      <c r="BB8" s="6">
        <f t="shared" si="6"/>
        <v>0</v>
      </c>
      <c r="BC8" s="6">
        <f t="shared" si="6"/>
        <v>0</v>
      </c>
      <c r="BD8" s="6">
        <f t="shared" si="6"/>
        <v>0</v>
      </c>
      <c r="BE8" s="6">
        <f t="shared" si="6"/>
        <v>0</v>
      </c>
      <c r="BF8" s="6">
        <f t="shared" si="6"/>
        <v>0</v>
      </c>
      <c r="BG8" s="6">
        <f t="shared" si="6"/>
        <v>0</v>
      </c>
      <c r="BH8" s="6">
        <f t="shared" si="6"/>
        <v>0</v>
      </c>
      <c r="BJ8" s="6">
        <v>5</v>
      </c>
      <c r="BK8" s="6">
        <f t="shared" si="33"/>
        <v>0</v>
      </c>
      <c r="BL8" s="6">
        <f t="shared" si="7"/>
        <v>0</v>
      </c>
      <c r="BM8" s="6">
        <f t="shared" si="8"/>
        <v>0</v>
      </c>
      <c r="BN8" s="6">
        <f t="shared" si="9"/>
        <v>0</v>
      </c>
      <c r="BO8" s="6">
        <f t="shared" si="10"/>
        <v>0</v>
      </c>
      <c r="BP8" s="6">
        <f t="shared" si="11"/>
        <v>0</v>
      </c>
      <c r="BQ8" s="6">
        <f t="shared" si="12"/>
        <v>0</v>
      </c>
      <c r="BR8" s="6">
        <f t="shared" si="13"/>
        <v>0</v>
      </c>
      <c r="BS8" s="6">
        <f t="shared" si="14"/>
        <v>0</v>
      </c>
    </row>
    <row r="9" spans="1:71" x14ac:dyDescent="0.25">
      <c r="A9" s="51">
        <f t="shared" si="15"/>
        <v>1</v>
      </c>
      <c r="B9" s="25">
        <v>6</v>
      </c>
      <c r="C9" s="25" t="s">
        <v>44</v>
      </c>
      <c r="D9" s="88"/>
      <c r="E9" s="89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6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8"/>
        <v>1</v>
      </c>
      <c r="U9" s="30"/>
      <c r="V9" s="31">
        <v>6</v>
      </c>
      <c r="W9" s="32">
        <v>5</v>
      </c>
      <c r="X9" s="33" t="str">
        <f t="shared" si="19"/>
        <v>F</v>
      </c>
      <c r="Y9" s="34">
        <f t="shared" si="20"/>
        <v>0</v>
      </c>
      <c r="Z9" s="34">
        <f t="shared" si="1"/>
        <v>0</v>
      </c>
      <c r="AA9" s="55">
        <f t="shared" si="21"/>
        <v>0</v>
      </c>
      <c r="AB9" s="34">
        <f t="shared" si="2"/>
        <v>0</v>
      </c>
      <c r="AC9" s="35">
        <f t="shared" si="3"/>
        <v>1000</v>
      </c>
      <c r="AD9" s="56"/>
      <c r="AE9" s="12">
        <f t="shared" si="22"/>
        <v>0</v>
      </c>
      <c r="AF9" s="12">
        <f t="shared" si="23"/>
        <v>0</v>
      </c>
      <c r="AG9" s="12">
        <f t="shared" si="24"/>
        <v>0</v>
      </c>
      <c r="AH9" s="12">
        <f t="shared" si="25"/>
        <v>0</v>
      </c>
      <c r="AI9" s="12">
        <f t="shared" si="26"/>
        <v>0</v>
      </c>
      <c r="AJ9" s="12">
        <f t="shared" si="27"/>
        <v>0</v>
      </c>
      <c r="AK9" s="12"/>
      <c r="AL9" s="12">
        <f t="shared" si="28"/>
        <v>0</v>
      </c>
      <c r="AM9" s="12">
        <f t="shared" si="29"/>
        <v>0</v>
      </c>
      <c r="AN9" s="12">
        <f t="shared" si="30"/>
        <v>0</v>
      </c>
      <c r="AO9" s="12">
        <f t="shared" si="31"/>
        <v>1</v>
      </c>
      <c r="AP9" s="56"/>
      <c r="AQ9" s="56"/>
      <c r="AR9" s="56"/>
      <c r="AS9" s="30"/>
      <c r="AT9" s="37">
        <v>6</v>
      </c>
      <c r="AU9" s="38">
        <f t="shared" si="4"/>
        <v>0</v>
      </c>
      <c r="AV9" s="39" t="e">
        <f t="shared" si="5"/>
        <v>#VALUE!</v>
      </c>
      <c r="AW9" s="39">
        <f t="shared" si="32"/>
        <v>0</v>
      </c>
      <c r="AY9" s="6">
        <v>6</v>
      </c>
      <c r="AZ9" s="6">
        <f t="shared" si="6"/>
        <v>0</v>
      </c>
      <c r="BA9" s="6">
        <f t="shared" si="6"/>
        <v>0</v>
      </c>
      <c r="BB9" s="6">
        <f t="shared" si="6"/>
        <v>0</v>
      </c>
      <c r="BC9" s="6">
        <f t="shared" si="6"/>
        <v>0</v>
      </c>
      <c r="BD9" s="6">
        <f t="shared" si="6"/>
        <v>0</v>
      </c>
      <c r="BE9" s="6">
        <f t="shared" si="6"/>
        <v>0</v>
      </c>
      <c r="BF9" s="6">
        <f t="shared" si="6"/>
        <v>0</v>
      </c>
      <c r="BG9" s="6">
        <f t="shared" si="6"/>
        <v>0</v>
      </c>
      <c r="BH9" s="6">
        <f t="shared" si="6"/>
        <v>0</v>
      </c>
      <c r="BJ9" s="6">
        <v>6</v>
      </c>
      <c r="BK9" s="6">
        <f t="shared" si="33"/>
        <v>0</v>
      </c>
      <c r="BL9" s="6">
        <f t="shared" si="7"/>
        <v>0</v>
      </c>
      <c r="BM9" s="6">
        <f t="shared" si="8"/>
        <v>0</v>
      </c>
      <c r="BN9" s="6">
        <f t="shared" si="9"/>
        <v>0</v>
      </c>
      <c r="BO9" s="6">
        <f t="shared" si="10"/>
        <v>0</v>
      </c>
      <c r="BP9" s="6">
        <f t="shared" si="11"/>
        <v>0</v>
      </c>
      <c r="BQ9" s="6">
        <f t="shared" si="12"/>
        <v>0</v>
      </c>
      <c r="BR9" s="6">
        <f t="shared" si="13"/>
        <v>0</v>
      </c>
      <c r="BS9" s="6">
        <f t="shared" si="14"/>
        <v>0</v>
      </c>
    </row>
    <row r="10" spans="1:71" x14ac:dyDescent="0.25">
      <c r="A10" s="51">
        <f t="shared" si="15"/>
        <v>1</v>
      </c>
      <c r="B10" s="25">
        <v>7</v>
      </c>
      <c r="C10" s="25" t="s">
        <v>45</v>
      </c>
      <c r="D10" s="88"/>
      <c r="E10" s="89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6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8"/>
        <v>1</v>
      </c>
      <c r="U10" s="30"/>
      <c r="V10" s="31">
        <v>7</v>
      </c>
      <c r="W10" s="32">
        <v>4</v>
      </c>
      <c r="X10" s="33" t="str">
        <f t="shared" si="19"/>
        <v>G</v>
      </c>
      <c r="Y10" s="34">
        <f t="shared" si="20"/>
        <v>0</v>
      </c>
      <c r="Z10" s="34">
        <f t="shared" si="1"/>
        <v>0</v>
      </c>
      <c r="AA10" s="55">
        <f t="shared" si="21"/>
        <v>0</v>
      </c>
      <c r="AB10" s="34">
        <f t="shared" si="2"/>
        <v>0</v>
      </c>
      <c r="AC10" s="35">
        <f t="shared" si="3"/>
        <v>1000</v>
      </c>
      <c r="AD10" s="56"/>
      <c r="AE10" s="12">
        <f t="shared" si="22"/>
        <v>0</v>
      </c>
      <c r="AF10" s="12">
        <f t="shared" si="23"/>
        <v>0</v>
      </c>
      <c r="AG10" s="12">
        <f t="shared" si="24"/>
        <v>0</v>
      </c>
      <c r="AH10" s="12">
        <f t="shared" si="25"/>
        <v>0</v>
      </c>
      <c r="AI10" s="12">
        <f t="shared" si="26"/>
        <v>0</v>
      </c>
      <c r="AJ10" s="12">
        <f t="shared" si="27"/>
        <v>0</v>
      </c>
      <c r="AK10" s="12"/>
      <c r="AL10" s="12">
        <f t="shared" si="28"/>
        <v>0</v>
      </c>
      <c r="AM10" s="12">
        <f t="shared" si="29"/>
        <v>0</v>
      </c>
      <c r="AN10" s="12">
        <f t="shared" si="30"/>
        <v>0</v>
      </c>
      <c r="AO10" s="12">
        <f t="shared" si="31"/>
        <v>1</v>
      </c>
      <c r="AP10" s="56"/>
      <c r="AQ10" s="56"/>
      <c r="AR10" s="56"/>
      <c r="AS10" s="30"/>
      <c r="AT10" s="37">
        <v>7</v>
      </c>
      <c r="AU10" s="38">
        <f t="shared" si="4"/>
        <v>0</v>
      </c>
      <c r="AV10" s="39" t="e">
        <f t="shared" si="5"/>
        <v>#VALUE!</v>
      </c>
      <c r="AW10" s="39">
        <f t="shared" si="32"/>
        <v>0</v>
      </c>
      <c r="AY10" s="6">
        <v>7</v>
      </c>
      <c r="AZ10" s="6">
        <f t="shared" si="6"/>
        <v>0</v>
      </c>
      <c r="BA10" s="6">
        <f t="shared" si="6"/>
        <v>0</v>
      </c>
      <c r="BB10" s="6">
        <f t="shared" si="6"/>
        <v>0</v>
      </c>
      <c r="BC10" s="6">
        <f t="shared" si="6"/>
        <v>0</v>
      </c>
      <c r="BD10" s="6">
        <f t="shared" si="6"/>
        <v>0</v>
      </c>
      <c r="BE10" s="6">
        <f t="shared" si="6"/>
        <v>0</v>
      </c>
      <c r="BF10" s="6">
        <f t="shared" si="6"/>
        <v>0</v>
      </c>
      <c r="BG10" s="6">
        <f t="shared" si="6"/>
        <v>0</v>
      </c>
      <c r="BH10" s="6">
        <f t="shared" si="6"/>
        <v>0</v>
      </c>
      <c r="BJ10" s="6">
        <v>7</v>
      </c>
      <c r="BK10" s="6">
        <f t="shared" si="33"/>
        <v>0</v>
      </c>
      <c r="BL10" s="6">
        <f t="shared" si="7"/>
        <v>0</v>
      </c>
      <c r="BM10" s="6">
        <f t="shared" si="8"/>
        <v>0</v>
      </c>
      <c r="BN10" s="6">
        <f t="shared" si="9"/>
        <v>0</v>
      </c>
      <c r="BO10" s="6">
        <f t="shared" si="10"/>
        <v>0</v>
      </c>
      <c r="BP10" s="6">
        <f t="shared" si="11"/>
        <v>0</v>
      </c>
      <c r="BQ10" s="6">
        <f t="shared" si="12"/>
        <v>0</v>
      </c>
      <c r="BR10" s="6">
        <f t="shared" si="13"/>
        <v>0</v>
      </c>
      <c r="BS10" s="6">
        <f t="shared" si="14"/>
        <v>0</v>
      </c>
    </row>
    <row r="11" spans="1:71" x14ac:dyDescent="0.25">
      <c r="A11" s="51">
        <f t="shared" si="15"/>
        <v>1</v>
      </c>
      <c r="B11" s="25">
        <v>8</v>
      </c>
      <c r="C11" s="25" t="s">
        <v>46</v>
      </c>
      <c r="D11" s="88"/>
      <c r="E11" s="89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6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8"/>
        <v>1</v>
      </c>
      <c r="U11" s="30"/>
      <c r="V11" s="31">
        <v>8</v>
      </c>
      <c r="W11" s="32">
        <v>3</v>
      </c>
      <c r="X11" s="33" t="str">
        <f t="shared" si="19"/>
        <v>H</v>
      </c>
      <c r="Y11" s="34">
        <f t="shared" si="20"/>
        <v>0</v>
      </c>
      <c r="Z11" s="34">
        <f t="shared" si="1"/>
        <v>0</v>
      </c>
      <c r="AA11" s="55">
        <f t="shared" si="21"/>
        <v>0</v>
      </c>
      <c r="AB11" s="34">
        <f t="shared" si="2"/>
        <v>0</v>
      </c>
      <c r="AC11" s="35">
        <f t="shared" si="3"/>
        <v>1000</v>
      </c>
      <c r="AD11" s="56"/>
      <c r="AE11" s="12">
        <f t="shared" si="22"/>
        <v>0</v>
      </c>
      <c r="AF11" s="12">
        <f t="shared" si="23"/>
        <v>0</v>
      </c>
      <c r="AG11" s="12">
        <f t="shared" si="24"/>
        <v>0</v>
      </c>
      <c r="AH11" s="12">
        <f t="shared" si="25"/>
        <v>0</v>
      </c>
      <c r="AI11" s="12">
        <f t="shared" si="26"/>
        <v>0</v>
      </c>
      <c r="AJ11" s="12">
        <f t="shared" si="27"/>
        <v>0</v>
      </c>
      <c r="AK11" s="12"/>
      <c r="AL11" s="12">
        <f t="shared" si="28"/>
        <v>0</v>
      </c>
      <c r="AM11" s="12">
        <f t="shared" si="29"/>
        <v>0</v>
      </c>
      <c r="AN11" s="12">
        <f t="shared" si="30"/>
        <v>0</v>
      </c>
      <c r="AO11" s="12">
        <f t="shared" si="31"/>
        <v>1</v>
      </c>
      <c r="AP11" s="56"/>
      <c r="AQ11" s="56"/>
      <c r="AR11" s="56"/>
      <c r="AS11" s="30"/>
      <c r="AT11" s="37">
        <v>8</v>
      </c>
      <c r="AU11" s="38">
        <f t="shared" si="4"/>
        <v>0</v>
      </c>
      <c r="AV11" s="39" t="e">
        <f t="shared" si="5"/>
        <v>#VALUE!</v>
      </c>
      <c r="AW11" s="39">
        <f t="shared" si="32"/>
        <v>0</v>
      </c>
      <c r="AY11" s="6">
        <v>8</v>
      </c>
      <c r="AZ11" s="6">
        <f t="shared" si="6"/>
        <v>0</v>
      </c>
      <c r="BA11" s="6">
        <f t="shared" si="6"/>
        <v>0</v>
      </c>
      <c r="BB11" s="6">
        <f t="shared" si="6"/>
        <v>0</v>
      </c>
      <c r="BC11" s="6">
        <f t="shared" si="6"/>
        <v>0</v>
      </c>
      <c r="BD11" s="6">
        <f t="shared" si="6"/>
        <v>0</v>
      </c>
      <c r="BE11" s="6">
        <f t="shared" si="6"/>
        <v>0</v>
      </c>
      <c r="BF11" s="6">
        <f t="shared" si="6"/>
        <v>0</v>
      </c>
      <c r="BG11" s="6">
        <f t="shared" si="6"/>
        <v>0</v>
      </c>
      <c r="BH11" s="6">
        <f t="shared" si="6"/>
        <v>0</v>
      </c>
      <c r="BJ11" s="6">
        <v>8</v>
      </c>
      <c r="BK11" s="6">
        <f t="shared" si="33"/>
        <v>0</v>
      </c>
      <c r="BL11" s="6">
        <f t="shared" si="7"/>
        <v>0</v>
      </c>
      <c r="BM11" s="6">
        <f t="shared" si="8"/>
        <v>0</v>
      </c>
      <c r="BN11" s="6">
        <f t="shared" si="9"/>
        <v>0</v>
      </c>
      <c r="BO11" s="6">
        <f t="shared" si="10"/>
        <v>0</v>
      </c>
      <c r="BP11" s="6">
        <f t="shared" si="11"/>
        <v>0</v>
      </c>
      <c r="BQ11" s="6">
        <f t="shared" si="12"/>
        <v>0</v>
      </c>
      <c r="BR11" s="6">
        <f t="shared" si="13"/>
        <v>0</v>
      </c>
      <c r="BS11" s="6">
        <f t="shared" si="14"/>
        <v>0</v>
      </c>
    </row>
    <row r="12" spans="1:71" x14ac:dyDescent="0.25">
      <c r="A12" s="51">
        <f t="shared" si="15"/>
        <v>1</v>
      </c>
      <c r="B12" s="25">
        <v>9</v>
      </c>
      <c r="C12" s="25" t="s">
        <v>48</v>
      </c>
      <c r="D12" s="88"/>
      <c r="E12" s="89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6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8"/>
        <v>1</v>
      </c>
      <c r="U12" s="30"/>
      <c r="V12" s="31">
        <v>9</v>
      </c>
      <c r="W12" s="32">
        <v>2</v>
      </c>
      <c r="X12" s="33" t="str">
        <f t="shared" si="19"/>
        <v>I</v>
      </c>
      <c r="Y12" s="34">
        <f t="shared" si="20"/>
        <v>0</v>
      </c>
      <c r="Z12" s="34">
        <f t="shared" si="1"/>
        <v>0</v>
      </c>
      <c r="AA12" s="55">
        <f t="shared" si="21"/>
        <v>0</v>
      </c>
      <c r="AB12" s="34">
        <f t="shared" si="2"/>
        <v>0</v>
      </c>
      <c r="AC12" s="35">
        <f t="shared" si="3"/>
        <v>1000</v>
      </c>
      <c r="AD12" s="56"/>
      <c r="AE12" s="12">
        <f t="shared" si="22"/>
        <v>0</v>
      </c>
      <c r="AF12" s="12">
        <f t="shared" si="23"/>
        <v>0</v>
      </c>
      <c r="AG12" s="12">
        <f t="shared" si="24"/>
        <v>0</v>
      </c>
      <c r="AH12" s="12">
        <f t="shared" si="25"/>
        <v>0</v>
      </c>
      <c r="AI12" s="12">
        <f t="shared" si="26"/>
        <v>0</v>
      </c>
      <c r="AJ12" s="12">
        <f t="shared" si="27"/>
        <v>0</v>
      </c>
      <c r="AK12" s="12"/>
      <c r="AL12" s="12">
        <f t="shared" si="28"/>
        <v>0</v>
      </c>
      <c r="AM12" s="12">
        <f t="shared" si="29"/>
        <v>0</v>
      </c>
      <c r="AN12" s="12">
        <f t="shared" si="30"/>
        <v>0</v>
      </c>
      <c r="AO12" s="12">
        <f t="shared" si="31"/>
        <v>1</v>
      </c>
      <c r="AP12" s="56"/>
      <c r="AQ12" s="56"/>
      <c r="AR12" s="56"/>
      <c r="AS12" s="30"/>
      <c r="AT12" s="37">
        <v>9</v>
      </c>
      <c r="AU12" s="38">
        <f t="shared" si="4"/>
        <v>0</v>
      </c>
      <c r="AV12" s="39" t="e">
        <f t="shared" si="5"/>
        <v>#VALUE!</v>
      </c>
      <c r="AW12" s="39">
        <f t="shared" si="32"/>
        <v>0</v>
      </c>
      <c r="AY12" s="6">
        <v>9</v>
      </c>
      <c r="AZ12" s="6">
        <f t="shared" si="6"/>
        <v>0</v>
      </c>
      <c r="BA12" s="6">
        <f t="shared" si="6"/>
        <v>0</v>
      </c>
      <c r="BB12" s="6">
        <f t="shared" si="6"/>
        <v>0</v>
      </c>
      <c r="BC12" s="6">
        <f t="shared" si="6"/>
        <v>0</v>
      </c>
      <c r="BD12" s="6">
        <f t="shared" si="6"/>
        <v>0</v>
      </c>
      <c r="BE12" s="6">
        <f t="shared" si="6"/>
        <v>0</v>
      </c>
      <c r="BF12" s="6">
        <f t="shared" si="6"/>
        <v>0</v>
      </c>
      <c r="BG12" s="6">
        <f t="shared" si="6"/>
        <v>0</v>
      </c>
      <c r="BH12" s="6">
        <f t="shared" si="6"/>
        <v>0</v>
      </c>
      <c r="BJ12" s="6">
        <v>9</v>
      </c>
      <c r="BK12" s="6">
        <f t="shared" si="33"/>
        <v>0</v>
      </c>
      <c r="BL12" s="6">
        <f t="shared" si="7"/>
        <v>0</v>
      </c>
      <c r="BM12" s="6">
        <f t="shared" si="8"/>
        <v>0</v>
      </c>
      <c r="BN12" s="6">
        <f t="shared" si="9"/>
        <v>0</v>
      </c>
      <c r="BO12" s="6">
        <f t="shared" si="10"/>
        <v>0</v>
      </c>
      <c r="BP12" s="6">
        <f t="shared" si="11"/>
        <v>0</v>
      </c>
      <c r="BQ12" s="6">
        <f t="shared" si="12"/>
        <v>0</v>
      </c>
      <c r="BR12" s="6">
        <f t="shared" si="13"/>
        <v>0</v>
      </c>
      <c r="BS12" s="6">
        <f t="shared" si="14"/>
        <v>0</v>
      </c>
    </row>
    <row r="13" spans="1:71" x14ac:dyDescent="0.25">
      <c r="A13" s="51">
        <f t="shared" si="15"/>
        <v>1</v>
      </c>
      <c r="B13" s="25">
        <v>10</v>
      </c>
      <c r="C13" s="25" t="s">
        <v>49</v>
      </c>
      <c r="D13" s="88"/>
      <c r="E13" s="89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6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8"/>
        <v>1</v>
      </c>
      <c r="U13" s="30"/>
      <c r="V13" s="31">
        <v>10</v>
      </c>
      <c r="W13" s="32">
        <v>1</v>
      </c>
      <c r="X13" s="33" t="str">
        <f t="shared" si="19"/>
        <v>J</v>
      </c>
      <c r="Y13" s="34">
        <f t="shared" si="20"/>
        <v>0</v>
      </c>
      <c r="Z13" s="34">
        <f t="shared" si="1"/>
        <v>0</v>
      </c>
      <c r="AA13" s="55">
        <f t="shared" si="21"/>
        <v>0</v>
      </c>
      <c r="AB13" s="34">
        <f t="shared" si="2"/>
        <v>0</v>
      </c>
      <c r="AC13" s="35">
        <f t="shared" si="3"/>
        <v>1000</v>
      </c>
      <c r="AD13" s="56"/>
      <c r="AE13" s="12">
        <f t="shared" si="22"/>
        <v>0</v>
      </c>
      <c r="AF13" s="12">
        <f t="shared" si="23"/>
        <v>0</v>
      </c>
      <c r="AG13" s="12">
        <f t="shared" si="24"/>
        <v>0</v>
      </c>
      <c r="AH13" s="12">
        <f t="shared" si="25"/>
        <v>0</v>
      </c>
      <c r="AI13" s="12">
        <f t="shared" si="26"/>
        <v>0</v>
      </c>
      <c r="AJ13" s="12">
        <f t="shared" si="27"/>
        <v>0</v>
      </c>
      <c r="AK13" s="12"/>
      <c r="AL13" s="12">
        <f t="shared" si="28"/>
        <v>0</v>
      </c>
      <c r="AM13" s="12">
        <f t="shared" si="29"/>
        <v>0</v>
      </c>
      <c r="AN13" s="12">
        <f t="shared" si="30"/>
        <v>0</v>
      </c>
      <c r="AO13" s="12">
        <f t="shared" si="31"/>
        <v>1</v>
      </c>
      <c r="AP13" s="56"/>
      <c r="AQ13" s="56"/>
      <c r="AR13" s="56"/>
      <c r="AS13" s="30"/>
      <c r="AT13" s="37">
        <v>10</v>
      </c>
      <c r="AU13" s="38">
        <f t="shared" si="4"/>
        <v>0</v>
      </c>
      <c r="AV13" s="39" t="e">
        <f t="shared" si="5"/>
        <v>#VALUE!</v>
      </c>
      <c r="AW13" s="39">
        <f t="shared" si="32"/>
        <v>0</v>
      </c>
      <c r="AY13" s="6">
        <v>10</v>
      </c>
      <c r="AZ13" s="6">
        <f t="shared" si="6"/>
        <v>0</v>
      </c>
      <c r="BA13" s="6">
        <f t="shared" si="6"/>
        <v>0</v>
      </c>
      <c r="BB13" s="6">
        <f t="shared" si="6"/>
        <v>0</v>
      </c>
      <c r="BC13" s="6">
        <f t="shared" si="6"/>
        <v>0</v>
      </c>
      <c r="BD13" s="6">
        <f t="shared" si="6"/>
        <v>0</v>
      </c>
      <c r="BE13" s="6">
        <f t="shared" si="6"/>
        <v>0</v>
      </c>
      <c r="BF13" s="6">
        <f t="shared" si="6"/>
        <v>0</v>
      </c>
      <c r="BG13" s="6">
        <f t="shared" si="6"/>
        <v>0</v>
      </c>
      <c r="BH13" s="6">
        <f t="shared" si="6"/>
        <v>0</v>
      </c>
      <c r="BJ13" s="6">
        <v>10</v>
      </c>
      <c r="BK13" s="6">
        <f t="shared" si="33"/>
        <v>0</v>
      </c>
      <c r="BL13" s="6">
        <f t="shared" si="7"/>
        <v>0</v>
      </c>
      <c r="BM13" s="6">
        <f t="shared" si="8"/>
        <v>0</v>
      </c>
      <c r="BN13" s="6">
        <f t="shared" si="9"/>
        <v>0</v>
      </c>
      <c r="BO13" s="6">
        <f t="shared" si="10"/>
        <v>0</v>
      </c>
      <c r="BP13" s="6">
        <f t="shared" si="11"/>
        <v>0</v>
      </c>
      <c r="BQ13" s="6">
        <f t="shared" si="12"/>
        <v>0</v>
      </c>
      <c r="BR13" s="6">
        <f t="shared" si="13"/>
        <v>0</v>
      </c>
      <c r="BS13" s="6">
        <f t="shared" si="14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si="20"/>
        <v>0</v>
      </c>
      <c r="AO14" s="56">
        <f t="shared" si="31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84" t="str">
        <f>VLOOKUP(AV18,$B$4:$F$13,2,FALSE)</f>
        <v>J</v>
      </c>
      <c r="F18" s="84"/>
      <c r="G18" s="84"/>
      <c r="H18" s="84"/>
      <c r="J18" s="84" t="str">
        <f>IF(T18="","",VLOOKUP(T18,Configuratie!$B$1:$E$10,3,FALSE))</f>
        <v/>
      </c>
      <c r="K18" s="84"/>
      <c r="L18" s="6" t="s">
        <v>5</v>
      </c>
      <c r="M18" s="84" t="str">
        <f>IF(T18="","",VLOOKUP(T18,Configuratie!$B$1:$E$10,4,FALSE))</f>
        <v/>
      </c>
      <c r="N18" s="84"/>
      <c r="R18" s="6" t="str">
        <f>IF(T18="","",VLOOKUP(T18,Configuratie!$B$1:$E$10,2,FALSE))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84" t="str">
        <f>VLOOKUP(AV19,$B$4:$F$13,2,FALSE)</f>
        <v>I</v>
      </c>
      <c r="F19" s="84"/>
      <c r="G19" s="84"/>
      <c r="H19" s="84"/>
      <c r="J19" s="84" t="str">
        <f>IF(T19="","",VLOOKUP(T19,Configuratie!$B$1:$E$10,3,FALSE))</f>
        <v/>
      </c>
      <c r="K19" s="84"/>
      <c r="L19" s="6" t="s">
        <v>5</v>
      </c>
      <c r="M19" s="84" t="str">
        <f>IF(T19="","",VLOOKUP(T19,Configuratie!$B$1:$E$10,4,FALSE))</f>
        <v/>
      </c>
      <c r="N19" s="84"/>
      <c r="R19" s="6" t="str">
        <f>IF(T19="","",VLOOKUP(T19,Configuratie!$B$1:$E$10,2,FALSE))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4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84" t="str">
        <f>VLOOKUP(AV20,$B$4:$F$13,2,FALSE)</f>
        <v>H</v>
      </c>
      <c r="F20" s="84"/>
      <c r="G20" s="84"/>
      <c r="H20" s="84"/>
      <c r="J20" s="84" t="str">
        <f>IF(T20="","",VLOOKUP(T20,Configuratie!$B$1:$E$10,3,FALSE))</f>
        <v/>
      </c>
      <c r="K20" s="84"/>
      <c r="L20" s="6" t="s">
        <v>5</v>
      </c>
      <c r="M20" s="84" t="str">
        <f>IF(T20="","",VLOOKUP(T20,Configuratie!$B$1:$E$10,4,FALSE))</f>
        <v/>
      </c>
      <c r="N20" s="84"/>
      <c r="R20" s="6" t="str">
        <f>IF(T20="","",VLOOKUP(T20,Configuratie!$B$1:$E$10,2,FALSE))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4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84" t="str">
        <f>VLOOKUP(AV21,$B$4:$F$13,2,FALSE)</f>
        <v>G</v>
      </c>
      <c r="F21" s="84"/>
      <c r="G21" s="84"/>
      <c r="H21" s="84"/>
      <c r="J21" s="84" t="str">
        <f>IF(T21="","",VLOOKUP(T21,Configuratie!$B$1:$E$10,3,FALSE))</f>
        <v/>
      </c>
      <c r="K21" s="84"/>
      <c r="L21" s="6" t="s">
        <v>5</v>
      </c>
      <c r="M21" s="84" t="str">
        <f>IF(T21="","",VLOOKUP(T21,Configuratie!$B$1:$E$10,4,FALSE))</f>
        <v/>
      </c>
      <c r="N21" s="84"/>
      <c r="R21" s="6" t="str">
        <f>IF(T21="","",VLOOKUP(T21,Configuratie!$B$1:$E$10,2,FALSE))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4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84" t="str">
        <f>VLOOKUP(AV22,$B$4:$F$13,2,FALSE)</f>
        <v>F</v>
      </c>
      <c r="F22" s="84"/>
      <c r="G22" s="84"/>
      <c r="H22" s="84"/>
      <c r="J22" s="84" t="str">
        <f>IF(T22="","",VLOOKUP(T22,Configuratie!$B$1:$E$10,3,FALSE))</f>
        <v/>
      </c>
      <c r="K22" s="84"/>
      <c r="L22" s="6" t="s">
        <v>5</v>
      </c>
      <c r="M22" s="84" t="str">
        <f>IF(T22="","",VLOOKUP(T22,Configuratie!$B$1:$E$10,4,FALSE))</f>
        <v/>
      </c>
      <c r="N22" s="84"/>
      <c r="R22" s="6" t="str">
        <f>IF(T22="","",VLOOKUP(T22,Configuratie!$B$1:$E$10,2,FALSE))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4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4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84" t="str">
        <f>VLOOKUP(AV25,$B$4:$F$13,2,FALSE)</f>
        <v>F</v>
      </c>
      <c r="F25" s="84"/>
      <c r="G25" s="84"/>
      <c r="H25" s="84"/>
      <c r="J25" s="84" t="str">
        <f>IF(T25="","",VLOOKUP(T25,Configuratie!$B$1:$E$10,3,FALSE))</f>
        <v/>
      </c>
      <c r="K25" s="84"/>
      <c r="L25" s="6" t="s">
        <v>5</v>
      </c>
      <c r="M25" s="84" t="str">
        <f>IF(T25="","",VLOOKUP(T25,Configuratie!$B$1:$E$10,4,FALSE))</f>
        <v/>
      </c>
      <c r="N25" s="84"/>
      <c r="R25" s="6" t="str">
        <f>IF(T25="","",VLOOKUP(T25,Configuratie!$B$1:$E$10,2,FALSE))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5">VLOOKUP(AU25,$BJ$3:$BS$13,$AT25,FALSE)</f>
        <v>0</v>
      </c>
      <c r="BB25" s="6">
        <f t="shared" si="35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84" t="str">
        <f>VLOOKUP(AV26,$B$4:$F$13,2,FALSE)</f>
        <v>E</v>
      </c>
      <c r="F26" s="84"/>
      <c r="G26" s="84"/>
      <c r="H26" s="84"/>
      <c r="J26" s="84" t="str">
        <f>IF(T26="","",VLOOKUP(T26,Configuratie!$B$1:$E$10,3,FALSE))</f>
        <v/>
      </c>
      <c r="K26" s="84"/>
      <c r="L26" s="6" t="s">
        <v>5</v>
      </c>
      <c r="M26" s="84" t="str">
        <f>IF(T26="","",VLOOKUP(T26,Configuratie!$B$1:$E$10,4,FALSE))</f>
        <v/>
      </c>
      <c r="N26" s="84"/>
      <c r="R26" s="6" t="str">
        <f>IF(T26="","",VLOOKUP(T26,Configuratie!$B$1:$E$10,2,FALSE))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6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5"/>
        <v>0</v>
      </c>
      <c r="BB26" s="6">
        <f t="shared" si="35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84" t="str">
        <f>VLOOKUP(AV27,$B$4:$F$13,2,FALSE)</f>
        <v>D</v>
      </c>
      <c r="F27" s="84"/>
      <c r="G27" s="84"/>
      <c r="H27" s="84"/>
      <c r="J27" s="84" t="str">
        <f>IF(T27="","",VLOOKUP(T27,Configuratie!$B$1:$E$10,3,FALSE))</f>
        <v/>
      </c>
      <c r="K27" s="84"/>
      <c r="L27" s="6" t="s">
        <v>5</v>
      </c>
      <c r="M27" s="84" t="str">
        <f>IF(T27="","",VLOOKUP(T27,Configuratie!$B$1:$E$10,4,FALSE))</f>
        <v/>
      </c>
      <c r="N27" s="84"/>
      <c r="R27" s="6" t="str">
        <f>IF(T27="","",VLOOKUP(T27,Configuratie!$B$1:$E$10,2,FALSE))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6"/>
        <v/>
      </c>
      <c r="AY27" s="48">
        <f>AU27*100+AV27</f>
        <v>804</v>
      </c>
      <c r="AZ27" s="48">
        <f>AV27*100+AU27</f>
        <v>408</v>
      </c>
      <c r="BA27" s="6">
        <f t="shared" si="35"/>
        <v>0</v>
      </c>
      <c r="BB27" s="6">
        <f t="shared" si="35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84" t="str">
        <f>VLOOKUP(AV28,$B$4:$F$13,2,FALSE)</f>
        <v>C</v>
      </c>
      <c r="F28" s="84"/>
      <c r="G28" s="84"/>
      <c r="H28" s="84"/>
      <c r="J28" s="84" t="str">
        <f>IF(T28="","",VLOOKUP(T28,Configuratie!$B$1:$E$10,3,FALSE))</f>
        <v/>
      </c>
      <c r="K28" s="84"/>
      <c r="L28" s="6" t="s">
        <v>5</v>
      </c>
      <c r="M28" s="84" t="str">
        <f>IF(T28="","",VLOOKUP(T28,Configuratie!$B$1:$E$10,4,FALSE))</f>
        <v/>
      </c>
      <c r="N28" s="84"/>
      <c r="R28" s="6" t="str">
        <f>IF(T28="","",VLOOKUP(T28,Configuratie!$B$1:$E$10,2,FALSE))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6"/>
        <v/>
      </c>
      <c r="AY28" s="48">
        <f>AU28*100+AV28</f>
        <v>903</v>
      </c>
      <c r="AZ28" s="48">
        <f>AV28*100+AU28</f>
        <v>309</v>
      </c>
      <c r="BA28" s="6">
        <f t="shared" si="35"/>
        <v>0</v>
      </c>
      <c r="BB28" s="6">
        <f t="shared" si="35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84" t="str">
        <f>VLOOKUP(AV29,$B$4:$F$13,2,FALSE)</f>
        <v>B</v>
      </c>
      <c r="F29" s="84"/>
      <c r="G29" s="84"/>
      <c r="H29" s="84"/>
      <c r="J29" s="84" t="str">
        <f>IF(T29="","",VLOOKUP(T29,Configuratie!$B$1:$E$10,3,FALSE))</f>
        <v/>
      </c>
      <c r="K29" s="84"/>
      <c r="L29" s="6" t="s">
        <v>5</v>
      </c>
      <c r="M29" s="84" t="str">
        <f>IF(T29="","",VLOOKUP(T29,Configuratie!$B$1:$E$10,4,FALSE))</f>
        <v/>
      </c>
      <c r="N29" s="84"/>
      <c r="R29" s="6" t="str">
        <f>IF(T29="","",VLOOKUP(T29,Configuratie!$B$1:$E$10,2,FALSE))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6"/>
        <v/>
      </c>
      <c r="AY29" s="48">
        <f>AU29*100+AV29</f>
        <v>102</v>
      </c>
      <c r="AZ29" s="48">
        <f>AV29*100+AU29</f>
        <v>201</v>
      </c>
      <c r="BA29" s="6">
        <f t="shared" si="35"/>
        <v>0</v>
      </c>
      <c r="BB29" s="6">
        <f t="shared" si="35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6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84" t="str">
        <f>VLOOKUP(AV32,$B$4:$F$13,2,FALSE)</f>
        <v>J</v>
      </c>
      <c r="F32" s="84"/>
      <c r="G32" s="84"/>
      <c r="H32" s="84"/>
      <c r="J32" s="84" t="str">
        <f>IF(T32="","",VLOOKUP(T32,Configuratie!$B$1:$E$10,3,FALSE))</f>
        <v/>
      </c>
      <c r="K32" s="84"/>
      <c r="L32" s="6" t="s">
        <v>5</v>
      </c>
      <c r="M32" s="84" t="str">
        <f>IF(T32="","",VLOOKUP(T32,Configuratie!$B$1:$E$10,4,FALSE))</f>
        <v/>
      </c>
      <c r="N32" s="84"/>
      <c r="R32" s="6" t="str">
        <f>IF(T32="","",VLOOKUP(T32,Configuratie!$B$1:$E$10,2,FALSE))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7">VLOOKUP(AU32,$BJ$3:$BS$13,$AT32,FALSE)</f>
        <v>0</v>
      </c>
      <c r="BB32" s="6">
        <f t="shared" si="37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84" t="str">
        <f>VLOOKUP(AV33,$B$4:$F$13,2,FALSE)</f>
        <v>A</v>
      </c>
      <c r="F33" s="84"/>
      <c r="G33" s="84"/>
      <c r="H33" s="84"/>
      <c r="J33" s="84" t="str">
        <f>IF(T33="","",VLOOKUP(T33,Configuratie!$B$1:$E$10,3,FALSE))</f>
        <v/>
      </c>
      <c r="K33" s="84"/>
      <c r="L33" s="6" t="s">
        <v>5</v>
      </c>
      <c r="M33" s="84" t="str">
        <f>IF(T33="","",VLOOKUP(T33,Configuratie!$B$1:$E$10,4,FALSE))</f>
        <v/>
      </c>
      <c r="N33" s="84"/>
      <c r="R33" s="6" t="str">
        <f>IF(T33="","",VLOOKUP(T33,Configuratie!$B$1:$E$10,2,FALSE))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8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7"/>
        <v>0</v>
      </c>
      <c r="BB33" s="6">
        <f t="shared" si="37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84" t="str">
        <f>VLOOKUP(AV34,$B$4:$F$13,2,FALSE)</f>
        <v>I</v>
      </c>
      <c r="F34" s="84"/>
      <c r="G34" s="84"/>
      <c r="H34" s="84"/>
      <c r="J34" s="84" t="str">
        <f>IF(T34="","",VLOOKUP(T34,Configuratie!$B$1:$E$10,3,FALSE))</f>
        <v/>
      </c>
      <c r="K34" s="84"/>
      <c r="L34" s="6" t="s">
        <v>5</v>
      </c>
      <c r="M34" s="84" t="str">
        <f>IF(T34="","",VLOOKUP(T34,Configuratie!$B$1:$E$10,4,FALSE))</f>
        <v/>
      </c>
      <c r="N34" s="84"/>
      <c r="R34" s="6" t="str">
        <f>IF(T34="","",VLOOKUP(T34,Configuratie!$B$1:$E$10,2,FALSE))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8"/>
        <v/>
      </c>
      <c r="AY34" s="48">
        <f>AU34*100+AV34</f>
        <v>409</v>
      </c>
      <c r="AZ34" s="48">
        <f>AV34*100+AU34</f>
        <v>904</v>
      </c>
      <c r="BA34" s="6">
        <f t="shared" si="37"/>
        <v>0</v>
      </c>
      <c r="BB34" s="6">
        <f t="shared" si="37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84" t="str">
        <f>VLOOKUP(AV35,$B$4:$F$13,2,FALSE)</f>
        <v>H</v>
      </c>
      <c r="F35" s="84"/>
      <c r="G35" s="84"/>
      <c r="H35" s="84"/>
      <c r="J35" s="84" t="str">
        <f>IF(T35="","",VLOOKUP(T35,Configuratie!$B$1:$E$10,3,FALSE))</f>
        <v/>
      </c>
      <c r="K35" s="84"/>
      <c r="L35" s="6" t="s">
        <v>5</v>
      </c>
      <c r="M35" s="84" t="str">
        <f>IF(T35="","",VLOOKUP(T35,Configuratie!$B$1:$E$10,4,FALSE))</f>
        <v/>
      </c>
      <c r="N35" s="84"/>
      <c r="R35" s="6" t="str">
        <f>IF(T35="","",VLOOKUP(T35,Configuratie!$B$1:$E$10,2,FALSE))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8"/>
        <v/>
      </c>
      <c r="AY35" s="48">
        <f>AU35*100+AV35</f>
        <v>508</v>
      </c>
      <c r="AZ35" s="48">
        <f>AV35*100+AU35</f>
        <v>805</v>
      </c>
      <c r="BA35" s="6">
        <f t="shared" si="37"/>
        <v>0</v>
      </c>
      <c r="BB35" s="6">
        <f t="shared" si="37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84" t="str">
        <f>VLOOKUP(AV36,$B$4:$F$13,2,FALSE)</f>
        <v>G</v>
      </c>
      <c r="F36" s="84"/>
      <c r="G36" s="84"/>
      <c r="H36" s="84"/>
      <c r="J36" s="84" t="str">
        <f>IF(T36="","",VLOOKUP(T36,Configuratie!$B$1:$E$10,3,FALSE))</f>
        <v/>
      </c>
      <c r="K36" s="84"/>
      <c r="L36" s="6" t="s">
        <v>5</v>
      </c>
      <c r="M36" s="84" t="str">
        <f>IF(T36="","",VLOOKUP(T36,Configuratie!$B$1:$E$10,4,FALSE))</f>
        <v/>
      </c>
      <c r="N36" s="84"/>
      <c r="R36" s="6" t="str">
        <f>IF(T36="","",VLOOKUP(T36,Configuratie!$B$1:$E$10,2,FALSE))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8"/>
        <v/>
      </c>
      <c r="AY36" s="48">
        <f>AU36*100+AV36</f>
        <v>607</v>
      </c>
      <c r="AZ36" s="48">
        <f>AV36*100+AU36</f>
        <v>706</v>
      </c>
      <c r="BA36" s="6">
        <f t="shared" si="37"/>
        <v>0</v>
      </c>
      <c r="BB36" s="6">
        <f t="shared" si="37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8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84" t="str">
        <f>VLOOKUP(AV39,$B$4:$F$13,2,FALSE)</f>
        <v>G</v>
      </c>
      <c r="F39" s="84"/>
      <c r="G39" s="84"/>
      <c r="H39" s="84"/>
      <c r="J39" s="84" t="str">
        <f>IF(T39="","",VLOOKUP(T39,Configuratie!$B$1:$E$10,3,FALSE))</f>
        <v/>
      </c>
      <c r="K39" s="84"/>
      <c r="L39" s="6" t="s">
        <v>5</v>
      </c>
      <c r="M39" s="84" t="str">
        <f>IF(T39="","",VLOOKUP(T39,Configuratie!$B$1:$E$10,4,FALSE))</f>
        <v/>
      </c>
      <c r="N39" s="84"/>
      <c r="R39" s="6" t="str">
        <f>IF(T39="","",VLOOKUP(T39,Configuratie!$B$1:$E$10,2,FALSE))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9">VLOOKUP(AU39,$BJ$3:$BS$13,$AT39,FALSE)</f>
        <v>0</v>
      </c>
      <c r="BB39" s="6">
        <f t="shared" si="39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84" t="str">
        <f>VLOOKUP(AV40,$B$4:$F$13,2,FALSE)</f>
        <v>F</v>
      </c>
      <c r="F40" s="84"/>
      <c r="G40" s="84"/>
      <c r="H40" s="84"/>
      <c r="J40" s="84" t="str">
        <f>IF(T40="","",VLOOKUP(T40,Configuratie!$B$1:$E$10,3,FALSE))</f>
        <v/>
      </c>
      <c r="K40" s="84"/>
      <c r="L40" s="6" t="s">
        <v>5</v>
      </c>
      <c r="M40" s="84" t="str">
        <f>IF(T40="","",VLOOKUP(T40,Configuratie!$B$1:$E$10,4,FALSE))</f>
        <v/>
      </c>
      <c r="N40" s="84"/>
      <c r="R40" s="6" t="str">
        <f>IF(T40="","",VLOOKUP(T40,Configuratie!$B$1:$E$10,2,FALSE))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40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9"/>
        <v>0</v>
      </c>
      <c r="BB40" s="6">
        <f t="shared" si="39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84" t="str">
        <f>VLOOKUP(AV41,$B$4:$F$13,2,FALSE)</f>
        <v>E</v>
      </c>
      <c r="F41" s="84"/>
      <c r="G41" s="84"/>
      <c r="H41" s="84"/>
      <c r="J41" s="84" t="str">
        <f>IF(T41="","",VLOOKUP(T41,Configuratie!$B$1:$E$10,3,FALSE))</f>
        <v/>
      </c>
      <c r="K41" s="84"/>
      <c r="L41" s="6" t="s">
        <v>5</v>
      </c>
      <c r="M41" s="84" t="str">
        <f>IF(T41="","",VLOOKUP(T41,Configuratie!$B$1:$E$10,4,FALSE))</f>
        <v/>
      </c>
      <c r="N41" s="84"/>
      <c r="R41" s="6" t="str">
        <f>IF(T41="","",VLOOKUP(T41,Configuratie!$B$1:$E$10,2,FALSE))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40"/>
        <v/>
      </c>
      <c r="AY41" s="48">
        <f>AU41*100+AV41</f>
        <v>905</v>
      </c>
      <c r="AZ41" s="48">
        <f>AV41*100+AU41</f>
        <v>509</v>
      </c>
      <c r="BA41" s="6">
        <f t="shared" si="39"/>
        <v>0</v>
      </c>
      <c r="BB41" s="6">
        <f t="shared" si="39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84" t="str">
        <f>VLOOKUP(AV42,$B$4:$F$13,2,FALSE)</f>
        <v>D</v>
      </c>
      <c r="F42" s="84"/>
      <c r="G42" s="84"/>
      <c r="H42" s="84"/>
      <c r="J42" s="84" t="str">
        <f>IF(T42="","",VLOOKUP(T42,Configuratie!$B$1:$E$10,3,FALSE))</f>
        <v/>
      </c>
      <c r="K42" s="84"/>
      <c r="L42" s="6" t="s">
        <v>5</v>
      </c>
      <c r="M42" s="84" t="str">
        <f>IF(T42="","",VLOOKUP(T42,Configuratie!$B$1:$E$10,4,FALSE))</f>
        <v/>
      </c>
      <c r="N42" s="84"/>
      <c r="R42" s="6" t="str">
        <f>IF(T42="","",VLOOKUP(T42,Configuratie!$B$1:$E$10,2,FALSE))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40"/>
        <v/>
      </c>
      <c r="AY42" s="48">
        <f>AU42*100+AV42</f>
        <v>104</v>
      </c>
      <c r="AZ42" s="48">
        <f>AV42*100+AU42</f>
        <v>401</v>
      </c>
      <c r="BA42" s="6">
        <f t="shared" si="39"/>
        <v>0</v>
      </c>
      <c r="BB42" s="6">
        <f t="shared" si="39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84" t="str">
        <f>VLOOKUP(AV43,$B$4:$F$13,2,FALSE)</f>
        <v>C</v>
      </c>
      <c r="F43" s="84"/>
      <c r="G43" s="84"/>
      <c r="H43" s="84"/>
      <c r="J43" s="84" t="str">
        <f>IF(T43="","",VLOOKUP(T43,Configuratie!$B$1:$E$10,3,FALSE))</f>
        <v/>
      </c>
      <c r="K43" s="84"/>
      <c r="L43" s="6" t="s">
        <v>5</v>
      </c>
      <c r="M43" s="84" t="str">
        <f>IF(T43="","",VLOOKUP(T43,Configuratie!$B$1:$E$10,4,FALSE))</f>
        <v/>
      </c>
      <c r="N43" s="84"/>
      <c r="R43" s="6" t="str">
        <f>IF(T43="","",VLOOKUP(T43,Configuratie!$B$1:$E$10,2,FALSE))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40"/>
        <v/>
      </c>
      <c r="AY43" s="48">
        <f>AU43*100+AV43</f>
        <v>203</v>
      </c>
      <c r="AZ43" s="48">
        <f>AV43*100+AU43</f>
        <v>302</v>
      </c>
      <c r="BA43" s="6">
        <f t="shared" si="39"/>
        <v>0</v>
      </c>
      <c r="BB43" s="6">
        <f t="shared" si="39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40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84" t="str">
        <f>VLOOKUP(AV46,$B$4:$F$13,2,FALSE)</f>
        <v>J</v>
      </c>
      <c r="F46" s="84"/>
      <c r="G46" s="84"/>
      <c r="H46" s="84"/>
      <c r="J46" s="84" t="str">
        <f>IF(T46="","",VLOOKUP(T46,Configuratie!$B$1:$E$10,3,FALSE))</f>
        <v/>
      </c>
      <c r="K46" s="84"/>
      <c r="L46" s="6" t="s">
        <v>5</v>
      </c>
      <c r="M46" s="84" t="str">
        <f>IF(T46="","",VLOOKUP(T46,Configuratie!$B$1:$E$10,4,FALSE))</f>
        <v/>
      </c>
      <c r="N46" s="84"/>
      <c r="R46" s="6" t="str">
        <f>IF(T46="","",VLOOKUP(T46,Configuratie!$B$1:$E$10,2,FALSE))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41">VLOOKUP(AU46,$BJ$3:$BS$13,$AT46,FALSE)</f>
        <v>0</v>
      </c>
      <c r="BB46" s="6">
        <f t="shared" si="41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84" t="str">
        <f>VLOOKUP(AV47,$B$4:$F$13,2,FALSE)</f>
        <v>B</v>
      </c>
      <c r="F47" s="84"/>
      <c r="G47" s="84"/>
      <c r="H47" s="84"/>
      <c r="J47" s="84" t="str">
        <f>IF(T47="","",VLOOKUP(T47,Configuratie!$B$1:$E$10,3,FALSE))</f>
        <v/>
      </c>
      <c r="K47" s="84"/>
      <c r="L47" s="6" t="s">
        <v>5</v>
      </c>
      <c r="M47" s="84" t="str">
        <f>IF(T47="","",VLOOKUP(T47,Configuratie!$B$1:$E$10,4,FALSE))</f>
        <v/>
      </c>
      <c r="N47" s="84"/>
      <c r="R47" s="6" t="str">
        <f>IF(T47="","",VLOOKUP(T47,Configuratie!$B$1:$E$10,2,FALSE))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42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41"/>
        <v>0</v>
      </c>
      <c r="BB47" s="6">
        <f t="shared" si="41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84" t="str">
        <f>VLOOKUP(AV48,$B$4:$F$13,2,FALSE)</f>
        <v>A</v>
      </c>
      <c r="F48" s="84"/>
      <c r="G48" s="84"/>
      <c r="H48" s="84"/>
      <c r="J48" s="84" t="str">
        <f>IF(T48="","",VLOOKUP(T48,Configuratie!$B$1:$E$10,3,FALSE))</f>
        <v/>
      </c>
      <c r="K48" s="84"/>
      <c r="L48" s="6" t="s">
        <v>5</v>
      </c>
      <c r="M48" s="84" t="str">
        <f>IF(T48="","",VLOOKUP(T48,Configuratie!$B$1:$E$10,4,FALSE))</f>
        <v/>
      </c>
      <c r="N48" s="84"/>
      <c r="R48" s="6" t="str">
        <f>IF(T48="","",VLOOKUP(T48,Configuratie!$B$1:$E$10,2,FALSE))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42"/>
        <v/>
      </c>
      <c r="AY48" s="48">
        <f>AU48*100+AV48</f>
        <v>501</v>
      </c>
      <c r="AZ48" s="48">
        <f>AV48*100+AU48</f>
        <v>105</v>
      </c>
      <c r="BA48" s="6">
        <f t="shared" si="41"/>
        <v>0</v>
      </c>
      <c r="BB48" s="6">
        <f t="shared" si="41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84" t="str">
        <f>VLOOKUP(AV49,$B$4:$F$13,2,FALSE)</f>
        <v>I</v>
      </c>
      <c r="F49" s="84"/>
      <c r="G49" s="84"/>
      <c r="H49" s="84"/>
      <c r="J49" s="84" t="str">
        <f>IF(T49="","",VLOOKUP(T49,Configuratie!$B$1:$E$10,3,FALSE))</f>
        <v/>
      </c>
      <c r="K49" s="84"/>
      <c r="L49" s="6" t="s">
        <v>5</v>
      </c>
      <c r="M49" s="84" t="str">
        <f>IF(T49="","",VLOOKUP(T49,Configuratie!$B$1:$E$10,4,FALSE))</f>
        <v/>
      </c>
      <c r="N49" s="84"/>
      <c r="R49" s="6" t="str">
        <f>IF(T49="","",VLOOKUP(T49,Configuratie!$B$1:$E$10,2,FALSE))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42"/>
        <v/>
      </c>
      <c r="AY49" s="48">
        <f>AU49*100+AV49</f>
        <v>609</v>
      </c>
      <c r="AZ49" s="48">
        <f>AV49*100+AU49</f>
        <v>906</v>
      </c>
      <c r="BA49" s="6">
        <f t="shared" si="41"/>
        <v>0</v>
      </c>
      <c r="BB49" s="6">
        <f t="shared" si="41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84" t="str">
        <f>VLOOKUP(AV50,$B$4:$F$13,2,FALSE)</f>
        <v>H</v>
      </c>
      <c r="F50" s="84"/>
      <c r="G50" s="84"/>
      <c r="H50" s="84"/>
      <c r="J50" s="84" t="str">
        <f>IF(T50="","",VLOOKUP(T50,Configuratie!$B$1:$E$10,3,FALSE))</f>
        <v/>
      </c>
      <c r="K50" s="84"/>
      <c r="L50" s="6" t="s">
        <v>5</v>
      </c>
      <c r="M50" s="84" t="str">
        <f>IF(T50="","",VLOOKUP(T50,Configuratie!$B$1:$E$10,4,FALSE))</f>
        <v/>
      </c>
      <c r="N50" s="84"/>
      <c r="R50" s="6" t="str">
        <f>IF(T50="","",VLOOKUP(T50,Configuratie!$B$1:$E$10,2,FALSE))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42"/>
        <v/>
      </c>
      <c r="AY50" s="48">
        <f>AU50*100+AV50</f>
        <v>708</v>
      </c>
      <c r="AZ50" s="48">
        <f>AV50*100+AU50</f>
        <v>807</v>
      </c>
      <c r="BA50" s="6">
        <f t="shared" si="41"/>
        <v>0</v>
      </c>
      <c r="BB50" s="6">
        <f t="shared" si="41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42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84" t="str">
        <f>VLOOKUP(AV53,$B$4:$F$13,2,FALSE)</f>
        <v>H</v>
      </c>
      <c r="F53" s="84"/>
      <c r="G53" s="84"/>
      <c r="H53" s="84"/>
      <c r="J53" s="84" t="str">
        <f>IF(T53="","",VLOOKUP(T53,Configuratie!$B$1:$E$10,3,FALSE))</f>
        <v/>
      </c>
      <c r="K53" s="84"/>
      <c r="L53" s="6" t="s">
        <v>5</v>
      </c>
      <c r="M53" s="84" t="str">
        <f>IF(T53="","",VLOOKUP(T53,Configuratie!$B$1:$E$10,4,FALSE))</f>
        <v/>
      </c>
      <c r="N53" s="84"/>
      <c r="R53" s="6" t="str">
        <f>IF(T53="","",VLOOKUP(T53,Configuratie!$B$1:$E$10,2,FALSE))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3">VLOOKUP(AU53,$BJ$3:$BS$13,$AT53,FALSE)</f>
        <v>0</v>
      </c>
      <c r="BB53" s="6">
        <f t="shared" si="43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84" t="str">
        <f>VLOOKUP(AV54,$B$4:$F$13,2,FALSE)</f>
        <v>G</v>
      </c>
      <c r="F54" s="84"/>
      <c r="G54" s="84"/>
      <c r="H54" s="84"/>
      <c r="J54" s="84" t="str">
        <f>IF(T54="","",VLOOKUP(T54,Configuratie!$B$1:$E$10,3,FALSE))</f>
        <v/>
      </c>
      <c r="K54" s="84"/>
      <c r="L54" s="6" t="s">
        <v>5</v>
      </c>
      <c r="M54" s="84" t="str">
        <f>IF(T54="","",VLOOKUP(T54,Configuratie!$B$1:$E$10,4,FALSE))</f>
        <v/>
      </c>
      <c r="N54" s="84"/>
      <c r="R54" s="6" t="str">
        <f>IF(T54="","",VLOOKUP(T54,Configuratie!$B$1:$E$10,2,FALSE))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4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3"/>
        <v>0</v>
      </c>
      <c r="BB54" s="6">
        <f t="shared" si="43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84" t="str">
        <f>VLOOKUP(AV55,$B$4:$F$13,2,FALSE)</f>
        <v>F</v>
      </c>
      <c r="F55" s="84"/>
      <c r="G55" s="84"/>
      <c r="H55" s="84"/>
      <c r="J55" s="84" t="str">
        <f>IF(T55="","",VLOOKUP(T55,Configuratie!$B$1:$E$10,3,FALSE))</f>
        <v/>
      </c>
      <c r="K55" s="84"/>
      <c r="L55" s="6" t="s">
        <v>5</v>
      </c>
      <c r="M55" s="84" t="str">
        <f>IF(T55="","",VLOOKUP(T55,Configuratie!$B$1:$E$10,4,FALSE))</f>
        <v/>
      </c>
      <c r="N55" s="84"/>
      <c r="R55" s="6" t="str">
        <f>IF(T55="","",VLOOKUP(T55,Configuratie!$B$1:$E$10,2,FALSE))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4"/>
        <v/>
      </c>
      <c r="AY55" s="48">
        <f>AU55*100+AV55</f>
        <v>106</v>
      </c>
      <c r="AZ55" s="48">
        <f>AV55*100+AU55</f>
        <v>601</v>
      </c>
      <c r="BA55" s="6">
        <f t="shared" si="43"/>
        <v>0</v>
      </c>
      <c r="BB55" s="6">
        <f t="shared" si="43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84" t="str">
        <f>VLOOKUP(AV56,$B$4:$F$13,2,FALSE)</f>
        <v>E</v>
      </c>
      <c r="F56" s="84"/>
      <c r="G56" s="84"/>
      <c r="H56" s="84"/>
      <c r="J56" s="84" t="str">
        <f>IF(T56="","",VLOOKUP(T56,Configuratie!$B$1:$E$10,3,FALSE))</f>
        <v/>
      </c>
      <c r="K56" s="84"/>
      <c r="L56" s="6" t="s">
        <v>5</v>
      </c>
      <c r="M56" s="84" t="str">
        <f>IF(T56="","",VLOOKUP(T56,Configuratie!$B$1:$E$10,4,FALSE))</f>
        <v/>
      </c>
      <c r="N56" s="84"/>
      <c r="R56" s="6" t="str">
        <f>IF(T56="","",VLOOKUP(T56,Configuratie!$B$1:$E$10,2,FALSE))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4"/>
        <v/>
      </c>
      <c r="AY56" s="48">
        <f>AU56*100+AV56</f>
        <v>205</v>
      </c>
      <c r="AZ56" s="48">
        <f>AV56*100+AU56</f>
        <v>502</v>
      </c>
      <c r="BA56" s="6">
        <f t="shared" si="43"/>
        <v>0</v>
      </c>
      <c r="BB56" s="6">
        <f t="shared" si="43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84" t="str">
        <f>VLOOKUP(AV57,$B$4:$F$13,2,FALSE)</f>
        <v>D</v>
      </c>
      <c r="F57" s="84"/>
      <c r="G57" s="84"/>
      <c r="H57" s="84"/>
      <c r="J57" s="84" t="str">
        <f>IF(T57="","",VLOOKUP(T57,Configuratie!$B$1:$E$10,3,FALSE))</f>
        <v/>
      </c>
      <c r="K57" s="84"/>
      <c r="L57" s="6" t="s">
        <v>5</v>
      </c>
      <c r="M57" s="84" t="str">
        <f>IF(T57="","",VLOOKUP(T57,Configuratie!$B$1:$E$10,4,FALSE))</f>
        <v/>
      </c>
      <c r="N57" s="84"/>
      <c r="R57" s="6" t="str">
        <f>IF(T57="","",VLOOKUP(T57,Configuratie!$B$1:$E$10,2,FALSE))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4"/>
        <v/>
      </c>
      <c r="AY57" s="48">
        <f>AU57*100+AV57</f>
        <v>304</v>
      </c>
      <c r="AZ57" s="48">
        <f>AV57*100+AU57</f>
        <v>403</v>
      </c>
      <c r="BA57" s="6">
        <f t="shared" si="43"/>
        <v>0</v>
      </c>
      <c r="BB57" s="6">
        <f t="shared" si="43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4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84" t="str">
        <f>VLOOKUP(AV60,$B$4:$F$13,2,FALSE)</f>
        <v>J</v>
      </c>
      <c r="F60" s="84"/>
      <c r="G60" s="84"/>
      <c r="H60" s="84"/>
      <c r="J60" s="84" t="str">
        <f>IF(T60="","",VLOOKUP(T60,Configuratie!$B$1:$E$10,3,FALSE))</f>
        <v/>
      </c>
      <c r="K60" s="84"/>
      <c r="L60" s="6" t="s">
        <v>5</v>
      </c>
      <c r="M60" s="84" t="str">
        <f>IF(T60="","",VLOOKUP(T60,Configuratie!$B$1:$E$10,4,FALSE))</f>
        <v/>
      </c>
      <c r="N60" s="84"/>
      <c r="R60" s="6" t="str">
        <f>IF(T60="","",VLOOKUP(T60,Configuratie!$B$1:$E$10,2,FALSE))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5">VLOOKUP(AU60,$BJ$3:$BS$13,$AT60,FALSE)</f>
        <v>0</v>
      </c>
      <c r="BB60" s="6">
        <f t="shared" si="45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84" t="str">
        <f>VLOOKUP(AV61,$B$4:$F$13,2,FALSE)</f>
        <v>C</v>
      </c>
      <c r="F61" s="84"/>
      <c r="G61" s="84"/>
      <c r="H61" s="84"/>
      <c r="J61" s="84" t="str">
        <f>IF(T61="","",VLOOKUP(T61,Configuratie!$B$1:$E$10,3,FALSE))</f>
        <v/>
      </c>
      <c r="K61" s="84"/>
      <c r="L61" s="6" t="s">
        <v>5</v>
      </c>
      <c r="M61" s="84" t="str">
        <f>IF(T61="","",VLOOKUP(T61,Configuratie!$B$1:$E$10,4,FALSE))</f>
        <v/>
      </c>
      <c r="N61" s="84"/>
      <c r="R61" s="6" t="str">
        <f>IF(T61="","",VLOOKUP(T61,Configuratie!$B$1:$E$10,2,FALSE))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6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5"/>
        <v>0</v>
      </c>
      <c r="BB61" s="6">
        <f t="shared" si="45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84" t="str">
        <f>VLOOKUP(AV62,$B$4:$F$13,2,FALSE)</f>
        <v>B</v>
      </c>
      <c r="F62" s="84"/>
      <c r="G62" s="84"/>
      <c r="H62" s="84"/>
      <c r="J62" s="84" t="str">
        <f>IF(T62="","",VLOOKUP(T62,Configuratie!$B$1:$E$10,3,FALSE))</f>
        <v/>
      </c>
      <c r="K62" s="84"/>
      <c r="L62" s="6" t="s">
        <v>5</v>
      </c>
      <c r="M62" s="84" t="str">
        <f>IF(T62="","",VLOOKUP(T62,Configuratie!$B$1:$E$10,4,FALSE))</f>
        <v/>
      </c>
      <c r="N62" s="84"/>
      <c r="R62" s="6" t="str">
        <f>IF(T62="","",VLOOKUP(T62,Configuratie!$B$1:$E$10,2,FALSE))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6"/>
        <v/>
      </c>
      <c r="AY62" s="48">
        <f>AU62*100+AV62</f>
        <v>602</v>
      </c>
      <c r="AZ62" s="48">
        <f>AV62*100+AU62</f>
        <v>206</v>
      </c>
      <c r="BA62" s="6">
        <f t="shared" si="45"/>
        <v>0</v>
      </c>
      <c r="BB62" s="6">
        <f t="shared" si="45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84" t="str">
        <f>VLOOKUP(AV63,$B$4:$F$13,2,FALSE)</f>
        <v>A</v>
      </c>
      <c r="F63" s="84"/>
      <c r="G63" s="84"/>
      <c r="H63" s="84"/>
      <c r="J63" s="84" t="str">
        <f>IF(T63="","",VLOOKUP(T63,Configuratie!$B$1:$E$10,3,FALSE))</f>
        <v/>
      </c>
      <c r="K63" s="84"/>
      <c r="L63" s="6" t="s">
        <v>5</v>
      </c>
      <c r="M63" s="84" t="str">
        <f>IF(T63="","",VLOOKUP(T63,Configuratie!$B$1:$E$10,4,FALSE))</f>
        <v/>
      </c>
      <c r="N63" s="84"/>
      <c r="R63" s="6" t="str">
        <f>IF(T63="","",VLOOKUP(T63,Configuratie!$B$1:$E$10,2,FALSE))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6"/>
        <v/>
      </c>
      <c r="AY63" s="48">
        <f>AU63*100+AV63</f>
        <v>701</v>
      </c>
      <c r="AZ63" s="48">
        <f>AV63*100+AU63</f>
        <v>107</v>
      </c>
      <c r="BA63" s="6">
        <f t="shared" si="45"/>
        <v>0</v>
      </c>
      <c r="BB63" s="6">
        <f t="shared" si="45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84" t="str">
        <f>VLOOKUP(AV64,$B$4:$F$13,2,FALSE)</f>
        <v>I</v>
      </c>
      <c r="F64" s="84"/>
      <c r="G64" s="84"/>
      <c r="H64" s="84"/>
      <c r="J64" s="84" t="str">
        <f>IF(T64="","",VLOOKUP(T64,Configuratie!$B$1:$E$10,3,FALSE))</f>
        <v/>
      </c>
      <c r="K64" s="84"/>
      <c r="L64" s="6" t="s">
        <v>5</v>
      </c>
      <c r="M64" s="84" t="str">
        <f>IF(T64="","",VLOOKUP(T64,Configuratie!$B$1:$E$10,4,FALSE))</f>
        <v/>
      </c>
      <c r="N64" s="84"/>
      <c r="R64" s="6" t="str">
        <f>IF(T64="","",VLOOKUP(T64,Configuratie!$B$1:$E$10,2,FALSE))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6"/>
        <v/>
      </c>
      <c r="AY64" s="48">
        <f>AU64*100+AV64</f>
        <v>809</v>
      </c>
      <c r="AZ64" s="48">
        <f>AV64*100+AU64</f>
        <v>908</v>
      </c>
      <c r="BA64" s="6">
        <f t="shared" si="45"/>
        <v>0</v>
      </c>
      <c r="BB64" s="6">
        <f t="shared" si="45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6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84" t="str">
        <f>VLOOKUP(AV67,$B$4:$F$13,2,FALSE)</f>
        <v>I</v>
      </c>
      <c r="F67" s="84"/>
      <c r="G67" s="84"/>
      <c r="H67" s="84"/>
      <c r="J67" s="84" t="str">
        <f>IF(T67="","",VLOOKUP(T67,Configuratie!$B$1:$E$10,3,FALSE))</f>
        <v/>
      </c>
      <c r="K67" s="84"/>
      <c r="L67" s="6" t="s">
        <v>5</v>
      </c>
      <c r="M67" s="84" t="str">
        <f>IF(T67="","",VLOOKUP(T67,Configuratie!$B$1:$E$10,4,FALSE))</f>
        <v/>
      </c>
      <c r="N67" s="84"/>
      <c r="R67" s="6" t="str">
        <f>IF(T67="","",VLOOKUP(T67,Configuratie!$B$1:$E$10,2,FALSE))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7">VLOOKUP(AU67,$BJ$3:$BS$13,$AT67,FALSE)</f>
        <v>0</v>
      </c>
      <c r="BB67" s="6">
        <f t="shared" si="47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84" t="str">
        <f>VLOOKUP(AV68,$B$4:$F$13,2,FALSE)</f>
        <v>H</v>
      </c>
      <c r="F68" s="84"/>
      <c r="G68" s="84"/>
      <c r="H68" s="84"/>
      <c r="J68" s="84" t="str">
        <f>IF(T68="","",VLOOKUP(T68,Configuratie!$B$1:$E$10,3,FALSE))</f>
        <v/>
      </c>
      <c r="K68" s="84"/>
      <c r="L68" s="6" t="s">
        <v>5</v>
      </c>
      <c r="M68" s="84" t="str">
        <f>IF(T68="","",VLOOKUP(T68,Configuratie!$B$1:$E$10,4,FALSE))</f>
        <v/>
      </c>
      <c r="N68" s="84"/>
      <c r="R68" s="6" t="str">
        <f>IF(T68="","",VLOOKUP(T68,Configuratie!$B$1:$E$10,2,FALSE))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8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7"/>
        <v>0</v>
      </c>
      <c r="BB68" s="6">
        <f t="shared" si="47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84" t="str">
        <f>VLOOKUP(AV69,$B$4:$F$13,2,FALSE)</f>
        <v>G</v>
      </c>
      <c r="F69" s="84"/>
      <c r="G69" s="84"/>
      <c r="H69" s="84"/>
      <c r="J69" s="84" t="str">
        <f>IF(T69="","",VLOOKUP(T69,Configuratie!$B$1:$E$10,3,FALSE))</f>
        <v/>
      </c>
      <c r="K69" s="84"/>
      <c r="L69" s="6" t="s">
        <v>5</v>
      </c>
      <c r="M69" s="84" t="str">
        <f>IF(T69="","",VLOOKUP(T69,Configuratie!$B$1:$E$10,4,FALSE))</f>
        <v/>
      </c>
      <c r="N69" s="84"/>
      <c r="R69" s="6" t="str">
        <f>IF(T69="","",VLOOKUP(T69,Configuratie!$B$1:$E$10,2,FALSE))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8"/>
        <v/>
      </c>
      <c r="AY69" s="48">
        <f>AU69*100+AV69</f>
        <v>207</v>
      </c>
      <c r="AZ69" s="48">
        <f>AV69*100+AU69</f>
        <v>702</v>
      </c>
      <c r="BA69" s="6">
        <f t="shared" si="47"/>
        <v>0</v>
      </c>
      <c r="BB69" s="6">
        <f t="shared" si="47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84" t="str">
        <f>VLOOKUP(AV70,$B$4:$F$13,2,FALSE)</f>
        <v>F</v>
      </c>
      <c r="F70" s="84"/>
      <c r="G70" s="84"/>
      <c r="H70" s="84"/>
      <c r="J70" s="84" t="str">
        <f>IF(T70="","",VLOOKUP(T70,Configuratie!$B$1:$E$10,3,FALSE))</f>
        <v/>
      </c>
      <c r="K70" s="84"/>
      <c r="L70" s="6" t="s">
        <v>5</v>
      </c>
      <c r="M70" s="84" t="str">
        <f>IF(T70="","",VLOOKUP(T70,Configuratie!$B$1:$E$10,4,FALSE))</f>
        <v/>
      </c>
      <c r="N70" s="84"/>
      <c r="R70" s="6" t="str">
        <f>IF(T70="","",VLOOKUP(T70,Configuratie!$B$1:$E$10,2,FALSE))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8"/>
        <v/>
      </c>
      <c r="AY70" s="48">
        <f>AU70*100+AV70</f>
        <v>306</v>
      </c>
      <c r="AZ70" s="48">
        <f>AV70*100+AU70</f>
        <v>603</v>
      </c>
      <c r="BA70" s="6">
        <f t="shared" si="47"/>
        <v>0</v>
      </c>
      <c r="BB70" s="6">
        <f t="shared" si="47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84" t="str">
        <f>VLOOKUP(AV71,$B$4:$F$13,2,FALSE)</f>
        <v>E</v>
      </c>
      <c r="F71" s="84"/>
      <c r="G71" s="84"/>
      <c r="H71" s="84"/>
      <c r="J71" s="84" t="str">
        <f>IF(T71="","",VLOOKUP(T71,Configuratie!$B$1:$E$10,3,FALSE))</f>
        <v/>
      </c>
      <c r="K71" s="84"/>
      <c r="L71" s="6" t="s">
        <v>5</v>
      </c>
      <c r="M71" s="84" t="str">
        <f>IF(T71="","",VLOOKUP(T71,Configuratie!$B$1:$E$10,4,FALSE))</f>
        <v/>
      </c>
      <c r="N71" s="84"/>
      <c r="R71" s="6" t="str">
        <f>IF(T71="","",VLOOKUP(T71,Configuratie!$B$1:$E$10,2,FALSE))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8"/>
        <v/>
      </c>
      <c r="AY71" s="48">
        <f>AU71*100+AV71</f>
        <v>405</v>
      </c>
      <c r="AZ71" s="48">
        <f>AV71*100+AU71</f>
        <v>504</v>
      </c>
      <c r="BA71" s="6">
        <f t="shared" si="47"/>
        <v>0</v>
      </c>
      <c r="BB71" s="6">
        <f t="shared" si="47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8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84" t="str">
        <f>VLOOKUP(AV74,$B$4:$F$13,2,FALSE)</f>
        <v>J</v>
      </c>
      <c r="F74" s="84"/>
      <c r="G74" s="84"/>
      <c r="H74" s="84"/>
      <c r="J74" s="84" t="str">
        <f>IF(T74="","",VLOOKUP(T74,Configuratie!$B$1:$E$10,3,FALSE))</f>
        <v/>
      </c>
      <c r="K74" s="84"/>
      <c r="L74" s="6" t="s">
        <v>5</v>
      </c>
      <c r="M74" s="84" t="str">
        <f>IF(T74="","",VLOOKUP(T74,Configuratie!$B$1:$E$10,4,FALSE))</f>
        <v/>
      </c>
      <c r="N74" s="84"/>
      <c r="R74" s="6" t="str">
        <f>IF(T74="","",VLOOKUP(T74,Configuratie!$B$1:$E$10,2,FALSE))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9">VLOOKUP(AU74,$BJ$3:$BS$13,$AT74,FALSE)</f>
        <v>0</v>
      </c>
      <c r="BB74" s="6">
        <f t="shared" si="49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84" t="str">
        <f>VLOOKUP(AV75,$B$4:$F$13,2,FALSE)</f>
        <v>D</v>
      </c>
      <c r="F75" s="84"/>
      <c r="G75" s="84"/>
      <c r="H75" s="84"/>
      <c r="J75" s="84" t="str">
        <f>IF(T75="","",VLOOKUP(T75,Configuratie!$B$1:$E$10,3,FALSE))</f>
        <v/>
      </c>
      <c r="K75" s="84"/>
      <c r="L75" s="6" t="s">
        <v>5</v>
      </c>
      <c r="M75" s="84" t="str">
        <f>IF(T75="","",VLOOKUP(T75,Configuratie!$B$1:$E$10,4,FALSE))</f>
        <v/>
      </c>
      <c r="N75" s="84"/>
      <c r="R75" s="6" t="str">
        <f>IF(T75="","",VLOOKUP(T75,Configuratie!$B$1:$E$10,2,FALSE))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50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9"/>
        <v>0</v>
      </c>
      <c r="BB75" s="6">
        <f t="shared" si="49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84" t="str">
        <f>VLOOKUP(AV76,$B$4:$F$13,2,FALSE)</f>
        <v>C</v>
      </c>
      <c r="F76" s="84"/>
      <c r="G76" s="84"/>
      <c r="H76" s="84"/>
      <c r="J76" s="84" t="str">
        <f>IF(T76="","",VLOOKUP(T76,Configuratie!$B$1:$E$10,3,FALSE))</f>
        <v/>
      </c>
      <c r="K76" s="84"/>
      <c r="L76" s="6" t="s">
        <v>5</v>
      </c>
      <c r="M76" s="84" t="str">
        <f>IF(T76="","",VLOOKUP(T76,Configuratie!$B$1:$E$10,4,FALSE))</f>
        <v/>
      </c>
      <c r="N76" s="84"/>
      <c r="R76" s="6" t="str">
        <f>IF(T76="","",VLOOKUP(T76,Configuratie!$B$1:$E$10,2,FALSE))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50"/>
        <v/>
      </c>
      <c r="AY76" s="48">
        <f>AU76*100+AV76</f>
        <v>703</v>
      </c>
      <c r="AZ76" s="48">
        <f>AV76*100+AU76</f>
        <v>307</v>
      </c>
      <c r="BA76" s="6">
        <f t="shared" si="49"/>
        <v>0</v>
      </c>
      <c r="BB76" s="6">
        <f t="shared" si="49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84" t="str">
        <f>VLOOKUP(AV77,$B$4:$F$13,2,FALSE)</f>
        <v>B</v>
      </c>
      <c r="F77" s="84"/>
      <c r="G77" s="84"/>
      <c r="H77" s="84"/>
      <c r="J77" s="84" t="str">
        <f>IF(T77="","",VLOOKUP(T77,Configuratie!$B$1:$E$10,3,FALSE))</f>
        <v/>
      </c>
      <c r="K77" s="84"/>
      <c r="L77" s="6" t="s">
        <v>5</v>
      </c>
      <c r="M77" s="84" t="str">
        <f>IF(T77="","",VLOOKUP(T77,Configuratie!$B$1:$E$10,4,FALSE))</f>
        <v/>
      </c>
      <c r="N77" s="84"/>
      <c r="R77" s="6" t="str">
        <f>IF(T77="","",VLOOKUP(T77,Configuratie!$B$1:$E$10,2,FALSE))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50"/>
        <v/>
      </c>
      <c r="AY77" s="48">
        <f>AU77*100+AV77</f>
        <v>802</v>
      </c>
      <c r="AZ77" s="48">
        <f>AV77*100+AU77</f>
        <v>208</v>
      </c>
      <c r="BA77" s="6">
        <f t="shared" si="49"/>
        <v>0</v>
      </c>
      <c r="BB77" s="6">
        <f t="shared" si="49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84" t="str">
        <f>VLOOKUP(AV78,$B$4:$F$13,2,FALSE)</f>
        <v>A</v>
      </c>
      <c r="F78" s="84"/>
      <c r="G78" s="84"/>
      <c r="H78" s="84"/>
      <c r="J78" s="84" t="str">
        <f>IF(T78="","",VLOOKUP(T78,Configuratie!$B$1:$E$10,3,FALSE))</f>
        <v/>
      </c>
      <c r="K78" s="84"/>
      <c r="L78" s="6" t="s">
        <v>5</v>
      </c>
      <c r="M78" s="84" t="str">
        <f>IF(T78="","",VLOOKUP(T78,Configuratie!$B$1:$E$10,4,FALSE))</f>
        <v/>
      </c>
      <c r="N78" s="84"/>
      <c r="R78" s="6" t="str">
        <f>IF(T78="","",VLOOKUP(T78,Configuratie!$B$1:$E$10,2,FALSE))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50"/>
        <v/>
      </c>
      <c r="AY78" s="48">
        <f>AU78*100+AV78</f>
        <v>901</v>
      </c>
      <c r="AZ78" s="48">
        <f>AV78*100+AU78</f>
        <v>109</v>
      </c>
      <c r="BA78" s="6">
        <f t="shared" si="49"/>
        <v>0</v>
      </c>
      <c r="BB78" s="6">
        <f t="shared" si="49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50"/>
        <v/>
      </c>
    </row>
  </sheetData>
  <sheetProtection password="CA5D" sheet="1" objects="1" scenarios="1" selectLockedCells="1"/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1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V1:AA1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B1:F1"/>
    <mergeCell ref="G1:R1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3" operator="equal">
      <formula>1</formula>
    </cfRule>
    <cfRule type="cellIs" dxfId="13" priority="2" operator="equal">
      <formula>2</formula>
    </cfRule>
    <cfRule type="cellIs" dxfId="12" priority="1" operator="equal">
      <formula>3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7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BY55"/>
  <sheetViews>
    <sheetView view="pageBreakPreview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20" width="6.85546875" style="6" customWidth="1"/>
    <col min="21" max="21" width="3.85546875" style="6" customWidth="1"/>
    <col min="22" max="22" width="3.7109375" style="6" customWidth="1"/>
    <col min="23" max="23" width="6.7109375" style="6" customWidth="1"/>
    <col min="24" max="24" width="6.7109375" style="6" hidden="1" customWidth="1"/>
    <col min="25" max="25" width="3" style="6" hidden="1" customWidth="1"/>
    <col min="26" max="26" width="27.7109375" style="6" customWidth="1"/>
    <col min="27" max="27" width="6.7109375" style="6" customWidth="1"/>
    <col min="28" max="28" width="6.7109375" style="6" hidden="1" customWidth="1"/>
    <col min="29" max="29" width="6.7109375" style="6" customWidth="1"/>
    <col min="30" max="32" width="6.7109375" style="6" hidden="1" customWidth="1"/>
    <col min="33" max="33" width="8.5703125" style="6" hidden="1" customWidth="1"/>
    <col min="34" max="34" width="6" style="6" hidden="1" customWidth="1"/>
    <col min="35" max="35" width="8.5703125" style="6" hidden="1" customWidth="1"/>
    <col min="36" max="36" width="5.5703125" style="6" hidden="1" customWidth="1"/>
    <col min="37" max="37" width="8.5703125" style="6" hidden="1" customWidth="1"/>
    <col min="38" max="38" width="5" style="6" hidden="1" customWidth="1"/>
    <col min="39" max="39" width="6.7109375" style="6" hidden="1" customWidth="1"/>
    <col min="40" max="40" width="8.5703125" style="6" hidden="1" customWidth="1"/>
    <col min="41" max="41" width="4.28515625" style="6" hidden="1" customWidth="1"/>
    <col min="42" max="42" width="6" style="6" hidden="1" customWidth="1"/>
    <col min="43" max="43" width="5.28515625" style="6" hidden="1" customWidth="1"/>
    <col min="44" max="50" width="6.7109375" style="6" hidden="1" customWidth="1"/>
    <col min="51" max="54" width="9.140625" style="6" hidden="1" customWidth="1"/>
    <col min="55" max="56" width="4.42578125" style="6" hidden="1" customWidth="1"/>
    <col min="57" max="75" width="3.7109375" style="6" hidden="1" customWidth="1"/>
    <col min="76" max="77" width="9.140625" style="6" hidden="1" customWidth="1"/>
    <col min="78" max="16384" width="9.140625" style="6"/>
  </cols>
  <sheetData>
    <row r="1" spans="1:75" ht="26.25" x14ac:dyDescent="0.4">
      <c r="A1" s="24">
        <v>8</v>
      </c>
      <c r="B1" s="83" t="s">
        <v>31</v>
      </c>
      <c r="C1" s="83"/>
      <c r="D1" s="83"/>
      <c r="E1" s="83"/>
      <c r="F1" s="83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15"/>
      <c r="W1" s="85" t="str">
        <f>"UITSLAG " &amp; G1</f>
        <v>UITSLAG GROEP A</v>
      </c>
      <c r="X1" s="86"/>
      <c r="Y1" s="86"/>
      <c r="Z1" s="86"/>
      <c r="AA1" s="86"/>
      <c r="AB1" s="86"/>
      <c r="AC1" s="86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27</v>
      </c>
      <c r="AZ2" s="16" t="s">
        <v>26</v>
      </c>
      <c r="BA2" s="16" t="s">
        <v>28</v>
      </c>
      <c r="BD2" s="86" t="s">
        <v>22</v>
      </c>
      <c r="BE2" s="86"/>
      <c r="BF2" s="86"/>
      <c r="BG2" s="86"/>
      <c r="BH2" s="86"/>
      <c r="BI2" s="86"/>
      <c r="BJ2" s="86"/>
      <c r="BK2" s="86"/>
      <c r="BL2" s="86"/>
      <c r="BM2" s="17"/>
      <c r="BN2" s="18"/>
      <c r="BO2" s="86" t="s">
        <v>23</v>
      </c>
      <c r="BP2" s="86"/>
      <c r="BQ2" s="86"/>
      <c r="BR2" s="86"/>
      <c r="BS2" s="86"/>
      <c r="BT2" s="86"/>
      <c r="BU2" s="86"/>
      <c r="BV2" s="86"/>
      <c r="BW2" s="86"/>
    </row>
    <row r="3" spans="1:75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33</v>
      </c>
      <c r="X3" s="7"/>
      <c r="Y3" s="22" t="s">
        <v>30</v>
      </c>
      <c r="Z3" s="7" t="s">
        <v>6</v>
      </c>
      <c r="AA3" s="7" t="s">
        <v>29</v>
      </c>
      <c r="AB3" s="7" t="s">
        <v>24</v>
      </c>
      <c r="AC3" s="7" t="s">
        <v>26</v>
      </c>
      <c r="AD3" s="7" t="s">
        <v>34</v>
      </c>
      <c r="AE3" s="7" t="s">
        <v>35</v>
      </c>
      <c r="AF3" s="13"/>
      <c r="AG3" s="7" t="s">
        <v>60</v>
      </c>
      <c r="AH3" s="7" t="s">
        <v>61</v>
      </c>
      <c r="AI3" s="7" t="s">
        <v>62</v>
      </c>
      <c r="AJ3" s="7" t="s">
        <v>63</v>
      </c>
      <c r="AK3" s="7" t="s">
        <v>64</v>
      </c>
      <c r="AL3" s="7" t="s">
        <v>65</v>
      </c>
      <c r="AM3" s="7"/>
      <c r="AN3" s="7" t="s">
        <v>66</v>
      </c>
      <c r="AO3" s="7" t="s">
        <v>67</v>
      </c>
      <c r="AP3" s="7" t="s">
        <v>68</v>
      </c>
      <c r="AQ3" s="7" t="s">
        <v>69</v>
      </c>
      <c r="AR3" s="7"/>
      <c r="AS3" s="7" t="s">
        <v>69</v>
      </c>
      <c r="AT3" s="7" t="s">
        <v>70</v>
      </c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30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 t="str">
        <f>IF((SUMIF($BC$13:$BC$55,$B4*100+I$3,$BA$13:$BA$55)+SUMIF($BC$13:$BC$55,$B4+I$3*100,$BA$13:$BA$55))=1,(SUMIF($BC$13:$BC$55,$B4*100+I$3,$J$13:$J$55)+SUMIF($BD$13:$BD$55,$B4*100+I$3,$M$13:$M$55)),"")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AQ4</f>
        <v>1</v>
      </c>
      <c r="U4" s="14"/>
      <c r="V4" s="30"/>
      <c r="W4" s="31">
        <v>1</v>
      </c>
      <c r="X4" s="31" t="str">
        <f>C4</f>
        <v>A</v>
      </c>
      <c r="Y4" s="32">
        <v>2</v>
      </c>
      <c r="Z4" s="33" t="str">
        <f>IF(ISNA(VLOOKUP(W4,$A$4:$T$11,3,FALSE)),C4,VLOOKUP(W4,$A$4:$T$11,3,FALSE))</f>
        <v>A</v>
      </c>
      <c r="AA4" s="63">
        <f>IF(ISNA(VLOOKUP($B4,$A$4:$T$11,18,FALSE)),0,VLOOKUP($B4,$A$4:$T$11,18,FALSE))</f>
        <v>0</v>
      </c>
      <c r="AB4" s="34">
        <f t="shared" ref="AB4" si="2">VLOOKUP($B4,$A$4:$T$11,18,FALSE)</f>
        <v>0</v>
      </c>
      <c r="AC4" s="12">
        <f>IF(ISNA(VLOOKUP($B4,$A$4:$T$11,19,FALSE)),0,VLOOKUP($B4,$A$4:$T$11,19,FALSE))</f>
        <v>0</v>
      </c>
      <c r="AD4" s="34">
        <f t="shared" ref="AD4:AD11" si="3">VLOOKUP($Y4,$AX$4:$BA$11,4,FALSE)</f>
        <v>0</v>
      </c>
      <c r="AE4" s="35">
        <f t="shared" ref="AE4:AE11" si="4">VLOOKUP($Y4,$B$4:$R$11,5,FALSE)</f>
        <v>1000</v>
      </c>
      <c r="AF4" s="56"/>
      <c r="AG4" s="65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6">
        <f>$AG$13*R4+AG4</f>
        <v>0</v>
      </c>
      <c r="AI4" s="65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6">
        <f>$AI$13*AH4+AI4</f>
        <v>0</v>
      </c>
      <c r="AK4" s="65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0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1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0</v>
      </c>
      <c r="AZ4" s="39" t="e">
        <f t="shared" ref="AZ4:AZ11" si="7">SUMIF($AY$13:$AY$55,B4,$BG$13:$BG$55)+SUMIF($AZ$13:$AZ$55,B4,$BH$13:$BH$55)</f>
        <v>#VALUE!</v>
      </c>
      <c r="BA4" s="39">
        <f>SUM(BO4:BW4)</f>
        <v>0</v>
      </c>
      <c r="BC4" s="6">
        <v>1</v>
      </c>
      <c r="BD4" s="6">
        <f t="shared" ref="BD4:BL11" si="8" xml:space="preserve"> SUMIFS( $J$16:$J$55, $AY$16:$AY$55,$BC4, $AX$16:$AX$55,BD$3) + SUMIFS( $M$16:$M$55, $AZ$16:$AZ$55,$BC4, $AX$16:$AX$55,BD$3)</f>
        <v>0</v>
      </c>
      <c r="BE4" s="6">
        <f t="shared" si="8"/>
        <v>0</v>
      </c>
      <c r="BF4" s="6">
        <f t="shared" si="8"/>
        <v>0</v>
      </c>
      <c r="BG4" s="6">
        <f t="shared" si="8"/>
        <v>0</v>
      </c>
      <c r="BH4" s="6">
        <f t="shared" si="8"/>
        <v>0</v>
      </c>
      <c r="BI4" s="6">
        <f t="shared" si="8"/>
        <v>0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0</v>
      </c>
      <c r="BR4" s="6">
        <f t="shared" si="9"/>
        <v>0</v>
      </c>
      <c r="BS4" s="6">
        <f t="shared" si="9"/>
        <v>0</v>
      </c>
      <c r="BT4" s="6">
        <f t="shared" si="9"/>
        <v>0</v>
      </c>
      <c r="BU4" s="6">
        <f t="shared" si="9"/>
        <v>0</v>
      </c>
      <c r="BV4" s="6">
        <f t="shared" si="9"/>
        <v>0</v>
      </c>
      <c r="BW4" s="6">
        <f t="shared" si="9"/>
        <v>0</v>
      </c>
    </row>
    <row r="5" spans="1:75" x14ac:dyDescent="0.25">
      <c r="A5" s="24">
        <f t="shared" ref="A5:A12" si="10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8"/>
      <c r="Q5" s="53"/>
      <c r="R5" s="62">
        <f t="shared" si="1"/>
        <v>0</v>
      </c>
      <c r="S5" s="8">
        <f t="shared" ref="S5:S11" si="11">IF(H5="",0,H5)*$R$4+IF(I5="",0,I5)*$R$5+IF(J5="",0,J5)*$R$6+IF(K5="",0,K5)*$R$7+IF(L5="",0,L5)*$R$8+IF(M5="",0,M5)*$R$9+IF(N5="",0,N5)*$R$10+IF(O5="",0,O5)*$R$11</f>
        <v>0</v>
      </c>
      <c r="T5" s="8">
        <f t="shared" ref="T5:T12" si="12">AQ5</f>
        <v>1</v>
      </c>
      <c r="U5" s="14"/>
      <c r="V5" s="30"/>
      <c r="W5" s="31">
        <v>2</v>
      </c>
      <c r="X5" s="31" t="str">
        <f t="shared" ref="X5:X11" si="13">C5</f>
        <v>B</v>
      </c>
      <c r="Y5" s="32">
        <v>7</v>
      </c>
      <c r="Z5" s="33" t="str">
        <f t="shared" ref="Z5:Z11" si="14">IF(ISNA(VLOOKUP(W5,$A$4:$T$11,3,FALSE)),C5,VLOOKUP(W5,$A$4:$T$11,3,FALSE))</f>
        <v>B</v>
      </c>
      <c r="AA5" s="63">
        <f t="shared" ref="AA5:AA11" si="15">IF(ISNA(VLOOKUP($B5,$A$4:$T$11,18,FALSE)),0,VLOOKUP($B5,$A$4:$T$11,18,FALSE))</f>
        <v>0</v>
      </c>
      <c r="AB5" s="34">
        <f t="shared" ref="AB5:AB11" si="16">VLOOKUP($Y5,$AX$4:$BA$11,2,FALSE)</f>
        <v>0</v>
      </c>
      <c r="AC5" s="12">
        <f t="shared" ref="AC5:AC11" si="17">IF(ISNA(VLOOKUP($B5,$A$4:$T$11,19,FALSE)),0,VLOOKUP($B5,$A$4:$T$11,19,FALSE))</f>
        <v>0</v>
      </c>
      <c r="AD5" s="34">
        <f t="shared" si="3"/>
        <v>0</v>
      </c>
      <c r="AE5" s="35">
        <f t="shared" si="4"/>
        <v>1000</v>
      </c>
      <c r="AF5" s="56"/>
      <c r="AG5" s="65">
        <f t="shared" ref="AG5:AG11" si="18">IF(R5=$R$4,IF(H5="",0,H5))+IF(R5=$R$5,IF(I5="",0,I5))+IF(R5=$R$6,IF(J5="",0,J5))+IF(R5=$R$7,IF(K5="",0,K5))+IF(R5=$R$8,IF(L5="",0,L5))+IF(R5=$R$9,IF(M5="",0,M5))+IF(R5=$R$10,IF(N5="",0,N5))+IF(R5=$R$11,IF(O5="",0,O5))</f>
        <v>0</v>
      </c>
      <c r="AH5" s="66">
        <f t="shared" ref="AH5:AH11" si="19">$AG$13*R5+AG5</f>
        <v>0</v>
      </c>
      <c r="AI5" s="65">
        <f t="shared" si="5"/>
        <v>0</v>
      </c>
      <c r="AJ5" s="66">
        <f t="shared" ref="AJ5:AJ11" si="20">$AI$13*AH5+AI5</f>
        <v>0</v>
      </c>
      <c r="AK5" s="65">
        <f t="shared" ref="AK5:AK11" si="21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56">
        <f t="shared" ref="AL5:AL11" si="22">$AK$13*AJ5+AK5</f>
        <v>0</v>
      </c>
      <c r="AM5" s="56"/>
      <c r="AN5" s="56">
        <f t="shared" ref="AN5:AN11" si="23">RANK(AL5,$AL$4:$AL$11,1)-1</f>
        <v>0</v>
      </c>
      <c r="AO5" s="56">
        <f t="shared" ref="AO5:AO12" si="24">RANK(S5,$S$4:$S$11,1)-1</f>
        <v>0</v>
      </c>
      <c r="AP5" s="56">
        <f t="shared" ref="AP5:AP12" si="25">8*AN5+AO5</f>
        <v>0</v>
      </c>
      <c r="AQ5" s="56">
        <f t="shared" ref="AQ5:AQ11" si="26">RANK(AP5,$AP$4:$AP$11)</f>
        <v>1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0</v>
      </c>
      <c r="AZ5" s="39" t="e">
        <f t="shared" si="7"/>
        <v>#VALUE!</v>
      </c>
      <c r="BA5" s="39">
        <f t="shared" ref="BA5:BA11" si="27">SUM(BO5:BW5)</f>
        <v>0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0</v>
      </c>
      <c r="BG5" s="6">
        <f t="shared" si="8"/>
        <v>0</v>
      </c>
      <c r="BH5" s="6">
        <f t="shared" si="8"/>
        <v>0</v>
      </c>
      <c r="BI5" s="6">
        <f t="shared" si="8"/>
        <v>0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8">BD5</f>
        <v>0</v>
      </c>
      <c r="BP5" s="6">
        <f t="shared" si="9"/>
        <v>0</v>
      </c>
      <c r="BQ5" s="6">
        <f t="shared" si="9"/>
        <v>0</v>
      </c>
      <c r="BR5" s="6">
        <f t="shared" si="9"/>
        <v>0</v>
      </c>
      <c r="BS5" s="6">
        <f t="shared" si="9"/>
        <v>0</v>
      </c>
      <c r="BT5" s="6">
        <f t="shared" si="9"/>
        <v>0</v>
      </c>
      <c r="BU5" s="6">
        <f t="shared" si="9"/>
        <v>0</v>
      </c>
      <c r="BV5" s="6">
        <f t="shared" si="9"/>
        <v>0</v>
      </c>
      <c r="BW5" s="6">
        <f t="shared" si="9"/>
        <v>0</v>
      </c>
    </row>
    <row r="6" spans="1:75" x14ac:dyDescent="0.25">
      <c r="A6" s="24">
        <f t="shared" si="10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1"/>
        <v>0</v>
      </c>
      <c r="T6" s="9">
        <f>AQ6</f>
        <v>1</v>
      </c>
      <c r="U6" s="10"/>
      <c r="V6" s="30"/>
      <c r="W6" s="31">
        <v>3</v>
      </c>
      <c r="X6" s="31" t="str">
        <f t="shared" si="13"/>
        <v>C</v>
      </c>
      <c r="Y6" s="32">
        <v>1</v>
      </c>
      <c r="Z6" s="33" t="str">
        <f t="shared" si="14"/>
        <v>C</v>
      </c>
      <c r="AA6" s="63">
        <f t="shared" si="15"/>
        <v>0</v>
      </c>
      <c r="AB6" s="34">
        <f t="shared" si="16"/>
        <v>0</v>
      </c>
      <c r="AC6" s="12">
        <f t="shared" si="17"/>
        <v>0</v>
      </c>
      <c r="AD6" s="34">
        <f t="shared" si="3"/>
        <v>0</v>
      </c>
      <c r="AE6" s="35">
        <f t="shared" si="4"/>
        <v>1000</v>
      </c>
      <c r="AF6" s="56"/>
      <c r="AG6" s="65">
        <f t="shared" si="18"/>
        <v>0</v>
      </c>
      <c r="AH6" s="66">
        <f t="shared" si="19"/>
        <v>0</v>
      </c>
      <c r="AI6" s="65">
        <f t="shared" si="5"/>
        <v>0</v>
      </c>
      <c r="AJ6" s="66">
        <f t="shared" si="20"/>
        <v>0</v>
      </c>
      <c r="AK6" s="65">
        <f t="shared" si="21"/>
        <v>0</v>
      </c>
      <c r="AL6" s="56">
        <f t="shared" si="22"/>
        <v>0</v>
      </c>
      <c r="AM6" s="56"/>
      <c r="AN6" s="56">
        <f t="shared" si="23"/>
        <v>0</v>
      </c>
      <c r="AO6" s="56">
        <f t="shared" si="24"/>
        <v>0</v>
      </c>
      <c r="AP6" s="56">
        <f t="shared" si="25"/>
        <v>0</v>
      </c>
      <c r="AQ6" s="56">
        <f t="shared" si="26"/>
        <v>1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0</v>
      </c>
      <c r="AZ6" s="39" t="e">
        <f t="shared" si="7"/>
        <v>#VALUE!</v>
      </c>
      <c r="BA6" s="39">
        <f t="shared" si="27"/>
        <v>0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0</v>
      </c>
      <c r="BG6" s="6">
        <f t="shared" si="8"/>
        <v>0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8"/>
        <v>0</v>
      </c>
      <c r="BP6" s="6">
        <f t="shared" si="9"/>
        <v>0</v>
      </c>
      <c r="BQ6" s="6">
        <f t="shared" si="9"/>
        <v>0</v>
      </c>
      <c r="BR6" s="6">
        <f t="shared" si="9"/>
        <v>0</v>
      </c>
      <c r="BS6" s="6">
        <f t="shared" si="9"/>
        <v>0</v>
      </c>
      <c r="BT6" s="6">
        <f t="shared" si="9"/>
        <v>0</v>
      </c>
      <c r="BU6" s="6">
        <f t="shared" si="9"/>
        <v>0</v>
      </c>
      <c r="BV6" s="6">
        <f t="shared" si="9"/>
        <v>0</v>
      </c>
      <c r="BW6" s="6">
        <f t="shared" si="9"/>
        <v>0</v>
      </c>
    </row>
    <row r="7" spans="1:75" x14ac:dyDescent="0.25">
      <c r="A7" s="24">
        <f t="shared" si="10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1"/>
        <v>0</v>
      </c>
      <c r="T7" s="8">
        <f t="shared" si="12"/>
        <v>1</v>
      </c>
      <c r="U7" s="14"/>
      <c r="V7" s="30"/>
      <c r="W7" s="31">
        <v>4</v>
      </c>
      <c r="X7" s="31" t="str">
        <f t="shared" si="13"/>
        <v>D</v>
      </c>
      <c r="Y7" s="32">
        <v>6</v>
      </c>
      <c r="Z7" s="33" t="str">
        <f t="shared" si="14"/>
        <v>D</v>
      </c>
      <c r="AA7" s="63">
        <f t="shared" si="15"/>
        <v>0</v>
      </c>
      <c r="AB7" s="34">
        <f t="shared" si="16"/>
        <v>0</v>
      </c>
      <c r="AC7" s="12">
        <f t="shared" si="17"/>
        <v>0</v>
      </c>
      <c r="AD7" s="34">
        <f t="shared" si="3"/>
        <v>0</v>
      </c>
      <c r="AE7" s="35">
        <f t="shared" si="4"/>
        <v>1000</v>
      </c>
      <c r="AF7" s="56"/>
      <c r="AG7" s="65">
        <f t="shared" si="18"/>
        <v>0</v>
      </c>
      <c r="AH7" s="66">
        <f t="shared" si="19"/>
        <v>0</v>
      </c>
      <c r="AI7" s="65">
        <f t="shared" si="5"/>
        <v>0</v>
      </c>
      <c r="AJ7" s="66">
        <f t="shared" si="20"/>
        <v>0</v>
      </c>
      <c r="AK7" s="65">
        <f t="shared" si="21"/>
        <v>0</v>
      </c>
      <c r="AL7" s="56">
        <f t="shared" si="22"/>
        <v>0</v>
      </c>
      <c r="AM7" s="56"/>
      <c r="AN7" s="56">
        <f t="shared" si="23"/>
        <v>0</v>
      </c>
      <c r="AO7" s="56">
        <f t="shared" si="24"/>
        <v>0</v>
      </c>
      <c r="AP7" s="56">
        <f t="shared" si="25"/>
        <v>0</v>
      </c>
      <c r="AQ7" s="56">
        <f t="shared" si="26"/>
        <v>1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0</v>
      </c>
      <c r="AZ7" s="39" t="e">
        <f t="shared" si="7"/>
        <v>#VALUE!</v>
      </c>
      <c r="BA7" s="39">
        <f t="shared" si="27"/>
        <v>0</v>
      </c>
      <c r="BC7" s="6">
        <v>4</v>
      </c>
      <c r="BD7" s="6">
        <f t="shared" si="8"/>
        <v>0</v>
      </c>
      <c r="BE7" s="6">
        <f t="shared" si="8"/>
        <v>0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8"/>
        <v>0</v>
      </c>
      <c r="BP7" s="6">
        <f t="shared" si="9"/>
        <v>0</v>
      </c>
      <c r="BQ7" s="6">
        <f t="shared" si="9"/>
        <v>0</v>
      </c>
      <c r="BR7" s="6">
        <f t="shared" si="9"/>
        <v>0</v>
      </c>
      <c r="BS7" s="6">
        <f t="shared" si="9"/>
        <v>0</v>
      </c>
      <c r="BT7" s="6">
        <f t="shared" si="9"/>
        <v>0</v>
      </c>
      <c r="BU7" s="6">
        <f t="shared" si="9"/>
        <v>0</v>
      </c>
      <c r="BV7" s="6">
        <f t="shared" si="9"/>
        <v>0</v>
      </c>
      <c r="BW7" s="6">
        <f t="shared" si="9"/>
        <v>0</v>
      </c>
    </row>
    <row r="8" spans="1:75" x14ac:dyDescent="0.25">
      <c r="A8" s="24">
        <f t="shared" si="10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1"/>
        <v>0</v>
      </c>
      <c r="T8" s="8">
        <f t="shared" si="12"/>
        <v>1</v>
      </c>
      <c r="U8" s="14"/>
      <c r="V8" s="30"/>
      <c r="W8" s="31">
        <v>5</v>
      </c>
      <c r="X8" s="31" t="str">
        <f t="shared" si="13"/>
        <v>E</v>
      </c>
      <c r="Y8" s="32">
        <v>3</v>
      </c>
      <c r="Z8" s="33" t="str">
        <f t="shared" si="14"/>
        <v>E</v>
      </c>
      <c r="AA8" s="63">
        <f t="shared" si="15"/>
        <v>0</v>
      </c>
      <c r="AB8" s="34">
        <f t="shared" si="16"/>
        <v>0</v>
      </c>
      <c r="AC8" s="12">
        <f t="shared" si="17"/>
        <v>0</v>
      </c>
      <c r="AD8" s="34">
        <f t="shared" si="3"/>
        <v>0</v>
      </c>
      <c r="AE8" s="35">
        <f t="shared" si="4"/>
        <v>1000</v>
      </c>
      <c r="AF8" s="56"/>
      <c r="AG8" s="65">
        <f t="shared" si="18"/>
        <v>0</v>
      </c>
      <c r="AH8" s="66">
        <f t="shared" si="19"/>
        <v>0</v>
      </c>
      <c r="AI8" s="65">
        <f t="shared" si="5"/>
        <v>0</v>
      </c>
      <c r="AJ8" s="66">
        <f t="shared" si="20"/>
        <v>0</v>
      </c>
      <c r="AK8" s="65">
        <f t="shared" si="21"/>
        <v>0</v>
      </c>
      <c r="AL8" s="56">
        <f t="shared" si="22"/>
        <v>0</v>
      </c>
      <c r="AM8" s="56"/>
      <c r="AN8" s="56">
        <f t="shared" si="23"/>
        <v>0</v>
      </c>
      <c r="AO8" s="56">
        <f t="shared" si="24"/>
        <v>0</v>
      </c>
      <c r="AP8" s="56">
        <f t="shared" si="25"/>
        <v>0</v>
      </c>
      <c r="AQ8" s="56">
        <f t="shared" si="26"/>
        <v>1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0</v>
      </c>
      <c r="AZ8" s="39" t="e">
        <f t="shared" si="7"/>
        <v>#VALUE!</v>
      </c>
      <c r="BA8" s="39">
        <f t="shared" si="27"/>
        <v>0</v>
      </c>
      <c r="BC8" s="6">
        <v>5</v>
      </c>
      <c r="BD8" s="6">
        <f t="shared" si="8"/>
        <v>0</v>
      </c>
      <c r="BE8" s="6">
        <f t="shared" si="8"/>
        <v>0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0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8"/>
        <v>0</v>
      </c>
      <c r="BP8" s="6">
        <f t="shared" si="9"/>
        <v>0</v>
      </c>
      <c r="BQ8" s="6">
        <f t="shared" si="9"/>
        <v>0</v>
      </c>
      <c r="BR8" s="6">
        <f t="shared" si="9"/>
        <v>0</v>
      </c>
      <c r="BS8" s="6">
        <f t="shared" si="9"/>
        <v>0</v>
      </c>
      <c r="BT8" s="6">
        <f t="shared" si="9"/>
        <v>0</v>
      </c>
      <c r="BU8" s="6">
        <f t="shared" si="9"/>
        <v>0</v>
      </c>
      <c r="BV8" s="6">
        <f t="shared" si="9"/>
        <v>0</v>
      </c>
      <c r="BW8" s="6">
        <f t="shared" si="9"/>
        <v>0</v>
      </c>
    </row>
    <row r="9" spans="1:75" x14ac:dyDescent="0.25">
      <c r="A9" s="24">
        <f t="shared" si="10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1"/>
        <v>0</v>
      </c>
      <c r="T9" s="8">
        <f t="shared" si="12"/>
        <v>1</v>
      </c>
      <c r="U9" s="14"/>
      <c r="V9" s="30"/>
      <c r="W9" s="31">
        <v>6</v>
      </c>
      <c r="X9" s="31" t="str">
        <f t="shared" si="13"/>
        <v>F</v>
      </c>
      <c r="Y9" s="32">
        <v>5</v>
      </c>
      <c r="Z9" s="33" t="str">
        <f t="shared" si="14"/>
        <v>F</v>
      </c>
      <c r="AA9" s="63">
        <f t="shared" si="15"/>
        <v>0</v>
      </c>
      <c r="AB9" s="34">
        <f t="shared" si="16"/>
        <v>0</v>
      </c>
      <c r="AC9" s="12">
        <f t="shared" si="17"/>
        <v>0</v>
      </c>
      <c r="AD9" s="34">
        <f t="shared" si="3"/>
        <v>0</v>
      </c>
      <c r="AE9" s="35">
        <f t="shared" si="4"/>
        <v>1000</v>
      </c>
      <c r="AF9" s="56"/>
      <c r="AG9" s="65">
        <f t="shared" si="18"/>
        <v>0</v>
      </c>
      <c r="AH9" s="66">
        <f t="shared" si="19"/>
        <v>0</v>
      </c>
      <c r="AI9" s="65">
        <f t="shared" si="5"/>
        <v>0</v>
      </c>
      <c r="AJ9" s="66">
        <f t="shared" si="20"/>
        <v>0</v>
      </c>
      <c r="AK9" s="65">
        <f t="shared" si="21"/>
        <v>0</v>
      </c>
      <c r="AL9" s="56">
        <f t="shared" si="22"/>
        <v>0</v>
      </c>
      <c r="AM9" s="56"/>
      <c r="AN9" s="56">
        <f t="shared" si="23"/>
        <v>0</v>
      </c>
      <c r="AO9" s="56">
        <f t="shared" si="24"/>
        <v>0</v>
      </c>
      <c r="AP9" s="56">
        <f t="shared" si="25"/>
        <v>0</v>
      </c>
      <c r="AQ9" s="56">
        <f t="shared" si="26"/>
        <v>1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0</v>
      </c>
      <c r="AZ9" s="39" t="e">
        <f t="shared" si="7"/>
        <v>#VALUE!</v>
      </c>
      <c r="BA9" s="39">
        <f t="shared" si="27"/>
        <v>0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0</v>
      </c>
      <c r="BI9" s="6">
        <f t="shared" si="8"/>
        <v>0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8"/>
        <v>0</v>
      </c>
      <c r="BP9" s="6">
        <f t="shared" si="9"/>
        <v>0</v>
      </c>
      <c r="BQ9" s="6">
        <f t="shared" si="9"/>
        <v>0</v>
      </c>
      <c r="BR9" s="6">
        <f t="shared" si="9"/>
        <v>0</v>
      </c>
      <c r="BS9" s="6">
        <f t="shared" si="9"/>
        <v>0</v>
      </c>
      <c r="BT9" s="6">
        <f t="shared" si="9"/>
        <v>0</v>
      </c>
      <c r="BU9" s="6">
        <f t="shared" si="9"/>
        <v>0</v>
      </c>
      <c r="BV9" s="6">
        <f t="shared" si="9"/>
        <v>0</v>
      </c>
      <c r="BW9" s="6">
        <f t="shared" si="9"/>
        <v>0</v>
      </c>
    </row>
    <row r="10" spans="1:75" x14ac:dyDescent="0.25">
      <c r="A10" s="24">
        <f t="shared" si="10"/>
        <v>1</v>
      </c>
      <c r="B10" s="25">
        <v>7</v>
      </c>
      <c r="C10" s="25" t="s">
        <v>45</v>
      </c>
      <c r="D10" s="93"/>
      <c r="E10" s="93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1"/>
        <v>0</v>
      </c>
      <c r="T10" s="8">
        <f t="shared" si="12"/>
        <v>1</v>
      </c>
      <c r="U10" s="14"/>
      <c r="V10" s="30"/>
      <c r="W10" s="31">
        <v>7</v>
      </c>
      <c r="X10" s="31" t="str">
        <f t="shared" si="13"/>
        <v>G</v>
      </c>
      <c r="Y10" s="32">
        <v>4</v>
      </c>
      <c r="Z10" s="33" t="str">
        <f t="shared" si="14"/>
        <v>G</v>
      </c>
      <c r="AA10" s="63">
        <f t="shared" si="15"/>
        <v>0</v>
      </c>
      <c r="AB10" s="34">
        <f t="shared" si="16"/>
        <v>0</v>
      </c>
      <c r="AC10" s="12">
        <f t="shared" si="17"/>
        <v>0</v>
      </c>
      <c r="AD10" s="34">
        <f t="shared" si="3"/>
        <v>0</v>
      </c>
      <c r="AE10" s="35">
        <f t="shared" si="4"/>
        <v>1000</v>
      </c>
      <c r="AF10" s="56"/>
      <c r="AG10" s="65">
        <f t="shared" si="18"/>
        <v>0</v>
      </c>
      <c r="AH10" s="66">
        <f t="shared" si="19"/>
        <v>0</v>
      </c>
      <c r="AI10" s="65">
        <f t="shared" si="5"/>
        <v>0</v>
      </c>
      <c r="AJ10" s="66">
        <f t="shared" si="20"/>
        <v>0</v>
      </c>
      <c r="AK10" s="65">
        <f t="shared" si="21"/>
        <v>0</v>
      </c>
      <c r="AL10" s="56">
        <f t="shared" si="22"/>
        <v>0</v>
      </c>
      <c r="AM10" s="56"/>
      <c r="AN10" s="56">
        <f t="shared" si="23"/>
        <v>0</v>
      </c>
      <c r="AO10" s="56">
        <f t="shared" si="24"/>
        <v>0</v>
      </c>
      <c r="AP10" s="56">
        <f t="shared" si="25"/>
        <v>0</v>
      </c>
      <c r="AQ10" s="56">
        <f t="shared" si="26"/>
        <v>1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0</v>
      </c>
      <c r="AZ10" s="39" t="e">
        <f t="shared" si="7"/>
        <v>#VALUE!</v>
      </c>
      <c r="BA10" s="39">
        <f t="shared" si="27"/>
        <v>0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0</v>
      </c>
      <c r="BG10" s="6">
        <f t="shared" si="8"/>
        <v>0</v>
      </c>
      <c r="BH10" s="6">
        <f t="shared" si="8"/>
        <v>0</v>
      </c>
      <c r="BI10" s="6">
        <f t="shared" si="8"/>
        <v>0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8"/>
        <v>0</v>
      </c>
      <c r="BP10" s="6">
        <f t="shared" si="9"/>
        <v>0</v>
      </c>
      <c r="BQ10" s="6">
        <f t="shared" si="9"/>
        <v>0</v>
      </c>
      <c r="BR10" s="6">
        <f t="shared" si="9"/>
        <v>0</v>
      </c>
      <c r="BS10" s="6">
        <f t="shared" si="9"/>
        <v>0</v>
      </c>
      <c r="BT10" s="6">
        <f t="shared" si="9"/>
        <v>0</v>
      </c>
      <c r="BU10" s="6">
        <f t="shared" si="9"/>
        <v>0</v>
      </c>
      <c r="BV10" s="6">
        <f t="shared" si="9"/>
        <v>0</v>
      </c>
      <c r="BW10" s="6">
        <f t="shared" si="9"/>
        <v>0</v>
      </c>
    </row>
    <row r="11" spans="1:75" x14ac:dyDescent="0.25">
      <c r="A11" s="24">
        <f t="shared" si="10"/>
        <v>1</v>
      </c>
      <c r="B11" s="25">
        <v>8</v>
      </c>
      <c r="C11" s="25" t="s">
        <v>46</v>
      </c>
      <c r="D11" s="93"/>
      <c r="E11" s="93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1"/>
        <v>0</v>
      </c>
      <c r="T11" s="8">
        <f t="shared" si="12"/>
        <v>1</v>
      </c>
      <c r="U11" s="14"/>
      <c r="V11" s="30"/>
      <c r="W11" s="31">
        <v>8</v>
      </c>
      <c r="X11" s="31" t="str">
        <f t="shared" si="13"/>
        <v>H</v>
      </c>
      <c r="Y11" s="32">
        <v>8</v>
      </c>
      <c r="Z11" s="33" t="str">
        <f t="shared" si="14"/>
        <v>H</v>
      </c>
      <c r="AA11" s="63">
        <f t="shared" si="15"/>
        <v>0</v>
      </c>
      <c r="AB11" s="34">
        <f t="shared" si="16"/>
        <v>0</v>
      </c>
      <c r="AC11" s="12">
        <f t="shared" si="17"/>
        <v>0</v>
      </c>
      <c r="AD11" s="34">
        <f t="shared" si="3"/>
        <v>0</v>
      </c>
      <c r="AE11" s="35">
        <f t="shared" si="4"/>
        <v>1000</v>
      </c>
      <c r="AF11" s="56"/>
      <c r="AG11" s="65">
        <f t="shared" si="18"/>
        <v>0</v>
      </c>
      <c r="AH11" s="66">
        <f t="shared" si="19"/>
        <v>0</v>
      </c>
      <c r="AI11" s="65">
        <f t="shared" si="5"/>
        <v>0</v>
      </c>
      <c r="AJ11" s="66">
        <f t="shared" si="20"/>
        <v>0</v>
      </c>
      <c r="AK11" s="65">
        <f t="shared" si="21"/>
        <v>0</v>
      </c>
      <c r="AL11" s="56">
        <f t="shared" si="22"/>
        <v>0</v>
      </c>
      <c r="AM11" s="56"/>
      <c r="AN11" s="56">
        <f t="shared" si="23"/>
        <v>0</v>
      </c>
      <c r="AO11" s="56">
        <f t="shared" si="24"/>
        <v>0</v>
      </c>
      <c r="AP11" s="56">
        <f t="shared" si="25"/>
        <v>0</v>
      </c>
      <c r="AQ11" s="56">
        <f t="shared" si="26"/>
        <v>1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0</v>
      </c>
      <c r="AZ11" s="39" t="e">
        <f t="shared" si="7"/>
        <v>#VALUE!</v>
      </c>
      <c r="BA11" s="39">
        <f t="shared" si="27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8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ref="Z6:Z12" si="29">IF(ISNA(VLOOKUP(B12,$A$4:$T$11,3,FALSE)),C12,VLOOKUP(B12,$A$4:$T$11,3,FALSE))</f>
        <v>0</v>
      </c>
      <c r="AA12" s="64" t="e">
        <f t="shared" ref="AA12" si="30">VLOOKUP($B12,$A$4:$T$11,18,FALSE)</f>
        <v>#N/A</v>
      </c>
      <c r="AH12" s="67"/>
      <c r="AK12" s="65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>
        <f t="shared" si="24"/>
        <v>0</v>
      </c>
      <c r="AP12" s="56">
        <f t="shared" si="25"/>
        <v>0</v>
      </c>
      <c r="AQ12" s="56">
        <f>RANK(AP13,$AP$4:$AP$11,1)</f>
        <v>1</v>
      </c>
    </row>
    <row r="13" spans="1:75" x14ac:dyDescent="0.25">
      <c r="AG13" s="57">
        <f>2*MAX(AG4:AG11)+1</f>
        <v>1</v>
      </c>
      <c r="AH13" s="67"/>
      <c r="AI13" s="57">
        <f>2*MAX(AI4:AI11)+1</f>
        <v>1</v>
      </c>
      <c r="AK13" s="57">
        <f>2*MAX(AK4:AK11)+1</f>
        <v>1</v>
      </c>
      <c r="AX13" s="41" t="s">
        <v>39</v>
      </c>
      <c r="AY13" s="41" t="s">
        <v>0</v>
      </c>
      <c r="AZ13" s="41" t="s">
        <v>1</v>
      </c>
      <c r="BA13" s="41" t="s">
        <v>2</v>
      </c>
      <c r="BC13" s="42" t="s">
        <v>37</v>
      </c>
      <c r="BD13" s="42" t="s">
        <v>38</v>
      </c>
      <c r="BE13" s="6" t="s">
        <v>18</v>
      </c>
      <c r="BF13" s="6" t="s">
        <v>19</v>
      </c>
      <c r="BG13" s="6" t="s">
        <v>20</v>
      </c>
      <c r="BH13" s="6" t="s">
        <v>21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H</v>
      </c>
      <c r="D16" s="46" t="s">
        <v>5</v>
      </c>
      <c r="E16" s="84" t="str">
        <f>VLOOKUP(AZ16,$B$4:$F$11,2,FALSE)</f>
        <v>A</v>
      </c>
      <c r="F16" s="84"/>
      <c r="G16" s="84"/>
      <c r="H16" s="84"/>
      <c r="J16" s="84" t="str">
        <f>IF(T16="","",VLOOKUP(T16,Configuratie!$B$1:$E$10,3,FALSE))</f>
        <v/>
      </c>
      <c r="K16" s="84"/>
      <c r="L16" s="6" t="s">
        <v>5</v>
      </c>
      <c r="M16" s="84" t="str">
        <f>IF(T16="","",VLOOKUP(T16,Configuratie!$B$1:$E$10,4,FALSE))</f>
        <v/>
      </c>
      <c r="N16" s="84"/>
      <c r="R16" s="6" t="str">
        <f>IF(T16="","",VLOOKUP(T16,Configuratie!$B$1:$E$10,2,FALSE))</f>
        <v/>
      </c>
      <c r="T16" s="5"/>
      <c r="AX16" s="6">
        <v>1</v>
      </c>
      <c r="AY16" s="6">
        <v>8</v>
      </c>
      <c r="AZ16" s="6">
        <v>1</v>
      </c>
      <c r="BA16" s="6" t="str">
        <f>IF(AND(ISNUMBER(J16),ISNUMBER(M16)),IF(J16+M16=1,1,0),"")</f>
        <v/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 t="e">
        <f>J16*BF16</f>
        <v>#VALUE!</v>
      </c>
      <c r="BH16" s="6" t="e">
        <f>M16*BE16</f>
        <v>#VALUE!</v>
      </c>
    </row>
    <row r="17" spans="2:60" x14ac:dyDescent="0.25">
      <c r="B17" s="6">
        <v>2</v>
      </c>
      <c r="C17" s="6" t="str">
        <f t="shared" ref="C17:C19" si="31">VLOOKUP(AY17,$B$4:$F$11,2,FALSE)</f>
        <v>G</v>
      </c>
      <c r="D17" s="46" t="s">
        <v>5</v>
      </c>
      <c r="E17" s="84" t="str">
        <f t="shared" ref="E17:E19" si="32">VLOOKUP(AZ17,$B$4:$F$11,2,FALSE)</f>
        <v>B</v>
      </c>
      <c r="F17" s="84"/>
      <c r="G17" s="84"/>
      <c r="H17" s="84"/>
      <c r="J17" s="84" t="str">
        <f>IF(T17="","",VLOOKUP(T17,Configuratie!$B$1:$E$10,3,FALSE))</f>
        <v/>
      </c>
      <c r="K17" s="84"/>
      <c r="L17" s="6" t="s">
        <v>5</v>
      </c>
      <c r="M17" s="84" t="str">
        <f>IF(T17="","",VLOOKUP(T17,Configuratie!$B$1:$E$10,4,FALSE))</f>
        <v/>
      </c>
      <c r="N17" s="84"/>
      <c r="R17" s="6" t="str">
        <f>IF(T17="","",VLOOKUP(T17,Configuratie!$B$1:$E$10,2,FALSE))</f>
        <v/>
      </c>
      <c r="T17" s="5"/>
      <c r="AX17" s="6">
        <v>1</v>
      </c>
      <c r="AY17" s="6">
        <v>7</v>
      </c>
      <c r="AZ17" s="6">
        <v>2</v>
      </c>
      <c r="BA17" s="6" t="str">
        <f>IF(AND(ISNUMBER(J17),ISNUMBER(M17)),IF(J17+M17=1,1,0),"")</f>
        <v/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 t="e">
        <f>J17*BF17</f>
        <v>#VALUE!</v>
      </c>
      <c r="BH17" s="6" t="e">
        <f>M17*BE17</f>
        <v>#VALUE!</v>
      </c>
    </row>
    <row r="18" spans="2:60" x14ac:dyDescent="0.25">
      <c r="B18" s="6">
        <v>3</v>
      </c>
      <c r="C18" s="6" t="str">
        <f t="shared" si="31"/>
        <v>F</v>
      </c>
      <c r="D18" s="46" t="s">
        <v>5</v>
      </c>
      <c r="E18" s="84" t="str">
        <f t="shared" si="32"/>
        <v>C</v>
      </c>
      <c r="F18" s="84"/>
      <c r="G18" s="84"/>
      <c r="H18" s="84"/>
      <c r="J18" s="84" t="str">
        <f>IF(T18="","",VLOOKUP(T18,Configuratie!$B$1:$E$10,3,FALSE))</f>
        <v/>
      </c>
      <c r="K18" s="84"/>
      <c r="L18" s="6" t="s">
        <v>5</v>
      </c>
      <c r="M18" s="84" t="str">
        <f>IF(T18="","",VLOOKUP(T18,Configuratie!$B$1:$E$10,4,FALSE))</f>
        <v/>
      </c>
      <c r="N18" s="84"/>
      <c r="R18" s="6" t="str">
        <f>IF(T18="","",VLOOKUP(T18,Configuratie!$B$1:$E$10,2,FALSE))</f>
        <v/>
      </c>
      <c r="T18" s="5"/>
      <c r="AX18" s="6">
        <v>1</v>
      </c>
      <c r="AY18" s="6">
        <v>6</v>
      </c>
      <c r="AZ18" s="6">
        <v>3</v>
      </c>
      <c r="BA18" s="6" t="str">
        <f>IF(AND(ISNUMBER(J18),ISNUMBER(M18)),IF(J18+M18=1,1,0),"")</f>
        <v/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 t="e">
        <f>J18*BF18</f>
        <v>#VALUE!</v>
      </c>
      <c r="BH18" s="6" t="e">
        <f>M18*BE18</f>
        <v>#VALUE!</v>
      </c>
    </row>
    <row r="19" spans="2:60" x14ac:dyDescent="0.25">
      <c r="B19" s="6">
        <v>4</v>
      </c>
      <c r="C19" s="6" t="str">
        <f t="shared" si="31"/>
        <v>E</v>
      </c>
      <c r="D19" s="46" t="s">
        <v>5</v>
      </c>
      <c r="E19" s="84" t="str">
        <f t="shared" si="32"/>
        <v>D</v>
      </c>
      <c r="F19" s="84"/>
      <c r="G19" s="84"/>
      <c r="H19" s="84"/>
      <c r="J19" s="84" t="str">
        <f>IF(T19="","",VLOOKUP(T19,Configuratie!$B$1:$E$10,3,FALSE))</f>
        <v/>
      </c>
      <c r="K19" s="84"/>
      <c r="L19" s="6" t="s">
        <v>5</v>
      </c>
      <c r="M19" s="84" t="str">
        <f>IF(T19="","",VLOOKUP(T19,Configuratie!$B$1:$E$10,4,FALSE))</f>
        <v/>
      </c>
      <c r="N19" s="84"/>
      <c r="R19" s="6" t="str">
        <f>IF(T19="","",VLOOKUP(T19,Configuratie!$B$1:$E$10,2,FALSE))</f>
        <v/>
      </c>
      <c r="T19" s="5"/>
      <c r="AX19" s="6">
        <v>1</v>
      </c>
      <c r="AY19" s="6">
        <v>5</v>
      </c>
      <c r="AZ19" s="6">
        <v>4</v>
      </c>
      <c r="BA19" s="6" t="str">
        <f>IF(AND(ISNUMBER(J19),ISNUMBER(M19)),IF(J19+M19=1,1,0),"")</f>
        <v/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 t="e">
        <f>J19*BF19</f>
        <v>#VALUE!</v>
      </c>
      <c r="BH19" s="6" t="e">
        <f>M19*BE19</f>
        <v>#VALUE!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H</v>
      </c>
      <c r="D22" s="46" t="s">
        <v>5</v>
      </c>
      <c r="E22" s="84" t="str">
        <f>VLOOKUP(AZ22,$B$4:$F$11,2,FALSE)</f>
        <v>D</v>
      </c>
      <c r="F22" s="84"/>
      <c r="G22" s="84"/>
      <c r="H22" s="84"/>
      <c r="J22" s="84" t="str">
        <f>IF(T22="","",VLOOKUP(T22,Configuratie!$B$1:$E$10,3,FALSE))</f>
        <v/>
      </c>
      <c r="K22" s="84"/>
      <c r="L22" s="6" t="s">
        <v>5</v>
      </c>
      <c r="M22" s="84" t="str">
        <f>IF(T22="","",VLOOKUP(T22,Configuratie!$B$1:$E$10,4,FALSE))</f>
        <v/>
      </c>
      <c r="N22" s="84"/>
      <c r="R22" s="6" t="str">
        <f>IF(T22="","",VLOOKUP(T22,Configuratie!$B$1:$E$10,2,FALSE))</f>
        <v/>
      </c>
      <c r="T22" s="5"/>
      <c r="AX22" s="6">
        <v>2</v>
      </c>
      <c r="AY22" s="6">
        <v>8</v>
      </c>
      <c r="AZ22" s="6">
        <v>4</v>
      </c>
      <c r="BA22" s="6" t="str">
        <f>IF(AND(ISNUMBER(J22),ISNUMBER(M22)),IF(J22+M22=1,1,0),"")</f>
        <v/>
      </c>
      <c r="BC22" s="48">
        <f>AY22*100+AZ22</f>
        <v>804</v>
      </c>
      <c r="BD22" s="48">
        <f>AZ22*100+AY22</f>
        <v>408</v>
      </c>
      <c r="BE22" s="6">
        <f t="shared" ref="BE22:BF25" si="33">VLOOKUP(AY22,$BN$3:$BW$11,$AX22,FALSE)</f>
        <v>0</v>
      </c>
      <c r="BF22" s="6">
        <f t="shared" si="33"/>
        <v>0</v>
      </c>
      <c r="BG22" s="6" t="e">
        <f>J22*BF22</f>
        <v>#VALUE!</v>
      </c>
      <c r="BH22" s="6" t="e">
        <f>M22*BE22</f>
        <v>#VALUE!</v>
      </c>
    </row>
    <row r="23" spans="2:60" x14ac:dyDescent="0.25">
      <c r="B23" s="6">
        <v>2</v>
      </c>
      <c r="C23" s="6" t="str">
        <f>VLOOKUP(AY23,$B$4:$F$11,2,FALSE)</f>
        <v>C</v>
      </c>
      <c r="D23" s="46" t="s">
        <v>5</v>
      </c>
      <c r="E23" s="84" t="str">
        <f t="shared" ref="E23:E25" si="34">VLOOKUP(AZ23,$B$4:$F$11,2,FALSE)</f>
        <v>E</v>
      </c>
      <c r="F23" s="84"/>
      <c r="G23" s="84"/>
      <c r="H23" s="84"/>
      <c r="J23" s="84" t="str">
        <f>IF(T23="","",VLOOKUP(T23,Configuratie!$B$1:$E$10,3,FALSE))</f>
        <v/>
      </c>
      <c r="K23" s="84"/>
      <c r="L23" s="6" t="s">
        <v>5</v>
      </c>
      <c r="M23" s="84" t="str">
        <f>IF(T23="","",VLOOKUP(T23,Configuratie!$B$1:$E$10,4,FALSE))</f>
        <v/>
      </c>
      <c r="N23" s="84"/>
      <c r="R23" s="6" t="str">
        <f>IF(T23="","",VLOOKUP(T23,Configuratie!$B$1:$E$10,2,FALSE))</f>
        <v/>
      </c>
      <c r="T23" s="5"/>
      <c r="AX23" s="6">
        <v>2</v>
      </c>
      <c r="AY23" s="6">
        <v>3</v>
      </c>
      <c r="AZ23" s="6">
        <v>5</v>
      </c>
      <c r="BA23" s="6" t="str">
        <f t="shared" ref="BA23:BA25" si="35">IF(AND(ISNUMBER(J23),ISNUMBER(M23)),IF(J23+M23=1,1,0),"")</f>
        <v/>
      </c>
      <c r="BC23" s="48">
        <f>AY23*100+AZ23</f>
        <v>305</v>
      </c>
      <c r="BD23" s="48">
        <f>AZ23*100+AY23</f>
        <v>503</v>
      </c>
      <c r="BE23" s="6">
        <f t="shared" si="33"/>
        <v>0</v>
      </c>
      <c r="BF23" s="6">
        <f t="shared" si="33"/>
        <v>0</v>
      </c>
      <c r="BG23" s="6" t="e">
        <f>J23*BF23</f>
        <v>#VALUE!</v>
      </c>
      <c r="BH23" s="6" t="e">
        <f>M23*BE23</f>
        <v>#VALUE!</v>
      </c>
    </row>
    <row r="24" spans="2:60" x14ac:dyDescent="0.25">
      <c r="B24" s="6">
        <v>3</v>
      </c>
      <c r="C24" s="6" t="str">
        <f>VLOOKUP(AY24,$B$4:$F$11,2,FALSE)</f>
        <v>B</v>
      </c>
      <c r="D24" s="46" t="s">
        <v>5</v>
      </c>
      <c r="E24" s="84" t="str">
        <f t="shared" si="34"/>
        <v>F</v>
      </c>
      <c r="F24" s="84"/>
      <c r="G24" s="84"/>
      <c r="H24" s="84"/>
      <c r="J24" s="84" t="str">
        <f>IF(T24="","",VLOOKUP(T24,Configuratie!$B$1:$E$10,3,FALSE))</f>
        <v/>
      </c>
      <c r="K24" s="84"/>
      <c r="L24" s="6" t="s">
        <v>5</v>
      </c>
      <c r="M24" s="84" t="str">
        <f>IF(T24="","",VLOOKUP(T24,Configuratie!$B$1:$E$10,4,FALSE))</f>
        <v/>
      </c>
      <c r="N24" s="84"/>
      <c r="R24" s="6" t="str">
        <f>IF(T24="","",VLOOKUP(T24,Configuratie!$B$1:$E$10,2,FALSE))</f>
        <v/>
      </c>
      <c r="T24" s="5"/>
      <c r="AX24" s="6">
        <v>2</v>
      </c>
      <c r="AY24" s="6">
        <v>2</v>
      </c>
      <c r="AZ24" s="6">
        <v>6</v>
      </c>
      <c r="BA24" s="6" t="str">
        <f t="shared" si="35"/>
        <v/>
      </c>
      <c r="BC24" s="48">
        <f>AY24*100+AZ24</f>
        <v>206</v>
      </c>
      <c r="BD24" s="48">
        <f>AZ24*100+AY24</f>
        <v>602</v>
      </c>
      <c r="BE24" s="6">
        <f t="shared" si="33"/>
        <v>0</v>
      </c>
      <c r="BF24" s="6">
        <f t="shared" si="33"/>
        <v>0</v>
      </c>
      <c r="BG24" s="6" t="e">
        <f>J24*BF24</f>
        <v>#VALUE!</v>
      </c>
      <c r="BH24" s="6" t="e">
        <f>M24*BE24</f>
        <v>#VALUE!</v>
      </c>
    </row>
    <row r="25" spans="2:60" x14ac:dyDescent="0.25">
      <c r="B25" s="6">
        <v>4</v>
      </c>
      <c r="C25" s="6" t="str">
        <f>VLOOKUP(AY25,$B$4:$F$11,2,FALSE)</f>
        <v>A</v>
      </c>
      <c r="D25" s="46" t="s">
        <v>5</v>
      </c>
      <c r="E25" s="84" t="str">
        <f t="shared" si="34"/>
        <v>G</v>
      </c>
      <c r="F25" s="84"/>
      <c r="G25" s="84"/>
      <c r="H25" s="84"/>
      <c r="J25" s="84" t="str">
        <f>IF(T25="","",VLOOKUP(T25,Configuratie!$B$1:$E$10,3,FALSE))</f>
        <v/>
      </c>
      <c r="K25" s="84"/>
      <c r="L25" s="6" t="s">
        <v>5</v>
      </c>
      <c r="M25" s="84" t="str">
        <f>IF(T25="","",VLOOKUP(T25,Configuratie!$B$1:$E$10,4,FALSE))</f>
        <v/>
      </c>
      <c r="N25" s="84"/>
      <c r="R25" s="6" t="str">
        <f>IF(T25="","",VLOOKUP(T25,Configuratie!$B$1:$E$10,2,FALSE))</f>
        <v/>
      </c>
      <c r="T25" s="5"/>
      <c r="AX25" s="6">
        <v>2</v>
      </c>
      <c r="AY25" s="6">
        <v>1</v>
      </c>
      <c r="AZ25" s="6">
        <v>7</v>
      </c>
      <c r="BA25" s="6" t="str">
        <f t="shared" si="35"/>
        <v/>
      </c>
      <c r="BC25" s="48">
        <f>AY25*100+AZ25</f>
        <v>107</v>
      </c>
      <c r="BD25" s="48">
        <f>AZ25*100+AY25</f>
        <v>701</v>
      </c>
      <c r="BE25" s="6">
        <f t="shared" si="33"/>
        <v>0</v>
      </c>
      <c r="BF25" s="6">
        <f t="shared" si="33"/>
        <v>0</v>
      </c>
      <c r="BG25" s="6" t="e">
        <f>J25*BF25</f>
        <v>#VALUE!</v>
      </c>
      <c r="BH25" s="6" t="e">
        <f>M25*BE25</f>
        <v>#VALUE!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G</v>
      </c>
      <c r="D28" s="46" t="s">
        <v>5</v>
      </c>
      <c r="E28" s="84" t="str">
        <f>VLOOKUP(AZ28,$B$4:$F$11,2,FALSE)</f>
        <v>H</v>
      </c>
      <c r="F28" s="84"/>
      <c r="G28" s="84"/>
      <c r="H28" s="84"/>
      <c r="J28" s="84" t="str">
        <f>IF(T28="","",VLOOKUP(T28,Configuratie!$B$1:$E$10,3,FALSE))</f>
        <v/>
      </c>
      <c r="K28" s="84"/>
      <c r="L28" s="6" t="s">
        <v>5</v>
      </c>
      <c r="M28" s="84" t="str">
        <f>IF(T28="","",VLOOKUP(T28,Configuratie!$B$1:$E$10,4,FALSE))</f>
        <v/>
      </c>
      <c r="N28" s="84"/>
      <c r="R28" s="6" t="str">
        <f>IF(T28="","",VLOOKUP(T28,Configuratie!$B$1:$E$10,2,FALSE))</f>
        <v/>
      </c>
      <c r="T28" s="5"/>
      <c r="AX28" s="6">
        <v>3</v>
      </c>
      <c r="AY28" s="6">
        <v>7</v>
      </c>
      <c r="AZ28" s="6">
        <v>8</v>
      </c>
      <c r="BA28" s="6" t="str">
        <f>IF(AND(ISNUMBER(J28),ISNUMBER(M28)),IF(J28+M28=1,1,0),"")</f>
        <v/>
      </c>
      <c r="BC28" s="48">
        <f>AY28*100+AZ28</f>
        <v>708</v>
      </c>
      <c r="BD28" s="48">
        <f>AZ28*100+AY28</f>
        <v>807</v>
      </c>
      <c r="BE28" s="6">
        <f t="shared" ref="BE28:BF31" si="36">VLOOKUP(AY28,$BN$3:$BW$11,$AX28,FALSE)</f>
        <v>0</v>
      </c>
      <c r="BF28" s="6">
        <f t="shared" si="36"/>
        <v>0</v>
      </c>
      <c r="BG28" s="6" t="e">
        <f>J28*BF28</f>
        <v>#VALUE!</v>
      </c>
      <c r="BH28" s="6" t="e">
        <f>M28*BE28</f>
        <v>#VALUE!</v>
      </c>
    </row>
    <row r="29" spans="2:60" x14ac:dyDescent="0.25">
      <c r="B29" s="6">
        <v>2</v>
      </c>
      <c r="C29" s="6" t="str">
        <f>VLOOKUP(AY29,$B$4:$F$11,2,FALSE)</f>
        <v>F</v>
      </c>
      <c r="D29" s="46" t="s">
        <v>5</v>
      </c>
      <c r="E29" s="84" t="str">
        <f>VLOOKUP(AZ29,$B$4:$F$11,2,FALSE)</f>
        <v>A</v>
      </c>
      <c r="F29" s="84"/>
      <c r="G29" s="84"/>
      <c r="H29" s="84"/>
      <c r="J29" s="84" t="str">
        <f>IF(T29="","",VLOOKUP(T29,Configuratie!$B$1:$E$10,3,FALSE))</f>
        <v/>
      </c>
      <c r="K29" s="84"/>
      <c r="L29" s="6" t="s">
        <v>5</v>
      </c>
      <c r="M29" s="84" t="str">
        <f>IF(T29="","",VLOOKUP(T29,Configuratie!$B$1:$E$10,4,FALSE))</f>
        <v/>
      </c>
      <c r="N29" s="84"/>
      <c r="R29" s="6" t="str">
        <f>IF(T29="","",VLOOKUP(T29,Configuratie!$B$1:$E$10,2,FALSE))</f>
        <v/>
      </c>
      <c r="T29" s="5"/>
      <c r="AX29" s="6">
        <v>3</v>
      </c>
      <c r="AY29" s="6">
        <v>6</v>
      </c>
      <c r="AZ29" s="6">
        <v>1</v>
      </c>
      <c r="BA29" s="6" t="str">
        <f t="shared" ref="BA29:BA31" si="37">IF(AND(ISNUMBER(J29),ISNUMBER(M29)),IF(J29+M29=1,1,0),"")</f>
        <v/>
      </c>
      <c r="BC29" s="48">
        <f>AY29*100+AZ29</f>
        <v>601</v>
      </c>
      <c r="BD29" s="48">
        <f>AZ29*100+AY29</f>
        <v>106</v>
      </c>
      <c r="BE29" s="6">
        <f t="shared" si="36"/>
        <v>0</v>
      </c>
      <c r="BF29" s="6">
        <f t="shared" si="36"/>
        <v>0</v>
      </c>
      <c r="BG29" s="6" t="e">
        <f>J29*BF29</f>
        <v>#VALUE!</v>
      </c>
      <c r="BH29" s="6" t="e">
        <f>M29*BE29</f>
        <v>#VALUE!</v>
      </c>
    </row>
    <row r="30" spans="2:60" x14ac:dyDescent="0.25">
      <c r="B30" s="6">
        <v>3</v>
      </c>
      <c r="C30" s="6" t="str">
        <f>VLOOKUP(AY30,$B$4:$F$11,2,FALSE)</f>
        <v>E</v>
      </c>
      <c r="D30" s="46" t="s">
        <v>5</v>
      </c>
      <c r="E30" s="84" t="str">
        <f>VLOOKUP(AZ30,$B$4:$F$11,2,FALSE)</f>
        <v>B</v>
      </c>
      <c r="F30" s="84"/>
      <c r="G30" s="84"/>
      <c r="H30" s="84"/>
      <c r="J30" s="84" t="str">
        <f>IF(T30="","",VLOOKUP(T30,Configuratie!$B$1:$E$10,3,FALSE))</f>
        <v/>
      </c>
      <c r="K30" s="84"/>
      <c r="L30" s="6" t="s">
        <v>5</v>
      </c>
      <c r="M30" s="84" t="str">
        <f>IF(T30="","",VLOOKUP(T30,Configuratie!$B$1:$E$10,4,FALSE))</f>
        <v/>
      </c>
      <c r="N30" s="84"/>
      <c r="R30" s="6" t="str">
        <f>IF(T30="","",VLOOKUP(T30,Configuratie!$B$1:$E$10,2,FALSE))</f>
        <v/>
      </c>
      <c r="T30" s="5"/>
      <c r="AX30" s="6">
        <v>3</v>
      </c>
      <c r="AY30" s="6">
        <v>5</v>
      </c>
      <c r="AZ30" s="6">
        <v>2</v>
      </c>
      <c r="BA30" s="6" t="str">
        <f t="shared" si="37"/>
        <v/>
      </c>
      <c r="BC30" s="48">
        <f>AY30*100+AZ30</f>
        <v>502</v>
      </c>
      <c r="BD30" s="48">
        <f>AZ30*100+AY30</f>
        <v>205</v>
      </c>
      <c r="BE30" s="6">
        <f t="shared" si="36"/>
        <v>0</v>
      </c>
      <c r="BF30" s="6">
        <f t="shared" si="36"/>
        <v>0</v>
      </c>
      <c r="BG30" s="6" t="e">
        <f>J30*BF30</f>
        <v>#VALUE!</v>
      </c>
      <c r="BH30" s="6" t="e">
        <f>M30*BE30</f>
        <v>#VALUE!</v>
      </c>
    </row>
    <row r="31" spans="2:60" x14ac:dyDescent="0.25">
      <c r="B31" s="6">
        <v>4</v>
      </c>
      <c r="C31" s="6" t="str">
        <f>VLOOKUP(AY31,$B$4:$F$11,2,FALSE)</f>
        <v>D</v>
      </c>
      <c r="D31" s="46" t="s">
        <v>5</v>
      </c>
      <c r="E31" s="84" t="str">
        <f>VLOOKUP(AZ31,$B$4:$F$11,2,FALSE)</f>
        <v>C</v>
      </c>
      <c r="F31" s="84"/>
      <c r="G31" s="84"/>
      <c r="H31" s="84"/>
      <c r="J31" s="84" t="str">
        <f>IF(T31="","",VLOOKUP(T31,Configuratie!$B$1:$E$10,3,FALSE))</f>
        <v/>
      </c>
      <c r="K31" s="84"/>
      <c r="L31" s="6" t="s">
        <v>5</v>
      </c>
      <c r="M31" s="84" t="str">
        <f>IF(T31="","",VLOOKUP(T31,Configuratie!$B$1:$E$10,4,FALSE))</f>
        <v/>
      </c>
      <c r="N31" s="84"/>
      <c r="R31" s="6" t="str">
        <f>IF(T31="","",VLOOKUP(T31,Configuratie!$B$1:$E$10,2,FALSE))</f>
        <v/>
      </c>
      <c r="T31" s="5"/>
      <c r="AX31" s="6">
        <v>3</v>
      </c>
      <c r="AY31" s="6">
        <v>4</v>
      </c>
      <c r="AZ31" s="6">
        <v>3</v>
      </c>
      <c r="BA31" s="6" t="str">
        <f t="shared" si="37"/>
        <v/>
      </c>
      <c r="BC31" s="48">
        <f>AY31*100+AZ31</f>
        <v>403</v>
      </c>
      <c r="BD31" s="48">
        <f>AZ31*100+AY31</f>
        <v>304</v>
      </c>
      <c r="BE31" s="6">
        <f t="shared" si="36"/>
        <v>0</v>
      </c>
      <c r="BF31" s="6">
        <f t="shared" si="36"/>
        <v>0</v>
      </c>
      <c r="BG31" s="6" t="e">
        <f>J31*BF31</f>
        <v>#VALUE!</v>
      </c>
      <c r="BH31" s="6" t="e">
        <f>M31*BE31</f>
        <v>#VALUE!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H</v>
      </c>
      <c r="D34" s="46" t="s">
        <v>5</v>
      </c>
      <c r="E34" s="84" t="str">
        <f>VLOOKUP(AZ34,$B$4:$F$11,2,FALSE)</f>
        <v>C</v>
      </c>
      <c r="F34" s="84"/>
      <c r="G34" s="84"/>
      <c r="H34" s="84"/>
      <c r="J34" s="84" t="str">
        <f>IF(T34="","",VLOOKUP(T34,Configuratie!$B$1:$E$10,3,FALSE))</f>
        <v/>
      </c>
      <c r="K34" s="84"/>
      <c r="L34" s="6" t="s">
        <v>5</v>
      </c>
      <c r="M34" s="84" t="str">
        <f>IF(T34="","",VLOOKUP(T34,Configuratie!$B$1:$E$10,4,FALSE))</f>
        <v/>
      </c>
      <c r="N34" s="84"/>
      <c r="R34" s="6" t="str">
        <f>IF(T34="","",VLOOKUP(T34,Configuratie!$B$1:$E$10,2,FALSE))</f>
        <v/>
      </c>
      <c r="T34" s="5"/>
      <c r="AX34" s="6">
        <v>4</v>
      </c>
      <c r="AY34" s="6">
        <v>8</v>
      </c>
      <c r="AZ34" s="6">
        <v>3</v>
      </c>
      <c r="BA34" s="6" t="str">
        <f>IF(AND(ISNUMBER(J34),ISNUMBER(M34)),IF(J34+M34=1,1,0),"")</f>
        <v/>
      </c>
      <c r="BC34" s="48">
        <f>AY34*100+AZ34</f>
        <v>803</v>
      </c>
      <c r="BD34" s="48">
        <f>AZ34*100+AY34</f>
        <v>308</v>
      </c>
      <c r="BE34" s="6">
        <f t="shared" ref="BE34:BF37" si="38">VLOOKUP(AY34,$BN$3:$BW$11,$AX34,FALSE)</f>
        <v>0</v>
      </c>
      <c r="BF34" s="6">
        <f t="shared" si="38"/>
        <v>0</v>
      </c>
      <c r="BG34" s="6" t="e">
        <f>J34*BF34</f>
        <v>#VALUE!</v>
      </c>
      <c r="BH34" s="6" t="e">
        <f>M34*BE34</f>
        <v>#VALUE!</v>
      </c>
    </row>
    <row r="35" spans="2:60" x14ac:dyDescent="0.25">
      <c r="B35" s="6">
        <v>2</v>
      </c>
      <c r="C35" s="6" t="str">
        <f>VLOOKUP(AY35,$B$4:$F$11,2,FALSE)</f>
        <v>B</v>
      </c>
      <c r="D35" s="46" t="s">
        <v>5</v>
      </c>
      <c r="E35" s="84" t="str">
        <f>VLOOKUP(AZ35,$B$4:$F$11,2,FALSE)</f>
        <v>D</v>
      </c>
      <c r="F35" s="84"/>
      <c r="G35" s="84"/>
      <c r="H35" s="84"/>
      <c r="J35" s="84" t="str">
        <f>IF(T35="","",VLOOKUP(T35,Configuratie!$B$1:$E$10,3,FALSE))</f>
        <v/>
      </c>
      <c r="K35" s="84"/>
      <c r="L35" s="6" t="s">
        <v>5</v>
      </c>
      <c r="M35" s="84" t="str">
        <f>IF(T35="","",VLOOKUP(T35,Configuratie!$B$1:$E$10,4,FALSE))</f>
        <v/>
      </c>
      <c r="N35" s="84"/>
      <c r="R35" s="6" t="str">
        <f>IF(T35="","",VLOOKUP(T35,Configuratie!$B$1:$E$10,2,FALSE))</f>
        <v/>
      </c>
      <c r="T35" s="5"/>
      <c r="AX35" s="6">
        <v>4</v>
      </c>
      <c r="AY35" s="6">
        <v>2</v>
      </c>
      <c r="AZ35" s="6">
        <v>4</v>
      </c>
      <c r="BA35" s="6" t="str">
        <f>IF(AND(ISNUMBER(J35),ISNUMBER(M35)),IF(J35+M35=1,1,0),"")</f>
        <v/>
      </c>
      <c r="BC35" s="48">
        <f>AY35*100+AZ35</f>
        <v>204</v>
      </c>
      <c r="BD35" s="48">
        <f>AZ35*100+AY35</f>
        <v>402</v>
      </c>
      <c r="BE35" s="6">
        <f t="shared" si="38"/>
        <v>0</v>
      </c>
      <c r="BF35" s="6">
        <f t="shared" si="38"/>
        <v>0</v>
      </c>
      <c r="BG35" s="6" t="e">
        <f>J35*BF35</f>
        <v>#VALUE!</v>
      </c>
      <c r="BH35" s="6" t="e">
        <f>M35*BE35</f>
        <v>#VALUE!</v>
      </c>
    </row>
    <row r="36" spans="2:60" x14ac:dyDescent="0.25">
      <c r="B36" s="6">
        <v>3</v>
      </c>
      <c r="C36" s="6" t="str">
        <f>VLOOKUP(AY36,$B$4:$F$11,2,FALSE)</f>
        <v>A</v>
      </c>
      <c r="D36" s="46" t="s">
        <v>5</v>
      </c>
      <c r="E36" s="84" t="str">
        <f>VLOOKUP(AZ36,$B$4:$F$11,2,FALSE)</f>
        <v>E</v>
      </c>
      <c r="F36" s="84"/>
      <c r="G36" s="84"/>
      <c r="H36" s="84"/>
      <c r="J36" s="84" t="str">
        <f>IF(T36="","",VLOOKUP(T36,Configuratie!$B$1:$E$10,3,FALSE))</f>
        <v/>
      </c>
      <c r="K36" s="84"/>
      <c r="L36" s="6" t="s">
        <v>5</v>
      </c>
      <c r="M36" s="84" t="str">
        <f>IF(T36="","",VLOOKUP(T36,Configuratie!$B$1:$E$10,4,FALSE))</f>
        <v/>
      </c>
      <c r="N36" s="84"/>
      <c r="R36" s="6" t="str">
        <f>IF(T36="","",VLOOKUP(T36,Configuratie!$B$1:$E$10,2,FALSE))</f>
        <v/>
      </c>
      <c r="T36" s="5"/>
      <c r="AX36" s="6">
        <v>4</v>
      </c>
      <c r="AY36" s="6">
        <v>1</v>
      </c>
      <c r="AZ36" s="6">
        <v>5</v>
      </c>
      <c r="BA36" s="6" t="str">
        <f t="shared" ref="BA36:BA37" si="39">IF(AND(ISNUMBER(J36),ISNUMBER(M36)),IF(J36+M36=1,1,0),"")</f>
        <v/>
      </c>
      <c r="BC36" s="48">
        <f>AY36*100+AZ36</f>
        <v>105</v>
      </c>
      <c r="BD36" s="48">
        <f>AZ36*100+AY36</f>
        <v>501</v>
      </c>
      <c r="BE36" s="6">
        <f t="shared" si="38"/>
        <v>0</v>
      </c>
      <c r="BF36" s="6">
        <f t="shared" si="38"/>
        <v>0</v>
      </c>
      <c r="BG36" s="6" t="e">
        <f>J36*BF36</f>
        <v>#VALUE!</v>
      </c>
      <c r="BH36" s="6" t="e">
        <f>M36*BE36</f>
        <v>#VALUE!</v>
      </c>
    </row>
    <row r="37" spans="2:60" x14ac:dyDescent="0.25">
      <c r="B37" s="6">
        <v>4</v>
      </c>
      <c r="C37" s="6" t="str">
        <f>VLOOKUP(AY37,$B$4:$F$11,2,FALSE)</f>
        <v>G</v>
      </c>
      <c r="D37" s="46" t="s">
        <v>5</v>
      </c>
      <c r="E37" s="84" t="str">
        <f>VLOOKUP(AZ37,$B$4:$F$11,2,FALSE)</f>
        <v>F</v>
      </c>
      <c r="F37" s="84"/>
      <c r="G37" s="84"/>
      <c r="H37" s="84"/>
      <c r="J37" s="84" t="str">
        <f>IF(T37="","",VLOOKUP(T37,Configuratie!$B$1:$E$10,3,FALSE))</f>
        <v/>
      </c>
      <c r="K37" s="84"/>
      <c r="L37" s="6" t="s">
        <v>5</v>
      </c>
      <c r="M37" s="84" t="str">
        <f>IF(T37="","",VLOOKUP(T37,Configuratie!$B$1:$E$10,4,FALSE))</f>
        <v/>
      </c>
      <c r="N37" s="84"/>
      <c r="R37" s="6" t="str">
        <f>IF(T37="","",VLOOKUP(T37,Configuratie!$B$1:$E$10,2,FALSE))</f>
        <v/>
      </c>
      <c r="T37" s="5"/>
      <c r="AX37" s="6">
        <v>4</v>
      </c>
      <c r="AY37" s="6">
        <v>7</v>
      </c>
      <c r="AZ37" s="6">
        <v>6</v>
      </c>
      <c r="BA37" s="6" t="str">
        <f t="shared" si="39"/>
        <v/>
      </c>
      <c r="BC37" s="48">
        <f>AY37*100+AZ37</f>
        <v>706</v>
      </c>
      <c r="BD37" s="48">
        <f>AZ37*100+AY37</f>
        <v>607</v>
      </c>
      <c r="BE37" s="6">
        <f t="shared" si="38"/>
        <v>0</v>
      </c>
      <c r="BF37" s="6">
        <f t="shared" si="38"/>
        <v>0</v>
      </c>
      <c r="BG37" s="6" t="e">
        <f>J37*BF37</f>
        <v>#VALUE!</v>
      </c>
      <c r="BH37" s="6" t="e">
        <f>M37*BE37</f>
        <v>#VALUE!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F</v>
      </c>
      <c r="D40" s="46" t="s">
        <v>5</v>
      </c>
      <c r="E40" s="84" t="str">
        <f>VLOOKUP(AZ40,$B$4:$F$11,2,FALSE)</f>
        <v>H</v>
      </c>
      <c r="F40" s="84"/>
      <c r="G40" s="84"/>
      <c r="H40" s="84"/>
      <c r="J40" s="84" t="str">
        <f>IF(T40="","",VLOOKUP(T40,Configuratie!$B$1:$E$10,3,FALSE))</f>
        <v/>
      </c>
      <c r="K40" s="84"/>
      <c r="L40" s="6" t="s">
        <v>5</v>
      </c>
      <c r="M40" s="84" t="str">
        <f>IF(T40="","",VLOOKUP(T40,Configuratie!$B$1:$E$10,4,FALSE))</f>
        <v/>
      </c>
      <c r="N40" s="84"/>
      <c r="R40" s="6" t="str">
        <f>IF(T40="","",VLOOKUP(T40,Configuratie!$B$1:$E$10,2,FALSE))</f>
        <v/>
      </c>
      <c r="T40" s="5"/>
      <c r="AX40" s="6">
        <v>5</v>
      </c>
      <c r="AY40" s="6">
        <v>6</v>
      </c>
      <c r="AZ40" s="6">
        <v>8</v>
      </c>
      <c r="BA40" s="6" t="str">
        <f>IF(AND(ISNUMBER(J40),ISNUMBER(M40)),IF(J40+M40=1,1,0),"")</f>
        <v/>
      </c>
      <c r="BC40" s="48">
        <f>AY40*100+AZ40</f>
        <v>608</v>
      </c>
      <c r="BD40" s="48">
        <f>AZ40*100+AY40</f>
        <v>806</v>
      </c>
      <c r="BE40" s="6">
        <f t="shared" ref="BE40:BF43" si="40">VLOOKUP(AY40,$BN$3:$BW$11,$AX40,FALSE)</f>
        <v>0</v>
      </c>
      <c r="BF40" s="6">
        <f t="shared" si="40"/>
        <v>0</v>
      </c>
      <c r="BG40" s="6" t="e">
        <f>J40*BF40</f>
        <v>#VALUE!</v>
      </c>
      <c r="BH40" s="6" t="e">
        <f>M40*BE40</f>
        <v>#VALUE!</v>
      </c>
    </row>
    <row r="41" spans="2:60" x14ac:dyDescent="0.25">
      <c r="B41" s="6">
        <v>2</v>
      </c>
      <c r="C41" s="6" t="str">
        <f>VLOOKUP(AY41,$B$4:$F$11,2,FALSE)</f>
        <v>E</v>
      </c>
      <c r="D41" s="46" t="s">
        <v>5</v>
      </c>
      <c r="E41" s="84" t="str">
        <f>VLOOKUP(AZ41,$B$4:$F$11,2,FALSE)</f>
        <v>G</v>
      </c>
      <c r="F41" s="84"/>
      <c r="G41" s="84"/>
      <c r="H41" s="84"/>
      <c r="J41" s="84" t="str">
        <f>IF(T41="","",VLOOKUP(T41,Configuratie!$B$1:$E$10,3,FALSE))</f>
        <v/>
      </c>
      <c r="K41" s="84"/>
      <c r="L41" s="6" t="s">
        <v>5</v>
      </c>
      <c r="M41" s="84" t="str">
        <f>IF(T41="","",VLOOKUP(T41,Configuratie!$B$1:$E$10,4,FALSE))</f>
        <v/>
      </c>
      <c r="N41" s="84"/>
      <c r="R41" s="6" t="str">
        <f>IF(T41="","",VLOOKUP(T41,Configuratie!$B$1:$E$10,2,FALSE))</f>
        <v/>
      </c>
      <c r="T41" s="5"/>
      <c r="AX41" s="6">
        <v>5</v>
      </c>
      <c r="AY41" s="6">
        <v>5</v>
      </c>
      <c r="AZ41" s="6">
        <v>7</v>
      </c>
      <c r="BA41" s="6" t="str">
        <f t="shared" ref="BA41:BA43" si="41">IF(AND(ISNUMBER(J41),ISNUMBER(M41)),IF(J41+M41=1,1,0),"")</f>
        <v/>
      </c>
      <c r="BC41" s="48">
        <f>AY41*100+AZ41</f>
        <v>507</v>
      </c>
      <c r="BD41" s="48">
        <f>AZ41*100+AY41</f>
        <v>705</v>
      </c>
      <c r="BE41" s="6">
        <f t="shared" si="40"/>
        <v>0</v>
      </c>
      <c r="BF41" s="6">
        <f t="shared" si="40"/>
        <v>0</v>
      </c>
      <c r="BG41" s="6" t="e">
        <f>J41*BF41</f>
        <v>#VALUE!</v>
      </c>
      <c r="BH41" s="6" t="e">
        <f>M41*BE41</f>
        <v>#VALUE!</v>
      </c>
    </row>
    <row r="42" spans="2:60" x14ac:dyDescent="0.25">
      <c r="B42" s="6">
        <v>3</v>
      </c>
      <c r="C42" s="6" t="str">
        <f>VLOOKUP(AY42,$B$4:$F$11,2,FALSE)</f>
        <v>D</v>
      </c>
      <c r="D42" s="46" t="s">
        <v>5</v>
      </c>
      <c r="E42" s="84" t="str">
        <f>VLOOKUP(AZ42,$B$4:$F$11,2,FALSE)</f>
        <v>A</v>
      </c>
      <c r="F42" s="84"/>
      <c r="G42" s="84"/>
      <c r="H42" s="84"/>
      <c r="J42" s="84" t="str">
        <f>IF(T42="","",VLOOKUP(T42,Configuratie!$B$1:$E$10,3,FALSE))</f>
        <v/>
      </c>
      <c r="K42" s="84"/>
      <c r="L42" s="6" t="s">
        <v>5</v>
      </c>
      <c r="M42" s="84" t="str">
        <f>IF(T42="","",VLOOKUP(T42,Configuratie!$B$1:$E$10,4,FALSE))</f>
        <v/>
      </c>
      <c r="N42" s="84"/>
      <c r="R42" s="6" t="str">
        <f>IF(T42="","",VLOOKUP(T42,Configuratie!$B$1:$E$10,2,FALSE))</f>
        <v/>
      </c>
      <c r="T42" s="5"/>
      <c r="AX42" s="6">
        <v>5</v>
      </c>
      <c r="AY42" s="6">
        <v>4</v>
      </c>
      <c r="AZ42" s="6">
        <v>1</v>
      </c>
      <c r="BA42" s="6" t="str">
        <f t="shared" si="41"/>
        <v/>
      </c>
      <c r="BC42" s="48">
        <f>AY42*100+AZ42</f>
        <v>401</v>
      </c>
      <c r="BD42" s="48">
        <f>AZ42*100+AY42</f>
        <v>104</v>
      </c>
      <c r="BE42" s="6">
        <f t="shared" si="40"/>
        <v>0</v>
      </c>
      <c r="BF42" s="6">
        <f t="shared" si="40"/>
        <v>0</v>
      </c>
      <c r="BG42" s="6" t="e">
        <f>J42*BF42</f>
        <v>#VALUE!</v>
      </c>
      <c r="BH42" s="6" t="e">
        <f>M42*BE42</f>
        <v>#VALUE!</v>
      </c>
    </row>
    <row r="43" spans="2:60" x14ac:dyDescent="0.25">
      <c r="B43" s="6">
        <v>4</v>
      </c>
      <c r="C43" s="6" t="str">
        <f>VLOOKUP(AY43,$B$4:$F$11,2,FALSE)</f>
        <v>C</v>
      </c>
      <c r="D43" s="46" t="s">
        <v>5</v>
      </c>
      <c r="E43" s="84" t="str">
        <f>VLOOKUP(AZ43,$B$4:$F$11,2,FALSE)</f>
        <v>B</v>
      </c>
      <c r="F43" s="84"/>
      <c r="G43" s="84"/>
      <c r="H43" s="84"/>
      <c r="J43" s="84" t="str">
        <f>IF(T43="","",VLOOKUP(T43,Configuratie!$B$1:$E$10,3,FALSE))</f>
        <v/>
      </c>
      <c r="K43" s="84"/>
      <c r="L43" s="6" t="s">
        <v>5</v>
      </c>
      <c r="M43" s="84" t="str">
        <f>IF(T43="","",VLOOKUP(T43,Configuratie!$B$1:$E$10,4,FALSE))</f>
        <v/>
      </c>
      <c r="N43" s="84"/>
      <c r="R43" s="6" t="str">
        <f>IF(T43="","",VLOOKUP(T43,Configuratie!$B$1:$E$10,2,FALSE))</f>
        <v/>
      </c>
      <c r="T43" s="5"/>
      <c r="AX43" s="6">
        <v>5</v>
      </c>
      <c r="AY43" s="6">
        <v>3</v>
      </c>
      <c r="AZ43" s="6">
        <v>2</v>
      </c>
      <c r="BA43" s="6" t="str">
        <f t="shared" si="41"/>
        <v/>
      </c>
      <c r="BC43" s="48">
        <f>AY43*100+AZ43</f>
        <v>302</v>
      </c>
      <c r="BD43" s="48">
        <f>AZ43*100+AY43</f>
        <v>203</v>
      </c>
      <c r="BE43" s="6">
        <f t="shared" si="40"/>
        <v>0</v>
      </c>
      <c r="BF43" s="6">
        <f t="shared" si="40"/>
        <v>0</v>
      </c>
      <c r="BG43" s="6" t="e">
        <f>J43*BF43</f>
        <v>#VALUE!</v>
      </c>
      <c r="BH43" s="6" t="e">
        <f>M43*BE43</f>
        <v>#VALUE!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H</v>
      </c>
      <c r="D46" s="46" t="s">
        <v>5</v>
      </c>
      <c r="E46" s="84" t="str">
        <f>VLOOKUP(AZ46,$B$4:$F$11,2,FALSE)</f>
        <v>B</v>
      </c>
      <c r="F46" s="84"/>
      <c r="G46" s="84"/>
      <c r="H46" s="84"/>
      <c r="J46" s="84" t="str">
        <f>IF(T46="","",VLOOKUP(T46,Configuratie!$B$1:$E$10,3,FALSE))</f>
        <v/>
      </c>
      <c r="K46" s="84"/>
      <c r="L46" s="6" t="s">
        <v>5</v>
      </c>
      <c r="M46" s="84" t="str">
        <f>IF(T46="","",VLOOKUP(T46,Configuratie!$B$1:$E$10,4,FALSE))</f>
        <v/>
      </c>
      <c r="N46" s="84"/>
      <c r="R46" s="6" t="str">
        <f>IF(T46="","",VLOOKUP(T46,Configuratie!$B$1:$E$10,2,FALSE))</f>
        <v/>
      </c>
      <c r="T46" s="5"/>
      <c r="AX46" s="6">
        <v>6</v>
      </c>
      <c r="AY46" s="6">
        <v>8</v>
      </c>
      <c r="AZ46" s="6">
        <v>2</v>
      </c>
      <c r="BA46" s="6" t="str">
        <f>IF(AND(ISNUMBER(J46),ISNUMBER(M46)),IF(J46+M46=1,1,0),"")</f>
        <v/>
      </c>
      <c r="BC46" s="48">
        <f>AY46*100+AZ46</f>
        <v>802</v>
      </c>
      <c r="BD46" s="48">
        <f>AZ46*100+AY46</f>
        <v>208</v>
      </c>
      <c r="BE46" s="6">
        <f t="shared" ref="BE46:BF49" si="42">VLOOKUP(AY46,$BN$3:$BW$11,$AX46,FALSE)</f>
        <v>0</v>
      </c>
      <c r="BF46" s="6">
        <f t="shared" si="42"/>
        <v>0</v>
      </c>
      <c r="BG46" s="6" t="e">
        <f>J46*BF46</f>
        <v>#VALUE!</v>
      </c>
      <c r="BH46" s="6" t="e">
        <f>M46*BE46</f>
        <v>#VALUE!</v>
      </c>
    </row>
    <row r="47" spans="2:60" x14ac:dyDescent="0.25">
      <c r="B47" s="6">
        <v>2</v>
      </c>
      <c r="C47" s="6" t="str">
        <f>VLOOKUP(AY47,$B$4:$F$11,2,FALSE)</f>
        <v>A</v>
      </c>
      <c r="D47" s="46" t="s">
        <v>5</v>
      </c>
      <c r="E47" s="84" t="str">
        <f>VLOOKUP(AZ47,$B$4:$F$11,2,FALSE)</f>
        <v>C</v>
      </c>
      <c r="F47" s="84"/>
      <c r="G47" s="84"/>
      <c r="H47" s="84"/>
      <c r="J47" s="84" t="str">
        <f>IF(T47="","",VLOOKUP(T47,Configuratie!$B$1:$E$10,3,FALSE))</f>
        <v/>
      </c>
      <c r="K47" s="84"/>
      <c r="L47" s="6" t="s">
        <v>5</v>
      </c>
      <c r="M47" s="84" t="str">
        <f>IF(T47="","",VLOOKUP(T47,Configuratie!$B$1:$E$10,4,FALSE))</f>
        <v/>
      </c>
      <c r="N47" s="84"/>
      <c r="R47" s="6" t="str">
        <f>IF(T47="","",VLOOKUP(T47,Configuratie!$B$1:$E$10,2,FALSE))</f>
        <v/>
      </c>
      <c r="T47" s="5"/>
      <c r="AX47" s="6">
        <v>6</v>
      </c>
      <c r="AY47" s="6">
        <v>1</v>
      </c>
      <c r="AZ47" s="6">
        <v>3</v>
      </c>
      <c r="BA47" s="6" t="str">
        <f t="shared" ref="BA47:BA49" si="43">IF(AND(ISNUMBER(J47),ISNUMBER(M47)),IF(J47+M47=1,1,0),"")</f>
        <v/>
      </c>
      <c r="BC47" s="48">
        <f>AY47*100+AZ47</f>
        <v>103</v>
      </c>
      <c r="BD47" s="48">
        <f>AZ47*100+AY47</f>
        <v>301</v>
      </c>
      <c r="BE47" s="6">
        <f t="shared" si="42"/>
        <v>0</v>
      </c>
      <c r="BF47" s="6">
        <f t="shared" si="42"/>
        <v>0</v>
      </c>
      <c r="BG47" s="6" t="e">
        <f>J47*BF47</f>
        <v>#VALUE!</v>
      </c>
      <c r="BH47" s="6" t="e">
        <f>M47*BE47</f>
        <v>#VALUE!</v>
      </c>
    </row>
    <row r="48" spans="2:60" x14ac:dyDescent="0.25">
      <c r="B48" s="6">
        <v>3</v>
      </c>
      <c r="C48" s="6" t="str">
        <f>VLOOKUP(AY48,$B$4:$F$11,2,FALSE)</f>
        <v>G</v>
      </c>
      <c r="D48" s="46" t="s">
        <v>5</v>
      </c>
      <c r="E48" s="84" t="str">
        <f>VLOOKUP(AZ48,$B$4:$F$11,2,FALSE)</f>
        <v>D</v>
      </c>
      <c r="F48" s="84"/>
      <c r="G48" s="84"/>
      <c r="H48" s="84"/>
      <c r="J48" s="84" t="str">
        <f>IF(T48="","",VLOOKUP(T48,Configuratie!$B$1:$E$10,3,FALSE))</f>
        <v/>
      </c>
      <c r="K48" s="84"/>
      <c r="L48" s="6" t="s">
        <v>5</v>
      </c>
      <c r="M48" s="84" t="str">
        <f>IF(T48="","",VLOOKUP(T48,Configuratie!$B$1:$E$10,4,FALSE))</f>
        <v/>
      </c>
      <c r="N48" s="84"/>
      <c r="R48" s="6" t="str">
        <f>IF(T48="","",VLOOKUP(T48,Configuratie!$B$1:$E$10,2,FALSE))</f>
        <v/>
      </c>
      <c r="T48" s="5"/>
      <c r="AX48" s="6">
        <v>6</v>
      </c>
      <c r="AY48" s="6">
        <v>7</v>
      </c>
      <c r="AZ48" s="6">
        <v>4</v>
      </c>
      <c r="BA48" s="6" t="str">
        <f t="shared" si="43"/>
        <v/>
      </c>
      <c r="BC48" s="48">
        <f>AY48*100+AZ48</f>
        <v>704</v>
      </c>
      <c r="BD48" s="48">
        <f>AZ48*100+AY48</f>
        <v>407</v>
      </c>
      <c r="BE48" s="6">
        <f t="shared" si="42"/>
        <v>0</v>
      </c>
      <c r="BF48" s="6">
        <f t="shared" si="42"/>
        <v>0</v>
      </c>
      <c r="BG48" s="6" t="e">
        <f>J48*BF48</f>
        <v>#VALUE!</v>
      </c>
      <c r="BH48" s="6" t="e">
        <f>M48*BE48</f>
        <v>#VALUE!</v>
      </c>
    </row>
    <row r="49" spans="2:60" x14ac:dyDescent="0.25">
      <c r="B49" s="6">
        <v>4</v>
      </c>
      <c r="C49" s="6" t="str">
        <f>VLOOKUP(AY49,$B$4:$F$11,2,FALSE)</f>
        <v>F</v>
      </c>
      <c r="D49" s="46" t="s">
        <v>5</v>
      </c>
      <c r="E49" s="84" t="str">
        <f>VLOOKUP(AZ49,$B$4:$F$11,2,FALSE)</f>
        <v>E</v>
      </c>
      <c r="F49" s="84"/>
      <c r="G49" s="84"/>
      <c r="H49" s="84"/>
      <c r="J49" s="84" t="str">
        <f>IF(T49="","",VLOOKUP(T49,Configuratie!$B$1:$E$10,3,FALSE))</f>
        <v/>
      </c>
      <c r="K49" s="84"/>
      <c r="L49" s="6" t="s">
        <v>5</v>
      </c>
      <c r="M49" s="84" t="str">
        <f>IF(T49="","",VLOOKUP(T49,Configuratie!$B$1:$E$10,4,FALSE))</f>
        <v/>
      </c>
      <c r="N49" s="84"/>
      <c r="R49" s="6" t="str">
        <f>IF(T49="","",VLOOKUP(T49,Configuratie!$B$1:$E$10,2,FALSE))</f>
        <v/>
      </c>
      <c r="T49" s="5"/>
      <c r="AX49" s="6">
        <v>6</v>
      </c>
      <c r="AY49" s="6">
        <v>6</v>
      </c>
      <c r="AZ49" s="6">
        <v>5</v>
      </c>
      <c r="BA49" s="6" t="str">
        <f t="shared" si="43"/>
        <v/>
      </c>
      <c r="BC49" s="48">
        <f>AY49*100+AZ49</f>
        <v>605</v>
      </c>
      <c r="BD49" s="48">
        <f>AZ49*100+AY49</f>
        <v>506</v>
      </c>
      <c r="BE49" s="6">
        <f t="shared" si="42"/>
        <v>0</v>
      </c>
      <c r="BF49" s="6">
        <f t="shared" si="42"/>
        <v>0</v>
      </c>
      <c r="BG49" s="6" t="e">
        <f>J49*BF49</f>
        <v>#VALUE!</v>
      </c>
      <c r="BH49" s="6" t="e">
        <f>M49*BE49</f>
        <v>#VALUE!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E</v>
      </c>
      <c r="D52" s="46" t="s">
        <v>5</v>
      </c>
      <c r="E52" s="84" t="str">
        <f>VLOOKUP(AZ52,$B$4:$F$11,2,FALSE)</f>
        <v>H</v>
      </c>
      <c r="F52" s="84"/>
      <c r="G52" s="84"/>
      <c r="H52" s="84"/>
      <c r="J52" s="84" t="str">
        <f>IF(T52="","",VLOOKUP(T52,Configuratie!$B$1:$E$10,3,FALSE))</f>
        <v/>
      </c>
      <c r="K52" s="84"/>
      <c r="L52" s="6" t="s">
        <v>5</v>
      </c>
      <c r="M52" s="84" t="str">
        <f>IF(T52="","",VLOOKUP(T52,Configuratie!$B$1:$E$10,4,FALSE))</f>
        <v/>
      </c>
      <c r="N52" s="84"/>
      <c r="R52" s="6" t="str">
        <f>IF(T52="","",VLOOKUP(T52,Configuratie!$B$1:$E$10,2,FALSE))</f>
        <v/>
      </c>
      <c r="T52" s="5"/>
      <c r="AX52" s="6">
        <v>7</v>
      </c>
      <c r="AY52" s="6">
        <v>5</v>
      </c>
      <c r="AZ52" s="6">
        <v>8</v>
      </c>
      <c r="BA52" s="6" t="str">
        <f>IF(AND(ISNUMBER(J52),ISNUMBER(M52)),IF(J52+M52=1,1,0),"")</f>
        <v/>
      </c>
      <c r="BC52" s="48">
        <f>AY52*100+AZ52</f>
        <v>508</v>
      </c>
      <c r="BD52" s="48">
        <f>AZ52*100+AY52</f>
        <v>805</v>
      </c>
      <c r="BE52" s="6">
        <f t="shared" ref="BE52:BF55" si="44">VLOOKUP(AY52,$BN$3:$BW$11,$AX52,FALSE)</f>
        <v>0</v>
      </c>
      <c r="BF52" s="6">
        <f t="shared" si="44"/>
        <v>0</v>
      </c>
      <c r="BG52" s="6" t="e">
        <f>J52*BF52</f>
        <v>#VALUE!</v>
      </c>
      <c r="BH52" s="6" t="e">
        <f>M52*BE52</f>
        <v>#VALUE!</v>
      </c>
    </row>
    <row r="53" spans="2:60" x14ac:dyDescent="0.25">
      <c r="B53" s="6">
        <v>2</v>
      </c>
      <c r="C53" s="6" t="str">
        <f>VLOOKUP(AY53,$B$4:$F$11,2,FALSE)</f>
        <v>D</v>
      </c>
      <c r="D53" s="46" t="s">
        <v>5</v>
      </c>
      <c r="E53" s="84" t="str">
        <f>VLOOKUP(AZ53,$B$4:$F$11,2,FALSE)</f>
        <v>F</v>
      </c>
      <c r="F53" s="84"/>
      <c r="G53" s="84"/>
      <c r="H53" s="84"/>
      <c r="J53" s="84" t="str">
        <f>IF(T53="","",VLOOKUP(T53,Configuratie!$B$1:$E$10,3,FALSE))</f>
        <v/>
      </c>
      <c r="K53" s="84"/>
      <c r="L53" s="6" t="s">
        <v>5</v>
      </c>
      <c r="M53" s="84" t="str">
        <f>IF(T53="","",VLOOKUP(T53,Configuratie!$B$1:$E$10,4,FALSE))</f>
        <v/>
      </c>
      <c r="N53" s="84"/>
      <c r="R53" s="6" t="str">
        <f>IF(T53="","",VLOOKUP(T53,Configuratie!$B$1:$E$10,2,FALSE))</f>
        <v/>
      </c>
      <c r="T53" s="5"/>
      <c r="AX53" s="6">
        <v>7</v>
      </c>
      <c r="AY53" s="6">
        <v>4</v>
      </c>
      <c r="AZ53" s="6">
        <v>6</v>
      </c>
      <c r="BA53" s="6" t="str">
        <f t="shared" ref="BA53:BA55" si="45">IF(AND(ISNUMBER(J53),ISNUMBER(M53)),IF(J53+M53=1,1,0),"")</f>
        <v/>
      </c>
      <c r="BC53" s="48">
        <f>AY53*100+AZ53</f>
        <v>406</v>
      </c>
      <c r="BD53" s="48">
        <f>AZ53*100+AY53</f>
        <v>604</v>
      </c>
      <c r="BE53" s="6">
        <f t="shared" si="44"/>
        <v>0</v>
      </c>
      <c r="BF53" s="6">
        <f t="shared" si="44"/>
        <v>0</v>
      </c>
      <c r="BG53" s="6" t="e">
        <f>J53*BF53</f>
        <v>#VALUE!</v>
      </c>
      <c r="BH53" s="6" t="e">
        <f>M53*BE53</f>
        <v>#VALUE!</v>
      </c>
    </row>
    <row r="54" spans="2:60" x14ac:dyDescent="0.25">
      <c r="B54" s="6">
        <v>3</v>
      </c>
      <c r="C54" s="6" t="str">
        <f>VLOOKUP(AY54,$B$4:$F$11,2,FALSE)</f>
        <v>C</v>
      </c>
      <c r="D54" s="46" t="s">
        <v>5</v>
      </c>
      <c r="E54" s="84" t="str">
        <f>VLOOKUP(AZ54,$B$4:$F$11,2,FALSE)</f>
        <v>G</v>
      </c>
      <c r="F54" s="84"/>
      <c r="G54" s="84"/>
      <c r="H54" s="84"/>
      <c r="J54" s="84" t="str">
        <f>IF(T54="","",VLOOKUP(T54,Configuratie!$B$1:$E$10,3,FALSE))</f>
        <v/>
      </c>
      <c r="K54" s="84"/>
      <c r="L54" s="6" t="s">
        <v>5</v>
      </c>
      <c r="M54" s="84" t="str">
        <f>IF(T54="","",VLOOKUP(T54,Configuratie!$B$1:$E$10,4,FALSE))</f>
        <v/>
      </c>
      <c r="N54" s="84"/>
      <c r="R54" s="6" t="str">
        <f>IF(T54="","",VLOOKUP(T54,Configuratie!$B$1:$E$10,2,FALSE))</f>
        <v/>
      </c>
      <c r="T54" s="5"/>
      <c r="AX54" s="6">
        <v>7</v>
      </c>
      <c r="AY54" s="6">
        <v>3</v>
      </c>
      <c r="AZ54" s="6">
        <v>7</v>
      </c>
      <c r="BA54" s="6" t="str">
        <f t="shared" si="45"/>
        <v/>
      </c>
      <c r="BC54" s="48">
        <f>AY54*100+AZ54</f>
        <v>307</v>
      </c>
      <c r="BD54" s="48">
        <f>AZ54*100+AY54</f>
        <v>703</v>
      </c>
      <c r="BE54" s="6">
        <f t="shared" si="44"/>
        <v>0</v>
      </c>
      <c r="BF54" s="6">
        <f t="shared" si="44"/>
        <v>0</v>
      </c>
      <c r="BG54" s="6" t="e">
        <f>J54*BF54</f>
        <v>#VALUE!</v>
      </c>
      <c r="BH54" s="6" t="e">
        <f>M54*BE54</f>
        <v>#VALUE!</v>
      </c>
    </row>
    <row r="55" spans="2:60" x14ac:dyDescent="0.25">
      <c r="B55" s="6">
        <v>4</v>
      </c>
      <c r="C55" s="6" t="str">
        <f>VLOOKUP(AY55,$B$4:$F$11,2,FALSE)</f>
        <v>B</v>
      </c>
      <c r="D55" s="46" t="s">
        <v>5</v>
      </c>
      <c r="E55" s="84" t="str">
        <f>VLOOKUP(AZ55,$B$4:$F$11,2,FALSE)</f>
        <v>A</v>
      </c>
      <c r="F55" s="84"/>
      <c r="G55" s="84"/>
      <c r="H55" s="84"/>
      <c r="J55" s="84" t="str">
        <f>IF(T55="","",VLOOKUP(T55,Configuratie!$B$1:$E$10,3,FALSE))</f>
        <v/>
      </c>
      <c r="K55" s="84"/>
      <c r="L55" s="6" t="s">
        <v>5</v>
      </c>
      <c r="M55" s="84" t="str">
        <f>IF(T55="","",VLOOKUP(T55,Configuratie!$B$1:$E$10,4,FALSE))</f>
        <v/>
      </c>
      <c r="N55" s="84"/>
      <c r="R55" s="6" t="str">
        <f>IF(T55="","",VLOOKUP(T55,Configuratie!$B$1:$E$10,2,FALSE))</f>
        <v/>
      </c>
      <c r="T55" s="5"/>
      <c r="AX55" s="6">
        <v>7</v>
      </c>
      <c r="AY55" s="6">
        <v>2</v>
      </c>
      <c r="AZ55" s="6">
        <v>1</v>
      </c>
      <c r="BA55" s="6" t="str">
        <f t="shared" si="45"/>
        <v/>
      </c>
      <c r="BC55" s="48">
        <f>AY55*100+AZ55</f>
        <v>201</v>
      </c>
      <c r="BD55" s="48">
        <f>AZ55*100+AY55</f>
        <v>102</v>
      </c>
      <c r="BE55" s="6">
        <f t="shared" si="44"/>
        <v>0</v>
      </c>
      <c r="BF55" s="6">
        <f t="shared" si="44"/>
        <v>0</v>
      </c>
      <c r="BG55" s="6" t="e">
        <f>J55*BF55</f>
        <v>#VALUE!</v>
      </c>
      <c r="BH55" s="6" t="e">
        <f>M55*BE55</f>
        <v>#VALUE!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7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BT54"/>
  <sheetViews>
    <sheetView view="pageBreakPreview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20" width="10.42578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29" width="6.7109375" style="6" hidden="1" customWidth="1"/>
    <col min="30" max="30" width="6.7109375" style="6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7" width="6.710937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6</v>
      </c>
      <c r="B1" s="83" t="s">
        <v>31</v>
      </c>
      <c r="C1" s="83"/>
      <c r="D1" s="83"/>
      <c r="E1" s="83"/>
      <c r="F1" s="83"/>
      <c r="G1" s="92" t="s">
        <v>32</v>
      </c>
      <c r="H1" s="92"/>
      <c r="I1" s="84"/>
      <c r="J1" s="84"/>
      <c r="K1" s="84"/>
      <c r="L1" s="84"/>
      <c r="M1" s="84"/>
      <c r="N1" s="84"/>
      <c r="O1" s="84"/>
      <c r="P1" s="84"/>
      <c r="Q1" s="84"/>
      <c r="R1" s="84"/>
      <c r="S1" s="47"/>
      <c r="T1" s="47"/>
      <c r="U1" s="15"/>
      <c r="V1" s="85" t="str">
        <f>"UITSLAG "&amp; G1</f>
        <v>UITSLAG GROEP A</v>
      </c>
      <c r="W1" s="86"/>
      <c r="X1" s="86"/>
      <c r="Y1" s="86"/>
      <c r="Z1" s="86"/>
      <c r="AA1" s="86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6" t="s">
        <v>22</v>
      </c>
      <c r="BA2" s="86"/>
      <c r="BB2" s="86"/>
      <c r="BC2" s="86"/>
      <c r="BD2" s="86"/>
      <c r="BE2" s="86"/>
      <c r="BF2" s="86"/>
      <c r="BG2" s="86"/>
      <c r="BH2" s="86"/>
      <c r="BI2" s="17"/>
      <c r="BJ2" s="18"/>
      <c r="BK2" s="86" t="s">
        <v>23</v>
      </c>
      <c r="BL2" s="86"/>
      <c r="BM2" s="86"/>
      <c r="BN2" s="86"/>
      <c r="BO2" s="86"/>
      <c r="BP2" s="86"/>
      <c r="BQ2" s="86"/>
      <c r="BR2" s="86"/>
      <c r="BS2" s="86"/>
    </row>
    <row r="3" spans="1:71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96"/>
      <c r="O3" s="97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 t="str">
        <f>IF((SUMIF($AY$11:$AY$36,$B4*100+I$3,$AW$11:$AW$36)+SUMIF($AY$11:$AY$36,$B4+I$3*100,$AW$11:$AW$36))=1,(SUMIF($AY$11:$AY$36,$B4*100+I$3,$J$11:$J$36)+SUMIF($AZ$11:$AZ$36,$B4*100+I$3,$M$11:$M$36)),"")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94"/>
      <c r="O4" s="95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AO4</f>
        <v>1</v>
      </c>
      <c r="U4" s="30"/>
      <c r="V4" s="31">
        <v>1</v>
      </c>
      <c r="W4" s="32">
        <v>6</v>
      </c>
      <c r="X4" s="33" t="str">
        <f>IF(ISNA(VLOOKUP(V4,$A$4:$T$11,3,FALSE)),C4,VLOOKUP(V4,$A$4:$T$11,3,FALSE))</f>
        <v>A</v>
      </c>
      <c r="Y4" s="34">
        <f t="shared" ref="Y4:Y9" si="2">IF(ISNA(VLOOKUP(B4,$A$4:$S$11,18,FALSE)),0,VLOOKUP(B4,$A$4:$S$11,18,FALSE))</f>
        <v>0</v>
      </c>
      <c r="Z4" s="34">
        <f t="shared" ref="Z4:Z9" si="3">VLOOKUP($W4,$AT$4:$AW$9,2,FALSE)</f>
        <v>0</v>
      </c>
      <c r="AA4" s="55">
        <f t="shared" ref="AA4:AA9" si="4">IF(ISNA(VLOOKUP(B4,$A$4:$S$11,19,FALSE)),0,VLOOKUP(B4,$A$4:$S$11,19,FALSE))</f>
        <v>0</v>
      </c>
      <c r="AB4" s="34">
        <f t="shared" ref="AB4:AB9" si="5">VLOOKUP($W4,$AT$4:$AW$9,4,FALSE)</f>
        <v>0</v>
      </c>
      <c r="AC4" s="35">
        <f t="shared" ref="AC4:AC9" si="6">VLOOKUP($W4,$B$4:$R$9,5,FALSE)</f>
        <v>1000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0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0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0</v>
      </c>
      <c r="AK4" s="56"/>
      <c r="AL4" s="56">
        <f>RANK(AJ4,$AJ$4:$AJ$9,1)-1</f>
        <v>0</v>
      </c>
      <c r="AM4" s="56">
        <f>RANK(S4,$S$4:$S$9,1)-1</f>
        <v>0</v>
      </c>
      <c r="AN4" s="56">
        <f>6*AL4+AM4</f>
        <v>0</v>
      </c>
      <c r="AO4" s="56">
        <f>RANK(AN4,$AN$4:$AN$9)</f>
        <v>1</v>
      </c>
      <c r="AP4" s="56"/>
      <c r="AQ4" s="56"/>
      <c r="AR4" s="56"/>
      <c r="AS4" s="30"/>
      <c r="AT4" s="37">
        <v>1</v>
      </c>
      <c r="AU4" s="38">
        <f t="shared" ref="AU4:AU9" si="7">SUMIF($AU$11:$AU$36,B4,$BA$11:$BA$36)+SUMIF($AV$11:$AV$36,B4,$BB$11:$BB$36)</f>
        <v>0</v>
      </c>
      <c r="AV4" s="39" t="e">
        <f t="shared" ref="AV4:AV9" si="8">SUMIF($AU$11:$AU$36,B4,$BC$11:$BC$36)+SUMIF($AV$11:$AV$36,B4,$BD$11:$BD$36)</f>
        <v>#VALUE!</v>
      </c>
      <c r="AW4" s="39">
        <f>SUM(BK4:BS4)</f>
        <v>0</v>
      </c>
      <c r="AY4" s="6">
        <v>1</v>
      </c>
      <c r="AZ4" s="6">
        <f t="shared" ref="AZ4:BH9" si="9" xml:space="preserve"> SUMIFS( $J$14:$J$36, $AU$14:$AU$36,$AY4, $AT$14:$AT$36,AZ$3) + SUMIFS( $M$14:$M$36, $AV$14:$AV$36,$AY4, $AT$14:$AT$36,AZ$3)</f>
        <v>0</v>
      </c>
      <c r="BA4" s="6">
        <f t="shared" si="9"/>
        <v>0</v>
      </c>
      <c r="BB4" s="6">
        <f t="shared" si="9"/>
        <v>0</v>
      </c>
      <c r="BC4" s="6">
        <f t="shared" si="9"/>
        <v>0</v>
      </c>
      <c r="BD4" s="6">
        <f t="shared" si="9"/>
        <v>0</v>
      </c>
      <c r="BE4" s="6">
        <f t="shared" si="9"/>
        <v>0</v>
      </c>
      <c r="BF4" s="6">
        <f t="shared" si="9"/>
        <v>0</v>
      </c>
      <c r="BG4" s="6">
        <f t="shared" si="9"/>
        <v>0</v>
      </c>
      <c r="BH4" s="6">
        <f t="shared" si="9"/>
        <v>0</v>
      </c>
      <c r="BJ4" s="6">
        <v>1</v>
      </c>
      <c r="BK4" s="6">
        <f>AZ4</f>
        <v>0</v>
      </c>
      <c r="BL4" s="6">
        <f t="shared" ref="BL4:BS9" si="10">BK4+BA4</f>
        <v>0</v>
      </c>
      <c r="BM4" s="6">
        <f t="shared" si="10"/>
        <v>0</v>
      </c>
      <c r="BN4" s="6">
        <f t="shared" si="10"/>
        <v>0</v>
      </c>
      <c r="BO4" s="6">
        <f t="shared" si="10"/>
        <v>0</v>
      </c>
      <c r="BP4" s="6">
        <f t="shared" si="10"/>
        <v>0</v>
      </c>
      <c r="BQ4" s="6">
        <f t="shared" si="10"/>
        <v>0</v>
      </c>
      <c r="BR4" s="6">
        <f t="shared" si="10"/>
        <v>0</v>
      </c>
      <c r="BS4" s="6">
        <f t="shared" si="10"/>
        <v>0</v>
      </c>
    </row>
    <row r="5" spans="1:71" x14ac:dyDescent="0.25">
      <c r="A5" s="51">
        <f t="shared" ref="A5:A9" si="11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94"/>
      <c r="O5" s="95"/>
      <c r="P5" s="52"/>
      <c r="Q5" s="53"/>
      <c r="R5" s="8">
        <f t="shared" si="1"/>
        <v>0</v>
      </c>
      <c r="S5" s="8">
        <f t="shared" ref="S5:S9" si="12">IF(H5="",0,H5)*$R$4+IF(I5="",0,I5)*$R$5+IF(J5="",0,J5)*$R$6+IF(K5="",0,K5)*$R$7+IF(L5="",0,L5)*$R$8+IF(M5="",0,M5)*$R$9</f>
        <v>0</v>
      </c>
      <c r="T5" s="54">
        <f t="shared" ref="T5:T9" si="13">AO5</f>
        <v>1</v>
      </c>
      <c r="U5" s="30"/>
      <c r="V5" s="31">
        <v>2</v>
      </c>
      <c r="W5" s="32">
        <v>5</v>
      </c>
      <c r="X5" s="33" t="str">
        <f t="shared" ref="X5:X9" si="14">IF(ISNA(VLOOKUP(V5,$A$4:$T$11,3,FALSE)),C5,VLOOKUP(V5,$A$4:$T$11,3,FALSE))</f>
        <v>B</v>
      </c>
      <c r="Y5" s="34">
        <f t="shared" si="2"/>
        <v>0</v>
      </c>
      <c r="Z5" s="34">
        <f t="shared" si="3"/>
        <v>0</v>
      </c>
      <c r="AA5" s="55">
        <f t="shared" si="4"/>
        <v>0</v>
      </c>
      <c r="AB5" s="34">
        <f t="shared" si="5"/>
        <v>0</v>
      </c>
      <c r="AC5" s="35">
        <f t="shared" si="6"/>
        <v>1000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0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0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0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1</v>
      </c>
      <c r="AP5" s="56"/>
      <c r="AQ5" s="56"/>
      <c r="AR5" s="56"/>
      <c r="AS5" s="30"/>
      <c r="AT5" s="37">
        <v>2</v>
      </c>
      <c r="AU5" s="38">
        <f t="shared" si="7"/>
        <v>0</v>
      </c>
      <c r="AV5" s="39" t="e">
        <f t="shared" si="8"/>
        <v>#VALUE!</v>
      </c>
      <c r="AW5" s="39">
        <f t="shared" ref="AW5:AW9" si="25">SUM(BK5:BS5)</f>
        <v>0</v>
      </c>
      <c r="AY5" s="6">
        <v>2</v>
      </c>
      <c r="AZ5" s="6">
        <f t="shared" si="9"/>
        <v>0</v>
      </c>
      <c r="BA5" s="6">
        <f t="shared" si="9"/>
        <v>0</v>
      </c>
      <c r="BB5" s="6">
        <f t="shared" si="9"/>
        <v>0</v>
      </c>
      <c r="BC5" s="6">
        <f t="shared" si="9"/>
        <v>0</v>
      </c>
      <c r="BD5" s="6">
        <f t="shared" si="9"/>
        <v>0</v>
      </c>
      <c r="BE5" s="6">
        <f t="shared" si="9"/>
        <v>0</v>
      </c>
      <c r="BF5" s="6">
        <f t="shared" si="9"/>
        <v>0</v>
      </c>
      <c r="BG5" s="6">
        <f t="shared" si="9"/>
        <v>0</v>
      </c>
      <c r="BH5" s="6">
        <f t="shared" si="9"/>
        <v>0</v>
      </c>
      <c r="BJ5" s="6">
        <v>2</v>
      </c>
      <c r="BK5" s="6">
        <f t="shared" ref="BK5:BK9" si="26">AZ5</f>
        <v>0</v>
      </c>
      <c r="BL5" s="6">
        <f t="shared" si="10"/>
        <v>0</v>
      </c>
      <c r="BM5" s="6">
        <f t="shared" si="10"/>
        <v>0</v>
      </c>
      <c r="BN5" s="6">
        <f t="shared" si="10"/>
        <v>0</v>
      </c>
      <c r="BO5" s="6">
        <f t="shared" si="10"/>
        <v>0</v>
      </c>
      <c r="BP5" s="6">
        <f t="shared" si="10"/>
        <v>0</v>
      </c>
      <c r="BQ5" s="6">
        <f t="shared" si="10"/>
        <v>0</v>
      </c>
      <c r="BR5" s="6">
        <f t="shared" si="10"/>
        <v>0</v>
      </c>
      <c r="BS5" s="6">
        <f t="shared" si="10"/>
        <v>0</v>
      </c>
    </row>
    <row r="6" spans="1:71" x14ac:dyDescent="0.25">
      <c r="A6" s="51">
        <f t="shared" si="11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94"/>
      <c r="O6" s="95"/>
      <c r="P6" s="52"/>
      <c r="Q6" s="53"/>
      <c r="R6" s="8">
        <f t="shared" si="1"/>
        <v>0</v>
      </c>
      <c r="S6" s="8">
        <f t="shared" si="12"/>
        <v>0</v>
      </c>
      <c r="T6" s="54">
        <f t="shared" si="13"/>
        <v>1</v>
      </c>
      <c r="U6" s="30"/>
      <c r="V6" s="31">
        <v>3</v>
      </c>
      <c r="W6" s="32">
        <v>4</v>
      </c>
      <c r="X6" s="33" t="str">
        <f t="shared" si="14"/>
        <v>C</v>
      </c>
      <c r="Y6" s="34">
        <f t="shared" si="2"/>
        <v>0</v>
      </c>
      <c r="Z6" s="34">
        <f t="shared" si="3"/>
        <v>0</v>
      </c>
      <c r="AA6" s="55">
        <f t="shared" si="4"/>
        <v>0</v>
      </c>
      <c r="AB6" s="34">
        <f t="shared" si="5"/>
        <v>0</v>
      </c>
      <c r="AC6" s="35">
        <f t="shared" si="6"/>
        <v>1000</v>
      </c>
      <c r="AD6" s="56"/>
      <c r="AE6" s="7">
        <f t="shared" si="15"/>
        <v>0</v>
      </c>
      <c r="AF6" s="7">
        <f t="shared" si="16"/>
        <v>0</v>
      </c>
      <c r="AG6" s="7">
        <f t="shared" si="17"/>
        <v>0</v>
      </c>
      <c r="AH6" s="7">
        <f t="shared" si="18"/>
        <v>0</v>
      </c>
      <c r="AI6" s="7">
        <f t="shared" si="19"/>
        <v>0</v>
      </c>
      <c r="AJ6" s="7">
        <f t="shared" si="20"/>
        <v>0</v>
      </c>
      <c r="AK6" s="56"/>
      <c r="AL6" s="56">
        <f t="shared" si="21"/>
        <v>0</v>
      </c>
      <c r="AM6" s="56">
        <f t="shared" si="22"/>
        <v>0</v>
      </c>
      <c r="AN6" s="56">
        <f t="shared" si="23"/>
        <v>0</v>
      </c>
      <c r="AO6" s="56">
        <f t="shared" si="24"/>
        <v>1</v>
      </c>
      <c r="AP6" s="56"/>
      <c r="AQ6" s="56"/>
      <c r="AR6" s="56"/>
      <c r="AS6" s="30"/>
      <c r="AT6" s="37">
        <v>3</v>
      </c>
      <c r="AU6" s="38">
        <f t="shared" si="7"/>
        <v>0</v>
      </c>
      <c r="AV6" s="39" t="e">
        <f t="shared" si="8"/>
        <v>#VALUE!</v>
      </c>
      <c r="AW6" s="39">
        <f t="shared" si="25"/>
        <v>0</v>
      </c>
      <c r="AY6" s="6">
        <v>3</v>
      </c>
      <c r="AZ6" s="6">
        <f t="shared" si="9"/>
        <v>0</v>
      </c>
      <c r="BA6" s="6">
        <f t="shared" si="9"/>
        <v>0</v>
      </c>
      <c r="BB6" s="6">
        <f t="shared" si="9"/>
        <v>0</v>
      </c>
      <c r="BC6" s="6">
        <f t="shared" si="9"/>
        <v>0</v>
      </c>
      <c r="BD6" s="6">
        <f t="shared" si="9"/>
        <v>0</v>
      </c>
      <c r="BE6" s="6">
        <f t="shared" si="9"/>
        <v>0</v>
      </c>
      <c r="BF6" s="6">
        <f t="shared" si="9"/>
        <v>0</v>
      </c>
      <c r="BG6" s="6">
        <f t="shared" si="9"/>
        <v>0</v>
      </c>
      <c r="BH6" s="6">
        <f t="shared" si="9"/>
        <v>0</v>
      </c>
      <c r="BJ6" s="6">
        <v>3</v>
      </c>
      <c r="BK6" s="6">
        <f t="shared" si="26"/>
        <v>0</v>
      </c>
      <c r="BL6" s="6">
        <f t="shared" si="10"/>
        <v>0</v>
      </c>
      <c r="BM6" s="6">
        <f t="shared" si="10"/>
        <v>0</v>
      </c>
      <c r="BN6" s="6">
        <f t="shared" si="10"/>
        <v>0</v>
      </c>
      <c r="BO6" s="6">
        <f t="shared" si="10"/>
        <v>0</v>
      </c>
      <c r="BP6" s="6">
        <f t="shared" si="10"/>
        <v>0</v>
      </c>
      <c r="BQ6" s="6">
        <f t="shared" si="10"/>
        <v>0</v>
      </c>
      <c r="BR6" s="6">
        <f t="shared" si="10"/>
        <v>0</v>
      </c>
      <c r="BS6" s="6">
        <f t="shared" si="10"/>
        <v>0</v>
      </c>
    </row>
    <row r="7" spans="1:71" x14ac:dyDescent="0.25">
      <c r="A7" s="51">
        <f t="shared" si="11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94"/>
      <c r="O7" s="95"/>
      <c r="P7" s="52"/>
      <c r="Q7" s="53"/>
      <c r="R7" s="8">
        <f t="shared" si="1"/>
        <v>0</v>
      </c>
      <c r="S7" s="8">
        <f t="shared" si="12"/>
        <v>0</v>
      </c>
      <c r="T7" s="54">
        <f t="shared" si="13"/>
        <v>1</v>
      </c>
      <c r="U7" s="30"/>
      <c r="V7" s="31">
        <v>4</v>
      </c>
      <c r="W7" s="32">
        <v>3</v>
      </c>
      <c r="X7" s="33" t="str">
        <f t="shared" si="14"/>
        <v>D</v>
      </c>
      <c r="Y7" s="34">
        <f t="shared" si="2"/>
        <v>0</v>
      </c>
      <c r="Z7" s="34">
        <f t="shared" si="3"/>
        <v>0</v>
      </c>
      <c r="AA7" s="55">
        <f t="shared" si="4"/>
        <v>0</v>
      </c>
      <c r="AB7" s="34">
        <f t="shared" si="5"/>
        <v>0</v>
      </c>
      <c r="AC7" s="35">
        <f t="shared" si="6"/>
        <v>1000</v>
      </c>
      <c r="AD7" s="56"/>
      <c r="AE7" s="7">
        <f t="shared" si="15"/>
        <v>0</v>
      </c>
      <c r="AF7" s="7">
        <f t="shared" si="16"/>
        <v>0</v>
      </c>
      <c r="AG7" s="7">
        <f t="shared" si="17"/>
        <v>0</v>
      </c>
      <c r="AH7" s="7">
        <f t="shared" si="18"/>
        <v>0</v>
      </c>
      <c r="AI7" s="7">
        <f t="shared" si="19"/>
        <v>0</v>
      </c>
      <c r="AJ7" s="7">
        <f t="shared" si="20"/>
        <v>0</v>
      </c>
      <c r="AK7" s="56"/>
      <c r="AL7" s="56">
        <f t="shared" si="21"/>
        <v>0</v>
      </c>
      <c r="AM7" s="56">
        <f t="shared" si="22"/>
        <v>0</v>
      </c>
      <c r="AN7" s="56">
        <f t="shared" si="23"/>
        <v>0</v>
      </c>
      <c r="AO7" s="56">
        <f t="shared" si="24"/>
        <v>1</v>
      </c>
      <c r="AP7" s="56"/>
      <c r="AQ7" s="56"/>
      <c r="AR7" s="56"/>
      <c r="AS7" s="30"/>
      <c r="AT7" s="37">
        <v>4</v>
      </c>
      <c r="AU7" s="38">
        <f t="shared" si="7"/>
        <v>0</v>
      </c>
      <c r="AV7" s="39" t="e">
        <f t="shared" si="8"/>
        <v>#VALUE!</v>
      </c>
      <c r="AW7" s="39">
        <f t="shared" si="25"/>
        <v>0</v>
      </c>
      <c r="AY7" s="6">
        <v>4</v>
      </c>
      <c r="AZ7" s="6">
        <f t="shared" si="9"/>
        <v>0</v>
      </c>
      <c r="BA7" s="6">
        <f t="shared" si="9"/>
        <v>0</v>
      </c>
      <c r="BB7" s="6">
        <f t="shared" si="9"/>
        <v>0</v>
      </c>
      <c r="BC7" s="6">
        <f t="shared" si="9"/>
        <v>0</v>
      </c>
      <c r="BD7" s="6">
        <f t="shared" si="9"/>
        <v>0</v>
      </c>
      <c r="BE7" s="6">
        <f t="shared" si="9"/>
        <v>0</v>
      </c>
      <c r="BF7" s="6">
        <f t="shared" si="9"/>
        <v>0</v>
      </c>
      <c r="BG7" s="6">
        <f t="shared" si="9"/>
        <v>0</v>
      </c>
      <c r="BH7" s="6">
        <f t="shared" si="9"/>
        <v>0</v>
      </c>
      <c r="BJ7" s="6">
        <v>4</v>
      </c>
      <c r="BK7" s="6">
        <f t="shared" si="26"/>
        <v>0</v>
      </c>
      <c r="BL7" s="6">
        <f t="shared" si="10"/>
        <v>0</v>
      </c>
      <c r="BM7" s="6">
        <f t="shared" si="10"/>
        <v>0</v>
      </c>
      <c r="BN7" s="6">
        <f t="shared" si="10"/>
        <v>0</v>
      </c>
      <c r="BO7" s="6">
        <f t="shared" si="10"/>
        <v>0</v>
      </c>
      <c r="BP7" s="6">
        <f t="shared" si="10"/>
        <v>0</v>
      </c>
      <c r="BQ7" s="6">
        <f t="shared" si="10"/>
        <v>0</v>
      </c>
      <c r="BR7" s="6">
        <f t="shared" si="10"/>
        <v>0</v>
      </c>
      <c r="BS7" s="6">
        <f t="shared" si="10"/>
        <v>0</v>
      </c>
    </row>
    <row r="8" spans="1:71" x14ac:dyDescent="0.25">
      <c r="A8" s="51">
        <f t="shared" si="11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94"/>
      <c r="O8" s="95"/>
      <c r="P8" s="52"/>
      <c r="Q8" s="53"/>
      <c r="R8" s="8">
        <f t="shared" si="1"/>
        <v>0</v>
      </c>
      <c r="S8" s="8">
        <f t="shared" si="12"/>
        <v>0</v>
      </c>
      <c r="T8" s="54">
        <f t="shared" si="13"/>
        <v>1</v>
      </c>
      <c r="U8" s="30"/>
      <c r="V8" s="31">
        <v>5</v>
      </c>
      <c r="W8" s="32">
        <v>2</v>
      </c>
      <c r="X8" s="33" t="str">
        <f t="shared" si="14"/>
        <v>E</v>
      </c>
      <c r="Y8" s="34">
        <f t="shared" si="2"/>
        <v>0</v>
      </c>
      <c r="Z8" s="34">
        <f t="shared" si="3"/>
        <v>0</v>
      </c>
      <c r="AA8" s="55">
        <f t="shared" si="4"/>
        <v>0</v>
      </c>
      <c r="AB8" s="34">
        <f t="shared" si="5"/>
        <v>0</v>
      </c>
      <c r="AC8" s="35">
        <f t="shared" si="6"/>
        <v>1000</v>
      </c>
      <c r="AD8" s="56"/>
      <c r="AE8" s="7">
        <f t="shared" si="15"/>
        <v>0</v>
      </c>
      <c r="AF8" s="7">
        <f t="shared" si="16"/>
        <v>0</v>
      </c>
      <c r="AG8" s="7">
        <f t="shared" si="17"/>
        <v>0</v>
      </c>
      <c r="AH8" s="7">
        <f t="shared" si="18"/>
        <v>0</v>
      </c>
      <c r="AI8" s="7">
        <f t="shared" si="19"/>
        <v>0</v>
      </c>
      <c r="AJ8" s="7">
        <f t="shared" si="20"/>
        <v>0</v>
      </c>
      <c r="AK8" s="56"/>
      <c r="AL8" s="56">
        <f t="shared" si="21"/>
        <v>0</v>
      </c>
      <c r="AM8" s="56">
        <f t="shared" si="22"/>
        <v>0</v>
      </c>
      <c r="AN8" s="56">
        <f t="shared" si="23"/>
        <v>0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7"/>
        <v>0</v>
      </c>
      <c r="AV8" s="39" t="e">
        <f t="shared" si="8"/>
        <v>#VALUE!</v>
      </c>
      <c r="AW8" s="39">
        <f t="shared" si="25"/>
        <v>0</v>
      </c>
      <c r="AY8" s="6">
        <v>5</v>
      </c>
      <c r="AZ8" s="6">
        <f t="shared" si="9"/>
        <v>0</v>
      </c>
      <c r="BA8" s="6">
        <f t="shared" si="9"/>
        <v>0</v>
      </c>
      <c r="BB8" s="6">
        <f t="shared" si="9"/>
        <v>0</v>
      </c>
      <c r="BC8" s="6">
        <f t="shared" si="9"/>
        <v>0</v>
      </c>
      <c r="BD8" s="6">
        <f t="shared" si="9"/>
        <v>0</v>
      </c>
      <c r="BE8" s="6">
        <f t="shared" si="9"/>
        <v>0</v>
      </c>
      <c r="BF8" s="6">
        <f t="shared" si="9"/>
        <v>0</v>
      </c>
      <c r="BG8" s="6">
        <f t="shared" si="9"/>
        <v>0</v>
      </c>
      <c r="BH8" s="6">
        <f t="shared" si="9"/>
        <v>0</v>
      </c>
      <c r="BJ8" s="6">
        <v>5</v>
      </c>
      <c r="BK8" s="6">
        <f t="shared" si="26"/>
        <v>0</v>
      </c>
      <c r="BL8" s="6">
        <f t="shared" si="10"/>
        <v>0</v>
      </c>
      <c r="BM8" s="6">
        <f t="shared" si="10"/>
        <v>0</v>
      </c>
      <c r="BN8" s="6">
        <f t="shared" si="10"/>
        <v>0</v>
      </c>
      <c r="BO8" s="6">
        <f t="shared" si="10"/>
        <v>0</v>
      </c>
      <c r="BP8" s="6">
        <f t="shared" si="10"/>
        <v>0</v>
      </c>
      <c r="BQ8" s="6">
        <f t="shared" si="10"/>
        <v>0</v>
      </c>
      <c r="BR8" s="6">
        <f t="shared" si="10"/>
        <v>0</v>
      </c>
      <c r="BS8" s="6">
        <f t="shared" si="10"/>
        <v>0</v>
      </c>
    </row>
    <row r="9" spans="1:71" x14ac:dyDescent="0.25">
      <c r="A9" s="51">
        <f t="shared" si="11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94"/>
      <c r="O9" s="95"/>
      <c r="P9" s="52"/>
      <c r="Q9" s="53"/>
      <c r="R9" s="8">
        <f t="shared" si="1"/>
        <v>0</v>
      </c>
      <c r="S9" s="8">
        <f t="shared" si="12"/>
        <v>0</v>
      </c>
      <c r="T9" s="54">
        <f t="shared" si="13"/>
        <v>1</v>
      </c>
      <c r="U9" s="30"/>
      <c r="V9" s="31">
        <v>6</v>
      </c>
      <c r="W9" s="32">
        <v>1</v>
      </c>
      <c r="X9" s="33" t="str">
        <f t="shared" si="14"/>
        <v>F</v>
      </c>
      <c r="Y9" s="34">
        <f t="shared" si="2"/>
        <v>0</v>
      </c>
      <c r="Z9" s="34">
        <f t="shared" si="3"/>
        <v>0</v>
      </c>
      <c r="AA9" s="55">
        <f t="shared" si="4"/>
        <v>0</v>
      </c>
      <c r="AB9" s="34">
        <f t="shared" si="5"/>
        <v>0</v>
      </c>
      <c r="AC9" s="35">
        <f t="shared" si="6"/>
        <v>1000</v>
      </c>
      <c r="AD9" s="56"/>
      <c r="AE9" s="7">
        <f t="shared" si="15"/>
        <v>0</v>
      </c>
      <c r="AF9" s="7">
        <f t="shared" si="16"/>
        <v>0</v>
      </c>
      <c r="AG9" s="7">
        <f t="shared" si="17"/>
        <v>0</v>
      </c>
      <c r="AH9" s="7">
        <f t="shared" si="18"/>
        <v>0</v>
      </c>
      <c r="AI9" s="7">
        <f t="shared" si="19"/>
        <v>0</v>
      </c>
      <c r="AJ9" s="7">
        <f t="shared" si="20"/>
        <v>0</v>
      </c>
      <c r="AK9" s="56"/>
      <c r="AL9" s="56">
        <f t="shared" si="21"/>
        <v>0</v>
      </c>
      <c r="AM9" s="56">
        <f t="shared" si="22"/>
        <v>0</v>
      </c>
      <c r="AN9" s="56">
        <f t="shared" si="23"/>
        <v>0</v>
      </c>
      <c r="AO9" s="56">
        <f t="shared" si="24"/>
        <v>1</v>
      </c>
      <c r="AP9" s="56"/>
      <c r="AQ9" s="56"/>
      <c r="AR9" s="56"/>
      <c r="AS9" s="30"/>
      <c r="AT9" s="37">
        <v>6</v>
      </c>
      <c r="AU9" s="38">
        <f t="shared" si="7"/>
        <v>0</v>
      </c>
      <c r="AV9" s="39" t="e">
        <f t="shared" si="8"/>
        <v>#VALUE!</v>
      </c>
      <c r="AW9" s="39">
        <f t="shared" si="25"/>
        <v>0</v>
      </c>
      <c r="AY9" s="6">
        <v>6</v>
      </c>
      <c r="AZ9" s="6">
        <f t="shared" si="9"/>
        <v>0</v>
      </c>
      <c r="BA9" s="6">
        <f t="shared" si="9"/>
        <v>0</v>
      </c>
      <c r="BB9" s="6">
        <f t="shared" si="9"/>
        <v>0</v>
      </c>
      <c r="BC9" s="6">
        <f t="shared" si="9"/>
        <v>0</v>
      </c>
      <c r="BD9" s="6">
        <f t="shared" si="9"/>
        <v>0</v>
      </c>
      <c r="BE9" s="6">
        <f t="shared" si="9"/>
        <v>0</v>
      </c>
      <c r="BF9" s="6">
        <f t="shared" si="9"/>
        <v>0</v>
      </c>
      <c r="BG9" s="6">
        <f t="shared" si="9"/>
        <v>0</v>
      </c>
      <c r="BH9" s="6">
        <f t="shared" si="9"/>
        <v>0</v>
      </c>
      <c r="BJ9" s="6">
        <v>6</v>
      </c>
      <c r="BK9" s="6">
        <f t="shared" si="26"/>
        <v>0</v>
      </c>
      <c r="BL9" s="6">
        <f t="shared" si="10"/>
        <v>0</v>
      </c>
      <c r="BM9" s="6">
        <f t="shared" si="10"/>
        <v>0</v>
      </c>
      <c r="BN9" s="6">
        <f t="shared" si="10"/>
        <v>0</v>
      </c>
      <c r="BO9" s="6">
        <f t="shared" si="10"/>
        <v>0</v>
      </c>
      <c r="BP9" s="6">
        <f t="shared" si="10"/>
        <v>0</v>
      </c>
      <c r="BQ9" s="6">
        <f t="shared" si="10"/>
        <v>0</v>
      </c>
      <c r="BR9" s="6">
        <f t="shared" si="10"/>
        <v>0</v>
      </c>
      <c r="BS9" s="6">
        <f t="shared" si="10"/>
        <v>0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1</v>
      </c>
      <c r="AG11" s="57">
        <f>2*MAX(AG4:AG9)+1</f>
        <v>1</v>
      </c>
      <c r="AI11" s="57">
        <f>2*MAX(AI4:AI9)+1</f>
        <v>1</v>
      </c>
      <c r="AT11" s="41" t="s">
        <v>39</v>
      </c>
      <c r="AU11" s="41" t="s">
        <v>0</v>
      </c>
      <c r="AV11" s="41" t="s">
        <v>1</v>
      </c>
      <c r="AW11" s="41" t="s">
        <v>2</v>
      </c>
      <c r="AY11" s="42" t="s">
        <v>37</v>
      </c>
      <c r="AZ11" s="42" t="s">
        <v>38</v>
      </c>
      <c r="BA11" s="6" t="s">
        <v>18</v>
      </c>
      <c r="BB11" s="6" t="s">
        <v>19</v>
      </c>
      <c r="BC11" s="6" t="s">
        <v>20</v>
      </c>
      <c r="BD11" s="6" t="s">
        <v>21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F</v>
      </c>
      <c r="D14" s="46" t="s">
        <v>5</v>
      </c>
      <c r="E14" s="84" t="str">
        <f>VLOOKUP(AV14,$B$4:$F$9,2,FALSE)</f>
        <v>A</v>
      </c>
      <c r="F14" s="84"/>
      <c r="G14" s="84"/>
      <c r="H14" s="84"/>
      <c r="J14" s="84" t="str">
        <f>IF(T14="","",VLOOKUP(T14,Configuratie!$B$1:$E$10,3,FALSE))</f>
        <v/>
      </c>
      <c r="K14" s="84"/>
      <c r="L14" s="6" t="s">
        <v>5</v>
      </c>
      <c r="M14" s="84" t="str">
        <f>IF(T14="","",VLOOKUP(T14,Configuratie!$B$1:$E$10,4,FALSE))</f>
        <v/>
      </c>
      <c r="N14" s="84"/>
      <c r="R14" s="6" t="str">
        <f>IF(T14="","",VLOOKUP(T14,Configuratie!$B$1:$E$10,2,FALSE))</f>
        <v/>
      </c>
      <c r="T14" s="5"/>
      <c r="AI14" s="7"/>
      <c r="AT14" s="6">
        <v>1</v>
      </c>
      <c r="AU14" s="6">
        <v>6</v>
      </c>
      <c r="AV14" s="6">
        <v>1</v>
      </c>
      <c r="AW14" s="6" t="str">
        <f>IF(AND(ISNUMBER(J14),ISNUMBER(M14)),IF(J14+M14=1,1,0),"")</f>
        <v/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 t="e">
        <f>J14*BB14</f>
        <v>#VALUE!</v>
      </c>
      <c r="BD14" s="6" t="e">
        <f>M14*BA14</f>
        <v>#VALUE!</v>
      </c>
    </row>
    <row r="15" spans="1:71" x14ac:dyDescent="0.25">
      <c r="B15" s="6">
        <v>2</v>
      </c>
      <c r="C15" s="6" t="str">
        <f>VLOOKUP(AU15,$B$4:$F$9,2,FALSE)</f>
        <v>E</v>
      </c>
      <c r="D15" s="46" t="s">
        <v>5</v>
      </c>
      <c r="E15" s="84" t="str">
        <f>VLOOKUP(AV15,$B$4:$F$9,2,FALSE)</f>
        <v>B</v>
      </c>
      <c r="F15" s="84"/>
      <c r="G15" s="84"/>
      <c r="H15" s="84"/>
      <c r="J15" s="84" t="str">
        <f>IF(T15="","",VLOOKUP(T15,Configuratie!$B$1:$E$10,3,FALSE))</f>
        <v/>
      </c>
      <c r="K15" s="84"/>
      <c r="L15" s="6" t="s">
        <v>5</v>
      </c>
      <c r="M15" s="84" t="str">
        <f>IF(T15="","",VLOOKUP(T15,Configuratie!$B$1:$E$10,4,FALSE))</f>
        <v/>
      </c>
      <c r="N15" s="84"/>
      <c r="R15" s="6" t="str">
        <f>IF(T15="","",VLOOKUP(T15,Configuratie!$B$1:$E$10,2,FALSE))</f>
        <v/>
      </c>
      <c r="T15" s="5"/>
      <c r="AI15" s="56"/>
      <c r="AT15" s="6">
        <v>1</v>
      </c>
      <c r="AU15" s="6">
        <v>5</v>
      </c>
      <c r="AV15" s="6">
        <v>2</v>
      </c>
      <c r="AW15" s="6" t="str">
        <f t="shared" ref="AW15:AW16" si="28">IF(AND(ISNUMBER(J15),ISNUMBER(M15)),IF(J15+M15=1,1,0),"")</f>
        <v/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 t="e">
        <f>J15*BB15</f>
        <v>#VALUE!</v>
      </c>
      <c r="BD15" s="6" t="e">
        <f>M15*BA15</f>
        <v>#VALUE!</v>
      </c>
    </row>
    <row r="16" spans="1:71" x14ac:dyDescent="0.25">
      <c r="B16" s="6">
        <v>3</v>
      </c>
      <c r="C16" s="6" t="str">
        <f>VLOOKUP(AU16,$B$4:$F$9,2,FALSE)</f>
        <v>D</v>
      </c>
      <c r="D16" s="46" t="s">
        <v>5</v>
      </c>
      <c r="E16" s="84" t="str">
        <f>VLOOKUP(AV16,$B$4:$F$9,2,FALSE)</f>
        <v>C</v>
      </c>
      <c r="F16" s="84"/>
      <c r="G16" s="84"/>
      <c r="H16" s="84"/>
      <c r="J16" s="84" t="str">
        <f>IF(T16="","",VLOOKUP(T16,Configuratie!$B$1:$E$10,3,FALSE))</f>
        <v/>
      </c>
      <c r="K16" s="84"/>
      <c r="L16" s="6" t="s">
        <v>5</v>
      </c>
      <c r="M16" s="84" t="str">
        <f>IF(T16="","",VLOOKUP(T16,Configuratie!$B$1:$E$10,4,FALSE))</f>
        <v/>
      </c>
      <c r="N16" s="84"/>
      <c r="R16" s="6" t="str">
        <f>IF(T16="","",VLOOKUP(T16,Configuratie!$B$1:$E$10,2,FALSE))</f>
        <v/>
      </c>
      <c r="T16" s="5"/>
      <c r="AI16" s="56"/>
      <c r="AT16" s="6">
        <v>1</v>
      </c>
      <c r="AU16" s="6">
        <v>4</v>
      </c>
      <c r="AV16" s="6">
        <v>3</v>
      </c>
      <c r="AW16" s="6" t="str">
        <f t="shared" si="28"/>
        <v/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 t="e">
        <f>J16*BB16</f>
        <v>#VALUE!</v>
      </c>
      <c r="BD16" s="6" t="e">
        <f>M16*BA16</f>
        <v>#VALUE!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F</v>
      </c>
      <c r="D19" s="46" t="s">
        <v>5</v>
      </c>
      <c r="E19" s="84" t="str">
        <f>VLOOKUP(AV19,$B$4:$F$9,2,FALSE)</f>
        <v>C</v>
      </c>
      <c r="F19" s="84"/>
      <c r="G19" s="84"/>
      <c r="H19" s="84"/>
      <c r="J19" s="84" t="str">
        <f>IF(T19="","",VLOOKUP(T19,Configuratie!$B$1:$E$10,3,FALSE))</f>
        <v/>
      </c>
      <c r="K19" s="84"/>
      <c r="L19" s="6" t="s">
        <v>5</v>
      </c>
      <c r="M19" s="84" t="str">
        <f>IF(T19="","",VLOOKUP(T19,Configuratie!$B$1:$E$10,4,FALSE))</f>
        <v/>
      </c>
      <c r="N19" s="84"/>
      <c r="R19" s="6" t="str">
        <f>IF(T19="","",VLOOKUP(T19,Configuratie!$B$1:$E$10,2,FALSE))</f>
        <v/>
      </c>
      <c r="T19" s="5"/>
      <c r="AI19" s="56"/>
      <c r="AT19" s="6">
        <v>2</v>
      </c>
      <c r="AU19" s="6">
        <v>6</v>
      </c>
      <c r="AV19" s="6">
        <v>3</v>
      </c>
      <c r="AW19" s="6" t="str">
        <f>IF(AND(ISNUMBER(J19),ISNUMBER(M19)),IF(J19+M19=1,1,0),"")</f>
        <v/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2</v>
      </c>
      <c r="C20" s="6" t="str">
        <f>VLOOKUP(AU20,$B$4:$F$9,2,FALSE)</f>
        <v>B</v>
      </c>
      <c r="D20" s="46" t="s">
        <v>5</v>
      </c>
      <c r="E20" s="84" t="str">
        <f>VLOOKUP(AV20,$B$4:$F$9,2,FALSE)</f>
        <v>D</v>
      </c>
      <c r="F20" s="84"/>
      <c r="G20" s="84"/>
      <c r="H20" s="84"/>
      <c r="J20" s="84" t="str">
        <f>IF(T20="","",VLOOKUP(T20,Configuratie!$B$1:$E$10,3,FALSE))</f>
        <v/>
      </c>
      <c r="K20" s="84"/>
      <c r="L20" s="6" t="s">
        <v>5</v>
      </c>
      <c r="M20" s="84" t="str">
        <f>IF(T20="","",VLOOKUP(T20,Configuratie!$B$1:$E$10,4,FALSE))</f>
        <v/>
      </c>
      <c r="N20" s="84"/>
      <c r="R20" s="6" t="str">
        <f>IF(T20="","",VLOOKUP(T20,Configuratie!$B$1:$E$10,2,FALSE))</f>
        <v/>
      </c>
      <c r="T20" s="5"/>
      <c r="AT20" s="6">
        <v>2</v>
      </c>
      <c r="AU20" s="6">
        <v>2</v>
      </c>
      <c r="AV20" s="6">
        <v>4</v>
      </c>
      <c r="AW20" s="6" t="str">
        <f t="shared" ref="AW20:AW21" si="30">IF(AND(ISNUMBER(J20),ISNUMBER(M20)),IF(J20+M20=1,1,0),"")</f>
        <v/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3</v>
      </c>
      <c r="C21" s="6" t="str">
        <f>VLOOKUP(AU21,$B$4:$F$9,2,FALSE)</f>
        <v>A</v>
      </c>
      <c r="D21" s="46" t="s">
        <v>5</v>
      </c>
      <c r="E21" s="84" t="str">
        <f>VLOOKUP(AV21,$B$4:$F$9,2,FALSE)</f>
        <v>E</v>
      </c>
      <c r="F21" s="84"/>
      <c r="G21" s="84"/>
      <c r="H21" s="84"/>
      <c r="J21" s="84" t="str">
        <f>IF(T21="","",VLOOKUP(T21,Configuratie!$B$1:$E$10,3,FALSE))</f>
        <v/>
      </c>
      <c r="K21" s="84"/>
      <c r="L21" s="6" t="s">
        <v>5</v>
      </c>
      <c r="M21" s="84" t="str">
        <f>IF(T21="","",VLOOKUP(T21,Configuratie!$B$1:$E$10,4,FALSE))</f>
        <v/>
      </c>
      <c r="N21" s="84"/>
      <c r="R21" s="6" t="str">
        <f>IF(T21="","",VLOOKUP(T21,Configuratie!$B$1:$E$10,2,FALSE))</f>
        <v/>
      </c>
      <c r="T21" s="5"/>
      <c r="AT21" s="6">
        <v>2</v>
      </c>
      <c r="AU21" s="6">
        <v>1</v>
      </c>
      <c r="AV21" s="6">
        <v>5</v>
      </c>
      <c r="AW21" s="6" t="str">
        <f t="shared" si="30"/>
        <v/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0</v>
      </c>
      <c r="BC21" s="6" t="e">
        <f>J21*BB21</f>
        <v>#VALUE!</v>
      </c>
      <c r="BD21" s="6" t="e">
        <f>M21*BA21</f>
        <v>#VALUE!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E</v>
      </c>
      <c r="D24" s="46" t="s">
        <v>5</v>
      </c>
      <c r="E24" s="84" t="str">
        <f>VLOOKUP(AV24,$B$4:$F$9,2,FALSE)</f>
        <v>F</v>
      </c>
      <c r="F24" s="84"/>
      <c r="G24" s="84"/>
      <c r="H24" s="84"/>
      <c r="J24" s="84" t="str">
        <f>IF(T24="","",VLOOKUP(T24,Configuratie!$B$1:$E$10,3,FALSE))</f>
        <v/>
      </c>
      <c r="K24" s="84"/>
      <c r="L24" s="6" t="s">
        <v>5</v>
      </c>
      <c r="M24" s="84" t="str">
        <f>IF(T24="","",VLOOKUP(T24,Configuratie!$B$1:$E$10,4,FALSE))</f>
        <v/>
      </c>
      <c r="N24" s="84"/>
      <c r="R24" s="6" t="str">
        <f>IF(T24="","",VLOOKUP(T24,Configuratie!$B$1:$E$10,2,FALSE))</f>
        <v/>
      </c>
      <c r="T24" s="5"/>
      <c r="AT24" s="6">
        <v>3</v>
      </c>
      <c r="AU24" s="6">
        <v>5</v>
      </c>
      <c r="AV24" s="6">
        <v>6</v>
      </c>
      <c r="AW24" s="6" t="str">
        <f>IF(AND(ISNUMBER(J24),ISNUMBER(M24)),IF(J24+M24=1,1,0),"")</f>
        <v/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 t="e">
        <f>J24*BB24</f>
        <v>#VALUE!</v>
      </c>
      <c r="BD24" s="6" t="e">
        <f>M24*BA24</f>
        <v>#VALUE!</v>
      </c>
    </row>
    <row r="25" spans="2:56" x14ac:dyDescent="0.25">
      <c r="B25" s="6">
        <v>2</v>
      </c>
      <c r="C25" s="6" t="str">
        <f>VLOOKUP(AU25,$B$4:$F$9,2,FALSE)</f>
        <v>D</v>
      </c>
      <c r="D25" s="46" t="s">
        <v>5</v>
      </c>
      <c r="E25" s="84" t="str">
        <f>VLOOKUP(AV25,$B$4:$F$9,2,FALSE)</f>
        <v>A</v>
      </c>
      <c r="F25" s="84"/>
      <c r="G25" s="84"/>
      <c r="H25" s="84"/>
      <c r="J25" s="84" t="str">
        <f>IF(T25="","",VLOOKUP(T25,Configuratie!$B$1:$E$10,3,FALSE))</f>
        <v/>
      </c>
      <c r="K25" s="84"/>
      <c r="L25" s="6" t="s">
        <v>5</v>
      </c>
      <c r="M25" s="84" t="str">
        <f>IF(T25="","",VLOOKUP(T25,Configuratie!$B$1:$E$10,4,FALSE))</f>
        <v/>
      </c>
      <c r="N25" s="84"/>
      <c r="R25" s="6" t="str">
        <f>IF(T25="","",VLOOKUP(T25,Configuratie!$B$1:$E$10,2,FALSE))</f>
        <v/>
      </c>
      <c r="T25" s="5"/>
      <c r="AT25" s="6">
        <v>3</v>
      </c>
      <c r="AU25" s="6">
        <v>4</v>
      </c>
      <c r="AV25" s="6">
        <v>1</v>
      </c>
      <c r="AW25" s="6" t="str">
        <f t="shared" ref="AW25:AW26" si="32">IF(AND(ISNUMBER(J25),ISNUMBER(M25)),IF(J25+M25=1,1,0),"")</f>
        <v/>
      </c>
      <c r="AY25" s="48">
        <f>AU25*100+AV25</f>
        <v>401</v>
      </c>
      <c r="AZ25" s="48">
        <f>AV25*100+AU25</f>
        <v>104</v>
      </c>
      <c r="BA25" s="6">
        <f t="shared" si="31"/>
        <v>0</v>
      </c>
      <c r="BB25" s="6">
        <f t="shared" si="31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3</v>
      </c>
      <c r="C26" s="6" t="str">
        <f>VLOOKUP(AU26,$B$4:$F$9,2,FALSE)</f>
        <v>C</v>
      </c>
      <c r="D26" s="46" t="s">
        <v>5</v>
      </c>
      <c r="E26" s="84" t="str">
        <f>VLOOKUP(AV26,$B$4:$F$9,2,FALSE)</f>
        <v>B</v>
      </c>
      <c r="F26" s="84"/>
      <c r="G26" s="84"/>
      <c r="H26" s="84"/>
      <c r="J26" s="84" t="str">
        <f>IF(T26="","",VLOOKUP(T26,Configuratie!$B$1:$E$10,3,FALSE))</f>
        <v/>
      </c>
      <c r="K26" s="84"/>
      <c r="L26" s="6" t="s">
        <v>5</v>
      </c>
      <c r="M26" s="84" t="str">
        <f>IF(T26="","",VLOOKUP(T26,Configuratie!$B$1:$E$10,4,FALSE))</f>
        <v/>
      </c>
      <c r="N26" s="84"/>
      <c r="R26" s="6" t="str">
        <f>IF(T26="","",VLOOKUP(T26,Configuratie!$B$1:$E$10,2,FALSE))</f>
        <v/>
      </c>
      <c r="T26" s="5"/>
      <c r="AT26" s="6">
        <v>3</v>
      </c>
      <c r="AU26" s="6">
        <v>3</v>
      </c>
      <c r="AV26" s="6">
        <v>2</v>
      </c>
      <c r="AW26" s="6" t="str">
        <f t="shared" si="32"/>
        <v/>
      </c>
      <c r="AY26" s="48">
        <f>AU26*100+AV26</f>
        <v>302</v>
      </c>
      <c r="AZ26" s="48">
        <f>AV26*100+AU26</f>
        <v>203</v>
      </c>
      <c r="BA26" s="6">
        <f t="shared" si="31"/>
        <v>0</v>
      </c>
      <c r="BB26" s="6">
        <f t="shared" si="31"/>
        <v>0</v>
      </c>
      <c r="BC26" s="6" t="e">
        <f>J26*BB26</f>
        <v>#VALUE!</v>
      </c>
      <c r="BD26" s="6" t="e">
        <f>M26*BA26</f>
        <v>#VALUE!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F</v>
      </c>
      <c r="D29" s="46" t="s">
        <v>5</v>
      </c>
      <c r="E29" s="84" t="str">
        <f>VLOOKUP(AV29,$B$4:$F$9,2,FALSE)</f>
        <v>B</v>
      </c>
      <c r="F29" s="84"/>
      <c r="G29" s="84"/>
      <c r="H29" s="84"/>
      <c r="J29" s="84" t="str">
        <f>IF(T29="","",VLOOKUP(T29,Configuratie!$B$1:$E$10,3,FALSE))</f>
        <v/>
      </c>
      <c r="K29" s="84"/>
      <c r="L29" s="6" t="s">
        <v>5</v>
      </c>
      <c r="M29" s="84" t="str">
        <f>IF(T29="","",VLOOKUP(T29,Configuratie!$B$1:$E$10,4,FALSE))</f>
        <v/>
      </c>
      <c r="N29" s="84"/>
      <c r="R29" s="6" t="str">
        <f>IF(T29="","",VLOOKUP(T29,Configuratie!$B$1:$E$10,2,FALSE))</f>
        <v/>
      </c>
      <c r="T29" s="5"/>
      <c r="AT29" s="6">
        <v>4</v>
      </c>
      <c r="AU29" s="6">
        <v>6</v>
      </c>
      <c r="AV29" s="6">
        <v>2</v>
      </c>
      <c r="AW29" s="6" t="str">
        <f>IF(AND(ISNUMBER(J29),ISNUMBER(M29)),IF(J29+M29=1,1,0),"")</f>
        <v/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0</v>
      </c>
      <c r="BB29" s="6">
        <f t="shared" si="33"/>
        <v>0</v>
      </c>
      <c r="BC29" s="6" t="e">
        <f>J29*BB29</f>
        <v>#VALUE!</v>
      </c>
      <c r="BD29" s="6" t="e">
        <f>M29*BA29</f>
        <v>#VALUE!</v>
      </c>
    </row>
    <row r="30" spans="2:56" x14ac:dyDescent="0.25">
      <c r="B30" s="6">
        <v>2</v>
      </c>
      <c r="C30" s="6" t="str">
        <f>VLOOKUP(AU30,$B$4:$F$9,2,FALSE)</f>
        <v>A</v>
      </c>
      <c r="D30" s="46" t="s">
        <v>5</v>
      </c>
      <c r="E30" s="84" t="str">
        <f>VLOOKUP(AV30,$B$4:$F$9,2,FALSE)</f>
        <v>C</v>
      </c>
      <c r="F30" s="84"/>
      <c r="G30" s="84"/>
      <c r="H30" s="84"/>
      <c r="J30" s="84" t="str">
        <f>IF(T30="","",VLOOKUP(T30,Configuratie!$B$1:$E$10,3,FALSE))</f>
        <v/>
      </c>
      <c r="K30" s="84"/>
      <c r="L30" s="6" t="s">
        <v>5</v>
      </c>
      <c r="M30" s="84" t="str">
        <f>IF(T30="","",VLOOKUP(T30,Configuratie!$B$1:$E$10,4,FALSE))</f>
        <v/>
      </c>
      <c r="N30" s="84"/>
      <c r="R30" s="6" t="str">
        <f>IF(T30="","",VLOOKUP(T30,Configuratie!$B$1:$E$10,2,FALSE))</f>
        <v/>
      </c>
      <c r="T30" s="5"/>
      <c r="AT30" s="6">
        <v>4</v>
      </c>
      <c r="AU30" s="6">
        <v>1</v>
      </c>
      <c r="AV30" s="6">
        <v>3</v>
      </c>
      <c r="AW30" s="6" t="str">
        <f t="shared" ref="AW30:AW31" si="34">IF(AND(ISNUMBER(J30),ISNUMBER(M30)),IF(J30+M30=1,1,0),"")</f>
        <v/>
      </c>
      <c r="AY30" s="48">
        <f>AU30*100+AV30</f>
        <v>103</v>
      </c>
      <c r="AZ30" s="48">
        <f>AV30*100+AU30</f>
        <v>301</v>
      </c>
      <c r="BA30" s="6">
        <f t="shared" si="33"/>
        <v>0</v>
      </c>
      <c r="BB30" s="6">
        <f t="shared" si="33"/>
        <v>0</v>
      </c>
      <c r="BC30" s="6" t="e">
        <f>J30*BB30</f>
        <v>#VALUE!</v>
      </c>
      <c r="BD30" s="6" t="e">
        <f>M30*BA30</f>
        <v>#VALUE!</v>
      </c>
    </row>
    <row r="31" spans="2:56" x14ac:dyDescent="0.25">
      <c r="B31" s="6">
        <v>3</v>
      </c>
      <c r="C31" s="6" t="str">
        <f>VLOOKUP(AU31,$B$4:$F$9,2,FALSE)</f>
        <v>E</v>
      </c>
      <c r="D31" s="46" t="s">
        <v>5</v>
      </c>
      <c r="E31" s="84" t="str">
        <f>VLOOKUP(AV31,$B$4:$F$9,2,FALSE)</f>
        <v>D</v>
      </c>
      <c r="F31" s="84"/>
      <c r="G31" s="84"/>
      <c r="H31" s="84"/>
      <c r="J31" s="84" t="str">
        <f>IF(T31="","",VLOOKUP(T31,Configuratie!$B$1:$E$10,3,FALSE))</f>
        <v/>
      </c>
      <c r="K31" s="84"/>
      <c r="L31" s="6" t="s">
        <v>5</v>
      </c>
      <c r="M31" s="84" t="str">
        <f>IF(T31="","",VLOOKUP(T31,Configuratie!$B$1:$E$10,4,FALSE))</f>
        <v/>
      </c>
      <c r="N31" s="84"/>
      <c r="R31" s="6" t="str">
        <f>IF(T31="","",VLOOKUP(T31,Configuratie!$B$1:$E$10,2,FALSE))</f>
        <v/>
      </c>
      <c r="T31" s="5"/>
      <c r="AT31" s="6">
        <v>4</v>
      </c>
      <c r="AU31" s="6">
        <v>5</v>
      </c>
      <c r="AV31" s="6">
        <v>4</v>
      </c>
      <c r="AW31" s="6" t="str">
        <f t="shared" si="34"/>
        <v/>
      </c>
      <c r="AY31" s="48">
        <f>AU31*100+AV31</f>
        <v>504</v>
      </c>
      <c r="AZ31" s="48">
        <f>AV31*100+AU31</f>
        <v>405</v>
      </c>
      <c r="BA31" s="6">
        <f t="shared" si="33"/>
        <v>0</v>
      </c>
      <c r="BB31" s="6">
        <f t="shared" si="33"/>
        <v>0</v>
      </c>
      <c r="BC31" s="6" t="e">
        <f>J31*BB31</f>
        <v>#VALUE!</v>
      </c>
      <c r="BD31" s="6" t="e">
        <f>M31*BA31</f>
        <v>#VALUE!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D</v>
      </c>
      <c r="D34" s="46" t="s">
        <v>5</v>
      </c>
      <c r="E34" s="84" t="str">
        <f>VLOOKUP(AV34,$B$4:$F$9,2,FALSE)</f>
        <v>F</v>
      </c>
      <c r="F34" s="84"/>
      <c r="G34" s="84"/>
      <c r="H34" s="84"/>
      <c r="J34" s="84" t="str">
        <f>IF(T34="","",VLOOKUP(T34,Configuratie!$B$1:$E$10,3,FALSE))</f>
        <v/>
      </c>
      <c r="K34" s="84"/>
      <c r="L34" s="6" t="s">
        <v>5</v>
      </c>
      <c r="M34" s="84" t="str">
        <f>IF(T34="","",VLOOKUP(T34,Configuratie!$B$1:$E$10,4,FALSE))</f>
        <v/>
      </c>
      <c r="N34" s="84"/>
      <c r="R34" s="6" t="str">
        <f>IF(T34="","",VLOOKUP(T34,Configuratie!$B$1:$E$10,2,FALSE))</f>
        <v/>
      </c>
      <c r="T34" s="5"/>
      <c r="AT34" s="6">
        <v>5</v>
      </c>
      <c r="AU34" s="6">
        <v>4</v>
      </c>
      <c r="AV34" s="6">
        <v>6</v>
      </c>
      <c r="AW34" s="6" t="str">
        <f>IF(AND(ISNUMBER(J34),ISNUMBER(M34)),IF(J34+M34=1,1,0),"")</f>
        <v/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0</v>
      </c>
      <c r="BB34" s="6">
        <f t="shared" si="35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2</v>
      </c>
      <c r="C35" s="6" t="str">
        <f>VLOOKUP(AU35,$B$4:$F$9,2,FALSE)</f>
        <v>E</v>
      </c>
      <c r="D35" s="46" t="s">
        <v>5</v>
      </c>
      <c r="E35" s="84" t="str">
        <f>VLOOKUP(AV35,$B$4:$F$9,2,FALSE)</f>
        <v>C</v>
      </c>
      <c r="F35" s="84"/>
      <c r="G35" s="84"/>
      <c r="H35" s="84"/>
      <c r="J35" s="84" t="str">
        <f>IF(T35="","",VLOOKUP(T35,Configuratie!$B$1:$E$10,3,FALSE))</f>
        <v/>
      </c>
      <c r="K35" s="84"/>
      <c r="L35" s="6" t="s">
        <v>5</v>
      </c>
      <c r="M35" s="84" t="str">
        <f>IF(T35="","",VLOOKUP(T35,Configuratie!$B$1:$E$10,4,FALSE))</f>
        <v/>
      </c>
      <c r="N35" s="84"/>
      <c r="R35" s="6" t="str">
        <f>IF(T35="","",VLOOKUP(T35,Configuratie!$B$1:$E$10,2,FALSE))</f>
        <v/>
      </c>
      <c r="T35" s="5"/>
      <c r="AT35" s="6">
        <v>5</v>
      </c>
      <c r="AU35" s="6">
        <v>5</v>
      </c>
      <c r="AV35" s="6">
        <v>3</v>
      </c>
      <c r="AW35" s="6" t="str">
        <f t="shared" ref="AW35:AW36" si="36">IF(AND(ISNUMBER(J35),ISNUMBER(M35)),IF(J35+M35=1,1,0),"")</f>
        <v/>
      </c>
      <c r="AY35" s="48">
        <f>AU35*100+AV35</f>
        <v>503</v>
      </c>
      <c r="AZ35" s="48">
        <f>AV35*100+AU35</f>
        <v>305</v>
      </c>
      <c r="BA35" s="6">
        <f t="shared" si="35"/>
        <v>0</v>
      </c>
      <c r="BB35" s="6">
        <f t="shared" si="35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3</v>
      </c>
      <c r="C36" s="6" t="str">
        <f>VLOOKUP(AU36,$B$4:$F$9,2,FALSE)</f>
        <v>B</v>
      </c>
      <c r="D36" s="46" t="s">
        <v>5</v>
      </c>
      <c r="E36" s="84" t="str">
        <f>VLOOKUP(AV36,$B$4:$F$9,2,FALSE)</f>
        <v>A</v>
      </c>
      <c r="F36" s="84"/>
      <c r="G36" s="84"/>
      <c r="H36" s="84"/>
      <c r="J36" s="84" t="str">
        <f>IF(T36="","",VLOOKUP(T36,Configuratie!$B$1:$E$10,3,FALSE))</f>
        <v/>
      </c>
      <c r="K36" s="84"/>
      <c r="L36" s="6" t="s">
        <v>5</v>
      </c>
      <c r="M36" s="84" t="str">
        <f>IF(T36="","",VLOOKUP(T36,Configuratie!$B$1:$E$10,4,FALSE))</f>
        <v/>
      </c>
      <c r="N36" s="84"/>
      <c r="R36" s="6" t="str">
        <f>IF(T36="","",VLOOKUP(T36,Configuratie!$B$1:$E$10,2,FALSE))</f>
        <v/>
      </c>
      <c r="T36" s="5"/>
      <c r="AT36" s="6">
        <v>5</v>
      </c>
      <c r="AU36" s="6">
        <v>2</v>
      </c>
      <c r="AV36" s="6">
        <v>1</v>
      </c>
      <c r="AW36" s="6" t="str">
        <f t="shared" si="36"/>
        <v/>
      </c>
      <c r="AY36" s="48">
        <f>AU36*100+AV36</f>
        <v>201</v>
      </c>
      <c r="AZ36" s="48">
        <f>AV36*100+AU36</f>
        <v>102</v>
      </c>
      <c r="BA36" s="6">
        <f t="shared" si="35"/>
        <v>0</v>
      </c>
      <c r="BB36" s="6">
        <f t="shared" si="35"/>
        <v>0</v>
      </c>
      <c r="BC36" s="6" t="e">
        <f>J36*BB36</f>
        <v>#VALUE!</v>
      </c>
      <c r="BD36" s="6" t="e">
        <f>M36*BA36</f>
        <v>#VALUE!</v>
      </c>
    </row>
    <row r="52" spans="13:14" x14ac:dyDescent="0.25">
      <c r="M52" s="84"/>
      <c r="N52" s="84"/>
    </row>
    <row r="53" spans="13:14" x14ac:dyDescent="0.25">
      <c r="M53" s="84"/>
      <c r="N53" s="84"/>
    </row>
    <row r="54" spans="13:14" x14ac:dyDescent="0.25">
      <c r="M54" s="84"/>
      <c r="N54" s="84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3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BQ21"/>
  <sheetViews>
    <sheetView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7" style="6" customWidth="1"/>
    <col min="19" max="19" width="6.7109375" style="6" customWidth="1"/>
    <col min="20" max="20" width="3.7109375" style="6" customWidth="1"/>
    <col min="21" max="21" width="6.7109375" style="6" customWidth="1"/>
    <col min="22" max="22" width="3" style="6" hidden="1" customWidth="1"/>
    <col min="23" max="23" width="27.7109375" style="6" customWidth="1"/>
    <col min="24" max="24" width="6.7109375" style="6" customWidth="1"/>
    <col min="25" max="25" width="6.7109375" style="6" hidden="1" customWidth="1"/>
    <col min="26" max="26" width="6.7109375" style="6" customWidth="1"/>
    <col min="27" max="28" width="6.7109375" style="6" hidden="1" customWidth="1"/>
    <col min="29" max="29" width="3.5703125" style="6" hidden="1" customWidth="1"/>
    <col min="30" max="30" width="8.85546875" style="6" hidden="1" customWidth="1"/>
    <col min="31" max="31" width="6.140625" style="6" hidden="1" customWidth="1"/>
    <col min="32" max="32" width="8.5703125" style="6" hidden="1" customWidth="1"/>
    <col min="33" max="33" width="6.140625" style="6" hidden="1" customWidth="1"/>
    <col min="34" max="34" width="8.5703125" style="6" hidden="1" customWidth="1"/>
    <col min="35" max="36" width="6.7109375" style="6" hidden="1" customWidth="1"/>
    <col min="37" max="37" width="10.42578125" style="6" hidden="1" customWidth="1"/>
    <col min="38" max="42" width="6.7109375" style="6" hidden="1" customWidth="1"/>
    <col min="43" max="46" width="9.140625" style="6" hidden="1" customWidth="1"/>
    <col min="47" max="48" width="4.42578125" style="6" hidden="1" customWidth="1"/>
    <col min="49" max="67" width="3.7109375" style="6" hidden="1" customWidth="1"/>
    <col min="68" max="69" width="9.140625" style="6" hidden="1" customWidth="1"/>
    <col min="70" max="85" width="9.140625" style="6" customWidth="1"/>
    <col min="86" max="16384" width="9.140625" style="6"/>
  </cols>
  <sheetData>
    <row r="1" spans="1:67" ht="26.25" x14ac:dyDescent="0.4">
      <c r="A1" s="24">
        <v>4</v>
      </c>
      <c r="B1" s="83" t="s">
        <v>31</v>
      </c>
      <c r="C1" s="83"/>
      <c r="D1" s="83"/>
      <c r="E1" s="83"/>
      <c r="F1" s="83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15"/>
      <c r="U1" s="85" t="str">
        <f>"UITSLAG " &amp; G1</f>
        <v>UITSLAG GROEP A</v>
      </c>
      <c r="V1" s="86"/>
      <c r="W1" s="86"/>
      <c r="X1" s="86"/>
      <c r="Y1" s="86"/>
      <c r="Z1" s="86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27</v>
      </c>
      <c r="AR2" s="16" t="s">
        <v>26</v>
      </c>
      <c r="AS2" s="16" t="s">
        <v>28</v>
      </c>
      <c r="AV2" s="86" t="s">
        <v>22</v>
      </c>
      <c r="AW2" s="86"/>
      <c r="AX2" s="86"/>
      <c r="AY2" s="86"/>
      <c r="AZ2" s="86"/>
      <c r="BA2" s="86"/>
      <c r="BB2" s="86"/>
      <c r="BC2" s="86"/>
      <c r="BD2" s="86"/>
      <c r="BE2" s="17"/>
      <c r="BF2" s="18"/>
      <c r="BG2" s="86" t="s">
        <v>23</v>
      </c>
      <c r="BH2" s="86"/>
      <c r="BI2" s="86"/>
      <c r="BJ2" s="86"/>
      <c r="BK2" s="86"/>
      <c r="BL2" s="86"/>
      <c r="BM2" s="86"/>
      <c r="BN2" s="86"/>
      <c r="BO2" s="86"/>
    </row>
    <row r="3" spans="1:67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33</v>
      </c>
      <c r="V3" s="22" t="s">
        <v>30</v>
      </c>
      <c r="W3" s="7" t="s">
        <v>6</v>
      </c>
      <c r="X3" s="7" t="s">
        <v>29</v>
      </c>
      <c r="Y3" s="7" t="s">
        <v>24</v>
      </c>
      <c r="Z3" s="7" t="s">
        <v>26</v>
      </c>
      <c r="AA3" s="7" t="s">
        <v>34</v>
      </c>
      <c r="AB3" s="7" t="s">
        <v>35</v>
      </c>
      <c r="AC3" s="21"/>
      <c r="AD3" s="7" t="s">
        <v>60</v>
      </c>
      <c r="AE3" s="7" t="s">
        <v>61</v>
      </c>
      <c r="AF3" s="7" t="s">
        <v>62</v>
      </c>
      <c r="AG3" s="7" t="s">
        <v>63</v>
      </c>
      <c r="AH3" s="7" t="s">
        <v>64</v>
      </c>
      <c r="AI3" s="7" t="s">
        <v>65</v>
      </c>
      <c r="AJ3" s="7"/>
      <c r="AK3" s="7" t="s">
        <v>66</v>
      </c>
      <c r="AL3" s="7" t="s">
        <v>67</v>
      </c>
      <c r="AM3" s="7" t="s">
        <v>68</v>
      </c>
      <c r="AN3" s="7" t="s">
        <v>69</v>
      </c>
      <c r="AO3" s="21"/>
      <c r="AP3" s="7" t="s">
        <v>36</v>
      </c>
      <c r="AQ3" s="23" t="s">
        <v>25</v>
      </c>
      <c r="AR3" s="16" t="s">
        <v>25</v>
      </c>
      <c r="AS3" s="16" t="s">
        <v>25</v>
      </c>
      <c r="AU3" s="6" t="s">
        <v>30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30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40</v>
      </c>
      <c r="D4" s="93"/>
      <c r="E4" s="93"/>
      <c r="F4" s="25">
        <v>1000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AN4</f>
        <v>1</v>
      </c>
      <c r="T4" s="30"/>
      <c r="U4" s="31">
        <v>1</v>
      </c>
      <c r="V4" s="32">
        <v>4</v>
      </c>
      <c r="W4" s="33" t="str">
        <f>IF(ISNA(VLOOKUP(U4,$A$4:$T$7,3,FALSE)),C4,VLOOKUP(U4,$A$4:$T$7,3,FALSE))</f>
        <v>A</v>
      </c>
      <c r="X4" s="34">
        <f>IF(ISNA(VLOOKUP($B4,$A$4:$S$7,17,FALSE)),0,VLOOKUP($B4,$A$4:$S$7,17,FALSE))</f>
        <v>0</v>
      </c>
      <c r="Y4" s="34">
        <f t="shared" ref="Y4" si="1">IF(ISNA(VLOOKUP($B4,$A$4:$S$7,17,FALSE)),0,VLOOKUP($B4,$A$4:$S$7,17,FALSE))</f>
        <v>0</v>
      </c>
      <c r="Z4" s="34">
        <f>IF(ISNA(VLOOKUP($B4,$A$4:$S$7,18,FALSE)),0,VLOOKUP($B4,$A$4:$S$7,18,FALSE))</f>
        <v>0</v>
      </c>
      <c r="AA4" s="34">
        <f>VLOOKUP($V4,$AP$4:$AS$7,4,FALSE)</f>
        <v>0</v>
      </c>
      <c r="AB4" s="35">
        <f>VLOOKUP($V4,$B$4:$K$7,5,FALSE)</f>
        <v>1000</v>
      </c>
      <c r="AC4" s="30"/>
      <c r="AD4" s="36">
        <f>IF(Q4=$Q$4,IF(M4="",0,M4))+IF(Q4=$Q$5,IF(N4="",0,N4))+IF(Q4=$Q$6,IF(O4="",0,O4))+IF(Q4=$Q$7,IF(P4="",0,P4))</f>
        <v>0</v>
      </c>
      <c r="AE4" s="30">
        <f>$AD$9*Q4+AD4</f>
        <v>0</v>
      </c>
      <c r="AF4" s="30">
        <f>IF(AE4=$AEE$4,IF(M4="",0,M4))+IF(AE4=$AE$5,IF(N4="",0,N4))+IF(AE4=$AE$6,IF(O4="",0,O4))+IF(AE4=$AE$7,IF(P4="",0,P4))</f>
        <v>0</v>
      </c>
      <c r="AG4" s="30">
        <f>$AF$9*AE4+AF4</f>
        <v>0</v>
      </c>
      <c r="AH4" s="30">
        <f>IF(AG4=$AG$4,IF(M4="",0,M4))+IF(AG4=$AG$5,IF(N4="",0,N4))+IF(AG4=$AG$6,IF(O4="",0,O4))+IF(AG4=$AG$7,IF(O4="",0,O4))</f>
        <v>0</v>
      </c>
      <c r="AI4" s="30">
        <f>$AH$9*AG4+AJ4</f>
        <v>0</v>
      </c>
      <c r="AJ4" s="30"/>
      <c r="AK4" s="30">
        <f>RANK(AI4,$AI$4:$AI$7,1)-1</f>
        <v>0</v>
      </c>
      <c r="AL4" s="30">
        <f>RANK(R4,$R$4:$R$7,1)-1</f>
        <v>0</v>
      </c>
      <c r="AM4" s="30">
        <f>4*AK4+AL4</f>
        <v>0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0</v>
      </c>
      <c r="AR4" s="39" t="e">
        <f>SUMIF($AQ$9:$AQ$21,B4,$AY$9:$AY$21)+SUMIF($AR$9:$AR$21,B4,$AZ$9:$AZ$21)</f>
        <v>#VALUE!</v>
      </c>
      <c r="AS4" s="39">
        <f>SUM(BG4:BO4)</f>
        <v>0</v>
      </c>
      <c r="AU4" s="6">
        <v>1</v>
      </c>
      <c r="AV4" s="6">
        <f t="shared" ref="AV4:BD7" si="2" xml:space="preserve"> SUMIFS( $J$12:$J$21, $AQ$12:$AQ$21,$AU4, $AP$12:$AP$21,AV$3) + SUMIFS( $N$12:$N$21, $AR$12:$AR$21,$AU4, $AP$12:$AP$21,AV$3)</f>
        <v>0</v>
      </c>
      <c r="AW4" s="6">
        <f t="shared" si="2"/>
        <v>0</v>
      </c>
      <c r="AX4" s="6">
        <f t="shared" si="2"/>
        <v>0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0</v>
      </c>
      <c r="BI4" s="6">
        <f t="shared" si="3"/>
        <v>0</v>
      </c>
      <c r="BJ4" s="6">
        <f t="shared" si="3"/>
        <v>0</v>
      </c>
      <c r="BK4" s="6">
        <f t="shared" si="3"/>
        <v>0</v>
      </c>
      <c r="BL4" s="6">
        <f t="shared" si="3"/>
        <v>0</v>
      </c>
      <c r="BM4" s="6">
        <f t="shared" si="3"/>
        <v>0</v>
      </c>
      <c r="BN4" s="6">
        <f t="shared" si="3"/>
        <v>0</v>
      </c>
      <c r="BO4" s="6">
        <f t="shared" si="3"/>
        <v>0</v>
      </c>
    </row>
    <row r="5" spans="1:67" x14ac:dyDescent="0.25">
      <c r="A5" s="24">
        <f t="shared" ref="A5:A7" si="4">S5</f>
        <v>1</v>
      </c>
      <c r="B5" s="25">
        <v>2</v>
      </c>
      <c r="C5" s="25" t="s">
        <v>41</v>
      </c>
      <c r="D5" s="93"/>
      <c r="E5" s="93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5">IF(M5="",0,M5)*$Q$4+IF(N5="",0,N5)*$Q$5+IF(O5="",0,O5)*$Q$6+IF(P5="",0,P5)*$Q$7</f>
        <v>0</v>
      </c>
      <c r="S5" s="27">
        <f t="shared" ref="S5:S8" si="6">AN5</f>
        <v>1</v>
      </c>
      <c r="T5" s="30"/>
      <c r="U5" s="31">
        <v>2</v>
      </c>
      <c r="V5" s="32">
        <v>3</v>
      </c>
      <c r="W5" s="33" t="str">
        <f t="shared" ref="W5:W8" si="7">IF(ISNA(VLOOKUP(U5,$A$4:$T$7,3,FALSE)),C5,VLOOKUP(U5,$A$4:$T$7,3,FALSE))</f>
        <v>B</v>
      </c>
      <c r="X5" s="34">
        <f t="shared" ref="X5:Y7" si="8">IF(ISNA(VLOOKUP($B5,$A$4:$S$7,17,FALSE)),0,VLOOKUP($B5,$A$4:$S$7,17,FALSE))</f>
        <v>0</v>
      </c>
      <c r="Y5" s="34">
        <f t="shared" si="8"/>
        <v>0</v>
      </c>
      <c r="Z5" s="34">
        <f t="shared" ref="Z5:Z7" si="9">IF(ISNA(VLOOKUP($B5,$A$4:$S$7,18,FALSE)),0,VLOOKUP($B5,$A$4:$S$7,18,FALSE))</f>
        <v>0</v>
      </c>
      <c r="AA5" s="34">
        <f>VLOOKUP($V5,$AP$4:$AS$7,4,FALSE)</f>
        <v>0</v>
      </c>
      <c r="AB5" s="35">
        <f>VLOOKUP($V5,$B$4:$K$7,5,FALSE)</f>
        <v>1000</v>
      </c>
      <c r="AC5" s="30"/>
      <c r="AD5" s="36">
        <f t="shared" ref="AD5:AD7" si="10">IF(Q5=$Q$4,IF(M5="",0,M5))+IF(Q5=$Q$5,IF(N5="",0,N5))+IF(Q5=$Q$6,IF(O5="",0,O5))+IF(Q5=$Q$7,IF(P5="",0,P5))</f>
        <v>0</v>
      </c>
      <c r="AE5" s="30">
        <f>$AD$9*Q5+AD5</f>
        <v>0</v>
      </c>
      <c r="AF5" s="30">
        <f>IF(AE5=$AEE$4,IF(M5="",0,M5))+IF(AE5=$AE$5,IF(N5="",0,N5))+IF(AE5=$AE$6,IF(O5="",0,O5))+IF(AE5=$AE$7,IF(P5="",0,P5))</f>
        <v>0</v>
      </c>
      <c r="AG5" s="30">
        <f t="shared" ref="AG5:AG7" si="11">$AF$9*AE5+AF5</f>
        <v>0</v>
      </c>
      <c r="AH5" s="30">
        <f t="shared" ref="AH5:AH7" si="12">IF(AG5=$AG$4,IF(M5="",0,M5))+IF(AG5=$AG$5,IF(N5="",0,N5))+IF(AG5=$AG$6,IF(O5="",0,O5))+IF(AG5=$AG$7,IF(O5="",0,O5))</f>
        <v>0</v>
      </c>
      <c r="AI5" s="30">
        <f t="shared" ref="AI5:AI7" si="13">$AH$9*AG5+AJ5</f>
        <v>0</v>
      </c>
      <c r="AJ5" s="30"/>
      <c r="AK5" s="30">
        <f t="shared" ref="AK5:AK7" si="14">RANK(AI5,$AI$4:$AI$7,1)-1</f>
        <v>0</v>
      </c>
      <c r="AL5" s="30">
        <f t="shared" ref="AL5:AL7" si="15">RANK(R5,$R$4:$R$7,1)-1</f>
        <v>0</v>
      </c>
      <c r="AM5" s="30">
        <f t="shared" ref="AM5:AM7" si="16">4*AK5+AL5</f>
        <v>0</v>
      </c>
      <c r="AN5" s="30">
        <f t="shared" ref="AN5:AN7" si="17">RANK(AM5,$AM$4:$AM$7)</f>
        <v>1</v>
      </c>
      <c r="AO5" s="30"/>
      <c r="AP5" s="37">
        <v>2</v>
      </c>
      <c r="AQ5" s="38">
        <f>SUMIF($AQ$9:$AQ$21,B5,$AW$9:$AW$21)+SUMIF($AR$9:$AR$21,B5,$AX$9:$AX$21)</f>
        <v>0</v>
      </c>
      <c r="AR5" s="39" t="e">
        <f>SUMIF($AQ$9:$AQ$21,B5,$AY$9:$AY$21)+SUMIF($AR$9:$AR$21,B5,$AZ$9:$AZ$21)</f>
        <v>#VALUE!</v>
      </c>
      <c r="AS5" s="39">
        <f t="shared" ref="AS5:AS7" si="18">SUM(BG5:BO5)</f>
        <v>0</v>
      </c>
      <c r="AU5" s="6">
        <v>2</v>
      </c>
      <c r="AV5" s="6">
        <f t="shared" si="2"/>
        <v>0</v>
      </c>
      <c r="AW5" s="6">
        <f t="shared" si="2"/>
        <v>0</v>
      </c>
      <c r="AX5" s="6">
        <f t="shared" si="2"/>
        <v>0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19">AV5</f>
        <v>0</v>
      </c>
      <c r="BH5" s="6">
        <f t="shared" si="3"/>
        <v>0</v>
      </c>
      <c r="BI5" s="6">
        <f t="shared" si="3"/>
        <v>0</v>
      </c>
      <c r="BJ5" s="6">
        <f t="shared" si="3"/>
        <v>0</v>
      </c>
      <c r="BK5" s="6">
        <f t="shared" si="3"/>
        <v>0</v>
      </c>
      <c r="BL5" s="6">
        <f t="shared" si="3"/>
        <v>0</v>
      </c>
      <c r="BM5" s="6">
        <f t="shared" si="3"/>
        <v>0</v>
      </c>
      <c r="BN5" s="6">
        <f t="shared" si="3"/>
        <v>0</v>
      </c>
      <c r="BO5" s="6">
        <f t="shared" si="3"/>
        <v>0</v>
      </c>
    </row>
    <row r="6" spans="1:67" x14ac:dyDescent="0.25">
      <c r="A6" s="24">
        <f t="shared" si="4"/>
        <v>1</v>
      </c>
      <c r="B6" s="25">
        <v>3</v>
      </c>
      <c r="C6" s="25" t="s">
        <v>42</v>
      </c>
      <c r="D6" s="93"/>
      <c r="E6" s="93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5"/>
        <v>0</v>
      </c>
      <c r="S6" s="27">
        <f t="shared" si="6"/>
        <v>1</v>
      </c>
      <c r="T6" s="30"/>
      <c r="U6" s="31">
        <v>3</v>
      </c>
      <c r="V6" s="32">
        <v>2</v>
      </c>
      <c r="W6" s="33" t="str">
        <f t="shared" si="7"/>
        <v>C</v>
      </c>
      <c r="X6" s="34">
        <f t="shared" si="8"/>
        <v>0</v>
      </c>
      <c r="Y6" s="34">
        <f t="shared" si="8"/>
        <v>0</v>
      </c>
      <c r="Z6" s="34">
        <f t="shared" si="9"/>
        <v>0</v>
      </c>
      <c r="AA6" s="34">
        <f>VLOOKUP($V6,$AP$4:$AS$7,4,FALSE)</f>
        <v>0</v>
      </c>
      <c r="AB6" s="35">
        <f>VLOOKUP($V6,$B$4:$K$7,5,FALSE)</f>
        <v>1000</v>
      </c>
      <c r="AC6" s="30"/>
      <c r="AD6" s="36">
        <f t="shared" si="10"/>
        <v>0</v>
      </c>
      <c r="AE6" s="30">
        <f>$AD$9*Q6+AD6</f>
        <v>0</v>
      </c>
      <c r="AF6" s="30">
        <f>IF(AE6=$AEE$4,IF(M6="",0,M6))+IF(AE6=$AE$5,IF(N6="",0,N6))+IF(AE6=$AE$6,IF(O6="",0,O6))+IF(AE6=$AE$7,IF(P6="",0,P6))</f>
        <v>0</v>
      </c>
      <c r="AG6" s="30">
        <f t="shared" si="11"/>
        <v>0</v>
      </c>
      <c r="AH6" s="30">
        <f t="shared" si="12"/>
        <v>0</v>
      </c>
      <c r="AI6" s="30">
        <f t="shared" si="13"/>
        <v>0</v>
      </c>
      <c r="AJ6" s="30"/>
      <c r="AK6" s="30">
        <f t="shared" si="14"/>
        <v>0</v>
      </c>
      <c r="AL6" s="30">
        <f t="shared" si="15"/>
        <v>0</v>
      </c>
      <c r="AM6" s="30">
        <f t="shared" si="16"/>
        <v>0</v>
      </c>
      <c r="AN6" s="30">
        <f t="shared" si="17"/>
        <v>1</v>
      </c>
      <c r="AO6" s="30"/>
      <c r="AP6" s="37">
        <v>3</v>
      </c>
      <c r="AQ6" s="38">
        <f>SUMIF($AQ$9:$AQ$21,B6,$AW$9:$AW$21)+SUMIF($AR$9:$AR$21,B6,$AX$9:$AX$21)</f>
        <v>0</v>
      </c>
      <c r="AR6" s="39" t="e">
        <f>SUMIF($AQ$9:$AQ$21,B6,$AY$9:$AY$21)+SUMIF($AR$9:$AR$21,B6,$AZ$9:$AZ$21)</f>
        <v>#VALUE!</v>
      </c>
      <c r="AS6" s="39">
        <f t="shared" si="18"/>
        <v>0</v>
      </c>
      <c r="AU6" s="6">
        <v>3</v>
      </c>
      <c r="AV6" s="6">
        <f t="shared" si="2"/>
        <v>0</v>
      </c>
      <c r="AW6" s="6">
        <f t="shared" si="2"/>
        <v>0</v>
      </c>
      <c r="AX6" s="6">
        <f t="shared" si="2"/>
        <v>0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19"/>
        <v>0</v>
      </c>
      <c r="BH6" s="6">
        <f t="shared" si="3"/>
        <v>0</v>
      </c>
      <c r="BI6" s="6">
        <f t="shared" si="3"/>
        <v>0</v>
      </c>
      <c r="BJ6" s="6">
        <f t="shared" si="3"/>
        <v>0</v>
      </c>
      <c r="BK6" s="6">
        <f t="shared" si="3"/>
        <v>0</v>
      </c>
      <c r="BL6" s="6">
        <f t="shared" si="3"/>
        <v>0</v>
      </c>
      <c r="BM6" s="6">
        <f t="shared" si="3"/>
        <v>0</v>
      </c>
      <c r="BN6" s="6">
        <f t="shared" si="3"/>
        <v>0</v>
      </c>
      <c r="BO6" s="6">
        <f t="shared" si="3"/>
        <v>0</v>
      </c>
    </row>
    <row r="7" spans="1:67" x14ac:dyDescent="0.25">
      <c r="A7" s="24">
        <f t="shared" si="4"/>
        <v>1</v>
      </c>
      <c r="B7" s="25">
        <v>4</v>
      </c>
      <c r="C7" s="25" t="s">
        <v>43</v>
      </c>
      <c r="D7" s="93"/>
      <c r="E7" s="93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5"/>
        <v>0</v>
      </c>
      <c r="S7" s="27">
        <f t="shared" si="6"/>
        <v>1</v>
      </c>
      <c r="T7" s="30"/>
      <c r="U7" s="31">
        <v>4</v>
      </c>
      <c r="V7" s="32">
        <v>1</v>
      </c>
      <c r="W7" s="33" t="str">
        <f t="shared" si="7"/>
        <v>D</v>
      </c>
      <c r="X7" s="34">
        <f t="shared" si="8"/>
        <v>0</v>
      </c>
      <c r="Y7" s="34">
        <f t="shared" si="8"/>
        <v>0</v>
      </c>
      <c r="Z7" s="34">
        <f t="shared" si="9"/>
        <v>0</v>
      </c>
      <c r="AA7" s="34">
        <f>VLOOKUP($V7,$AP$4:$AS$7,4,FALSE)</f>
        <v>0</v>
      </c>
      <c r="AB7" s="35">
        <f>VLOOKUP($V7,$B$4:$K$7,5,FALSE)</f>
        <v>1000</v>
      </c>
      <c r="AC7" s="30"/>
      <c r="AD7" s="36">
        <f t="shared" si="10"/>
        <v>0</v>
      </c>
      <c r="AE7" s="30">
        <f>$AD$9*Q7+AD7</f>
        <v>0</v>
      </c>
      <c r="AF7" s="30">
        <f>IF(AE7=$AEE$4,IF(M7="",0,M7))+IF(AE7=$AE$5,IF(N7="",0,N7))+IF(AE7=$AE$6,IF(O7="",0,O7))+IF(AE7=$AE$7,IF(P7="",0,P7))</f>
        <v>0</v>
      </c>
      <c r="AG7" s="30">
        <f t="shared" si="11"/>
        <v>0</v>
      </c>
      <c r="AH7" s="30">
        <f t="shared" si="12"/>
        <v>0</v>
      </c>
      <c r="AI7" s="30">
        <f t="shared" si="13"/>
        <v>0</v>
      </c>
      <c r="AJ7" s="30"/>
      <c r="AK7" s="30">
        <f t="shared" si="14"/>
        <v>0</v>
      </c>
      <c r="AL7" s="30">
        <f t="shared" si="15"/>
        <v>0</v>
      </c>
      <c r="AM7" s="30">
        <f t="shared" si="16"/>
        <v>0</v>
      </c>
      <c r="AN7" s="30">
        <f t="shared" si="17"/>
        <v>1</v>
      </c>
      <c r="AO7" s="30"/>
      <c r="AP7" s="37">
        <v>4</v>
      </c>
      <c r="AQ7" s="38">
        <f>SUMIF($AQ$9:$AQ$21,B7,$AW$9:$AW$21)+SUMIF($AR$9:$AR$21,B7,$AX$9:$AX$21)</f>
        <v>0</v>
      </c>
      <c r="AR7" s="39" t="e">
        <f>SUMIF($AQ$9:$AQ$21,B7,$AY$9:$AY$21)+SUMIF($AR$9:$AR$21,B7,$AZ$9:$AZ$21)</f>
        <v>#VALUE!</v>
      </c>
      <c r="AS7" s="39">
        <f t="shared" si="18"/>
        <v>0</v>
      </c>
      <c r="AU7" s="6">
        <v>4</v>
      </c>
      <c r="AV7" s="6">
        <f t="shared" si="2"/>
        <v>0</v>
      </c>
      <c r="AW7" s="6">
        <f t="shared" si="2"/>
        <v>0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19"/>
        <v>0</v>
      </c>
      <c r="BH7" s="6">
        <f t="shared" si="3"/>
        <v>0</v>
      </c>
      <c r="BI7" s="6">
        <f t="shared" si="3"/>
        <v>0</v>
      </c>
      <c r="BJ7" s="6">
        <f t="shared" si="3"/>
        <v>0</v>
      </c>
      <c r="BK7" s="6">
        <f t="shared" si="3"/>
        <v>0</v>
      </c>
      <c r="BL7" s="6">
        <f t="shared" si="3"/>
        <v>0</v>
      </c>
      <c r="BM7" s="6">
        <f t="shared" si="3"/>
        <v>0</v>
      </c>
      <c r="BN7" s="6">
        <f t="shared" si="3"/>
        <v>0</v>
      </c>
      <c r="BO7" s="6">
        <f t="shared" si="3"/>
        <v>0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W8" s="33">
        <f t="shared" si="7"/>
        <v>0</v>
      </c>
      <c r="AD8" s="40"/>
      <c r="AL8" s="30">
        <f t="shared" ref="AL8" si="20">RANK(R8,R8:R11,1)-1</f>
        <v>0</v>
      </c>
    </row>
    <row r="9" spans="1:67" x14ac:dyDescent="0.25">
      <c r="AD9" s="36">
        <f>2*MAX(AD4:AD7)+1</f>
        <v>1</v>
      </c>
      <c r="AF9" s="30">
        <f>2*MAX(AF4:AF7)+1</f>
        <v>1</v>
      </c>
      <c r="AH9" s="30">
        <f>2*MAX(AH4:AH7)+1</f>
        <v>1</v>
      </c>
      <c r="AP9" s="41" t="s">
        <v>39</v>
      </c>
      <c r="AQ9" s="41" t="s">
        <v>0</v>
      </c>
      <c r="AR9" s="41" t="s">
        <v>1</v>
      </c>
      <c r="AS9" s="41" t="s">
        <v>2</v>
      </c>
      <c r="AU9" s="42" t="s">
        <v>37</v>
      </c>
      <c r="AV9" s="42" t="s">
        <v>38</v>
      </c>
      <c r="AW9" s="6" t="s">
        <v>18</v>
      </c>
      <c r="AX9" s="6" t="s">
        <v>19</v>
      </c>
      <c r="AY9" s="6" t="s">
        <v>20</v>
      </c>
      <c r="AZ9" s="6" t="s">
        <v>21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D</v>
      </c>
      <c r="D12" s="46" t="s">
        <v>5</v>
      </c>
      <c r="E12" s="84" t="str">
        <f>VLOOKUP(AR12,$B$4:$F$7,2,FALSE)</f>
        <v>A</v>
      </c>
      <c r="F12" s="84"/>
      <c r="G12" s="84"/>
      <c r="H12" s="84"/>
      <c r="J12" s="84" t="str">
        <f>IF(S12="","",VLOOKUP(S12,Configuratie!$B$1:$E$10,3,FALSE))</f>
        <v/>
      </c>
      <c r="K12" s="84"/>
      <c r="L12" s="47" t="s">
        <v>5</v>
      </c>
      <c r="N12" s="84" t="str">
        <f>IF(S12="","",VLOOKUP(S12,Configuratie!$B$1:$E$10,4,FALSE))</f>
        <v/>
      </c>
      <c r="O12" s="84"/>
      <c r="Q12" s="6" t="str">
        <f>IF(S12="","",VLOOKUP(S12,Configuratie!$B$1:$E$10,2,FALSE))</f>
        <v/>
      </c>
      <c r="S12" s="5"/>
      <c r="AP12" s="6">
        <v>1</v>
      </c>
      <c r="AQ12" s="6">
        <v>4</v>
      </c>
      <c r="AR12" s="6">
        <v>1</v>
      </c>
      <c r="AS12" s="6" t="str">
        <f>IF(AND(ISNUMBER(J12),ISNUMBER(N12)),IF(J12+N12=1,1,0),"")</f>
        <v/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 t="e">
        <f>J12*AX12</f>
        <v>#VALUE!</v>
      </c>
      <c r="AZ12" s="6" t="e">
        <f>N12*AW12</f>
        <v>#VALUE!</v>
      </c>
    </row>
    <row r="13" spans="1:67" x14ac:dyDescent="0.25">
      <c r="B13" s="6">
        <v>2</v>
      </c>
      <c r="C13" s="6" t="str">
        <f>VLOOKUP(AQ13,$B$4:$F$7,2,FALSE)</f>
        <v>C</v>
      </c>
      <c r="D13" s="46" t="s">
        <v>5</v>
      </c>
      <c r="E13" s="84" t="str">
        <f>VLOOKUP(AR13,$B$4:$F$7,2,FALSE)</f>
        <v>B</v>
      </c>
      <c r="F13" s="84"/>
      <c r="G13" s="84"/>
      <c r="H13" s="84"/>
      <c r="J13" s="84" t="str">
        <f>IF(S13="","",VLOOKUP(S13,Configuratie!$B$1:$E$10,3,FALSE))</f>
        <v/>
      </c>
      <c r="K13" s="84"/>
      <c r="L13" s="47" t="s">
        <v>5</v>
      </c>
      <c r="N13" s="84" t="str">
        <f>IF(S13="","",VLOOKUP(S13,Configuratie!$B$1:$E$10,4,FALSE))</f>
        <v/>
      </c>
      <c r="O13" s="84"/>
      <c r="Q13" s="6" t="str">
        <f>IF(S13="","",VLOOKUP(S13,Configuratie!$B$1:$E$10,2,FALSE))</f>
        <v/>
      </c>
      <c r="S13" s="5"/>
      <c r="AP13" s="6">
        <v>1</v>
      </c>
      <c r="AQ13" s="6">
        <v>3</v>
      </c>
      <c r="AR13" s="6">
        <v>2</v>
      </c>
      <c r="AS13" s="6" t="str">
        <f>IF(AND(ISNUMBER(J13),ISNUMBER(N13)),IF(J13+N13=1,1,0),"")</f>
        <v/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 t="e">
        <f>J13*AX13</f>
        <v>#VALUE!</v>
      </c>
      <c r="AZ13" s="6" t="e">
        <f>N13*AW13</f>
        <v>#VALUE!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D</v>
      </c>
      <c r="D16" s="46" t="s">
        <v>5</v>
      </c>
      <c r="E16" s="84" t="str">
        <f>VLOOKUP(AR16,$B$4:$F$7,2,FALSE)</f>
        <v>B</v>
      </c>
      <c r="F16" s="84"/>
      <c r="G16" s="84"/>
      <c r="H16" s="84"/>
      <c r="J16" s="84" t="str">
        <f>IF(S16="","",VLOOKUP(S16,Configuratie!$B$1:$E$10,3,FALSE))</f>
        <v/>
      </c>
      <c r="K16" s="84"/>
      <c r="L16" s="47" t="s">
        <v>5</v>
      </c>
      <c r="N16" s="84" t="str">
        <f>IF(S16="","",VLOOKUP(S16,Configuratie!$B$1:$E$10,4,FALSE))</f>
        <v/>
      </c>
      <c r="O16" s="84"/>
      <c r="Q16" s="6" t="str">
        <f>IF(S16="","",VLOOKUP(S16,Configuratie!$B$1:$E$10,2,FALSE))</f>
        <v/>
      </c>
      <c r="S16" s="5"/>
      <c r="AP16" s="6">
        <v>2</v>
      </c>
      <c r="AQ16" s="6">
        <v>4</v>
      </c>
      <c r="AR16" s="6">
        <v>2</v>
      </c>
      <c r="AS16" s="6" t="str">
        <f>IF(AND(ISNUMBER(J16),ISNUMBER(N16)),IF(J16+N16=1,1,0),"")</f>
        <v/>
      </c>
      <c r="AU16" s="48">
        <f>AQ16*100+AR16</f>
        <v>402</v>
      </c>
      <c r="AV16" s="48">
        <f>AR16*100+AQ16</f>
        <v>204</v>
      </c>
      <c r="AW16" s="6">
        <f>VLOOKUP(AQ16,$BF$3:$BO$7,$AP16,FALSE)</f>
        <v>0</v>
      </c>
      <c r="AX16" s="6">
        <f>VLOOKUP(AR16,$BF$3:$BO$7,$AP16,FALSE)</f>
        <v>0</v>
      </c>
      <c r="AY16" s="6" t="e">
        <f>J16*AX16</f>
        <v>#VALUE!</v>
      </c>
      <c r="AZ16" s="6" t="e">
        <f>N16*AW16</f>
        <v>#VALUE!</v>
      </c>
    </row>
    <row r="17" spans="2:52" x14ac:dyDescent="0.25">
      <c r="B17" s="6">
        <v>2</v>
      </c>
      <c r="C17" s="6" t="str">
        <f>VLOOKUP(AQ17,$B$4:$F$7,2,FALSE)</f>
        <v>A</v>
      </c>
      <c r="D17" s="46" t="s">
        <v>5</v>
      </c>
      <c r="E17" s="84" t="str">
        <f>VLOOKUP(AR17,$B$4:$F$7,2,FALSE)</f>
        <v>C</v>
      </c>
      <c r="F17" s="84"/>
      <c r="G17" s="84"/>
      <c r="H17" s="84"/>
      <c r="J17" s="84" t="str">
        <f>IF(S17="","",VLOOKUP(S17,Configuratie!$B$1:$E$10,3,FALSE))</f>
        <v/>
      </c>
      <c r="K17" s="84"/>
      <c r="L17" s="47" t="s">
        <v>5</v>
      </c>
      <c r="N17" s="84" t="str">
        <f>IF(S17="","",VLOOKUP(S17,Configuratie!$B$1:$E$10,4,FALSE))</f>
        <v/>
      </c>
      <c r="O17" s="84"/>
      <c r="Q17" s="6" t="str">
        <f>IF(S17="","",VLOOKUP(S17,Configuratie!$B$1:$E$10,2,FALSE))</f>
        <v/>
      </c>
      <c r="S17" s="5"/>
      <c r="AP17" s="6">
        <v>2</v>
      </c>
      <c r="AQ17" s="6">
        <v>1</v>
      </c>
      <c r="AR17" s="6">
        <v>3</v>
      </c>
      <c r="AS17" s="6" t="str">
        <f>IF(AND(ISNUMBER(J17),ISNUMBER(N17)),IF(J17+N17=1,1,0),"")</f>
        <v/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</v>
      </c>
      <c r="AY17" s="6" t="e">
        <f>J17*AX17</f>
        <v>#VALUE!</v>
      </c>
      <c r="AZ17" s="6" t="e">
        <f>N17*AW17</f>
        <v>#VALUE!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C</v>
      </c>
      <c r="D20" s="46" t="s">
        <v>5</v>
      </c>
      <c r="E20" s="84" t="str">
        <f>VLOOKUP(AR20,$B$4:$F$7,2,FALSE)</f>
        <v>D</v>
      </c>
      <c r="F20" s="84"/>
      <c r="G20" s="84"/>
      <c r="H20" s="84"/>
      <c r="J20" s="84" t="str">
        <f>IF(S20="","",VLOOKUP(S20,Configuratie!$B$1:$E$10,3,FALSE))</f>
        <v/>
      </c>
      <c r="K20" s="84"/>
      <c r="L20" s="47" t="s">
        <v>5</v>
      </c>
      <c r="N20" s="84" t="str">
        <f>IF(S20="","",VLOOKUP(S20,Configuratie!$B$1:$E$10,4,FALSE))</f>
        <v/>
      </c>
      <c r="O20" s="84"/>
      <c r="Q20" s="6" t="str">
        <f>IF(S20="","",VLOOKUP(S20,Configuratie!$B$1:$E$10,2,FALSE))</f>
        <v/>
      </c>
      <c r="S20" s="5"/>
      <c r="AP20" s="6">
        <v>3</v>
      </c>
      <c r="AQ20" s="6">
        <v>3</v>
      </c>
      <c r="AR20" s="6">
        <v>4</v>
      </c>
      <c r="AS20" s="6" t="str">
        <f>IF(AND(ISNUMBER(J20),ISNUMBER(N20)),IF(J20+N20=1,1,0),"")</f>
        <v/>
      </c>
      <c r="AU20" s="48">
        <f>AQ20*100+AR20</f>
        <v>304</v>
      </c>
      <c r="AV20" s="48">
        <f>AR20*100+AQ20</f>
        <v>403</v>
      </c>
      <c r="AW20" s="6">
        <f>VLOOKUP(AQ20,$BF$3:$BO$7,$AP20,FALSE)</f>
        <v>0</v>
      </c>
      <c r="AX20" s="6">
        <f>VLOOKUP(AR20,$BF$3:$BO$7,$AP20,FALSE)</f>
        <v>0</v>
      </c>
      <c r="AY20" s="6" t="e">
        <f>J20*AX20</f>
        <v>#VALUE!</v>
      </c>
      <c r="AZ20" s="6" t="e">
        <f>N20*AW20</f>
        <v>#VALUE!</v>
      </c>
    </row>
    <row r="21" spans="2:52" x14ac:dyDescent="0.25">
      <c r="B21" s="6">
        <v>2</v>
      </c>
      <c r="C21" s="6" t="str">
        <f>VLOOKUP(AQ21,$B$4:$F$7,2,FALSE)</f>
        <v>B</v>
      </c>
      <c r="D21" s="46" t="s">
        <v>5</v>
      </c>
      <c r="E21" s="84" t="str">
        <f>VLOOKUP(AR21,$B$4:$F$7,2,FALSE)</f>
        <v>A</v>
      </c>
      <c r="F21" s="84"/>
      <c r="G21" s="84"/>
      <c r="H21" s="84"/>
      <c r="J21" s="84" t="str">
        <f>IF(S21="","",VLOOKUP(S21,Configuratie!$B$1:$E$10,3,FALSE))</f>
        <v/>
      </c>
      <c r="K21" s="84"/>
      <c r="L21" s="47" t="s">
        <v>5</v>
      </c>
      <c r="N21" s="84" t="str">
        <f>IF(S21="","",VLOOKUP(S21,Configuratie!$B$1:$E$10,4,FALSE))</f>
        <v/>
      </c>
      <c r="O21" s="84"/>
      <c r="Q21" s="6" t="str">
        <f>IF(S21="","",VLOOKUP(S21,Configuratie!$B$1:$E$10,2,FALSE))</f>
        <v/>
      </c>
      <c r="S21" s="5"/>
      <c r="AP21" s="6">
        <v>3</v>
      </c>
      <c r="AQ21" s="6">
        <v>2</v>
      </c>
      <c r="AR21" s="6">
        <v>1</v>
      </c>
      <c r="AS21" s="6" t="str">
        <f>IF(AND(ISNUMBER(J21),ISNUMBER(N21)),IF(J21+N21=1,1,0),"")</f>
        <v/>
      </c>
      <c r="AU21" s="48">
        <f>AQ21*100+AR21</f>
        <v>201</v>
      </c>
      <c r="AV21" s="48">
        <f>AR21*100+AQ21</f>
        <v>102</v>
      </c>
      <c r="AW21" s="6">
        <f>VLOOKUP(AQ21,$BF$3:$BO$7,$AP21,FALSE)</f>
        <v>0</v>
      </c>
      <c r="AX21" s="6">
        <f>VLOOKUP(AR21,$BF$3:$BO$7,$AP21,FALSE)</f>
        <v>0</v>
      </c>
      <c r="AY21" s="6" t="e">
        <f>J21*AX21</f>
        <v>#VALUE!</v>
      </c>
      <c r="AZ21" s="6" t="e">
        <f>N21*AW21</f>
        <v>#VALUE!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U1:Z1"/>
    <mergeCell ref="G1:S1"/>
    <mergeCell ref="AV2:BD2"/>
    <mergeCell ref="BG2:BO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2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98" t="s">
        <v>51</v>
      </c>
      <c r="B1" s="98"/>
      <c r="C1" s="98"/>
      <c r="D1" s="98"/>
      <c r="E1" s="98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98" t="s">
        <v>50</v>
      </c>
      <c r="B1" s="98"/>
      <c r="C1" s="98"/>
      <c r="D1" s="98"/>
      <c r="E1" s="98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0"/>
  <sheetViews>
    <sheetView zoomScale="110" zoomScaleNormal="110" workbookViewId="0"/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52</v>
      </c>
      <c r="B1">
        <v>0</v>
      </c>
      <c r="C1" s="4" t="s">
        <v>54</v>
      </c>
      <c r="D1">
        <v>0</v>
      </c>
      <c r="E1">
        <v>1</v>
      </c>
    </row>
    <row r="2" spans="1:5" x14ac:dyDescent="0.25">
      <c r="A2" t="s">
        <v>74</v>
      </c>
      <c r="B2">
        <v>1</v>
      </c>
      <c r="C2" s="4" t="s">
        <v>53</v>
      </c>
      <c r="D2">
        <v>1</v>
      </c>
      <c r="E2">
        <v>0</v>
      </c>
    </row>
    <row r="3" spans="1:5" x14ac:dyDescent="0.25">
      <c r="B3">
        <v>2</v>
      </c>
      <c r="C3" s="4" t="s">
        <v>55</v>
      </c>
      <c r="D3">
        <v>0.5</v>
      </c>
      <c r="E3">
        <v>0.5</v>
      </c>
    </row>
    <row r="4" spans="1:5" x14ac:dyDescent="0.25">
      <c r="B4">
        <v>3</v>
      </c>
      <c r="C4" s="4" t="s">
        <v>72</v>
      </c>
      <c r="D4">
        <v>0</v>
      </c>
      <c r="E4">
        <v>1</v>
      </c>
    </row>
    <row r="5" spans="1:5" x14ac:dyDescent="0.25">
      <c r="B5">
        <v>4</v>
      </c>
      <c r="C5" s="4" t="s">
        <v>71</v>
      </c>
      <c r="D5">
        <v>1</v>
      </c>
      <c r="E5">
        <v>0</v>
      </c>
    </row>
    <row r="6" spans="1:5" x14ac:dyDescent="0.25">
      <c r="B6">
        <v>5</v>
      </c>
      <c r="C6" s="4" t="s">
        <v>73</v>
      </c>
      <c r="D6">
        <v>0.5</v>
      </c>
      <c r="E6">
        <v>0.5</v>
      </c>
    </row>
    <row r="7" spans="1:5" x14ac:dyDescent="0.25">
      <c r="B7">
        <v>6</v>
      </c>
      <c r="C7" s="4" t="s">
        <v>57</v>
      </c>
      <c r="D7">
        <v>0</v>
      </c>
      <c r="E7">
        <v>0</v>
      </c>
    </row>
    <row r="8" spans="1:5" x14ac:dyDescent="0.25">
      <c r="B8">
        <v>7</v>
      </c>
      <c r="C8" s="4" t="s">
        <v>58</v>
      </c>
      <c r="D8">
        <v>0</v>
      </c>
      <c r="E8">
        <v>1</v>
      </c>
    </row>
    <row r="9" spans="1:5" x14ac:dyDescent="0.25">
      <c r="B9">
        <v>8</v>
      </c>
      <c r="C9" s="4" t="s">
        <v>56</v>
      </c>
      <c r="D9">
        <v>1</v>
      </c>
      <c r="E9">
        <v>0</v>
      </c>
    </row>
    <row r="10" spans="1:5" x14ac:dyDescent="0.25">
      <c r="B10">
        <v>9</v>
      </c>
      <c r="C10" s="4" t="s">
        <v>59</v>
      </c>
      <c r="D10">
        <v>0.5</v>
      </c>
      <c r="E10">
        <v>0.5</v>
      </c>
    </row>
  </sheetData>
  <sheetProtection password="CA5D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11</vt:i4>
      </vt:variant>
    </vt:vector>
  </HeadingPairs>
  <TitlesOfParts>
    <vt:vector size="20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2018-06-24T16:40:59Z</cp:lastPrinted>
  <dcterms:created xsi:type="dcterms:W3CDTF">2017-03-20T06:37:04Z</dcterms:created>
  <dcterms:modified xsi:type="dcterms:W3CDTF">2018-10-12T19:38:47Z</dcterms:modified>
</cp:coreProperties>
</file>