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601" codeName="{009DFEA7-8C9C-09C3-8CAF-802165E75F88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ars Dam\Documents\Repos\IJSCO_UI\IJSCO_app\"/>
    </mc:Choice>
  </mc:AlternateContent>
  <xr:revisionPtr revIDLastSave="0" documentId="13_ncr:1_{923FC424-4672-4A99-8861-CCBAB47C6EA7}" xr6:coauthVersionLast="43" xr6:coauthVersionMax="43" xr10:uidLastSave="{00000000-0000-0000-0000-000000000000}"/>
  <bookViews>
    <workbookView xWindow="-120" yWindow="-120" windowWidth="20730" windowHeight="11160" activeTab="2" xr2:uid="{00000000-000D-0000-FFFF-FFFF00000000}"/>
  </bookViews>
  <sheets>
    <sheet name="14" sheetId="8" r:id="rId1"/>
    <sheet name="12" sheetId="9" r:id="rId2"/>
    <sheet name="10" sheetId="1" r:id="rId3"/>
    <sheet name="8" sheetId="2" r:id="rId4"/>
    <sheet name="6" sheetId="3" r:id="rId5"/>
    <sheet name="4" sheetId="4" r:id="rId6"/>
    <sheet name="Groepsindeling" sheetId="6" r:id="rId7"/>
    <sheet name="Deelnemerslijst" sheetId="5" r:id="rId8"/>
    <sheet name="Configuratie" sheetId="7" r:id="rId9"/>
  </sheets>
  <definedNames>
    <definedName name="_xlnm.Print_Area" localSheetId="2">'10'!$B$1:$T$78,'10'!$D$80:$I$92</definedName>
    <definedName name="_xlnm.Print_Area" localSheetId="1">'12'!$B$1:$V$104,'12'!$B$106:$H$120</definedName>
    <definedName name="_xlnm.Print_Area" localSheetId="0">'14'!$B$1:$X$135,'14'!$B$137:$I$153</definedName>
    <definedName name="_xlnm.Print_Area" localSheetId="5">'4'!$B$1:$S$21,'4'!$B$23:$G$29</definedName>
    <definedName name="_xlnm.Print_Area" localSheetId="4">'6'!$B$1:$T$36,'6'!$B$39:$G$47</definedName>
    <definedName name="_xlnm.Print_Area" localSheetId="3">'8'!$B$1:$T$55,'8'!$B$57:$H$67</definedName>
    <definedName name="uitslag1_1">'4'!$S$12</definedName>
    <definedName name="uitslag1_2">'4'!$S$13</definedName>
    <definedName name="uitslag2_1">'4'!$S$16</definedName>
    <definedName name="uitslag2_2">'4'!$S$17</definedName>
    <definedName name="uitslag3_1">'4'!$S$20</definedName>
    <definedName name="uitslag3_2">'4'!$S$21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V1" i="9" l="1"/>
  <c r="T1" i="2"/>
  <c r="E42" i="3"/>
  <c r="D42" i="3"/>
  <c r="B106" i="9"/>
  <c r="AG4" i="1"/>
  <c r="AA4" i="2"/>
  <c r="Z4" i="2"/>
  <c r="H6" i="2"/>
  <c r="I6" i="2"/>
  <c r="J6" i="2"/>
  <c r="K6" i="2"/>
  <c r="L6" i="2"/>
  <c r="N6" i="2"/>
  <c r="O6" i="2"/>
  <c r="H7" i="2"/>
  <c r="I7" i="2"/>
  <c r="J7" i="2"/>
  <c r="K7" i="2"/>
  <c r="L7" i="2"/>
  <c r="M7" i="2"/>
  <c r="N7" i="2"/>
  <c r="O7" i="2"/>
  <c r="H8" i="2"/>
  <c r="I8" i="2"/>
  <c r="J8" i="2"/>
  <c r="K8" i="2"/>
  <c r="L8" i="2"/>
  <c r="M8" i="2"/>
  <c r="N8" i="2"/>
  <c r="O8" i="2"/>
  <c r="H9" i="2"/>
  <c r="I9" i="2"/>
  <c r="K9" i="2"/>
  <c r="L9" i="2"/>
  <c r="M9" i="2"/>
  <c r="N9" i="2"/>
  <c r="O9" i="2"/>
  <c r="H10" i="2"/>
  <c r="J10" i="2"/>
  <c r="K10" i="2"/>
  <c r="L10" i="2"/>
  <c r="M10" i="2"/>
  <c r="N10" i="2"/>
  <c r="O10" i="2"/>
  <c r="I11" i="2"/>
  <c r="J11" i="2"/>
  <c r="K11" i="2"/>
  <c r="L11" i="2"/>
  <c r="M11" i="2"/>
  <c r="N11" i="2"/>
  <c r="O11" i="2"/>
  <c r="I5" i="2"/>
  <c r="J5" i="2"/>
  <c r="K5" i="2"/>
  <c r="L5" i="2"/>
  <c r="M5" i="2"/>
  <c r="O5" i="2"/>
  <c r="P5" i="2"/>
  <c r="Q5" i="2"/>
  <c r="H5" i="2"/>
  <c r="H4" i="2"/>
  <c r="I4" i="2"/>
  <c r="J4" i="2"/>
  <c r="K4" i="2"/>
  <c r="L4" i="2"/>
  <c r="M4" i="2"/>
  <c r="N4" i="2"/>
  <c r="H4" i="1"/>
  <c r="M104" i="9"/>
  <c r="M103" i="9"/>
  <c r="M102" i="9"/>
  <c r="M101" i="9"/>
  <c r="M100" i="9"/>
  <c r="M99" i="9"/>
  <c r="M96" i="9"/>
  <c r="M95" i="9"/>
  <c r="M94" i="9"/>
  <c r="M93" i="9"/>
  <c r="M92" i="9"/>
  <c r="M91" i="9"/>
  <c r="M88" i="9"/>
  <c r="M87" i="9"/>
  <c r="M86" i="9"/>
  <c r="M85" i="9"/>
  <c r="M84" i="9"/>
  <c r="M83" i="9"/>
  <c r="M80" i="9"/>
  <c r="M79" i="9"/>
  <c r="M78" i="9"/>
  <c r="M77" i="9"/>
  <c r="M76" i="9"/>
  <c r="M75" i="9"/>
  <c r="M72" i="9"/>
  <c r="M71" i="9"/>
  <c r="M70" i="9"/>
  <c r="M69" i="9"/>
  <c r="M68" i="9"/>
  <c r="M67" i="9"/>
  <c r="M64" i="9"/>
  <c r="M63" i="9"/>
  <c r="M62" i="9"/>
  <c r="M61" i="9"/>
  <c r="M60" i="9"/>
  <c r="M59" i="9"/>
  <c r="M56" i="9"/>
  <c r="M55" i="9"/>
  <c r="M54" i="9"/>
  <c r="M53" i="9"/>
  <c r="M52" i="9"/>
  <c r="M51" i="9"/>
  <c r="M48" i="9"/>
  <c r="M47" i="9"/>
  <c r="M46" i="9"/>
  <c r="M45" i="9"/>
  <c r="M44" i="9"/>
  <c r="M43" i="9"/>
  <c r="M40" i="9"/>
  <c r="M39" i="9"/>
  <c r="M38" i="9"/>
  <c r="M37" i="9"/>
  <c r="M36" i="9"/>
  <c r="M35" i="9"/>
  <c r="J104" i="9"/>
  <c r="J103" i="9"/>
  <c r="J102" i="9"/>
  <c r="J101" i="9"/>
  <c r="J100" i="9"/>
  <c r="AW100" i="9" s="1"/>
  <c r="J99" i="9"/>
  <c r="J96" i="9"/>
  <c r="J95" i="9"/>
  <c r="J94" i="9"/>
  <c r="J93" i="9"/>
  <c r="J92" i="9"/>
  <c r="J91" i="9"/>
  <c r="J88" i="9"/>
  <c r="AW88" i="9" s="1"/>
  <c r="J87" i="9"/>
  <c r="J86" i="9"/>
  <c r="J85" i="9"/>
  <c r="J84" i="9"/>
  <c r="J83" i="9"/>
  <c r="J80" i="9"/>
  <c r="J79" i="9"/>
  <c r="J78" i="9"/>
  <c r="AW78" i="9" s="1"/>
  <c r="J77" i="9"/>
  <c r="J76" i="9"/>
  <c r="J75" i="9"/>
  <c r="J72" i="9"/>
  <c r="AW72" i="9" s="1"/>
  <c r="J71" i="9"/>
  <c r="J70" i="9"/>
  <c r="J69" i="9"/>
  <c r="J68" i="9"/>
  <c r="J67" i="9"/>
  <c r="J64" i="9"/>
  <c r="J63" i="9"/>
  <c r="J62" i="9"/>
  <c r="AW62" i="9" s="1"/>
  <c r="J61" i="9"/>
  <c r="J60" i="9"/>
  <c r="J59" i="9"/>
  <c r="J56" i="9"/>
  <c r="AW56" i="9" s="1"/>
  <c r="J55" i="9"/>
  <c r="J54" i="9"/>
  <c r="J53" i="9"/>
  <c r="J52" i="9"/>
  <c r="AW52" i="9" s="1"/>
  <c r="J51" i="9"/>
  <c r="J48" i="9"/>
  <c r="J47" i="9"/>
  <c r="J46" i="9"/>
  <c r="J45" i="9"/>
  <c r="J44" i="9"/>
  <c r="J43" i="9"/>
  <c r="J40" i="9"/>
  <c r="J39" i="9"/>
  <c r="J38" i="9"/>
  <c r="J37" i="9"/>
  <c r="J36" i="9"/>
  <c r="J35" i="9"/>
  <c r="M32" i="9"/>
  <c r="M31" i="9"/>
  <c r="M30" i="9"/>
  <c r="M29" i="9"/>
  <c r="M28" i="9"/>
  <c r="M27" i="9"/>
  <c r="J32" i="9"/>
  <c r="J31" i="9"/>
  <c r="J30" i="9"/>
  <c r="J29" i="9"/>
  <c r="J28" i="9"/>
  <c r="J27" i="9"/>
  <c r="M20" i="9"/>
  <c r="M21" i="9"/>
  <c r="M22" i="9"/>
  <c r="M23" i="9"/>
  <c r="M24" i="9"/>
  <c r="J20" i="9"/>
  <c r="J21" i="9"/>
  <c r="J22" i="9"/>
  <c r="J23" i="9"/>
  <c r="J24" i="9"/>
  <c r="M19" i="9"/>
  <c r="J19" i="9"/>
  <c r="AZ104" i="9"/>
  <c r="AY104" i="9"/>
  <c r="AZ103" i="9"/>
  <c r="AY103" i="9"/>
  <c r="AZ102" i="9"/>
  <c r="AY102" i="9"/>
  <c r="AZ101" i="9"/>
  <c r="AY101" i="9"/>
  <c r="AZ100" i="9"/>
  <c r="AY100" i="9"/>
  <c r="AZ99" i="9"/>
  <c r="AY99" i="9"/>
  <c r="AZ96" i="9"/>
  <c r="AY96" i="9"/>
  <c r="AZ95" i="9"/>
  <c r="AY95" i="9"/>
  <c r="AZ94" i="9"/>
  <c r="AY94" i="9"/>
  <c r="AZ93" i="9"/>
  <c r="AY93" i="9"/>
  <c r="AZ92" i="9"/>
  <c r="AY92" i="9"/>
  <c r="AZ91" i="9"/>
  <c r="AY91" i="9"/>
  <c r="AZ88" i="9"/>
  <c r="AY88" i="9"/>
  <c r="AZ87" i="9"/>
  <c r="AY87" i="9"/>
  <c r="AZ86" i="9"/>
  <c r="AY86" i="9"/>
  <c r="AZ85" i="9"/>
  <c r="AY85" i="9"/>
  <c r="AZ84" i="9"/>
  <c r="AY84" i="9"/>
  <c r="AZ83" i="9"/>
  <c r="AY83" i="9"/>
  <c r="AZ80" i="9"/>
  <c r="AY80" i="9"/>
  <c r="AZ79" i="9"/>
  <c r="AY79" i="9"/>
  <c r="AZ78" i="9"/>
  <c r="AY78" i="9"/>
  <c r="AZ77" i="9"/>
  <c r="AY77" i="9"/>
  <c r="AZ76" i="9"/>
  <c r="AY76" i="9"/>
  <c r="AZ75" i="9"/>
  <c r="AY75" i="9"/>
  <c r="AZ72" i="9"/>
  <c r="AY72" i="9"/>
  <c r="AZ71" i="9"/>
  <c r="AY71" i="9"/>
  <c r="AZ70" i="9"/>
  <c r="AY70" i="9"/>
  <c r="AZ69" i="9"/>
  <c r="AY69" i="9"/>
  <c r="AZ68" i="9"/>
  <c r="AY68" i="9"/>
  <c r="AZ67" i="9"/>
  <c r="AY67" i="9"/>
  <c r="AZ64" i="9"/>
  <c r="AY64" i="9"/>
  <c r="AZ63" i="9"/>
  <c r="AY63" i="9"/>
  <c r="AZ62" i="9"/>
  <c r="AY62" i="9"/>
  <c r="AZ61" i="9"/>
  <c r="AY61" i="9"/>
  <c r="AZ60" i="9"/>
  <c r="AY60" i="9"/>
  <c r="AZ59" i="9"/>
  <c r="AY59" i="9"/>
  <c r="AZ56" i="9"/>
  <c r="AY56" i="9"/>
  <c r="AZ55" i="9"/>
  <c r="AY55" i="9"/>
  <c r="AZ54" i="9"/>
  <c r="AY54" i="9"/>
  <c r="AZ53" i="9"/>
  <c r="AY53" i="9"/>
  <c r="AZ52" i="9"/>
  <c r="AY52" i="9"/>
  <c r="AZ51" i="9"/>
  <c r="AY51" i="9"/>
  <c r="AZ48" i="9"/>
  <c r="AY48" i="9"/>
  <c r="AZ47" i="9"/>
  <c r="AY47" i="9"/>
  <c r="AZ46" i="9"/>
  <c r="AY46" i="9"/>
  <c r="AZ45" i="9"/>
  <c r="AY45" i="9"/>
  <c r="AZ44" i="9"/>
  <c r="AY44" i="9"/>
  <c r="AZ43" i="9"/>
  <c r="AY43" i="9"/>
  <c r="AZ40" i="9"/>
  <c r="AY40" i="9"/>
  <c r="AZ39" i="9"/>
  <c r="AY39" i="9"/>
  <c r="AZ38" i="9"/>
  <c r="AY38" i="9"/>
  <c r="AZ37" i="9"/>
  <c r="AY37" i="9"/>
  <c r="AZ36" i="9"/>
  <c r="AY36" i="9"/>
  <c r="AZ35" i="9"/>
  <c r="AY35" i="9"/>
  <c r="AZ28" i="9"/>
  <c r="AZ29" i="9"/>
  <c r="AZ30" i="9"/>
  <c r="AZ31" i="9"/>
  <c r="AZ32" i="9"/>
  <c r="AZ27" i="9"/>
  <c r="AY28" i="9"/>
  <c r="AY29" i="9"/>
  <c r="AY30" i="9"/>
  <c r="AY31" i="9"/>
  <c r="AY32" i="9"/>
  <c r="AY27" i="9"/>
  <c r="E104" i="9"/>
  <c r="C104" i="9"/>
  <c r="R103" i="9"/>
  <c r="E103" i="9"/>
  <c r="C103" i="9"/>
  <c r="R102" i="9"/>
  <c r="E102" i="9"/>
  <c r="C102" i="9"/>
  <c r="R101" i="9"/>
  <c r="E101" i="9"/>
  <c r="C101" i="9"/>
  <c r="R100" i="9"/>
  <c r="E100" i="9"/>
  <c r="C100" i="9"/>
  <c r="R99" i="9"/>
  <c r="E99" i="9"/>
  <c r="C99" i="9"/>
  <c r="E96" i="9"/>
  <c r="C96" i="9"/>
  <c r="R95" i="9"/>
  <c r="E95" i="9"/>
  <c r="C95" i="9"/>
  <c r="R94" i="9"/>
  <c r="E94" i="9"/>
  <c r="C94" i="9"/>
  <c r="R93" i="9"/>
  <c r="E93" i="9"/>
  <c r="C93" i="9"/>
  <c r="R92" i="9"/>
  <c r="E92" i="9"/>
  <c r="C92" i="9"/>
  <c r="R91" i="9"/>
  <c r="E91" i="9"/>
  <c r="C91" i="9"/>
  <c r="E88" i="9"/>
  <c r="C88" i="9"/>
  <c r="R87" i="9"/>
  <c r="E87" i="9"/>
  <c r="C87" i="9"/>
  <c r="R86" i="9"/>
  <c r="E86" i="9"/>
  <c r="C86" i="9"/>
  <c r="R85" i="9"/>
  <c r="E85" i="9"/>
  <c r="C85" i="9"/>
  <c r="R84" i="9"/>
  <c r="E84" i="9"/>
  <c r="C84" i="9"/>
  <c r="R83" i="9"/>
  <c r="E83" i="9"/>
  <c r="C83" i="9"/>
  <c r="E80" i="9"/>
  <c r="C80" i="9"/>
  <c r="R79" i="9"/>
  <c r="E79" i="9"/>
  <c r="C79" i="9"/>
  <c r="R78" i="9"/>
  <c r="E78" i="9"/>
  <c r="C78" i="9"/>
  <c r="R77" i="9"/>
  <c r="E77" i="9"/>
  <c r="C77" i="9"/>
  <c r="R76" i="9"/>
  <c r="E76" i="9"/>
  <c r="C76" i="9"/>
  <c r="R75" i="9"/>
  <c r="E75" i="9"/>
  <c r="C75" i="9"/>
  <c r="E72" i="9"/>
  <c r="C72" i="9"/>
  <c r="R71" i="9"/>
  <c r="E71" i="9"/>
  <c r="C71" i="9"/>
  <c r="R70" i="9"/>
  <c r="E70" i="9"/>
  <c r="C70" i="9"/>
  <c r="R69" i="9"/>
  <c r="E69" i="9"/>
  <c r="C69" i="9"/>
  <c r="R68" i="9"/>
  <c r="E68" i="9"/>
  <c r="C68" i="9"/>
  <c r="R67" i="9"/>
  <c r="E67" i="9"/>
  <c r="C67" i="9"/>
  <c r="E64" i="9"/>
  <c r="C64" i="9"/>
  <c r="R63" i="9"/>
  <c r="E63" i="9"/>
  <c r="C63" i="9"/>
  <c r="R62" i="9"/>
  <c r="E62" i="9"/>
  <c r="C62" i="9"/>
  <c r="R61" i="9"/>
  <c r="E61" i="9"/>
  <c r="C61" i="9"/>
  <c r="R60" i="9"/>
  <c r="E60" i="9"/>
  <c r="C60" i="9"/>
  <c r="R59" i="9"/>
  <c r="E59" i="9"/>
  <c r="C59" i="9"/>
  <c r="E56" i="9"/>
  <c r="C56" i="9"/>
  <c r="R55" i="9"/>
  <c r="E55" i="9"/>
  <c r="C55" i="9"/>
  <c r="R54" i="9"/>
  <c r="E54" i="9"/>
  <c r="C54" i="9"/>
  <c r="R53" i="9"/>
  <c r="E53" i="9"/>
  <c r="C53" i="9"/>
  <c r="R52" i="9"/>
  <c r="E52" i="9"/>
  <c r="C52" i="9"/>
  <c r="R51" i="9"/>
  <c r="E51" i="9"/>
  <c r="C51" i="9"/>
  <c r="E48" i="9"/>
  <c r="C48" i="9"/>
  <c r="R47" i="9"/>
  <c r="E47" i="9"/>
  <c r="C47" i="9"/>
  <c r="R46" i="9"/>
  <c r="E46" i="9"/>
  <c r="C46" i="9"/>
  <c r="R45" i="9"/>
  <c r="E45" i="9"/>
  <c r="C45" i="9"/>
  <c r="R44" i="9"/>
  <c r="E44" i="9"/>
  <c r="C44" i="9"/>
  <c r="R43" i="9"/>
  <c r="E43" i="9"/>
  <c r="C43" i="9"/>
  <c r="E40" i="9"/>
  <c r="C40" i="9"/>
  <c r="R39" i="9"/>
  <c r="E39" i="9"/>
  <c r="C39" i="9"/>
  <c r="R38" i="9"/>
  <c r="E38" i="9"/>
  <c r="C38" i="9"/>
  <c r="R37" i="9"/>
  <c r="E37" i="9"/>
  <c r="C37" i="9"/>
  <c r="R36" i="9"/>
  <c r="E36" i="9"/>
  <c r="C36" i="9"/>
  <c r="R35" i="9"/>
  <c r="E35" i="9"/>
  <c r="C35" i="9"/>
  <c r="E32" i="9"/>
  <c r="C32" i="9"/>
  <c r="R31" i="9"/>
  <c r="E31" i="9"/>
  <c r="C31" i="9"/>
  <c r="R30" i="9"/>
  <c r="E30" i="9"/>
  <c r="C30" i="9"/>
  <c r="R29" i="9"/>
  <c r="E29" i="9"/>
  <c r="C29" i="9"/>
  <c r="R28" i="9"/>
  <c r="E28" i="9"/>
  <c r="C28" i="9"/>
  <c r="R27" i="9"/>
  <c r="E27" i="9"/>
  <c r="C27" i="9"/>
  <c r="E19" i="9"/>
  <c r="E20" i="9"/>
  <c r="E21" i="9"/>
  <c r="E22" i="9"/>
  <c r="E23" i="9"/>
  <c r="E24" i="9"/>
  <c r="C20" i="9"/>
  <c r="C21" i="9"/>
  <c r="C22" i="9"/>
  <c r="C23" i="9"/>
  <c r="C24" i="9"/>
  <c r="C19" i="9"/>
  <c r="AY24" i="9"/>
  <c r="AZ24" i="9"/>
  <c r="AZ23" i="9"/>
  <c r="AY23" i="9"/>
  <c r="R23" i="9"/>
  <c r="AZ22" i="9"/>
  <c r="AY22" i="9"/>
  <c r="R22" i="9"/>
  <c r="AZ21" i="9"/>
  <c r="AY21" i="9"/>
  <c r="R21" i="9"/>
  <c r="AZ20" i="9"/>
  <c r="AY20" i="9"/>
  <c r="R20" i="9"/>
  <c r="AZ19" i="9"/>
  <c r="AY19" i="9"/>
  <c r="R19" i="9"/>
  <c r="AW22" i="9" l="1"/>
  <c r="AW45" i="9"/>
  <c r="AW51" i="9"/>
  <c r="S6" i="9" s="1"/>
  <c r="AW55" i="9"/>
  <c r="Q10" i="9" s="1"/>
  <c r="AW61" i="9"/>
  <c r="AW67" i="9"/>
  <c r="AW71" i="9"/>
  <c r="R11" i="9" s="1"/>
  <c r="AW77" i="9"/>
  <c r="O4" i="9" s="1"/>
  <c r="AW83" i="9"/>
  <c r="AW87" i="9"/>
  <c r="AW93" i="9"/>
  <c r="I12" i="9" s="1"/>
  <c r="AW99" i="9"/>
  <c r="S9" i="9" s="1"/>
  <c r="AW103" i="9"/>
  <c r="AW30" i="9"/>
  <c r="AW38" i="9"/>
  <c r="L13" i="9" s="1"/>
  <c r="AW44" i="9"/>
  <c r="P10" i="9" s="1"/>
  <c r="AW48" i="9"/>
  <c r="AW54" i="9"/>
  <c r="AW60" i="9"/>
  <c r="Q11" i="9" s="1"/>
  <c r="AW64" i="9"/>
  <c r="J7" i="9" s="1"/>
  <c r="AW76" i="9"/>
  <c r="AW80" i="9"/>
  <c r="AW86" i="9"/>
  <c r="I11" i="9" s="1"/>
  <c r="AW92" i="9"/>
  <c r="Q4" i="9" s="1"/>
  <c r="AW96" i="9"/>
  <c r="H12" i="9"/>
  <c r="AW29" i="9"/>
  <c r="AW37" i="9"/>
  <c r="R7" i="9" s="1"/>
  <c r="AW43" i="9"/>
  <c r="AW47" i="9"/>
  <c r="K4" i="9" s="1"/>
  <c r="AW53" i="9"/>
  <c r="H8" i="9" s="1"/>
  <c r="AW59" i="9"/>
  <c r="S12" i="9" s="1"/>
  <c r="AW63" i="9"/>
  <c r="I8" i="9" s="1"/>
  <c r="AW69" i="9"/>
  <c r="M5" i="9" s="1"/>
  <c r="AW75" i="9"/>
  <c r="S13" i="9" s="1"/>
  <c r="AW79" i="9"/>
  <c r="J9" i="9" s="1"/>
  <c r="AW85" i="9"/>
  <c r="N6" i="9" s="1"/>
  <c r="AW91" i="9"/>
  <c r="R15" i="9" s="1"/>
  <c r="AW104" i="9"/>
  <c r="R4" i="9" s="1"/>
  <c r="AW102" i="9"/>
  <c r="P6" i="9" s="1"/>
  <c r="AW101" i="9"/>
  <c r="K11" i="9" s="1"/>
  <c r="AW95" i="9"/>
  <c r="AW94" i="9"/>
  <c r="O6" i="9" s="1"/>
  <c r="AW84" i="9"/>
  <c r="K9" i="9" s="1"/>
  <c r="AW70" i="9"/>
  <c r="H10" i="9" s="1"/>
  <c r="AW68" i="9"/>
  <c r="J8" i="9" s="1"/>
  <c r="R13" i="9"/>
  <c r="I10" i="9"/>
  <c r="N7" i="9"/>
  <c r="I5" i="9"/>
  <c r="AW27" i="9"/>
  <c r="Q9" i="9"/>
  <c r="P4" i="9"/>
  <c r="L15" i="9"/>
  <c r="R14" i="9"/>
  <c r="N14" i="9"/>
  <c r="Q13" i="9"/>
  <c r="I13" i="9"/>
  <c r="P12" i="9"/>
  <c r="L10" i="9"/>
  <c r="M8" i="9"/>
  <c r="I7" i="9"/>
  <c r="Q5" i="9"/>
  <c r="H9" i="9"/>
  <c r="N10" i="9"/>
  <c r="L9" i="9"/>
  <c r="J6" i="9"/>
  <c r="N8" i="9"/>
  <c r="AW28" i="9"/>
  <c r="O9" i="9" s="1"/>
  <c r="AW36" i="9"/>
  <c r="H6" i="9" s="1"/>
  <c r="H4" i="9"/>
  <c r="N4" i="9"/>
  <c r="Q15" i="9"/>
  <c r="K15" i="9"/>
  <c r="Q14" i="9"/>
  <c r="M14" i="9"/>
  <c r="P13" i="9"/>
  <c r="O12" i="9"/>
  <c r="P11" i="9"/>
  <c r="R10" i="9"/>
  <c r="K10" i="9"/>
  <c r="R9" i="9"/>
  <c r="L8" i="9"/>
  <c r="S7" i="9"/>
  <c r="L7" i="9"/>
  <c r="L5" i="9"/>
  <c r="S15" i="9"/>
  <c r="Q12" i="9"/>
  <c r="S8" i="9"/>
  <c r="N5" i="9"/>
  <c r="P8" i="9"/>
  <c r="M4" i="9"/>
  <c r="J15" i="9"/>
  <c r="P14" i="9"/>
  <c r="R12" i="9"/>
  <c r="J12" i="9"/>
  <c r="O11" i="9"/>
  <c r="J10" i="9"/>
  <c r="M9" i="9"/>
  <c r="K8" i="9"/>
  <c r="K7" i="9"/>
  <c r="K5" i="9"/>
  <c r="AW46" i="9"/>
  <c r="R8" i="9" s="1"/>
  <c r="AW40" i="9"/>
  <c r="AW39" i="9"/>
  <c r="P9" i="9" s="1"/>
  <c r="AW35" i="9"/>
  <c r="I15" i="9" s="1"/>
  <c r="AW32" i="9"/>
  <c r="H5" i="9" s="1"/>
  <c r="AW31" i="9"/>
  <c r="AW24" i="9"/>
  <c r="N9" i="9" s="1"/>
  <c r="J5" i="9"/>
  <c r="I6" i="9"/>
  <c r="O15" i="9"/>
  <c r="S11" i="9"/>
  <c r="N11" i="9"/>
  <c r="O10" i="9"/>
  <c r="J4" i="9"/>
  <c r="R6" i="9"/>
  <c r="J14" i="9"/>
  <c r="K13" i="9"/>
  <c r="Q7" i="9"/>
  <c r="S10" i="9"/>
  <c r="N15" i="9"/>
  <c r="AW21" i="9"/>
  <c r="AW23" i="9"/>
  <c r="AW20" i="9"/>
  <c r="R5" i="9" s="1"/>
  <c r="AW19" i="9"/>
  <c r="H15" i="9" s="1"/>
  <c r="M13" i="9"/>
  <c r="L12" i="9"/>
  <c r="S1" i="4"/>
  <c r="T1" i="3"/>
  <c r="T1" i="1"/>
  <c r="X1" i="8"/>
  <c r="M7" i="9" l="1"/>
  <c r="K14" i="9"/>
  <c r="H13" i="9"/>
  <c r="M15" i="9"/>
  <c r="H11" i="9"/>
  <c r="N13" i="9"/>
  <c r="M6" i="9"/>
  <c r="L4" i="9"/>
  <c r="N12" i="9"/>
  <c r="L6" i="9"/>
  <c r="Q8" i="9"/>
  <c r="O5" i="9"/>
  <c r="O14" i="9"/>
  <c r="P5" i="9"/>
  <c r="O13" i="9"/>
  <c r="S14" i="9"/>
  <c r="I9" i="9"/>
  <c r="S5" i="9"/>
  <c r="H7" i="9"/>
  <c r="K6" i="9"/>
  <c r="I4" i="9"/>
  <c r="O7" i="9"/>
  <c r="P15" i="9"/>
  <c r="J11" i="9"/>
  <c r="H14" i="9"/>
  <c r="M10" i="9"/>
  <c r="L14" i="9"/>
  <c r="M11" i="9"/>
  <c r="M12" i="9"/>
  <c r="I14" i="9"/>
  <c r="S4" i="9"/>
  <c r="O8" i="9"/>
  <c r="L11" i="9"/>
  <c r="K12" i="9"/>
  <c r="P7" i="9"/>
  <c r="J13" i="9"/>
  <c r="Q6" i="9"/>
  <c r="BD135" i="8"/>
  <c r="BD134" i="8"/>
  <c r="BD133" i="8"/>
  <c r="BD132" i="8"/>
  <c r="BD131" i="8"/>
  <c r="BD130" i="8"/>
  <c r="BD129" i="8"/>
  <c r="BD126" i="8"/>
  <c r="BD125" i="8"/>
  <c r="BD124" i="8"/>
  <c r="BD123" i="8"/>
  <c r="BD122" i="8"/>
  <c r="BD121" i="8"/>
  <c r="BD120" i="8"/>
  <c r="BD117" i="8"/>
  <c r="BD116" i="8"/>
  <c r="BD115" i="8"/>
  <c r="BD114" i="8"/>
  <c r="BD113" i="8"/>
  <c r="BD112" i="8"/>
  <c r="BD111" i="8"/>
  <c r="BD108" i="8"/>
  <c r="BD107" i="8"/>
  <c r="BD106" i="8"/>
  <c r="BD105" i="8"/>
  <c r="BD104" i="8"/>
  <c r="BD103" i="8"/>
  <c r="BD102" i="8"/>
  <c r="BD99" i="8"/>
  <c r="BD98" i="8"/>
  <c r="BD97" i="8"/>
  <c r="BD96" i="8"/>
  <c r="BD95" i="8"/>
  <c r="BD94" i="8"/>
  <c r="BD93" i="8"/>
  <c r="BD90" i="8"/>
  <c r="BD89" i="8"/>
  <c r="BD88" i="8"/>
  <c r="BD87" i="8"/>
  <c r="BD86" i="8"/>
  <c r="BD85" i="8"/>
  <c r="BD84" i="8"/>
  <c r="BD81" i="8"/>
  <c r="BD80" i="8"/>
  <c r="BD79" i="8"/>
  <c r="BD78" i="8"/>
  <c r="BD77" i="8"/>
  <c r="BD76" i="8"/>
  <c r="BD75" i="8"/>
  <c r="BD72" i="8"/>
  <c r="BD71" i="8"/>
  <c r="BD70" i="8"/>
  <c r="BD69" i="8"/>
  <c r="BD68" i="8"/>
  <c r="BD67" i="8"/>
  <c r="BD66" i="8"/>
  <c r="BD63" i="8"/>
  <c r="BD62" i="8"/>
  <c r="BD61" i="8"/>
  <c r="BD60" i="8"/>
  <c r="BD59" i="8"/>
  <c r="BD58" i="8"/>
  <c r="BD57" i="8"/>
  <c r="BD54" i="8"/>
  <c r="BD53" i="8"/>
  <c r="BD52" i="8"/>
  <c r="BD51" i="8"/>
  <c r="BD50" i="8"/>
  <c r="BD49" i="8"/>
  <c r="BD48" i="8"/>
  <c r="BD45" i="8"/>
  <c r="BD44" i="8"/>
  <c r="BD43" i="8"/>
  <c r="BD42" i="8"/>
  <c r="BD41" i="8"/>
  <c r="BD40" i="8"/>
  <c r="BD39" i="8"/>
  <c r="BD36" i="8"/>
  <c r="BD35" i="8"/>
  <c r="BD34" i="8"/>
  <c r="BD33" i="8"/>
  <c r="BD32" i="8"/>
  <c r="BD31" i="8"/>
  <c r="BD30" i="8"/>
  <c r="BC135" i="8"/>
  <c r="BC134" i="8"/>
  <c r="BC133" i="8"/>
  <c r="BC132" i="8"/>
  <c r="BC131" i="8"/>
  <c r="BC130" i="8"/>
  <c r="BC129" i="8"/>
  <c r="BC126" i="8"/>
  <c r="BC125" i="8"/>
  <c r="BC124" i="8"/>
  <c r="BC123" i="8"/>
  <c r="BC122" i="8"/>
  <c r="BC121" i="8"/>
  <c r="BC120" i="8"/>
  <c r="BC117" i="8"/>
  <c r="BC116" i="8"/>
  <c r="BC115" i="8"/>
  <c r="BC114" i="8"/>
  <c r="BC113" i="8"/>
  <c r="BC112" i="8"/>
  <c r="BC111" i="8"/>
  <c r="BC108" i="8"/>
  <c r="BC107" i="8"/>
  <c r="BC106" i="8"/>
  <c r="BC105" i="8"/>
  <c r="BC104" i="8"/>
  <c r="BC103" i="8"/>
  <c r="BC102" i="8"/>
  <c r="BC99" i="8"/>
  <c r="BC98" i="8"/>
  <c r="BC97" i="8"/>
  <c r="BC96" i="8"/>
  <c r="BC95" i="8"/>
  <c r="BC94" i="8"/>
  <c r="BC93" i="8"/>
  <c r="BC90" i="8"/>
  <c r="BC89" i="8"/>
  <c r="BC88" i="8"/>
  <c r="BC87" i="8"/>
  <c r="BC86" i="8"/>
  <c r="BC85" i="8"/>
  <c r="BC84" i="8"/>
  <c r="BC81" i="8"/>
  <c r="BC80" i="8"/>
  <c r="BC79" i="8"/>
  <c r="BC78" i="8"/>
  <c r="BC77" i="8"/>
  <c r="BC76" i="8"/>
  <c r="BC75" i="8"/>
  <c r="BC72" i="8"/>
  <c r="BC71" i="8"/>
  <c r="BC70" i="8"/>
  <c r="BC69" i="8"/>
  <c r="BC68" i="8"/>
  <c r="BC67" i="8"/>
  <c r="BC66" i="8"/>
  <c r="BC63" i="8"/>
  <c r="BC62" i="8"/>
  <c r="BC61" i="8"/>
  <c r="BC60" i="8"/>
  <c r="BC59" i="8"/>
  <c r="BC58" i="8"/>
  <c r="BC57" i="8"/>
  <c r="BC54" i="8"/>
  <c r="BC53" i="8"/>
  <c r="BC52" i="8"/>
  <c r="BC51" i="8"/>
  <c r="BC50" i="8"/>
  <c r="BC49" i="8"/>
  <c r="BC48" i="8"/>
  <c r="BC45" i="8"/>
  <c r="BC44" i="8"/>
  <c r="BC43" i="8"/>
  <c r="BC42" i="8"/>
  <c r="BC41" i="8"/>
  <c r="BC40" i="8"/>
  <c r="BC39" i="8"/>
  <c r="BC31" i="8"/>
  <c r="BC32" i="8"/>
  <c r="BC33" i="8"/>
  <c r="BC34" i="8"/>
  <c r="BC35" i="8"/>
  <c r="BC36" i="8"/>
  <c r="BC30" i="8"/>
  <c r="BD27" i="8"/>
  <c r="BD25" i="8"/>
  <c r="BD26" i="8"/>
  <c r="BD22" i="8"/>
  <c r="BD23" i="8"/>
  <c r="BD24" i="8"/>
  <c r="BD21" i="8"/>
  <c r="BC22" i="8"/>
  <c r="BC23" i="8"/>
  <c r="BC24" i="8"/>
  <c r="BC25" i="8"/>
  <c r="BC26" i="8"/>
  <c r="BC27" i="8"/>
  <c r="BC21" i="8"/>
  <c r="AZ14" i="8"/>
  <c r="AZ15" i="8"/>
  <c r="AZ16" i="8"/>
  <c r="AZ17" i="8"/>
  <c r="AY14" i="8"/>
  <c r="BD14" i="8" s="1"/>
  <c r="BS14" i="8" s="1"/>
  <c r="AY15" i="8"/>
  <c r="BD15" i="8" s="1"/>
  <c r="BS15" i="8" s="1"/>
  <c r="AY16" i="8"/>
  <c r="BD16" i="8" s="1"/>
  <c r="BS16" i="8" s="1"/>
  <c r="AY17" i="8"/>
  <c r="BD17" i="8" s="1"/>
  <c r="BS17" i="8" s="1"/>
  <c r="V135" i="8"/>
  <c r="V134" i="8"/>
  <c r="V133" i="8"/>
  <c r="V132" i="8"/>
  <c r="V131" i="8"/>
  <c r="V130" i="8"/>
  <c r="V129" i="8"/>
  <c r="V126" i="8"/>
  <c r="V125" i="8"/>
  <c r="V124" i="8"/>
  <c r="V123" i="8"/>
  <c r="V122" i="8"/>
  <c r="V121" i="8"/>
  <c r="V120" i="8"/>
  <c r="V117" i="8"/>
  <c r="V116" i="8"/>
  <c r="V115" i="8"/>
  <c r="V114" i="8"/>
  <c r="V113" i="8"/>
  <c r="V112" i="8"/>
  <c r="V111" i="8"/>
  <c r="V108" i="8"/>
  <c r="V107" i="8"/>
  <c r="V106" i="8"/>
  <c r="V105" i="8"/>
  <c r="V104" i="8"/>
  <c r="V103" i="8"/>
  <c r="V102" i="8"/>
  <c r="V99" i="8"/>
  <c r="V98" i="8"/>
  <c r="V97" i="8"/>
  <c r="V96" i="8"/>
  <c r="V95" i="8"/>
  <c r="V94" i="8"/>
  <c r="V93" i="8"/>
  <c r="V90" i="8"/>
  <c r="V89" i="8"/>
  <c r="V88" i="8"/>
  <c r="V87" i="8"/>
  <c r="V86" i="8"/>
  <c r="V85" i="8"/>
  <c r="V84" i="8"/>
  <c r="V81" i="8"/>
  <c r="V80" i="8"/>
  <c r="V79" i="8"/>
  <c r="V78" i="8"/>
  <c r="V77" i="8"/>
  <c r="V76" i="8"/>
  <c r="V75" i="8"/>
  <c r="V72" i="8"/>
  <c r="V71" i="8"/>
  <c r="V70" i="8"/>
  <c r="V69" i="8"/>
  <c r="V68" i="8"/>
  <c r="V67" i="8"/>
  <c r="V66" i="8"/>
  <c r="V63" i="8"/>
  <c r="V62" i="8"/>
  <c r="V61" i="8"/>
  <c r="V60" i="8"/>
  <c r="V59" i="8"/>
  <c r="V58" i="8"/>
  <c r="V57" i="8"/>
  <c r="V54" i="8"/>
  <c r="V53" i="8"/>
  <c r="V52" i="8"/>
  <c r="V51" i="8"/>
  <c r="V50" i="8"/>
  <c r="V49" i="8"/>
  <c r="V48" i="8"/>
  <c r="V45" i="8"/>
  <c r="V44" i="8"/>
  <c r="V43" i="8"/>
  <c r="V42" i="8"/>
  <c r="V41" i="8"/>
  <c r="V40" i="8"/>
  <c r="V39" i="8"/>
  <c r="V36" i="8"/>
  <c r="V35" i="8"/>
  <c r="V34" i="8"/>
  <c r="V33" i="8"/>
  <c r="V32" i="8"/>
  <c r="V31" i="8"/>
  <c r="V30" i="8"/>
  <c r="V22" i="8"/>
  <c r="V23" i="8"/>
  <c r="V24" i="8"/>
  <c r="V25" i="8"/>
  <c r="V26" i="8"/>
  <c r="V27" i="8"/>
  <c r="V21" i="8"/>
  <c r="M135" i="8"/>
  <c r="M134" i="8"/>
  <c r="M133" i="8"/>
  <c r="M132" i="8"/>
  <c r="M131" i="8"/>
  <c r="M130" i="8"/>
  <c r="M129" i="8"/>
  <c r="M126" i="8"/>
  <c r="M125" i="8"/>
  <c r="M124" i="8"/>
  <c r="M123" i="8"/>
  <c r="M122" i="8"/>
  <c r="M121" i="8"/>
  <c r="M120" i="8"/>
  <c r="M117" i="8"/>
  <c r="M116" i="8"/>
  <c r="M115" i="8"/>
  <c r="M114" i="8"/>
  <c r="M113" i="8"/>
  <c r="M112" i="8"/>
  <c r="M111" i="8"/>
  <c r="M108" i="8"/>
  <c r="M107" i="8"/>
  <c r="M106" i="8"/>
  <c r="M105" i="8"/>
  <c r="M104" i="8"/>
  <c r="M103" i="8"/>
  <c r="M102" i="8"/>
  <c r="M99" i="8"/>
  <c r="M98" i="8"/>
  <c r="M97" i="8"/>
  <c r="M96" i="8"/>
  <c r="M95" i="8"/>
  <c r="M94" i="8"/>
  <c r="M93" i="8"/>
  <c r="M90" i="8"/>
  <c r="M89" i="8"/>
  <c r="M88" i="8"/>
  <c r="M87" i="8"/>
  <c r="M86" i="8"/>
  <c r="M85" i="8"/>
  <c r="M84" i="8"/>
  <c r="M81" i="8"/>
  <c r="M80" i="8"/>
  <c r="M79" i="8"/>
  <c r="M78" i="8"/>
  <c r="M77" i="8"/>
  <c r="M76" i="8"/>
  <c r="M75" i="8"/>
  <c r="M72" i="8"/>
  <c r="M71" i="8"/>
  <c r="M70" i="8"/>
  <c r="M69" i="8"/>
  <c r="M68" i="8"/>
  <c r="M67" i="8"/>
  <c r="M66" i="8"/>
  <c r="M63" i="8"/>
  <c r="M62" i="8"/>
  <c r="M61" i="8"/>
  <c r="M60" i="8"/>
  <c r="M59" i="8"/>
  <c r="M58" i="8"/>
  <c r="M57" i="8"/>
  <c r="M54" i="8"/>
  <c r="M53" i="8"/>
  <c r="M52" i="8"/>
  <c r="M51" i="8"/>
  <c r="M50" i="8"/>
  <c r="M49" i="8"/>
  <c r="M48" i="8"/>
  <c r="M45" i="8"/>
  <c r="M44" i="8"/>
  <c r="M43" i="8"/>
  <c r="M42" i="8"/>
  <c r="M41" i="8"/>
  <c r="M40" i="8"/>
  <c r="M39" i="8"/>
  <c r="M36" i="8"/>
  <c r="M35" i="8"/>
  <c r="M34" i="8"/>
  <c r="M33" i="8"/>
  <c r="M32" i="8"/>
  <c r="M31" i="8"/>
  <c r="M30" i="8"/>
  <c r="M22" i="8"/>
  <c r="M23" i="8"/>
  <c r="M24" i="8"/>
  <c r="M25" i="8"/>
  <c r="M26" i="8"/>
  <c r="M27" i="8"/>
  <c r="M21" i="8"/>
  <c r="J130" i="8"/>
  <c r="J131" i="8"/>
  <c r="BA131" i="8" s="1"/>
  <c r="J132" i="8"/>
  <c r="J133" i="8"/>
  <c r="BA133" i="8" s="1"/>
  <c r="J134" i="8"/>
  <c r="J135" i="8"/>
  <c r="BA135" i="8" s="1"/>
  <c r="J129" i="8"/>
  <c r="J121" i="8"/>
  <c r="BA121" i="8" s="1"/>
  <c r="J122" i="8"/>
  <c r="BA122" i="8" s="1"/>
  <c r="J123" i="8"/>
  <c r="J124" i="8"/>
  <c r="BA124" i="8" s="1"/>
  <c r="J125" i="8"/>
  <c r="BA125" i="8" s="1"/>
  <c r="J126" i="8"/>
  <c r="BA126" i="8" s="1"/>
  <c r="J120" i="8"/>
  <c r="J112" i="8"/>
  <c r="J113" i="8"/>
  <c r="BA113" i="8" s="1"/>
  <c r="J114" i="8"/>
  <c r="J115" i="8"/>
  <c r="BA115" i="8" s="1"/>
  <c r="J116" i="8"/>
  <c r="J117" i="8"/>
  <c r="BA117" i="8" s="1"/>
  <c r="J111" i="8"/>
  <c r="BA111" i="8" s="1"/>
  <c r="J103" i="8"/>
  <c r="J104" i="8"/>
  <c r="BA104" i="8" s="1"/>
  <c r="J105" i="8"/>
  <c r="BA105" i="8" s="1"/>
  <c r="J106" i="8"/>
  <c r="BA106" i="8" s="1"/>
  <c r="J107" i="8"/>
  <c r="J108" i="8"/>
  <c r="BA108" i="8" s="1"/>
  <c r="J102" i="8"/>
  <c r="J94" i="8"/>
  <c r="J95" i="8"/>
  <c r="BA95" i="8" s="1"/>
  <c r="J96" i="8"/>
  <c r="J97" i="8"/>
  <c r="J98" i="8"/>
  <c r="J99" i="8"/>
  <c r="BA99" i="8" s="1"/>
  <c r="J93" i="8"/>
  <c r="J85" i="8"/>
  <c r="BA85" i="8" s="1"/>
  <c r="J86" i="8"/>
  <c r="BA86" i="8" s="1"/>
  <c r="J87" i="8"/>
  <c r="J88" i="8"/>
  <c r="BA88" i="8" s="1"/>
  <c r="J89" i="8"/>
  <c r="BA89" i="8" s="1"/>
  <c r="J90" i="8"/>
  <c r="BA90" i="8" s="1"/>
  <c r="J84" i="8"/>
  <c r="J76" i="8"/>
  <c r="J77" i="8"/>
  <c r="BA77" i="8" s="1"/>
  <c r="J78" i="8"/>
  <c r="J79" i="8"/>
  <c r="BA79" i="8" s="1"/>
  <c r="J80" i="8"/>
  <c r="J81" i="8"/>
  <c r="BA81" i="8" s="1"/>
  <c r="J75" i="8"/>
  <c r="BA75" i="8" s="1"/>
  <c r="J67" i="8"/>
  <c r="J68" i="8"/>
  <c r="BA68" i="8" s="1"/>
  <c r="J69" i="8"/>
  <c r="BA69" i="8" s="1"/>
  <c r="J70" i="8"/>
  <c r="BA70" i="8" s="1"/>
  <c r="J71" i="8"/>
  <c r="J72" i="8"/>
  <c r="BA72" i="8" s="1"/>
  <c r="J66" i="8"/>
  <c r="J58" i="8"/>
  <c r="J59" i="8"/>
  <c r="BA59" i="8" s="1"/>
  <c r="J60" i="8"/>
  <c r="J61" i="8"/>
  <c r="BA61" i="8" s="1"/>
  <c r="J62" i="8"/>
  <c r="J63" i="8"/>
  <c r="BA63" i="8" s="1"/>
  <c r="J57" i="8"/>
  <c r="J49" i="8"/>
  <c r="J50" i="8"/>
  <c r="BA50" i="8" s="1"/>
  <c r="J51" i="8"/>
  <c r="J52" i="8"/>
  <c r="BA52" i="8" s="1"/>
  <c r="J53" i="8"/>
  <c r="BA53" i="8" s="1"/>
  <c r="J54" i="8"/>
  <c r="BA54" i="8" s="1"/>
  <c r="J48" i="8"/>
  <c r="J40" i="8"/>
  <c r="J41" i="8"/>
  <c r="BA41" i="8" s="1"/>
  <c r="J42" i="8"/>
  <c r="J43" i="8"/>
  <c r="BA43" i="8" s="1"/>
  <c r="J44" i="8"/>
  <c r="J45" i="8"/>
  <c r="BA45" i="8" s="1"/>
  <c r="J39" i="8"/>
  <c r="BA39" i="8" s="1"/>
  <c r="J31" i="8"/>
  <c r="J32" i="8"/>
  <c r="BA32" i="8" s="1"/>
  <c r="J33" i="8"/>
  <c r="BA33" i="8" s="1"/>
  <c r="J34" i="8"/>
  <c r="BA34" i="8" s="1"/>
  <c r="J35" i="8"/>
  <c r="J36" i="8"/>
  <c r="BA36" i="8" s="1"/>
  <c r="J30" i="8"/>
  <c r="J22" i="8"/>
  <c r="BA22" i="8" s="1"/>
  <c r="J23" i="8"/>
  <c r="J24" i="8"/>
  <c r="J25" i="8"/>
  <c r="J26" i="8"/>
  <c r="BA26" i="8" s="1"/>
  <c r="J27" i="8"/>
  <c r="J21" i="8"/>
  <c r="T4" i="9" l="1"/>
  <c r="T10" i="9"/>
  <c r="T5" i="9"/>
  <c r="T11" i="9"/>
  <c r="T15" i="9"/>
  <c r="T6" i="9"/>
  <c r="T12" i="9"/>
  <c r="T8" i="9"/>
  <c r="T14" i="9"/>
  <c r="T13" i="9"/>
  <c r="T9" i="9"/>
  <c r="T7" i="9"/>
  <c r="BA27" i="8"/>
  <c r="BA23" i="8"/>
  <c r="BA48" i="8"/>
  <c r="BA84" i="8"/>
  <c r="R13" i="8" s="1"/>
  <c r="BA120" i="8"/>
  <c r="BA42" i="8"/>
  <c r="BA62" i="8"/>
  <c r="BA58" i="8"/>
  <c r="R16" i="8" s="1"/>
  <c r="BA78" i="8"/>
  <c r="BA98" i="8"/>
  <c r="BA94" i="8"/>
  <c r="BA114" i="8"/>
  <c r="S9" i="8" s="1"/>
  <c r="BA134" i="8"/>
  <c r="BA130" i="8"/>
  <c r="BA31" i="8"/>
  <c r="BA21" i="8"/>
  <c r="H17" i="8" s="1"/>
  <c r="BA93" i="8"/>
  <c r="BA129" i="8"/>
  <c r="BA35" i="8"/>
  <c r="BA51" i="8"/>
  <c r="P6" i="8" s="1"/>
  <c r="BA71" i="8"/>
  <c r="BA67" i="8"/>
  <c r="BA87" i="8"/>
  <c r="BA107" i="8"/>
  <c r="K5" i="8" s="1"/>
  <c r="BA123" i="8"/>
  <c r="BA132" i="8"/>
  <c r="BA116" i="8"/>
  <c r="BA112" i="8"/>
  <c r="O13" i="8" s="1"/>
  <c r="BA102" i="8"/>
  <c r="BA103" i="8"/>
  <c r="BA97" i="8"/>
  <c r="H9" i="8" s="1"/>
  <c r="BA96" i="8"/>
  <c r="N16" i="8" s="1"/>
  <c r="BA80" i="8"/>
  <c r="BA76" i="8"/>
  <c r="BA66" i="8"/>
  <c r="S14" i="8" s="1"/>
  <c r="BA60" i="8"/>
  <c r="P5" i="8" s="1"/>
  <c r="BA57" i="8"/>
  <c r="BA49" i="8"/>
  <c r="BA44" i="8"/>
  <c r="BA40" i="8"/>
  <c r="S4" i="8" s="1"/>
  <c r="BA30" i="8"/>
  <c r="BA25" i="8"/>
  <c r="BA24" i="8"/>
  <c r="U4" i="8"/>
  <c r="Q5" i="8"/>
  <c r="Q7" i="8"/>
  <c r="Q4" i="8"/>
  <c r="J5" i="8"/>
  <c r="T4" i="8"/>
  <c r="P4" i="8"/>
  <c r="L4" i="8"/>
  <c r="T5" i="8"/>
  <c r="L5" i="8"/>
  <c r="L6" i="8"/>
  <c r="T6" i="8"/>
  <c r="M8" i="8"/>
  <c r="S7" i="8"/>
  <c r="N7" i="8"/>
  <c r="T8" i="8"/>
  <c r="P8" i="8"/>
  <c r="U9" i="8"/>
  <c r="Q9" i="8"/>
  <c r="U10" i="8"/>
  <c r="Q10" i="8"/>
  <c r="T11" i="8"/>
  <c r="S13" i="8"/>
  <c r="T13" i="8"/>
  <c r="H13" i="8"/>
  <c r="I6" i="8"/>
  <c r="I14" i="8"/>
  <c r="I10" i="8"/>
  <c r="J7" i="8"/>
  <c r="J14" i="8"/>
  <c r="J10" i="8"/>
  <c r="K17" i="8"/>
  <c r="K13" i="8"/>
  <c r="K9" i="8"/>
  <c r="L15" i="8"/>
  <c r="L11" i="8"/>
  <c r="M16" i="8"/>
  <c r="M12" i="8"/>
  <c r="N12" i="8"/>
  <c r="O15" i="8"/>
  <c r="P17" i="8"/>
  <c r="R15" i="8"/>
  <c r="S17" i="8"/>
  <c r="O4" i="8"/>
  <c r="S5" i="8"/>
  <c r="O5" i="8"/>
  <c r="L7" i="8"/>
  <c r="S6" i="8"/>
  <c r="O6" i="8"/>
  <c r="N8" i="8"/>
  <c r="R7" i="8"/>
  <c r="N9" i="8"/>
  <c r="S8" i="8"/>
  <c r="O8" i="8"/>
  <c r="T9" i="8"/>
  <c r="P9" i="8"/>
  <c r="T10" i="8"/>
  <c r="Q12" i="8"/>
  <c r="S11" i="8"/>
  <c r="U12" i="8"/>
  <c r="U14" i="8"/>
  <c r="T15" i="8"/>
  <c r="H16" i="8"/>
  <c r="H12" i="8"/>
  <c r="H8" i="8"/>
  <c r="I17" i="8"/>
  <c r="I13" i="8"/>
  <c r="I9" i="8"/>
  <c r="J17" i="8"/>
  <c r="J13" i="8"/>
  <c r="J9" i="8"/>
  <c r="K16" i="8"/>
  <c r="K12" i="8"/>
  <c r="L9" i="8"/>
  <c r="L14" i="8"/>
  <c r="L10" i="8"/>
  <c r="M15" i="8"/>
  <c r="M11" i="8"/>
  <c r="N15" i="8"/>
  <c r="O12" i="8"/>
  <c r="O14" i="8"/>
  <c r="P16" i="8"/>
  <c r="Q17" i="8"/>
  <c r="R17" i="8"/>
  <c r="T17" i="8"/>
  <c r="K4" i="8"/>
  <c r="R4" i="8"/>
  <c r="N4" i="8"/>
  <c r="J4" i="8"/>
  <c r="R5" i="8"/>
  <c r="N5" i="8"/>
  <c r="U5" i="8"/>
  <c r="M7" i="8"/>
  <c r="R6" i="8"/>
  <c r="N6" i="8"/>
  <c r="U7" i="8"/>
  <c r="P7" i="8"/>
  <c r="O9" i="8"/>
  <c r="R8" i="8"/>
  <c r="O10" i="8"/>
  <c r="P11" i="8"/>
  <c r="S10" i="8"/>
  <c r="R12" i="8"/>
  <c r="R11" i="8"/>
  <c r="T12" i="8"/>
  <c r="U15" i="8"/>
  <c r="H11" i="8"/>
  <c r="H7" i="8"/>
  <c r="I16" i="8"/>
  <c r="I8" i="8"/>
  <c r="J16" i="8"/>
  <c r="J8" i="8"/>
  <c r="K15" i="8"/>
  <c r="K11" i="8"/>
  <c r="L17" i="8"/>
  <c r="L13" i="8"/>
  <c r="M10" i="8"/>
  <c r="M14" i="8"/>
  <c r="N11" i="8"/>
  <c r="N14" i="8"/>
  <c r="O17" i="8"/>
  <c r="P15" i="8"/>
  <c r="Q16" i="8"/>
  <c r="U16" i="8"/>
  <c r="M4" i="8"/>
  <c r="M5" i="8"/>
  <c r="K6" i="8"/>
  <c r="U6" i="8"/>
  <c r="Q6" i="8"/>
  <c r="M6" i="8"/>
  <c r="T7" i="8"/>
  <c r="O7" i="8"/>
  <c r="U8" i="8"/>
  <c r="Q8" i="8"/>
  <c r="P10" i="8"/>
  <c r="R9" i="8"/>
  <c r="R10" i="8"/>
  <c r="U11" i="8"/>
  <c r="S12" i="8"/>
  <c r="U13" i="8"/>
  <c r="H5" i="8"/>
  <c r="H14" i="8"/>
  <c r="H10" i="8"/>
  <c r="H6" i="8"/>
  <c r="I15" i="8"/>
  <c r="I11" i="8"/>
  <c r="I7" i="8"/>
  <c r="J15" i="8"/>
  <c r="J11" i="8"/>
  <c r="K8" i="8"/>
  <c r="K14" i="8"/>
  <c r="K10" i="8"/>
  <c r="L16" i="8"/>
  <c r="L12" i="8"/>
  <c r="M17" i="8"/>
  <c r="M13" i="8"/>
  <c r="N17" i="8"/>
  <c r="N13" i="8"/>
  <c r="O16" i="8"/>
  <c r="P13" i="8"/>
  <c r="P14" i="8"/>
  <c r="Q15" i="8"/>
  <c r="S16" i="8"/>
  <c r="I4" i="8"/>
  <c r="BN17" i="8"/>
  <c r="BP17" i="8"/>
  <c r="BO17" i="8"/>
  <c r="BP16" i="8"/>
  <c r="BM15" i="8"/>
  <c r="BN14" i="8"/>
  <c r="BO16" i="8"/>
  <c r="BP15" i="8"/>
  <c r="BM14" i="8"/>
  <c r="BM17" i="8"/>
  <c r="BN16" i="8"/>
  <c r="BO15" i="8"/>
  <c r="BP14" i="8"/>
  <c r="BM16" i="8"/>
  <c r="BN15" i="8"/>
  <c r="BO14" i="8"/>
  <c r="BL17" i="8"/>
  <c r="BH17" i="8"/>
  <c r="BK16" i="8"/>
  <c r="BG16" i="8"/>
  <c r="BJ15" i="8"/>
  <c r="BF15" i="8"/>
  <c r="BI14" i="8"/>
  <c r="BK17" i="8"/>
  <c r="BG17" i="8"/>
  <c r="BJ16" i="8"/>
  <c r="BF16" i="8"/>
  <c r="BI15" i="8"/>
  <c r="BL14" i="8"/>
  <c r="BH14" i="8"/>
  <c r="BJ17" i="8"/>
  <c r="BF17" i="8"/>
  <c r="BI16" i="8"/>
  <c r="BL15" i="8"/>
  <c r="BH15" i="8"/>
  <c r="BK14" i="8"/>
  <c r="BG14" i="8"/>
  <c r="BE16" i="8"/>
  <c r="BT16" i="8" s="1"/>
  <c r="BI17" i="8"/>
  <c r="BL16" i="8"/>
  <c r="BH16" i="8"/>
  <c r="BK15" i="8"/>
  <c r="BG15" i="8"/>
  <c r="BJ14" i="8"/>
  <c r="BF14" i="8"/>
  <c r="BE14" i="8"/>
  <c r="BT14" i="8" s="1"/>
  <c r="BE17" i="8"/>
  <c r="BT17" i="8" s="1"/>
  <c r="BE15" i="8"/>
  <c r="BT15" i="8" s="1"/>
  <c r="E135" i="8"/>
  <c r="C135" i="8"/>
  <c r="E134" i="8"/>
  <c r="C134" i="8"/>
  <c r="E133" i="8"/>
  <c r="C133" i="8"/>
  <c r="E132" i="8"/>
  <c r="C132" i="8"/>
  <c r="E131" i="8"/>
  <c r="C131" i="8"/>
  <c r="E130" i="8"/>
  <c r="C130" i="8"/>
  <c r="E129" i="8"/>
  <c r="C129" i="8"/>
  <c r="E126" i="8"/>
  <c r="C126" i="8"/>
  <c r="E125" i="8"/>
  <c r="C125" i="8"/>
  <c r="E124" i="8"/>
  <c r="C124" i="8"/>
  <c r="E123" i="8"/>
  <c r="C123" i="8"/>
  <c r="E122" i="8"/>
  <c r="C122" i="8"/>
  <c r="E121" i="8"/>
  <c r="C121" i="8"/>
  <c r="E120" i="8"/>
  <c r="C120" i="8"/>
  <c r="E117" i="8"/>
  <c r="C117" i="8"/>
  <c r="E116" i="8"/>
  <c r="C116" i="8"/>
  <c r="E115" i="8"/>
  <c r="C115" i="8"/>
  <c r="E114" i="8"/>
  <c r="C114" i="8"/>
  <c r="E113" i="8"/>
  <c r="C113" i="8"/>
  <c r="E112" i="8"/>
  <c r="C112" i="8"/>
  <c r="E111" i="8"/>
  <c r="C111" i="8"/>
  <c r="C102" i="8"/>
  <c r="E108" i="8"/>
  <c r="C108" i="8"/>
  <c r="E107" i="8"/>
  <c r="C107" i="8"/>
  <c r="E106" i="8"/>
  <c r="C106" i="8"/>
  <c r="E105" i="8"/>
  <c r="C105" i="8"/>
  <c r="E104" i="8"/>
  <c r="C104" i="8"/>
  <c r="E103" i="8"/>
  <c r="C103" i="8"/>
  <c r="E102" i="8"/>
  <c r="E99" i="8"/>
  <c r="E98" i="8"/>
  <c r="E97" i="8"/>
  <c r="E96" i="8"/>
  <c r="E95" i="8"/>
  <c r="E94" i="8"/>
  <c r="E93" i="8"/>
  <c r="C94" i="8"/>
  <c r="C95" i="8"/>
  <c r="C96" i="8"/>
  <c r="C97" i="8"/>
  <c r="C98" i="8"/>
  <c r="C99" i="8"/>
  <c r="C93" i="8"/>
  <c r="C85" i="8"/>
  <c r="C86" i="8"/>
  <c r="C87" i="8"/>
  <c r="C88" i="8"/>
  <c r="C89" i="8"/>
  <c r="C90" i="8"/>
  <c r="C84" i="8"/>
  <c r="E90" i="8"/>
  <c r="E89" i="8"/>
  <c r="E88" i="8"/>
  <c r="E87" i="8"/>
  <c r="E86" i="8"/>
  <c r="E85" i="8"/>
  <c r="E84" i="8"/>
  <c r="E81" i="8"/>
  <c r="E80" i="8"/>
  <c r="E79" i="8"/>
  <c r="E78" i="8"/>
  <c r="E77" i="8"/>
  <c r="E76" i="8"/>
  <c r="E75" i="8"/>
  <c r="C81" i="8"/>
  <c r="C76" i="8"/>
  <c r="C77" i="8"/>
  <c r="C78" i="8"/>
  <c r="C79" i="8"/>
  <c r="C80" i="8"/>
  <c r="C75" i="8"/>
  <c r="C67" i="8"/>
  <c r="C68" i="8"/>
  <c r="C69" i="8"/>
  <c r="C70" i="8"/>
  <c r="C71" i="8"/>
  <c r="C72" i="8"/>
  <c r="C66" i="8"/>
  <c r="E72" i="8"/>
  <c r="E71" i="8"/>
  <c r="E70" i="8"/>
  <c r="E69" i="8"/>
  <c r="E68" i="8"/>
  <c r="E67" i="8"/>
  <c r="E66" i="8"/>
  <c r="E63" i="8"/>
  <c r="E62" i="8"/>
  <c r="E61" i="8"/>
  <c r="E60" i="8"/>
  <c r="E59" i="8"/>
  <c r="E58" i="8"/>
  <c r="E57" i="8"/>
  <c r="C58" i="8"/>
  <c r="C59" i="8"/>
  <c r="C60" i="8"/>
  <c r="C61" i="8"/>
  <c r="C62" i="8"/>
  <c r="C63" i="8"/>
  <c r="C57" i="8"/>
  <c r="C54" i="8"/>
  <c r="C53" i="8"/>
  <c r="C52" i="8"/>
  <c r="C51" i="8"/>
  <c r="C50" i="8"/>
  <c r="C49" i="8"/>
  <c r="C48" i="8"/>
  <c r="E54" i="8"/>
  <c r="E53" i="8"/>
  <c r="E52" i="8"/>
  <c r="E51" i="8"/>
  <c r="E50" i="8"/>
  <c r="E49" i="8"/>
  <c r="E48" i="8"/>
  <c r="E45" i="8"/>
  <c r="E44" i="8"/>
  <c r="E43" i="8"/>
  <c r="E42" i="8"/>
  <c r="E41" i="8"/>
  <c r="E40" i="8"/>
  <c r="C40" i="8"/>
  <c r="C41" i="8"/>
  <c r="C42" i="8"/>
  <c r="C43" i="8"/>
  <c r="C44" i="8"/>
  <c r="C45" i="8"/>
  <c r="C39" i="8"/>
  <c r="E39" i="8"/>
  <c r="E36" i="8"/>
  <c r="E35" i="8"/>
  <c r="E34" i="8"/>
  <c r="E33" i="8"/>
  <c r="E32" i="8"/>
  <c r="E31" i="8"/>
  <c r="E30" i="8"/>
  <c r="C31" i="8"/>
  <c r="C32" i="8"/>
  <c r="C33" i="8"/>
  <c r="C34" i="8"/>
  <c r="C35" i="8"/>
  <c r="C36" i="8"/>
  <c r="C30" i="8"/>
  <c r="E27" i="8"/>
  <c r="E26" i="8"/>
  <c r="E25" i="8"/>
  <c r="E24" i="8"/>
  <c r="E23" i="8"/>
  <c r="E22" i="8"/>
  <c r="E21" i="8"/>
  <c r="C22" i="8"/>
  <c r="C23" i="8"/>
  <c r="C24" i="8"/>
  <c r="C25" i="8"/>
  <c r="C26" i="8"/>
  <c r="C27" i="8"/>
  <c r="C21" i="8"/>
  <c r="BA82" i="8"/>
  <c r="BA74" i="8"/>
  <c r="BA73" i="8"/>
  <c r="BA65" i="8"/>
  <c r="BA64" i="8"/>
  <c r="BA56" i="8"/>
  <c r="BA47" i="8"/>
  <c r="BA46" i="8"/>
  <c r="BA38" i="8"/>
  <c r="BA37" i="8"/>
  <c r="BA29" i="8"/>
  <c r="BA28" i="8"/>
  <c r="BH24" i="8"/>
  <c r="BG24" i="8"/>
  <c r="BH23" i="8"/>
  <c r="BG23" i="8"/>
  <c r="BH22" i="8"/>
  <c r="BG22" i="8"/>
  <c r="BH21" i="8"/>
  <c r="BG21" i="8"/>
  <c r="AZ13" i="8"/>
  <c r="AY13" i="8"/>
  <c r="AZ12" i="8"/>
  <c r="AY12" i="8"/>
  <c r="AZ11" i="8"/>
  <c r="AY11" i="8"/>
  <c r="AZ10" i="8"/>
  <c r="AY10" i="8"/>
  <c r="AZ9" i="8"/>
  <c r="AY9" i="8"/>
  <c r="AZ8" i="8"/>
  <c r="AY8" i="8"/>
  <c r="AZ7" i="8"/>
  <c r="AY7" i="8"/>
  <c r="AZ6" i="8"/>
  <c r="AY6" i="8"/>
  <c r="AZ5" i="8"/>
  <c r="AY5" i="8"/>
  <c r="AZ4" i="8"/>
  <c r="AY4" i="8"/>
  <c r="U8" i="9" l="1"/>
  <c r="U14" i="9"/>
  <c r="U9" i="9"/>
  <c r="U13" i="9"/>
  <c r="U6" i="9"/>
  <c r="U10" i="9"/>
  <c r="U7" i="9"/>
  <c r="U11" i="9"/>
  <c r="U4" i="9"/>
  <c r="U12" i="9"/>
  <c r="U5" i="9"/>
  <c r="U15" i="9"/>
  <c r="Z14" i="9"/>
  <c r="Z15" i="9"/>
  <c r="Z4" i="9"/>
  <c r="Z7" i="9"/>
  <c r="Z8" i="9"/>
  <c r="Z11" i="9"/>
  <c r="Z9" i="9"/>
  <c r="Z12" i="9"/>
  <c r="Z5" i="9"/>
  <c r="Z13" i="9"/>
  <c r="Z6" i="9"/>
  <c r="Z10" i="9"/>
  <c r="J12" i="8"/>
  <c r="Q11" i="8"/>
  <c r="T14" i="8"/>
  <c r="Q14" i="8"/>
  <c r="I12" i="8"/>
  <c r="H15" i="8"/>
  <c r="BJ7" i="8"/>
  <c r="BN7" i="8"/>
  <c r="BO7" i="8"/>
  <c r="BP7" i="8"/>
  <c r="BM7" i="8"/>
  <c r="BK6" i="8"/>
  <c r="BO6" i="8"/>
  <c r="BP6" i="8"/>
  <c r="BM6" i="8"/>
  <c r="BN6" i="8"/>
  <c r="BI10" i="8"/>
  <c r="BO10" i="8"/>
  <c r="BP10" i="8"/>
  <c r="BM10" i="8"/>
  <c r="BN10" i="8"/>
  <c r="BI4" i="8"/>
  <c r="BM4" i="8"/>
  <c r="BN4" i="8"/>
  <c r="BO4" i="8"/>
  <c r="BP4" i="8"/>
  <c r="BI8" i="8"/>
  <c r="BM8" i="8"/>
  <c r="BN8" i="8"/>
  <c r="BO8" i="8"/>
  <c r="BP8" i="8"/>
  <c r="BJ11" i="8"/>
  <c r="BN11" i="8"/>
  <c r="BO11" i="8"/>
  <c r="BP11" i="8"/>
  <c r="BM11" i="8"/>
  <c r="BI12" i="8"/>
  <c r="BM12" i="8"/>
  <c r="BN12" i="8"/>
  <c r="BO12" i="8"/>
  <c r="BP12" i="8"/>
  <c r="BL13" i="8"/>
  <c r="BP13" i="8"/>
  <c r="BM13" i="8"/>
  <c r="BN13" i="8"/>
  <c r="BO13" i="8"/>
  <c r="BE5" i="8"/>
  <c r="BP5" i="8"/>
  <c r="BM5" i="8"/>
  <c r="BN5" i="8"/>
  <c r="BO5" i="8"/>
  <c r="BF9" i="8"/>
  <c r="BP9" i="8"/>
  <c r="BM9" i="8"/>
  <c r="BN9" i="8"/>
  <c r="BO9" i="8"/>
  <c r="BU15" i="8"/>
  <c r="BV15" i="8" s="1"/>
  <c r="BW15" i="8" s="1"/>
  <c r="BX15" i="8" s="1"/>
  <c r="BY15" i="8" s="1"/>
  <c r="BZ15" i="8" s="1"/>
  <c r="CA15" i="8" s="1"/>
  <c r="CB15" i="8" s="1"/>
  <c r="CC15" i="8" s="1"/>
  <c r="CD15" i="8" s="1"/>
  <c r="CE15" i="8" s="1"/>
  <c r="BU17" i="8"/>
  <c r="BV17" i="8" s="1"/>
  <c r="BW17" i="8" s="1"/>
  <c r="BX17" i="8" s="1"/>
  <c r="BY17" i="8" s="1"/>
  <c r="BZ17" i="8" s="1"/>
  <c r="CA17" i="8" s="1"/>
  <c r="CB17" i="8" s="1"/>
  <c r="CC17" i="8" s="1"/>
  <c r="CD17" i="8" s="1"/>
  <c r="CE17" i="8" s="1"/>
  <c r="BU14" i="8"/>
  <c r="BV14" i="8" s="1"/>
  <c r="BW14" i="8" s="1"/>
  <c r="BX14" i="8" s="1"/>
  <c r="BY14" i="8" s="1"/>
  <c r="BZ14" i="8" s="1"/>
  <c r="CA14" i="8" s="1"/>
  <c r="CB14" i="8" s="1"/>
  <c r="CC14" i="8" s="1"/>
  <c r="CD14" i="8" s="1"/>
  <c r="CE14" i="8" s="1"/>
  <c r="BU16" i="8"/>
  <c r="BV16" i="8" s="1"/>
  <c r="BW16" i="8" s="1"/>
  <c r="BX16" i="8" s="1"/>
  <c r="BY16" i="8" s="1"/>
  <c r="BZ16" i="8" s="1"/>
  <c r="CA16" i="8" s="1"/>
  <c r="CB16" i="8" s="1"/>
  <c r="CC16" i="8" s="1"/>
  <c r="CD16" i="8" s="1"/>
  <c r="CE16" i="8" s="1"/>
  <c r="BK8" i="8"/>
  <c r="BE9" i="8"/>
  <c r="BG12" i="8"/>
  <c r="BK11" i="8"/>
  <c r="BL11" i="8"/>
  <c r="BK4" i="8"/>
  <c r="BD11" i="8"/>
  <c r="BS11" i="8" s="1"/>
  <c r="BJ4" i="8"/>
  <c r="BD4" i="8"/>
  <c r="BS4" i="8" s="1"/>
  <c r="BG7" i="8"/>
  <c r="BF4" i="8"/>
  <c r="BK7" i="8"/>
  <c r="BG11" i="8"/>
  <c r="BH6" i="8"/>
  <c r="BL4" i="8"/>
  <c r="BG4" i="8"/>
  <c r="BJ6" i="8"/>
  <c r="BF8" i="8"/>
  <c r="BH4" i="8"/>
  <c r="BD6" i="8"/>
  <c r="BS6" i="8" s="1"/>
  <c r="BL6" i="8"/>
  <c r="BG8" i="8"/>
  <c r="BE10" i="8"/>
  <c r="BH11" i="8"/>
  <c r="BK12" i="8"/>
  <c r="BF6" i="8"/>
  <c r="BJ8" i="8"/>
  <c r="BI5" i="8"/>
  <c r="BF5" i="8"/>
  <c r="BJ5" i="8"/>
  <c r="BE6" i="8"/>
  <c r="BI6" i="8"/>
  <c r="BD7" i="8"/>
  <c r="BS7" i="8" s="1"/>
  <c r="BH7" i="8"/>
  <c r="BL7" i="8"/>
  <c r="BK10" i="8"/>
  <c r="BG10" i="8"/>
  <c r="BJ10" i="8"/>
  <c r="BF10" i="8"/>
  <c r="BH10" i="8"/>
  <c r="BK5" i="8"/>
  <c r="BE7" i="8"/>
  <c r="BL9" i="8"/>
  <c r="BH9" i="8"/>
  <c r="BD9" i="8"/>
  <c r="BS9" i="8" s="1"/>
  <c r="BK9" i="8"/>
  <c r="BG9" i="8"/>
  <c r="BI9" i="8"/>
  <c r="BG5" i="8"/>
  <c r="BI7" i="8"/>
  <c r="BE4" i="8"/>
  <c r="BD5" i="8"/>
  <c r="BS5" i="8" s="1"/>
  <c r="BH5" i="8"/>
  <c r="BL5" i="8"/>
  <c r="BG6" i="8"/>
  <c r="BF7" i="8"/>
  <c r="BJ9" i="8"/>
  <c r="BD10" i="8"/>
  <c r="BS10" i="8" s="1"/>
  <c r="BL10" i="8"/>
  <c r="BF12" i="8"/>
  <c r="BJ12" i="8"/>
  <c r="BE13" i="8"/>
  <c r="BI13" i="8"/>
  <c r="BF13" i="8"/>
  <c r="BJ13" i="8"/>
  <c r="BD8" i="8"/>
  <c r="BS8" i="8" s="1"/>
  <c r="BH8" i="8"/>
  <c r="BL8" i="8"/>
  <c r="BE11" i="8"/>
  <c r="BI11" i="8"/>
  <c r="BD12" i="8"/>
  <c r="BS12" i="8" s="1"/>
  <c r="BH12" i="8"/>
  <c r="BL12" i="8"/>
  <c r="BG13" i="8"/>
  <c r="BK13" i="8"/>
  <c r="BE8" i="8"/>
  <c r="BF11" i="8"/>
  <c r="BE12" i="8"/>
  <c r="BD13" i="8"/>
  <c r="BS13" i="8" s="1"/>
  <c r="BH13" i="8"/>
  <c r="U17" i="8"/>
  <c r="T16" i="8"/>
  <c r="S15" i="8"/>
  <c r="R14" i="8"/>
  <c r="Q13" i="8"/>
  <c r="BH20" i="8" s="1"/>
  <c r="P12" i="8"/>
  <c r="O11" i="8"/>
  <c r="V11" i="8" s="1"/>
  <c r="N10" i="8"/>
  <c r="M9" i="8"/>
  <c r="L8" i="8"/>
  <c r="K7" i="8"/>
  <c r="V7" i="8" s="1"/>
  <c r="J6" i="8"/>
  <c r="I5" i="8"/>
  <c r="H4" i="8"/>
  <c r="D137" i="8"/>
  <c r="AH13" i="9" l="1"/>
  <c r="AH5" i="9"/>
  <c r="AH7" i="9"/>
  <c r="AH14" i="9"/>
  <c r="AH9" i="9"/>
  <c r="AH11" i="9"/>
  <c r="AH12" i="9"/>
  <c r="AH10" i="9"/>
  <c r="AH15" i="9"/>
  <c r="AH4" i="9"/>
  <c r="AH6" i="9"/>
  <c r="AH8" i="9"/>
  <c r="Z16" i="9"/>
  <c r="V15" i="8"/>
  <c r="V4" i="8"/>
  <c r="BA16" i="8"/>
  <c r="BA17" i="8"/>
  <c r="BA14" i="8"/>
  <c r="BA15" i="8"/>
  <c r="BE78" i="8"/>
  <c r="BH78" i="8" s="1"/>
  <c r="BF71" i="8"/>
  <c r="BG71" i="8" s="1"/>
  <c r="BE65" i="8"/>
  <c r="BH65" i="8" s="1"/>
  <c r="BF56" i="8"/>
  <c r="BG56" i="8" s="1"/>
  <c r="BE52" i="8"/>
  <c r="BH52" i="8" s="1"/>
  <c r="BF41" i="8"/>
  <c r="BG41" i="8" s="1"/>
  <c r="BF38" i="8"/>
  <c r="BG38" i="8" s="1"/>
  <c r="BE28" i="8"/>
  <c r="BH28" i="8" s="1"/>
  <c r="BT6" i="8"/>
  <c r="BU6" i="8" s="1"/>
  <c r="BV6" i="8" s="1"/>
  <c r="BW6" i="8" s="1"/>
  <c r="BX6" i="8" s="1"/>
  <c r="BY6" i="8" s="1"/>
  <c r="BZ6" i="8" s="1"/>
  <c r="CA6" i="8" s="1"/>
  <c r="CB6" i="8" s="1"/>
  <c r="CC6" i="8" s="1"/>
  <c r="CD6" i="8" s="1"/>
  <c r="CE6" i="8" s="1"/>
  <c r="BT4" i="8"/>
  <c r="BU4" i="8" s="1"/>
  <c r="BV4" i="8" s="1"/>
  <c r="BW4" i="8" s="1"/>
  <c r="BX4" i="8" s="1"/>
  <c r="BY4" i="8" s="1"/>
  <c r="BZ4" i="8" s="1"/>
  <c r="CA4" i="8" s="1"/>
  <c r="CB4" i="8" s="1"/>
  <c r="CC4" i="8" s="1"/>
  <c r="CD4" i="8" s="1"/>
  <c r="CE4" i="8" s="1"/>
  <c r="BT11" i="8"/>
  <c r="BU11" i="8" s="1"/>
  <c r="BV11" i="8" s="1"/>
  <c r="BW11" i="8" s="1"/>
  <c r="BX11" i="8" s="1"/>
  <c r="BY11" i="8" s="1"/>
  <c r="BZ11" i="8" s="1"/>
  <c r="CA11" i="8" s="1"/>
  <c r="CB11" i="8" s="1"/>
  <c r="CC11" i="8" s="1"/>
  <c r="CD11" i="8" s="1"/>
  <c r="CE11" i="8" s="1"/>
  <c r="BE73" i="8"/>
  <c r="BH73" i="8" s="1"/>
  <c r="BT10" i="8"/>
  <c r="BU10" i="8" s="1"/>
  <c r="BV10" i="8" s="1"/>
  <c r="BW10" i="8" s="1"/>
  <c r="BX10" i="8" s="1"/>
  <c r="BY10" i="8" s="1"/>
  <c r="BZ10" i="8" s="1"/>
  <c r="CA10" i="8" s="1"/>
  <c r="CB10" i="8" s="1"/>
  <c r="CC10" i="8" s="1"/>
  <c r="CD10" i="8" s="1"/>
  <c r="CE10" i="8" s="1"/>
  <c r="BE30" i="8"/>
  <c r="BH30" i="8" s="1"/>
  <c r="BE44" i="8"/>
  <c r="BH44" i="8" s="1"/>
  <c r="BF52" i="8"/>
  <c r="BG52" i="8" s="1"/>
  <c r="BF62" i="8"/>
  <c r="BG62" i="8" s="1"/>
  <c r="BF73" i="8"/>
  <c r="BG73" i="8" s="1"/>
  <c r="BE29" i="8"/>
  <c r="BH29" i="8" s="1"/>
  <c r="BE43" i="8"/>
  <c r="BH43" i="8" s="1"/>
  <c r="BE57" i="8"/>
  <c r="BH57" i="8" s="1"/>
  <c r="BE71" i="8"/>
  <c r="BH71" i="8" s="1"/>
  <c r="BE35" i="8"/>
  <c r="BH35" i="8" s="1"/>
  <c r="BE49" i="8"/>
  <c r="BH49" i="8" s="1"/>
  <c r="BE63" i="8"/>
  <c r="BH63" i="8" s="1"/>
  <c r="BF78" i="8"/>
  <c r="BG78" i="8" s="1"/>
  <c r="BE34" i="8"/>
  <c r="BH34" i="8" s="1"/>
  <c r="BF42" i="8"/>
  <c r="BG42" i="8" s="1"/>
  <c r="BE55" i="8"/>
  <c r="BH55" i="8" s="1"/>
  <c r="BE66" i="8"/>
  <c r="BH66" i="8" s="1"/>
  <c r="BE76" i="8"/>
  <c r="BH76" i="8" s="1"/>
  <c r="BT9" i="8"/>
  <c r="BU9" i="8" s="1"/>
  <c r="BV9" i="8" s="1"/>
  <c r="BW9" i="8" s="1"/>
  <c r="BX9" i="8" s="1"/>
  <c r="BY9" i="8" s="1"/>
  <c r="BZ9" i="8" s="1"/>
  <c r="CA9" i="8" s="1"/>
  <c r="CB9" i="8" s="1"/>
  <c r="CC9" i="8" s="1"/>
  <c r="CD9" i="8" s="1"/>
  <c r="CE9" i="8" s="1"/>
  <c r="BT7" i="8"/>
  <c r="BU7" i="8" s="1"/>
  <c r="BV7" i="8" s="1"/>
  <c r="BW7" i="8" s="1"/>
  <c r="BX7" i="8" s="1"/>
  <c r="BY7" i="8" s="1"/>
  <c r="BZ7" i="8" s="1"/>
  <c r="CA7" i="8" s="1"/>
  <c r="CB7" i="8" s="1"/>
  <c r="CC7" i="8" s="1"/>
  <c r="CD7" i="8" s="1"/>
  <c r="CE7" i="8" s="1"/>
  <c r="BF31" i="8"/>
  <c r="BG31" i="8" s="1"/>
  <c r="BF45" i="8"/>
  <c r="BG45" i="8" s="1"/>
  <c r="BF55" i="8"/>
  <c r="BG55" i="8" s="1"/>
  <c r="BF66" i="8"/>
  <c r="BG66" i="8" s="1"/>
  <c r="BF76" i="8"/>
  <c r="BG76" i="8" s="1"/>
  <c r="BF30" i="8"/>
  <c r="BG30" i="8" s="1"/>
  <c r="BF44" i="8"/>
  <c r="BG44" i="8" s="1"/>
  <c r="BF58" i="8"/>
  <c r="BG58" i="8" s="1"/>
  <c r="BF72" i="8"/>
  <c r="BG72" i="8" s="1"/>
  <c r="BF36" i="8"/>
  <c r="BG36" i="8" s="1"/>
  <c r="BF50" i="8"/>
  <c r="BG50" i="8" s="1"/>
  <c r="BF64" i="8"/>
  <c r="BG64" i="8" s="1"/>
  <c r="BE27" i="8"/>
  <c r="BH27" i="8" s="1"/>
  <c r="BF35" i="8"/>
  <c r="BG35" i="8" s="1"/>
  <c r="BE45" i="8"/>
  <c r="BH45" i="8" s="1"/>
  <c r="BE59" i="8"/>
  <c r="BH59" i="8" s="1"/>
  <c r="BE69" i="8"/>
  <c r="BH69" i="8" s="1"/>
  <c r="BF77" i="8"/>
  <c r="BG77" i="8" s="1"/>
  <c r="BG20" i="8"/>
  <c r="BT13" i="8"/>
  <c r="BU13" i="8" s="1"/>
  <c r="BV13" i="8" s="1"/>
  <c r="BW13" i="8" s="1"/>
  <c r="BX13" i="8" s="1"/>
  <c r="BY13" i="8" s="1"/>
  <c r="BZ13" i="8" s="1"/>
  <c r="CA13" i="8" s="1"/>
  <c r="CB13" i="8" s="1"/>
  <c r="CC13" i="8" s="1"/>
  <c r="CD13" i="8" s="1"/>
  <c r="CE13" i="8" s="1"/>
  <c r="BT12" i="8"/>
  <c r="BU12" i="8" s="1"/>
  <c r="BV12" i="8" s="1"/>
  <c r="BW12" i="8" s="1"/>
  <c r="BX12" i="8" s="1"/>
  <c r="BY12" i="8" s="1"/>
  <c r="BZ12" i="8" s="1"/>
  <c r="CA12" i="8" s="1"/>
  <c r="CB12" i="8" s="1"/>
  <c r="CC12" i="8" s="1"/>
  <c r="CD12" i="8" s="1"/>
  <c r="CE12" i="8" s="1"/>
  <c r="BT5" i="8"/>
  <c r="BU5" i="8" s="1"/>
  <c r="BV5" i="8" s="1"/>
  <c r="BW5" i="8" s="1"/>
  <c r="BX5" i="8" s="1"/>
  <c r="BY5" i="8" s="1"/>
  <c r="BZ5" i="8" s="1"/>
  <c r="CA5" i="8" s="1"/>
  <c r="CB5" i="8" s="1"/>
  <c r="CC5" i="8" s="1"/>
  <c r="CD5" i="8" s="1"/>
  <c r="CE5" i="8" s="1"/>
  <c r="BF34" i="8"/>
  <c r="BG34" i="8" s="1"/>
  <c r="BF48" i="8"/>
  <c r="BG48" i="8" s="1"/>
  <c r="BE58" i="8"/>
  <c r="BH58" i="8" s="1"/>
  <c r="BF69" i="8"/>
  <c r="BG69" i="8" s="1"/>
  <c r="BE79" i="8"/>
  <c r="BH79" i="8" s="1"/>
  <c r="BE36" i="8"/>
  <c r="BH36" i="8" s="1"/>
  <c r="BE50" i="8"/>
  <c r="BH50" i="8" s="1"/>
  <c r="BE64" i="8"/>
  <c r="BH64" i="8" s="1"/>
  <c r="BF79" i="8"/>
  <c r="BG79" i="8" s="1"/>
  <c r="BE42" i="8"/>
  <c r="BH42" i="8" s="1"/>
  <c r="BE56" i="8"/>
  <c r="BH56" i="8" s="1"/>
  <c r="BE70" i="8"/>
  <c r="BH70" i="8" s="1"/>
  <c r="BF28" i="8"/>
  <c r="BG28" i="8" s="1"/>
  <c r="BE38" i="8"/>
  <c r="BH38" i="8" s="1"/>
  <c r="BE48" i="8"/>
  <c r="BH48" i="8" s="1"/>
  <c r="BE62" i="8"/>
  <c r="BH62" i="8" s="1"/>
  <c r="BF70" i="8"/>
  <c r="BG70" i="8" s="1"/>
  <c r="BE80" i="8"/>
  <c r="BH80" i="8" s="1"/>
  <c r="BT8" i="8"/>
  <c r="BU8" i="8" s="1"/>
  <c r="BV8" i="8" s="1"/>
  <c r="BW8" i="8" s="1"/>
  <c r="BX8" i="8" s="1"/>
  <c r="BY8" i="8" s="1"/>
  <c r="BZ8" i="8" s="1"/>
  <c r="CA8" i="8" s="1"/>
  <c r="CB8" i="8" s="1"/>
  <c r="CC8" i="8" s="1"/>
  <c r="CD8" i="8" s="1"/>
  <c r="CE8" i="8" s="1"/>
  <c r="BF27" i="8"/>
  <c r="BG27" i="8" s="1"/>
  <c r="BE37" i="8"/>
  <c r="BH37" i="8" s="1"/>
  <c r="BE51" i="8"/>
  <c r="BH51" i="8" s="1"/>
  <c r="BF59" i="8"/>
  <c r="BG59" i="8" s="1"/>
  <c r="BE72" i="8"/>
  <c r="BH72" i="8" s="1"/>
  <c r="BF80" i="8"/>
  <c r="BG80" i="8" s="1"/>
  <c r="BF37" i="8"/>
  <c r="BG37" i="8" s="1"/>
  <c r="BF51" i="8"/>
  <c r="BG51" i="8" s="1"/>
  <c r="BF65" i="8"/>
  <c r="BG65" i="8" s="1"/>
  <c r="BF29" i="8"/>
  <c r="BG29" i="8" s="1"/>
  <c r="BF43" i="8"/>
  <c r="BG43" i="8" s="1"/>
  <c r="BF57" i="8"/>
  <c r="BG57" i="8" s="1"/>
  <c r="BE77" i="8"/>
  <c r="BH77" i="8" s="1"/>
  <c r="BE31" i="8"/>
  <c r="BH31" i="8" s="1"/>
  <c r="BE41" i="8"/>
  <c r="BH41" i="8" s="1"/>
  <c r="BF49" i="8"/>
  <c r="BG49" i="8" s="1"/>
  <c r="BF63" i="8"/>
  <c r="BG63" i="8" s="1"/>
  <c r="V14" i="8"/>
  <c r="V10" i="8"/>
  <c r="V6" i="8"/>
  <c r="V5" i="8"/>
  <c r="V9" i="8"/>
  <c r="V13" i="8"/>
  <c r="V17" i="8"/>
  <c r="V8" i="8"/>
  <c r="V12" i="8"/>
  <c r="V16" i="8"/>
  <c r="R78" i="1"/>
  <c r="R77" i="1"/>
  <c r="R76" i="1"/>
  <c r="R75" i="1"/>
  <c r="R74" i="1"/>
  <c r="R71" i="1"/>
  <c r="R70" i="1"/>
  <c r="R69" i="1"/>
  <c r="R68" i="1"/>
  <c r="R67" i="1"/>
  <c r="R64" i="1"/>
  <c r="R63" i="1"/>
  <c r="R62" i="1"/>
  <c r="R61" i="1"/>
  <c r="R60" i="1"/>
  <c r="R57" i="1"/>
  <c r="R56" i="1"/>
  <c r="R55" i="1"/>
  <c r="R54" i="1"/>
  <c r="R53" i="1"/>
  <c r="R50" i="1"/>
  <c r="R49" i="1"/>
  <c r="R48" i="1"/>
  <c r="R47" i="1"/>
  <c r="R46" i="1"/>
  <c r="R43" i="1"/>
  <c r="R42" i="1"/>
  <c r="R41" i="1"/>
  <c r="R40" i="1"/>
  <c r="R39" i="1"/>
  <c r="R36" i="1"/>
  <c r="R35" i="1"/>
  <c r="R34" i="1"/>
  <c r="R33" i="1"/>
  <c r="R32" i="1"/>
  <c r="R29" i="1"/>
  <c r="R28" i="1"/>
  <c r="R27" i="1"/>
  <c r="R26" i="1"/>
  <c r="R25" i="1"/>
  <c r="R19" i="1"/>
  <c r="R20" i="1"/>
  <c r="R21" i="1"/>
  <c r="R22" i="1"/>
  <c r="R18" i="1"/>
  <c r="M78" i="1"/>
  <c r="M77" i="1"/>
  <c r="M76" i="1"/>
  <c r="M75" i="1"/>
  <c r="M74" i="1"/>
  <c r="M71" i="1"/>
  <c r="M70" i="1"/>
  <c r="M69" i="1"/>
  <c r="M68" i="1"/>
  <c r="M67" i="1"/>
  <c r="M64" i="1"/>
  <c r="M63" i="1"/>
  <c r="M62" i="1"/>
  <c r="M61" i="1"/>
  <c r="M60" i="1"/>
  <c r="M57" i="1"/>
  <c r="M56" i="1"/>
  <c r="M55" i="1"/>
  <c r="M54" i="1"/>
  <c r="M53" i="1"/>
  <c r="M50" i="1"/>
  <c r="M49" i="1"/>
  <c r="M48" i="1"/>
  <c r="M47" i="1"/>
  <c r="M46" i="1"/>
  <c r="M43" i="1"/>
  <c r="M42" i="1"/>
  <c r="M41" i="1"/>
  <c r="M40" i="1"/>
  <c r="M39" i="1"/>
  <c r="M36" i="1"/>
  <c r="M35" i="1"/>
  <c r="M34" i="1"/>
  <c r="M33" i="1"/>
  <c r="M32" i="1"/>
  <c r="M29" i="1"/>
  <c r="M28" i="1"/>
  <c r="M27" i="1"/>
  <c r="M26" i="1"/>
  <c r="M25" i="1"/>
  <c r="M19" i="1"/>
  <c r="M20" i="1"/>
  <c r="M21" i="1"/>
  <c r="M22" i="1"/>
  <c r="M18" i="1"/>
  <c r="J78" i="1"/>
  <c r="J77" i="1"/>
  <c r="J76" i="1"/>
  <c r="J75" i="1"/>
  <c r="J74" i="1"/>
  <c r="J71" i="1"/>
  <c r="J70" i="1"/>
  <c r="J69" i="1"/>
  <c r="J68" i="1"/>
  <c r="J67" i="1"/>
  <c r="J64" i="1"/>
  <c r="J63" i="1"/>
  <c r="J62" i="1"/>
  <c r="J61" i="1"/>
  <c r="J60" i="1"/>
  <c r="J57" i="1"/>
  <c r="J56" i="1"/>
  <c r="J55" i="1"/>
  <c r="J54" i="1"/>
  <c r="J53" i="1"/>
  <c r="J50" i="1"/>
  <c r="J49" i="1"/>
  <c r="J48" i="1"/>
  <c r="J47" i="1"/>
  <c r="J46" i="1"/>
  <c r="J43" i="1"/>
  <c r="J42" i="1"/>
  <c r="J41" i="1"/>
  <c r="J40" i="1"/>
  <c r="J39" i="1"/>
  <c r="J36" i="1"/>
  <c r="J35" i="1"/>
  <c r="J34" i="1"/>
  <c r="J33" i="1"/>
  <c r="J32" i="1"/>
  <c r="J29" i="1"/>
  <c r="J28" i="1"/>
  <c r="J27" i="1"/>
  <c r="J26" i="1"/>
  <c r="J25" i="1"/>
  <c r="J19" i="1"/>
  <c r="J20" i="1"/>
  <c r="J21" i="1"/>
  <c r="J22" i="1"/>
  <c r="J18" i="1"/>
  <c r="R55" i="2"/>
  <c r="R54" i="2"/>
  <c r="R53" i="2"/>
  <c r="R52" i="2"/>
  <c r="R49" i="2"/>
  <c r="R48" i="2"/>
  <c r="R47" i="2"/>
  <c r="R46" i="2"/>
  <c r="R43" i="2"/>
  <c r="R42" i="2"/>
  <c r="R41" i="2"/>
  <c r="R40" i="2"/>
  <c r="R37" i="2"/>
  <c r="R36" i="2"/>
  <c r="R35" i="2"/>
  <c r="R34" i="2"/>
  <c r="R31" i="2"/>
  <c r="R30" i="2"/>
  <c r="R29" i="2"/>
  <c r="R28" i="2"/>
  <c r="R25" i="2"/>
  <c r="R24" i="2"/>
  <c r="R23" i="2"/>
  <c r="R22" i="2"/>
  <c r="R17" i="2"/>
  <c r="R18" i="2"/>
  <c r="R19" i="2"/>
  <c r="R16" i="2"/>
  <c r="M55" i="2"/>
  <c r="M54" i="2"/>
  <c r="M53" i="2"/>
  <c r="M52" i="2"/>
  <c r="M49" i="2"/>
  <c r="M48" i="2"/>
  <c r="M47" i="2"/>
  <c r="M46" i="2"/>
  <c r="M43" i="2"/>
  <c r="M42" i="2"/>
  <c r="M41" i="2"/>
  <c r="M40" i="2"/>
  <c r="M37" i="2"/>
  <c r="M36" i="2"/>
  <c r="M35" i="2"/>
  <c r="M34" i="2"/>
  <c r="M31" i="2"/>
  <c r="M30" i="2"/>
  <c r="M29" i="2"/>
  <c r="M28" i="2"/>
  <c r="M25" i="2"/>
  <c r="M24" i="2"/>
  <c r="M23" i="2"/>
  <c r="M22" i="2"/>
  <c r="M17" i="2"/>
  <c r="M18" i="2"/>
  <c r="M19" i="2"/>
  <c r="M16" i="2"/>
  <c r="J55" i="2"/>
  <c r="J54" i="2"/>
  <c r="J53" i="2"/>
  <c r="J52" i="2"/>
  <c r="J49" i="2"/>
  <c r="J48" i="2"/>
  <c r="J47" i="2"/>
  <c r="J46" i="2"/>
  <c r="J43" i="2"/>
  <c r="J42" i="2"/>
  <c r="J41" i="2"/>
  <c r="J40" i="2"/>
  <c r="J37" i="2"/>
  <c r="J36" i="2"/>
  <c r="J35" i="2"/>
  <c r="J34" i="2"/>
  <c r="J31" i="2"/>
  <c r="J30" i="2"/>
  <c r="J29" i="2"/>
  <c r="J28" i="2"/>
  <c r="J25" i="2"/>
  <c r="J24" i="2"/>
  <c r="J23" i="2"/>
  <c r="J22" i="2"/>
  <c r="J17" i="2"/>
  <c r="J18" i="2"/>
  <c r="J19" i="2"/>
  <c r="J16" i="2"/>
  <c r="R36" i="3"/>
  <c r="R35" i="3"/>
  <c r="R34" i="3"/>
  <c r="R31" i="3"/>
  <c r="R30" i="3"/>
  <c r="R29" i="3"/>
  <c r="R26" i="3"/>
  <c r="R25" i="3"/>
  <c r="R24" i="3"/>
  <c r="R21" i="3"/>
  <c r="R20" i="3"/>
  <c r="R19" i="3"/>
  <c r="R15" i="3"/>
  <c r="R16" i="3"/>
  <c r="R14" i="3"/>
  <c r="M36" i="3"/>
  <c r="M35" i="3"/>
  <c r="M34" i="3"/>
  <c r="M31" i="3"/>
  <c r="M30" i="3"/>
  <c r="M29" i="3"/>
  <c r="M26" i="3"/>
  <c r="M25" i="3"/>
  <c r="M24" i="3"/>
  <c r="M21" i="3"/>
  <c r="M20" i="3"/>
  <c r="M19" i="3"/>
  <c r="M15" i="3"/>
  <c r="M16" i="3"/>
  <c r="M14" i="3"/>
  <c r="J36" i="3"/>
  <c r="J35" i="3"/>
  <c r="J34" i="3"/>
  <c r="J31" i="3"/>
  <c r="J30" i="3"/>
  <c r="J29" i="3"/>
  <c r="J26" i="3"/>
  <c r="J25" i="3"/>
  <c r="J24" i="3"/>
  <c r="J21" i="3"/>
  <c r="J20" i="3"/>
  <c r="J19" i="3"/>
  <c r="J15" i="3"/>
  <c r="J16" i="3"/>
  <c r="J14" i="3"/>
  <c r="J16" i="4"/>
  <c r="Q21" i="4"/>
  <c r="Q20" i="4"/>
  <c r="Q17" i="4"/>
  <c r="Q16" i="4"/>
  <c r="Q13" i="4"/>
  <c r="Q12" i="4"/>
  <c r="N21" i="4"/>
  <c r="N20" i="4"/>
  <c r="N17" i="4"/>
  <c r="N16" i="4"/>
  <c r="N13" i="4"/>
  <c r="N12" i="4"/>
  <c r="J21" i="4"/>
  <c r="J20" i="4"/>
  <c r="J17" i="4"/>
  <c r="J13" i="4"/>
  <c r="J12" i="4"/>
  <c r="AA5" i="9" l="1"/>
  <c r="AA9" i="9"/>
  <c r="AA13" i="9"/>
  <c r="AA6" i="9"/>
  <c r="AA10" i="9"/>
  <c r="AA14" i="9"/>
  <c r="AA7" i="9"/>
  <c r="AA11" i="9"/>
  <c r="AA15" i="9"/>
  <c r="AA8" i="9"/>
  <c r="AA12" i="9"/>
  <c r="AA4" i="9"/>
  <c r="AI17" i="8"/>
  <c r="AI6" i="8"/>
  <c r="AI12" i="8"/>
  <c r="W4" i="8"/>
  <c r="F140" i="8" s="1"/>
  <c r="AI9" i="8"/>
  <c r="AI8" i="8"/>
  <c r="AI5" i="8"/>
  <c r="AI11" i="8"/>
  <c r="AI7" i="8"/>
  <c r="AI16" i="8"/>
  <c r="AI13" i="8"/>
  <c r="AI10" i="8"/>
  <c r="AI14" i="8"/>
  <c r="AI15" i="8"/>
  <c r="AI4" i="8"/>
  <c r="W14" i="8"/>
  <c r="W5" i="8"/>
  <c r="W15" i="8"/>
  <c r="W13" i="8"/>
  <c r="W7" i="8"/>
  <c r="W11" i="8"/>
  <c r="W9" i="8"/>
  <c r="W12" i="8"/>
  <c r="W16" i="8"/>
  <c r="W10" i="8"/>
  <c r="W17" i="8"/>
  <c r="W6" i="8"/>
  <c r="W8" i="8"/>
  <c r="BA13" i="8"/>
  <c r="BA12" i="8"/>
  <c r="BA6" i="8"/>
  <c r="BA8" i="8"/>
  <c r="BA9" i="8"/>
  <c r="BA10" i="8"/>
  <c r="BA11" i="8"/>
  <c r="BA4" i="8"/>
  <c r="BA5" i="8"/>
  <c r="BA7" i="8"/>
  <c r="D80" i="1"/>
  <c r="AW79" i="1"/>
  <c r="AW72" i="1"/>
  <c r="AW65" i="1"/>
  <c r="AW58" i="1"/>
  <c r="AW51" i="1"/>
  <c r="AW44" i="1"/>
  <c r="AW37" i="1"/>
  <c r="AW30" i="1"/>
  <c r="AW23" i="1"/>
  <c r="B39" i="3"/>
  <c r="AB4" i="9" l="1"/>
  <c r="AB11" i="9"/>
  <c r="AB6" i="9"/>
  <c r="AB12" i="9"/>
  <c r="AB7" i="9"/>
  <c r="AB13" i="9"/>
  <c r="AB8" i="9"/>
  <c r="AB14" i="9"/>
  <c r="AB9" i="9"/>
  <c r="AB15" i="9"/>
  <c r="AB10" i="9"/>
  <c r="AB5" i="9"/>
  <c r="AQ17" i="8"/>
  <c r="I140" i="8"/>
  <c r="H140" i="8"/>
  <c r="AQ9" i="8"/>
  <c r="F145" i="8"/>
  <c r="I145" i="8"/>
  <c r="H145" i="8"/>
  <c r="AQ11" i="8"/>
  <c r="I147" i="8"/>
  <c r="H147" i="8"/>
  <c r="F147" i="8"/>
  <c r="AQ8" i="8"/>
  <c r="H144" i="8"/>
  <c r="F144" i="8"/>
  <c r="I144" i="8"/>
  <c r="AQ16" i="8"/>
  <c r="H152" i="8"/>
  <c r="F152" i="8"/>
  <c r="I152" i="8"/>
  <c r="AQ7" i="8"/>
  <c r="I143" i="8"/>
  <c r="H143" i="8"/>
  <c r="F143" i="8"/>
  <c r="AQ14" i="8"/>
  <c r="I150" i="8"/>
  <c r="H150" i="8"/>
  <c r="F150" i="8"/>
  <c r="AQ15" i="8"/>
  <c r="F151" i="8"/>
  <c r="I151" i="8"/>
  <c r="H151" i="8"/>
  <c r="AQ10" i="8"/>
  <c r="I146" i="8"/>
  <c r="H146" i="8"/>
  <c r="F146" i="8"/>
  <c r="AQ6" i="8"/>
  <c r="I142" i="8"/>
  <c r="H142" i="8"/>
  <c r="F142" i="8"/>
  <c r="AQ12" i="8"/>
  <c r="F148" i="8"/>
  <c r="H148" i="8"/>
  <c r="I148" i="8"/>
  <c r="AQ13" i="8"/>
  <c r="I149" i="8"/>
  <c r="H149" i="8"/>
  <c r="I153" i="8"/>
  <c r="F149" i="8"/>
  <c r="H153" i="8"/>
  <c r="F153" i="8"/>
  <c r="AI18" i="8"/>
  <c r="AQ5" i="8"/>
  <c r="F141" i="8"/>
  <c r="I141" i="8"/>
  <c r="H141" i="8"/>
  <c r="AQ4" i="8"/>
  <c r="B23" i="4"/>
  <c r="S8" i="4"/>
  <c r="AB16" i="9" l="1"/>
  <c r="AJ7" i="8"/>
  <c r="AJ11" i="8"/>
  <c r="AJ15" i="8"/>
  <c r="AJ8" i="8"/>
  <c r="AJ12" i="8"/>
  <c r="AJ16" i="8"/>
  <c r="AJ5" i="8"/>
  <c r="AJ9" i="8"/>
  <c r="AJ13" i="8"/>
  <c r="AJ17" i="8"/>
  <c r="AJ6" i="8"/>
  <c r="AJ10" i="8"/>
  <c r="AJ14" i="8"/>
  <c r="AJ4" i="8"/>
  <c r="B57" i="2"/>
  <c r="AC8" i="9" l="1"/>
  <c r="AC12" i="9"/>
  <c r="AC4" i="9"/>
  <c r="AC5" i="9"/>
  <c r="AC9" i="9"/>
  <c r="AC13" i="9"/>
  <c r="AC6" i="9"/>
  <c r="AC10" i="9"/>
  <c r="AC14" i="9"/>
  <c r="AC7" i="9"/>
  <c r="AC11" i="9"/>
  <c r="AC15" i="9"/>
  <c r="AK17" i="8"/>
  <c r="AK4" i="8"/>
  <c r="AK11" i="8"/>
  <c r="AK13" i="8"/>
  <c r="AK7" i="8"/>
  <c r="AK10" i="8"/>
  <c r="AK9" i="8"/>
  <c r="AK8" i="8"/>
  <c r="AK16" i="8"/>
  <c r="AK14" i="8"/>
  <c r="AK12" i="8"/>
  <c r="AK6" i="8"/>
  <c r="AK5" i="8"/>
  <c r="AK15" i="8"/>
  <c r="C61" i="2"/>
  <c r="C62" i="2"/>
  <c r="C63" i="2"/>
  <c r="C64" i="2"/>
  <c r="C65" i="2"/>
  <c r="C66" i="2"/>
  <c r="C67" i="2"/>
  <c r="C60" i="2"/>
  <c r="E23" i="2"/>
  <c r="E24" i="2"/>
  <c r="E25" i="2"/>
  <c r="E22" i="2"/>
  <c r="E17" i="2"/>
  <c r="E18" i="2"/>
  <c r="E19" i="2"/>
  <c r="E16" i="2"/>
  <c r="C17" i="2"/>
  <c r="C18" i="2"/>
  <c r="C19" i="2"/>
  <c r="C16" i="2"/>
  <c r="AD15" i="9" l="1"/>
  <c r="AD5" i="9"/>
  <c r="AD10" i="9"/>
  <c r="AD11" i="9"/>
  <c r="AD6" i="9"/>
  <c r="AD4" i="9"/>
  <c r="AD7" i="9"/>
  <c r="AD13" i="9"/>
  <c r="AD12" i="9"/>
  <c r="AD14" i="9"/>
  <c r="AD9" i="9"/>
  <c r="AD8" i="9"/>
  <c r="AK18" i="8"/>
  <c r="AL8" i="8" s="1"/>
  <c r="AM21" i="4"/>
  <c r="AM20" i="4"/>
  <c r="AM12" i="4"/>
  <c r="AW53" i="1"/>
  <c r="AW47" i="1"/>
  <c r="AW41" i="1"/>
  <c r="AW19" i="1"/>
  <c r="AD16" i="9" l="1"/>
  <c r="AL7" i="8"/>
  <c r="AL5" i="8"/>
  <c r="AL17" i="8"/>
  <c r="AL15" i="8"/>
  <c r="AL14" i="8"/>
  <c r="AL13" i="8"/>
  <c r="AL12" i="8"/>
  <c r="AL6" i="8"/>
  <c r="AL4" i="8"/>
  <c r="AL16" i="8"/>
  <c r="AL11" i="8"/>
  <c r="AL10" i="8"/>
  <c r="AL9" i="8"/>
  <c r="AW28" i="1"/>
  <c r="AW34" i="1"/>
  <c r="AW50" i="1"/>
  <c r="AW62" i="1"/>
  <c r="AW68" i="1"/>
  <c r="AW74" i="1"/>
  <c r="AW78" i="1"/>
  <c r="AW75" i="1"/>
  <c r="AW69" i="1"/>
  <c r="AW63" i="1"/>
  <c r="AW57" i="1"/>
  <c r="AW56" i="1"/>
  <c r="AW46" i="1"/>
  <c r="AW40" i="1"/>
  <c r="AW35" i="1"/>
  <c r="AW22" i="1"/>
  <c r="AW18" i="1"/>
  <c r="AW32" i="1"/>
  <c r="AW54" i="1"/>
  <c r="AW64" i="1"/>
  <c r="AW76" i="1"/>
  <c r="AW48" i="1"/>
  <c r="AW77" i="1"/>
  <c r="AW71" i="1"/>
  <c r="AW70" i="1"/>
  <c r="AW67" i="1"/>
  <c r="AW61" i="1"/>
  <c r="AW60" i="1"/>
  <c r="AW55" i="1"/>
  <c r="AW49" i="1"/>
  <c r="AW43" i="1"/>
  <c r="AW42" i="1"/>
  <c r="AW39" i="1"/>
  <c r="AW36" i="1"/>
  <c r="AW33" i="1"/>
  <c r="AW26" i="1"/>
  <c r="AW21" i="1"/>
  <c r="AW20" i="1"/>
  <c r="AW27" i="1"/>
  <c r="AW25" i="1"/>
  <c r="AW29" i="1"/>
  <c r="AM17" i="4"/>
  <c r="AM16" i="4"/>
  <c r="AM13" i="4"/>
  <c r="AT55" i="2"/>
  <c r="AT54" i="2"/>
  <c r="AT53" i="2"/>
  <c r="AT52" i="2"/>
  <c r="AT48" i="2"/>
  <c r="AT47" i="2"/>
  <c r="AT43" i="2"/>
  <c r="AT41" i="2"/>
  <c r="AT37" i="2"/>
  <c r="AT35" i="2"/>
  <c r="AT30" i="2"/>
  <c r="AT29" i="2"/>
  <c r="AT28" i="2"/>
  <c r="AT25" i="2"/>
  <c r="AT24" i="2"/>
  <c r="AT23" i="2"/>
  <c r="AE5" i="9" l="1"/>
  <c r="AE9" i="9"/>
  <c r="AE13" i="9"/>
  <c r="AE6" i="9"/>
  <c r="AE10" i="9"/>
  <c r="AE14" i="9"/>
  <c r="AE7" i="9"/>
  <c r="AE11" i="9"/>
  <c r="AE15" i="9"/>
  <c r="AE8" i="9"/>
  <c r="AE12" i="9"/>
  <c r="AE4" i="9"/>
  <c r="AM10" i="8"/>
  <c r="AM6" i="8"/>
  <c r="AM12" i="8"/>
  <c r="AM15" i="8"/>
  <c r="AM16" i="8"/>
  <c r="AM7" i="8"/>
  <c r="AM13" i="8"/>
  <c r="AM17" i="8"/>
  <c r="AM8" i="8"/>
  <c r="AM11" i="8"/>
  <c r="AM14" i="8"/>
  <c r="AM5" i="8"/>
  <c r="AM9" i="8"/>
  <c r="AM4" i="8"/>
  <c r="AT46" i="2"/>
  <c r="AT16" i="2"/>
  <c r="AT49" i="2"/>
  <c r="AT40" i="2"/>
  <c r="AT36" i="2"/>
  <c r="AT34" i="2"/>
  <c r="AT22" i="2"/>
  <c r="AT18" i="2"/>
  <c r="AT31" i="2"/>
  <c r="AT42" i="2"/>
  <c r="AT19" i="2"/>
  <c r="AT17" i="2"/>
  <c r="AQ36" i="3"/>
  <c r="AQ34" i="3"/>
  <c r="AQ30" i="3"/>
  <c r="AQ29" i="3"/>
  <c r="AQ26" i="3"/>
  <c r="AQ24" i="3"/>
  <c r="AQ21" i="3"/>
  <c r="AQ20" i="3"/>
  <c r="AG4" i="9" l="1"/>
  <c r="AI4" i="9" s="1"/>
  <c r="AG11" i="9"/>
  <c r="AI11" i="9" s="1"/>
  <c r="AG6" i="9"/>
  <c r="AI6" i="9" s="1"/>
  <c r="AG12" i="9"/>
  <c r="AI12" i="9" s="1"/>
  <c r="AG7" i="9"/>
  <c r="AI7" i="9" s="1"/>
  <c r="AG13" i="9"/>
  <c r="AI13" i="9" s="1"/>
  <c r="AG14" i="9"/>
  <c r="AI14" i="9" s="1"/>
  <c r="AG9" i="9"/>
  <c r="AI9" i="9" s="1"/>
  <c r="AG8" i="9"/>
  <c r="AI8" i="9" s="1"/>
  <c r="AG15" i="9"/>
  <c r="AI15" i="9" s="1"/>
  <c r="AG10" i="9"/>
  <c r="AI10" i="9" s="1"/>
  <c r="AG5" i="9"/>
  <c r="AI5" i="9" s="1"/>
  <c r="O4" i="2"/>
  <c r="H11" i="2"/>
  <c r="I10" i="2"/>
  <c r="N5" i="2"/>
  <c r="M6" i="2"/>
  <c r="J9" i="2"/>
  <c r="AM18" i="8"/>
  <c r="AQ19" i="3"/>
  <c r="AQ35" i="3"/>
  <c r="AQ25" i="3"/>
  <c r="AQ31" i="3"/>
  <c r="AQ14" i="3"/>
  <c r="AQ15" i="3"/>
  <c r="AQ16" i="3"/>
  <c r="AP21" i="4"/>
  <c r="AO21" i="4"/>
  <c r="E21" i="4"/>
  <c r="C21" i="4"/>
  <c r="AP20" i="4"/>
  <c r="AO20" i="4"/>
  <c r="E20" i="4"/>
  <c r="C20" i="4"/>
  <c r="AP17" i="4"/>
  <c r="AO17" i="4"/>
  <c r="E17" i="4"/>
  <c r="C17" i="4"/>
  <c r="AP16" i="4"/>
  <c r="AO16" i="4"/>
  <c r="E16" i="4"/>
  <c r="C16" i="4"/>
  <c r="AT13" i="4"/>
  <c r="AS13" i="4"/>
  <c r="AP13" i="4"/>
  <c r="AO13" i="4"/>
  <c r="E13" i="4"/>
  <c r="C13" i="4"/>
  <c r="AT12" i="4"/>
  <c r="AS12" i="4"/>
  <c r="AP12" i="4"/>
  <c r="AO12" i="4"/>
  <c r="E12" i="4"/>
  <c r="C12" i="4"/>
  <c r="V6" i="4"/>
  <c r="AX7" i="4"/>
  <c r="AW7" i="4"/>
  <c r="AV7" i="4"/>
  <c r="AU7" i="4"/>
  <c r="AT7" i="4"/>
  <c r="AS7" i="4"/>
  <c r="AR7" i="4"/>
  <c r="AQ7" i="4"/>
  <c r="AP7" i="4"/>
  <c r="BA7" i="4" s="1"/>
  <c r="V7" i="4"/>
  <c r="AX6" i="4"/>
  <c r="AW6" i="4"/>
  <c r="AV6" i="4"/>
  <c r="AU6" i="4"/>
  <c r="AT6" i="4"/>
  <c r="AS6" i="4"/>
  <c r="AR6" i="4"/>
  <c r="AQ6" i="4"/>
  <c r="AP6" i="4"/>
  <c r="BA6" i="4" s="1"/>
  <c r="AX5" i="4"/>
  <c r="AW5" i="4"/>
  <c r="AV5" i="4"/>
  <c r="AU5" i="4"/>
  <c r="AT5" i="4"/>
  <c r="AS5" i="4"/>
  <c r="AR5" i="4"/>
  <c r="AQ5" i="4"/>
  <c r="AP5" i="4"/>
  <c r="BA5" i="4" s="1"/>
  <c r="V4" i="4"/>
  <c r="AX4" i="4"/>
  <c r="AW4" i="4"/>
  <c r="AV4" i="4"/>
  <c r="AU4" i="4"/>
  <c r="AT4" i="4"/>
  <c r="AS4" i="4"/>
  <c r="AR4" i="4"/>
  <c r="AQ4" i="4"/>
  <c r="AP4" i="4"/>
  <c r="BA4" i="4" s="1"/>
  <c r="V5" i="4"/>
  <c r="W7" i="3"/>
  <c r="AT36" i="3"/>
  <c r="AS36" i="3"/>
  <c r="E36" i="3"/>
  <c r="C36" i="3"/>
  <c r="AT35" i="3"/>
  <c r="AS35" i="3"/>
  <c r="E35" i="3"/>
  <c r="C35" i="3"/>
  <c r="AT34" i="3"/>
  <c r="AS34" i="3"/>
  <c r="E34" i="3"/>
  <c r="C34" i="3"/>
  <c r="AT31" i="3"/>
  <c r="AS31" i="3"/>
  <c r="E31" i="3"/>
  <c r="C31" i="3"/>
  <c r="AT30" i="3"/>
  <c r="AS30" i="3"/>
  <c r="E30" i="3"/>
  <c r="C30" i="3"/>
  <c r="AT29" i="3"/>
  <c r="AS29" i="3"/>
  <c r="E29" i="3"/>
  <c r="C29" i="3"/>
  <c r="AT26" i="3"/>
  <c r="AS26" i="3"/>
  <c r="E26" i="3"/>
  <c r="C26" i="3"/>
  <c r="AT25" i="3"/>
  <c r="AS25" i="3"/>
  <c r="E25" i="3"/>
  <c r="C25" i="3"/>
  <c r="AT24" i="3"/>
  <c r="AS24" i="3"/>
  <c r="E24" i="3"/>
  <c r="C24" i="3"/>
  <c r="AT21" i="3"/>
  <c r="AS21" i="3"/>
  <c r="E21" i="3"/>
  <c r="C21" i="3"/>
  <c r="AT20" i="3"/>
  <c r="AS20" i="3"/>
  <c r="E20" i="3"/>
  <c r="C20" i="3"/>
  <c r="AT19" i="3"/>
  <c r="AS19" i="3"/>
  <c r="E19" i="3"/>
  <c r="C19" i="3"/>
  <c r="AX16" i="3"/>
  <c r="AW16" i="3"/>
  <c r="AT16" i="3"/>
  <c r="AS16" i="3"/>
  <c r="E16" i="3"/>
  <c r="C16" i="3"/>
  <c r="AX15" i="3"/>
  <c r="AW15" i="3"/>
  <c r="AT15" i="3"/>
  <c r="AS15" i="3"/>
  <c r="E15" i="3"/>
  <c r="C15" i="3"/>
  <c r="AX14" i="3"/>
  <c r="AW14" i="3"/>
  <c r="AT14" i="3"/>
  <c r="AS14" i="3"/>
  <c r="E14" i="3"/>
  <c r="C14" i="3"/>
  <c r="BB9" i="3"/>
  <c r="BA9" i="3"/>
  <c r="AZ9" i="3"/>
  <c r="AY9" i="3"/>
  <c r="AX9" i="3"/>
  <c r="AW9" i="3"/>
  <c r="AV9" i="3"/>
  <c r="AU9" i="3"/>
  <c r="AT9" i="3"/>
  <c r="BE9" i="3" s="1"/>
  <c r="W5" i="3"/>
  <c r="BB8" i="3"/>
  <c r="BA8" i="3"/>
  <c r="AZ8" i="3"/>
  <c r="AY8" i="3"/>
  <c r="AX8" i="3"/>
  <c r="AW8" i="3"/>
  <c r="AV8" i="3"/>
  <c r="AU8" i="3"/>
  <c r="AT8" i="3"/>
  <c r="BE8" i="3" s="1"/>
  <c r="W8" i="3"/>
  <c r="BB7" i="3"/>
  <c r="BA7" i="3"/>
  <c r="AZ7" i="3"/>
  <c r="AY7" i="3"/>
  <c r="AX7" i="3"/>
  <c r="AW7" i="3"/>
  <c r="AV7" i="3"/>
  <c r="AU7" i="3"/>
  <c r="AT7" i="3"/>
  <c r="BE7" i="3" s="1"/>
  <c r="W9" i="3"/>
  <c r="BB6" i="3"/>
  <c r="BA6" i="3"/>
  <c r="AZ6" i="3"/>
  <c r="AY6" i="3"/>
  <c r="AX6" i="3"/>
  <c r="AW6" i="3"/>
  <c r="AV6" i="3"/>
  <c r="AU6" i="3"/>
  <c r="AT6" i="3"/>
  <c r="BE6" i="3" s="1"/>
  <c r="W4" i="3"/>
  <c r="BB5" i="3"/>
  <c r="BA5" i="3"/>
  <c r="AZ5" i="3"/>
  <c r="AY5" i="3"/>
  <c r="AX5" i="3"/>
  <c r="AW5" i="3"/>
  <c r="AV5" i="3"/>
  <c r="AU5" i="3"/>
  <c r="AT5" i="3"/>
  <c r="BE5" i="3" s="1"/>
  <c r="BB4" i="3"/>
  <c r="BA4" i="3"/>
  <c r="AZ4" i="3"/>
  <c r="AY4" i="3"/>
  <c r="AX4" i="3"/>
  <c r="AW4" i="3"/>
  <c r="AV4" i="3"/>
  <c r="AU4" i="3"/>
  <c r="AT4" i="3"/>
  <c r="BE4" i="3" s="1"/>
  <c r="AU21" i="3" s="1"/>
  <c r="W6" i="3"/>
  <c r="AW55" i="2"/>
  <c r="AV55" i="2"/>
  <c r="E55" i="2"/>
  <c r="C55" i="2"/>
  <c r="AW54" i="2"/>
  <c r="AV54" i="2"/>
  <c r="E54" i="2"/>
  <c r="C54" i="2"/>
  <c r="AW53" i="2"/>
  <c r="AV53" i="2"/>
  <c r="E53" i="2"/>
  <c r="C53" i="2"/>
  <c r="AW52" i="2"/>
  <c r="AV52" i="2"/>
  <c r="E52" i="2"/>
  <c r="C52" i="2"/>
  <c r="AW49" i="2"/>
  <c r="AV49" i="2"/>
  <c r="E49" i="2"/>
  <c r="C49" i="2"/>
  <c r="AW48" i="2"/>
  <c r="AV48" i="2"/>
  <c r="E48" i="2"/>
  <c r="C48" i="2"/>
  <c r="AW47" i="2"/>
  <c r="AV47" i="2"/>
  <c r="E47" i="2"/>
  <c r="C47" i="2"/>
  <c r="AW46" i="2"/>
  <c r="AV46" i="2"/>
  <c r="E46" i="2"/>
  <c r="C46" i="2"/>
  <c r="AW43" i="2"/>
  <c r="AV43" i="2"/>
  <c r="E43" i="2"/>
  <c r="C43" i="2"/>
  <c r="AW42" i="2"/>
  <c r="AV42" i="2"/>
  <c r="E42" i="2"/>
  <c r="C42" i="2"/>
  <c r="AW41" i="2"/>
  <c r="AV41" i="2"/>
  <c r="E41" i="2"/>
  <c r="C41" i="2"/>
  <c r="AW40" i="2"/>
  <c r="AV40" i="2"/>
  <c r="E40" i="2"/>
  <c r="C40" i="2"/>
  <c r="AW37" i="2"/>
  <c r="AV37" i="2"/>
  <c r="E37" i="2"/>
  <c r="C37" i="2"/>
  <c r="AW36" i="2"/>
  <c r="AV36" i="2"/>
  <c r="E36" i="2"/>
  <c r="C36" i="2"/>
  <c r="AW35" i="2"/>
  <c r="AV35" i="2"/>
  <c r="E35" i="2"/>
  <c r="C35" i="2"/>
  <c r="AW34" i="2"/>
  <c r="AV34" i="2"/>
  <c r="E34" i="2"/>
  <c r="C34" i="2"/>
  <c r="AW31" i="2"/>
  <c r="AV31" i="2"/>
  <c r="E31" i="2"/>
  <c r="C31" i="2"/>
  <c r="AW30" i="2"/>
  <c r="AV30" i="2"/>
  <c r="E30" i="2"/>
  <c r="C30" i="2"/>
  <c r="AW29" i="2"/>
  <c r="AV29" i="2"/>
  <c r="E29" i="2"/>
  <c r="C29" i="2"/>
  <c r="AW28" i="2"/>
  <c r="AV28" i="2"/>
  <c r="E28" i="2"/>
  <c r="C28" i="2"/>
  <c r="AW25" i="2"/>
  <c r="AV25" i="2"/>
  <c r="C25" i="2"/>
  <c r="AW24" i="2"/>
  <c r="AV24" i="2"/>
  <c r="C24" i="2"/>
  <c r="AW23" i="2"/>
  <c r="AV23" i="2"/>
  <c r="C23" i="2"/>
  <c r="AW22" i="2"/>
  <c r="AV22" i="2"/>
  <c r="C22" i="2"/>
  <c r="BA19" i="2"/>
  <c r="AZ19" i="2"/>
  <c r="AW19" i="2"/>
  <c r="AV19" i="2"/>
  <c r="BA18" i="2"/>
  <c r="AZ18" i="2"/>
  <c r="AW18" i="2"/>
  <c r="AV18" i="2"/>
  <c r="BA17" i="2"/>
  <c r="AZ17" i="2"/>
  <c r="AW17" i="2"/>
  <c r="AV17" i="2"/>
  <c r="BA16" i="2"/>
  <c r="AZ16" i="2"/>
  <c r="AW16" i="2"/>
  <c r="AV16" i="2"/>
  <c r="X6" i="2"/>
  <c r="BE11" i="2"/>
  <c r="BD11" i="2"/>
  <c r="BC11" i="2"/>
  <c r="BB11" i="2"/>
  <c r="BA11" i="2"/>
  <c r="AZ11" i="2"/>
  <c r="AY11" i="2"/>
  <c r="AX11" i="2"/>
  <c r="AW11" i="2"/>
  <c r="BH11" i="2" s="1"/>
  <c r="X10" i="2"/>
  <c r="BE10" i="2"/>
  <c r="BD10" i="2"/>
  <c r="BC10" i="2"/>
  <c r="BB10" i="2"/>
  <c r="BA10" i="2"/>
  <c r="AZ10" i="2"/>
  <c r="AY10" i="2"/>
  <c r="AX10" i="2"/>
  <c r="AW10" i="2"/>
  <c r="BH10" i="2" s="1"/>
  <c r="X8" i="2"/>
  <c r="BE9" i="2"/>
  <c r="BD9" i="2"/>
  <c r="BC9" i="2"/>
  <c r="BB9" i="2"/>
  <c r="BA9" i="2"/>
  <c r="AZ9" i="2"/>
  <c r="AY9" i="2"/>
  <c r="AX9" i="2"/>
  <c r="AW9" i="2"/>
  <c r="BH9" i="2" s="1"/>
  <c r="X9" i="2"/>
  <c r="BE8" i="2"/>
  <c r="BD8" i="2"/>
  <c r="BC8" i="2"/>
  <c r="BB8" i="2"/>
  <c r="BA8" i="2"/>
  <c r="AZ8" i="2"/>
  <c r="AY8" i="2"/>
  <c r="AX8" i="2"/>
  <c r="AW8" i="2"/>
  <c r="BH8" i="2" s="1"/>
  <c r="BE7" i="2"/>
  <c r="BD7" i="2"/>
  <c r="BC7" i="2"/>
  <c r="BB7" i="2"/>
  <c r="BA7" i="2"/>
  <c r="AZ7" i="2"/>
  <c r="AY7" i="2"/>
  <c r="AX7" i="2"/>
  <c r="AW7" i="2"/>
  <c r="BH7" i="2" s="1"/>
  <c r="X5" i="2"/>
  <c r="BE6" i="2"/>
  <c r="BD6" i="2"/>
  <c r="BC6" i="2"/>
  <c r="BB6" i="2"/>
  <c r="BA6" i="2"/>
  <c r="AZ6" i="2"/>
  <c r="AY6" i="2"/>
  <c r="AX6" i="2"/>
  <c r="AW6" i="2"/>
  <c r="BH6" i="2" s="1"/>
  <c r="X4" i="2"/>
  <c r="BE5" i="2"/>
  <c r="BD5" i="2"/>
  <c r="BC5" i="2"/>
  <c r="BB5" i="2"/>
  <c r="BA5" i="2"/>
  <c r="AZ5" i="2"/>
  <c r="AY5" i="2"/>
  <c r="AX5" i="2"/>
  <c r="AW5" i="2"/>
  <c r="BH5" i="2" s="1"/>
  <c r="X11" i="2"/>
  <c r="BE4" i="2"/>
  <c r="BD4" i="2"/>
  <c r="BC4" i="2"/>
  <c r="BB4" i="2"/>
  <c r="BA4" i="2"/>
  <c r="AZ4" i="2"/>
  <c r="AY4" i="2"/>
  <c r="AX4" i="2"/>
  <c r="AW4" i="2"/>
  <c r="BH4" i="2" s="1"/>
  <c r="X7" i="2"/>
  <c r="AJ5" i="9" l="1"/>
  <c r="V5" i="9" s="1"/>
  <c r="A5" i="9" s="1"/>
  <c r="AJ9" i="9"/>
  <c r="V9" i="9" s="1"/>
  <c r="A9" i="9" s="1"/>
  <c r="AJ12" i="9"/>
  <c r="V12" i="9" s="1"/>
  <c r="A12" i="9" s="1"/>
  <c r="AJ10" i="9"/>
  <c r="V10" i="9" s="1"/>
  <c r="A10" i="9" s="1"/>
  <c r="AJ14" i="9"/>
  <c r="V14" i="9" s="1"/>
  <c r="A14" i="9" s="1"/>
  <c r="AJ6" i="9"/>
  <c r="V6" i="9" s="1"/>
  <c r="A6" i="9" s="1"/>
  <c r="AJ15" i="9"/>
  <c r="V15" i="9" s="1"/>
  <c r="A15" i="9" s="1"/>
  <c r="AJ13" i="9"/>
  <c r="V13" i="9" s="1"/>
  <c r="A13" i="9" s="1"/>
  <c r="AJ11" i="9"/>
  <c r="V11" i="9" s="1"/>
  <c r="A11" i="9" s="1"/>
  <c r="AJ8" i="9"/>
  <c r="V8" i="9" s="1"/>
  <c r="A8" i="9" s="1"/>
  <c r="AJ7" i="9"/>
  <c r="V7" i="9" s="1"/>
  <c r="A7" i="9" s="1"/>
  <c r="AJ4" i="9"/>
  <c r="V4" i="9" s="1"/>
  <c r="A4" i="9" s="1"/>
  <c r="M4" i="4"/>
  <c r="I4" i="3"/>
  <c r="AN5" i="8"/>
  <c r="AN6" i="8"/>
  <c r="AN7" i="8"/>
  <c r="AN12" i="8"/>
  <c r="AN9" i="8"/>
  <c r="AN10" i="8"/>
  <c r="AN16" i="8"/>
  <c r="AN11" i="8"/>
  <c r="AN13" i="8"/>
  <c r="AN14" i="8"/>
  <c r="AN15" i="8"/>
  <c r="AN17" i="8"/>
  <c r="AN4" i="8"/>
  <c r="AN8" i="8"/>
  <c r="N4" i="4"/>
  <c r="O4" i="4"/>
  <c r="P5" i="4"/>
  <c r="N6" i="4"/>
  <c r="P7" i="4"/>
  <c r="AQ16" i="4"/>
  <c r="AR17" i="4"/>
  <c r="AS17" i="4" s="1"/>
  <c r="BB6" i="4"/>
  <c r="BB7" i="4"/>
  <c r="AR16" i="4"/>
  <c r="AS16" i="4" s="1"/>
  <c r="BB4" i="4"/>
  <c r="BB5" i="4"/>
  <c r="AQ17" i="4"/>
  <c r="M5" i="4"/>
  <c r="O6" i="4"/>
  <c r="M7" i="4"/>
  <c r="P4" i="4"/>
  <c r="N5" i="4"/>
  <c r="P6" i="4"/>
  <c r="N7" i="4"/>
  <c r="O5" i="4"/>
  <c r="M6" i="4"/>
  <c r="O7" i="4"/>
  <c r="AV20" i="3"/>
  <c r="AW20" i="3" s="1"/>
  <c r="AV19" i="3"/>
  <c r="AW19" i="3" s="1"/>
  <c r="AU20" i="3"/>
  <c r="AX20" i="3" s="1"/>
  <c r="AU19" i="3"/>
  <c r="AX19" i="3" s="1"/>
  <c r="I9" i="3"/>
  <c r="BF5" i="3"/>
  <c r="BF6" i="3"/>
  <c r="BG6" i="3" s="1"/>
  <c r="BH6" i="3" s="1"/>
  <c r="I8" i="3"/>
  <c r="K9" i="3"/>
  <c r="K8" i="3"/>
  <c r="K7" i="3"/>
  <c r="K6" i="3"/>
  <c r="K5" i="3"/>
  <c r="K4" i="3"/>
  <c r="J9" i="3"/>
  <c r="J8" i="3"/>
  <c r="J7" i="3"/>
  <c r="J6" i="3"/>
  <c r="J5" i="3"/>
  <c r="J4" i="3"/>
  <c r="L9" i="3"/>
  <c r="L8" i="3"/>
  <c r="L6" i="3"/>
  <c r="L4" i="3"/>
  <c r="H9" i="3"/>
  <c r="H8" i="3"/>
  <c r="H7" i="3"/>
  <c r="H6" i="3"/>
  <c r="H5" i="3"/>
  <c r="H4" i="3"/>
  <c r="M9" i="3"/>
  <c r="M8" i="3"/>
  <c r="M7" i="3"/>
  <c r="M6" i="3"/>
  <c r="M5" i="3"/>
  <c r="M4" i="3"/>
  <c r="L7" i="3"/>
  <c r="L5" i="3"/>
  <c r="I6" i="3"/>
  <c r="I5" i="3"/>
  <c r="I7" i="3"/>
  <c r="AX21" i="3"/>
  <c r="AV21" i="3"/>
  <c r="AW21" i="3" s="1"/>
  <c r="BF4" i="3"/>
  <c r="BF7" i="3"/>
  <c r="BF8" i="3"/>
  <c r="BF9" i="3"/>
  <c r="AY23" i="2"/>
  <c r="AZ23" i="2" s="1"/>
  <c r="AX23" i="2"/>
  <c r="BA23" i="2" s="1"/>
  <c r="AX25" i="2"/>
  <c r="BI8" i="2"/>
  <c r="BJ8" i="2" s="1"/>
  <c r="BI7" i="2"/>
  <c r="AY24" i="2"/>
  <c r="AZ24" i="2" s="1"/>
  <c r="AY25" i="2"/>
  <c r="AZ25" i="2" s="1"/>
  <c r="BI11" i="2"/>
  <c r="AX24" i="2"/>
  <c r="BI4" i="2"/>
  <c r="BI5" i="2"/>
  <c r="BI6" i="2"/>
  <c r="AY22" i="2"/>
  <c r="AZ22" i="2" s="1"/>
  <c r="BI9" i="2"/>
  <c r="AX22" i="2"/>
  <c r="BI10" i="2"/>
  <c r="AC8" i="1"/>
  <c r="AC7" i="1"/>
  <c r="AC11" i="1"/>
  <c r="AC10" i="1"/>
  <c r="AC13" i="1"/>
  <c r="AC9" i="1"/>
  <c r="AC5" i="1"/>
  <c r="AC12" i="1"/>
  <c r="AC6" i="1"/>
  <c r="AC4" i="1"/>
  <c r="BD22" i="1"/>
  <c r="BC22" i="1"/>
  <c r="BD21" i="1"/>
  <c r="BC21" i="1"/>
  <c r="BD20" i="1"/>
  <c r="BC20" i="1"/>
  <c r="BD19" i="1"/>
  <c r="BC19" i="1"/>
  <c r="BD18" i="1"/>
  <c r="BC18" i="1"/>
  <c r="BH13" i="1"/>
  <c r="BH12" i="1"/>
  <c r="BH11" i="1"/>
  <c r="BH10" i="1"/>
  <c r="BH9" i="1"/>
  <c r="BH8" i="1"/>
  <c r="BH7" i="1"/>
  <c r="BH6" i="1"/>
  <c r="BH5" i="1"/>
  <c r="BH4" i="1"/>
  <c r="BG13" i="1"/>
  <c r="BG12" i="1"/>
  <c r="BG11" i="1"/>
  <c r="BG10" i="1"/>
  <c r="BG9" i="1"/>
  <c r="BG8" i="1"/>
  <c r="BG7" i="1"/>
  <c r="BG6" i="1"/>
  <c r="BG5" i="1"/>
  <c r="BG4" i="1"/>
  <c r="BF13" i="1"/>
  <c r="BF12" i="1"/>
  <c r="BF11" i="1"/>
  <c r="BF10" i="1"/>
  <c r="BF9" i="1"/>
  <c r="BF8" i="1"/>
  <c r="BF7" i="1"/>
  <c r="BF6" i="1"/>
  <c r="BF5" i="1"/>
  <c r="BF4" i="1"/>
  <c r="BE13" i="1"/>
  <c r="BE12" i="1"/>
  <c r="BE11" i="1"/>
  <c r="BE10" i="1"/>
  <c r="BE9" i="1"/>
  <c r="BE8" i="1"/>
  <c r="BE7" i="1"/>
  <c r="BE6" i="1"/>
  <c r="BE5" i="1"/>
  <c r="BE4" i="1"/>
  <c r="BD13" i="1"/>
  <c r="BD12" i="1"/>
  <c r="BD11" i="1"/>
  <c r="BD10" i="1"/>
  <c r="BD9" i="1"/>
  <c r="BD8" i="1"/>
  <c r="BD7" i="1"/>
  <c r="BD6" i="1"/>
  <c r="BD5" i="1"/>
  <c r="BD4" i="1"/>
  <c r="BC13" i="1"/>
  <c r="BC12" i="1"/>
  <c r="BC11" i="1"/>
  <c r="BC10" i="1"/>
  <c r="BC9" i="1"/>
  <c r="BC8" i="1"/>
  <c r="BC7" i="1"/>
  <c r="BC6" i="1"/>
  <c r="BC5" i="1"/>
  <c r="BC4" i="1"/>
  <c r="BB13" i="1"/>
  <c r="BB12" i="1"/>
  <c r="BB11" i="1"/>
  <c r="BB10" i="1"/>
  <c r="BB9" i="1"/>
  <c r="BB8" i="1"/>
  <c r="BB7" i="1"/>
  <c r="BB6" i="1"/>
  <c r="BB5" i="1"/>
  <c r="BB4" i="1"/>
  <c r="BA13" i="1"/>
  <c r="BA12" i="1"/>
  <c r="BA11" i="1"/>
  <c r="BA10" i="1"/>
  <c r="BA9" i="1"/>
  <c r="BA8" i="1"/>
  <c r="BA7" i="1"/>
  <c r="BA6" i="1"/>
  <c r="BA5" i="1"/>
  <c r="BA4" i="1"/>
  <c r="AZ13" i="1"/>
  <c r="BK13" i="1" s="1"/>
  <c r="AZ12" i="1"/>
  <c r="BK12" i="1" s="1"/>
  <c r="BA28" i="1" s="1"/>
  <c r="AZ11" i="1"/>
  <c r="BK11" i="1" s="1"/>
  <c r="BA27" i="1" s="1"/>
  <c r="AZ10" i="1"/>
  <c r="BK10" i="1" s="1"/>
  <c r="BA26" i="1" s="1"/>
  <c r="AZ9" i="1"/>
  <c r="BK9" i="1" s="1"/>
  <c r="AZ8" i="1"/>
  <c r="BK8" i="1" s="1"/>
  <c r="AZ7" i="1"/>
  <c r="BK7" i="1" s="1"/>
  <c r="BB27" i="1" s="1"/>
  <c r="BC27" i="1" s="1"/>
  <c r="AZ6" i="1"/>
  <c r="BK6" i="1" s="1"/>
  <c r="BB28" i="1" s="1"/>
  <c r="BC28" i="1" s="1"/>
  <c r="AZ5" i="1"/>
  <c r="BK5" i="1" s="1"/>
  <c r="AZ4" i="1"/>
  <c r="BK4" i="1" s="1"/>
  <c r="AZ78" i="1"/>
  <c r="AY78" i="1"/>
  <c r="AZ77" i="1"/>
  <c r="AY77" i="1"/>
  <c r="AZ76" i="1"/>
  <c r="AY76" i="1"/>
  <c r="AZ75" i="1"/>
  <c r="AY75" i="1"/>
  <c r="AZ74" i="1"/>
  <c r="AY74" i="1"/>
  <c r="AZ71" i="1"/>
  <c r="AY71" i="1"/>
  <c r="AZ70" i="1"/>
  <c r="AY70" i="1"/>
  <c r="AZ69" i="1"/>
  <c r="AY69" i="1"/>
  <c r="AZ68" i="1"/>
  <c r="AY68" i="1"/>
  <c r="AZ67" i="1"/>
  <c r="AY67" i="1"/>
  <c r="AZ64" i="1"/>
  <c r="AY64" i="1"/>
  <c r="AZ63" i="1"/>
  <c r="AY63" i="1"/>
  <c r="AZ62" i="1"/>
  <c r="AY62" i="1"/>
  <c r="AZ61" i="1"/>
  <c r="AY61" i="1"/>
  <c r="AZ60" i="1"/>
  <c r="AY60" i="1"/>
  <c r="AZ57" i="1"/>
  <c r="AY57" i="1"/>
  <c r="AZ56" i="1"/>
  <c r="AY56" i="1"/>
  <c r="AZ55" i="1"/>
  <c r="AY55" i="1"/>
  <c r="AZ54" i="1"/>
  <c r="AY54" i="1"/>
  <c r="AZ53" i="1"/>
  <c r="AY53" i="1"/>
  <c r="AZ50" i="1"/>
  <c r="AY50" i="1"/>
  <c r="AZ49" i="1"/>
  <c r="AY49" i="1"/>
  <c r="AZ48" i="1"/>
  <c r="AY48" i="1"/>
  <c r="AZ47" i="1"/>
  <c r="AY47" i="1"/>
  <c r="AZ46" i="1"/>
  <c r="AY46" i="1"/>
  <c r="AZ43" i="1"/>
  <c r="AY43" i="1"/>
  <c r="AZ42" i="1"/>
  <c r="AY42" i="1"/>
  <c r="AZ41" i="1"/>
  <c r="AY41" i="1"/>
  <c r="AZ40" i="1"/>
  <c r="AY40" i="1"/>
  <c r="AZ39" i="1"/>
  <c r="AY39" i="1"/>
  <c r="AZ36" i="1"/>
  <c r="AY36" i="1"/>
  <c r="AZ35" i="1"/>
  <c r="AY35" i="1"/>
  <c r="AZ34" i="1"/>
  <c r="AY34" i="1"/>
  <c r="AZ33" i="1"/>
  <c r="AY33" i="1"/>
  <c r="AZ32" i="1"/>
  <c r="AY32" i="1"/>
  <c r="AZ29" i="1"/>
  <c r="AY29" i="1"/>
  <c r="AZ28" i="1"/>
  <c r="AY28" i="1"/>
  <c r="AZ27" i="1"/>
  <c r="AY27" i="1"/>
  <c r="AZ26" i="1"/>
  <c r="AY26" i="1"/>
  <c r="AZ25" i="1"/>
  <c r="AY25" i="1"/>
  <c r="AZ22" i="1"/>
  <c r="AY22" i="1"/>
  <c r="AZ21" i="1"/>
  <c r="AY21" i="1"/>
  <c r="AZ20" i="1"/>
  <c r="AY20" i="1"/>
  <c r="AZ19" i="1"/>
  <c r="AY19" i="1"/>
  <c r="AZ18" i="1"/>
  <c r="AY18" i="1"/>
  <c r="E57" i="1"/>
  <c r="C57" i="1"/>
  <c r="E56" i="1"/>
  <c r="C56" i="1"/>
  <c r="E55" i="1"/>
  <c r="C55" i="1"/>
  <c r="E54" i="1"/>
  <c r="C54" i="1"/>
  <c r="E53" i="1"/>
  <c r="C53" i="1"/>
  <c r="E50" i="1"/>
  <c r="C50" i="1"/>
  <c r="E49" i="1"/>
  <c r="C49" i="1"/>
  <c r="E48" i="1"/>
  <c r="C48" i="1"/>
  <c r="E47" i="1"/>
  <c r="C47" i="1"/>
  <c r="E46" i="1"/>
  <c r="C46" i="1"/>
  <c r="E43" i="1"/>
  <c r="C43" i="1"/>
  <c r="E42" i="1"/>
  <c r="C42" i="1"/>
  <c r="E41" i="1"/>
  <c r="C41" i="1"/>
  <c r="E40" i="1"/>
  <c r="C40" i="1"/>
  <c r="E39" i="1"/>
  <c r="C39" i="1"/>
  <c r="E36" i="1"/>
  <c r="C36" i="1"/>
  <c r="E35" i="1"/>
  <c r="C35" i="1"/>
  <c r="E34" i="1"/>
  <c r="C34" i="1"/>
  <c r="E33" i="1"/>
  <c r="C33" i="1"/>
  <c r="E32" i="1"/>
  <c r="C32" i="1"/>
  <c r="E29" i="1"/>
  <c r="C29" i="1"/>
  <c r="E28" i="1"/>
  <c r="C28" i="1"/>
  <c r="E27" i="1"/>
  <c r="C27" i="1"/>
  <c r="E26" i="1"/>
  <c r="C26" i="1"/>
  <c r="E25" i="1"/>
  <c r="C25" i="1"/>
  <c r="E78" i="1"/>
  <c r="C78" i="1"/>
  <c r="E77" i="1"/>
  <c r="C77" i="1"/>
  <c r="E76" i="1"/>
  <c r="C76" i="1"/>
  <c r="E75" i="1"/>
  <c r="C75" i="1"/>
  <c r="E74" i="1"/>
  <c r="C74" i="1"/>
  <c r="E71" i="1"/>
  <c r="C71" i="1"/>
  <c r="E70" i="1"/>
  <c r="C70" i="1"/>
  <c r="E69" i="1"/>
  <c r="C69" i="1"/>
  <c r="E68" i="1"/>
  <c r="C68" i="1"/>
  <c r="E67" i="1"/>
  <c r="C67" i="1"/>
  <c r="E64" i="1"/>
  <c r="C64" i="1"/>
  <c r="E63" i="1"/>
  <c r="C63" i="1"/>
  <c r="E62" i="1"/>
  <c r="C62" i="1"/>
  <c r="E61" i="1"/>
  <c r="C61" i="1"/>
  <c r="E60" i="1"/>
  <c r="C60" i="1"/>
  <c r="E22" i="1"/>
  <c r="E21" i="1"/>
  <c r="E20" i="1"/>
  <c r="E19" i="1"/>
  <c r="E18" i="1"/>
  <c r="C19" i="1"/>
  <c r="C20" i="1"/>
  <c r="C21" i="1"/>
  <c r="C22" i="1"/>
  <c r="C18" i="1"/>
  <c r="C109" i="9" l="1"/>
  <c r="C113" i="9"/>
  <c r="C117" i="9"/>
  <c r="H112" i="9"/>
  <c r="H116" i="9"/>
  <c r="H120" i="9"/>
  <c r="G112" i="9"/>
  <c r="G116" i="9"/>
  <c r="G120" i="9"/>
  <c r="C110" i="9"/>
  <c r="C114" i="9"/>
  <c r="C118" i="9"/>
  <c r="H113" i="9"/>
  <c r="H117" i="9"/>
  <c r="H109" i="9"/>
  <c r="G113" i="9"/>
  <c r="G117" i="9"/>
  <c r="G109" i="9"/>
  <c r="C111" i="9"/>
  <c r="C115" i="9"/>
  <c r="C119" i="9"/>
  <c r="H110" i="9"/>
  <c r="H114" i="9"/>
  <c r="H118" i="9"/>
  <c r="G110" i="9"/>
  <c r="G114" i="9"/>
  <c r="G118" i="9"/>
  <c r="C112" i="9"/>
  <c r="C116" i="9"/>
  <c r="C120" i="9"/>
  <c r="H111" i="9"/>
  <c r="H115" i="9"/>
  <c r="H119" i="9"/>
  <c r="G111" i="9"/>
  <c r="G115" i="9"/>
  <c r="G119" i="9"/>
  <c r="I4" i="1"/>
  <c r="AP17" i="8"/>
  <c r="AR17" i="8" s="1"/>
  <c r="AP11" i="8"/>
  <c r="AR11" i="8" s="1"/>
  <c r="AP12" i="8"/>
  <c r="AR12" i="8" s="1"/>
  <c r="AP15" i="8"/>
  <c r="AR15" i="8" s="1"/>
  <c r="AP16" i="8"/>
  <c r="AR16" i="8" s="1"/>
  <c r="AP7" i="8"/>
  <c r="AR7" i="8" s="1"/>
  <c r="AP8" i="8"/>
  <c r="AR8" i="8" s="1"/>
  <c r="AP14" i="8"/>
  <c r="AR14" i="8" s="1"/>
  <c r="AP10" i="8"/>
  <c r="AR10" i="8" s="1"/>
  <c r="AP6" i="8"/>
  <c r="AR6" i="8" s="1"/>
  <c r="AP4" i="8"/>
  <c r="AR4" i="8" s="1"/>
  <c r="AP13" i="8"/>
  <c r="AR13" i="8" s="1"/>
  <c r="AP9" i="8"/>
  <c r="AR9" i="8" s="1"/>
  <c r="AP5" i="8"/>
  <c r="AR5" i="8" s="1"/>
  <c r="Q6" i="4"/>
  <c r="Q5" i="4"/>
  <c r="Q7" i="4"/>
  <c r="Q4" i="4"/>
  <c r="AY30" i="2"/>
  <c r="AZ30" i="2" s="1"/>
  <c r="BA25" i="2"/>
  <c r="R7" i="3"/>
  <c r="R4" i="3"/>
  <c r="R8" i="3"/>
  <c r="R6" i="3"/>
  <c r="R5" i="3"/>
  <c r="R9" i="3"/>
  <c r="AT17" i="4"/>
  <c r="AR21" i="4"/>
  <c r="AS21" i="4" s="1"/>
  <c r="BC4" i="4"/>
  <c r="AT16" i="4"/>
  <c r="AR20" i="4"/>
  <c r="AS20" i="4" s="1"/>
  <c r="BC7" i="4"/>
  <c r="BC6" i="4"/>
  <c r="AQ21" i="4"/>
  <c r="AQ20" i="4"/>
  <c r="BC5" i="4"/>
  <c r="AU25" i="3"/>
  <c r="AX25" i="3" s="1"/>
  <c r="BG5" i="3"/>
  <c r="AU24" i="3"/>
  <c r="AX24" i="3" s="1"/>
  <c r="BG8" i="3"/>
  <c r="AV26" i="3"/>
  <c r="AW26" i="3" s="1"/>
  <c r="AV25" i="3"/>
  <c r="AW25" i="3" s="1"/>
  <c r="BG4" i="3"/>
  <c r="BG9" i="3"/>
  <c r="AV24" i="3"/>
  <c r="AW24" i="3" s="1"/>
  <c r="AU26" i="3"/>
  <c r="BG7" i="3"/>
  <c r="BI6" i="3"/>
  <c r="AX31" i="2"/>
  <c r="BA31" i="2" s="1"/>
  <c r="R11" i="2"/>
  <c r="R9" i="2"/>
  <c r="R8" i="2"/>
  <c r="R5" i="2"/>
  <c r="AX30" i="2"/>
  <c r="BJ7" i="2"/>
  <c r="AY36" i="2" s="1"/>
  <c r="AZ36" i="2" s="1"/>
  <c r="R10" i="2"/>
  <c r="AY28" i="2"/>
  <c r="AZ28" i="2" s="1"/>
  <c r="R6" i="2"/>
  <c r="BJ4" i="2"/>
  <c r="AY29" i="2"/>
  <c r="AZ29" i="2" s="1"/>
  <c r="BA24" i="2"/>
  <c r="BA22" i="2"/>
  <c r="BJ9" i="2"/>
  <c r="BK8" i="2"/>
  <c r="R7" i="2"/>
  <c r="AX28" i="2"/>
  <c r="BJ5" i="2"/>
  <c r="AY31" i="2"/>
  <c r="AZ31" i="2" s="1"/>
  <c r="BJ11" i="2"/>
  <c r="BJ10" i="2"/>
  <c r="AX29" i="2"/>
  <c r="BJ6" i="2"/>
  <c r="R4" i="2"/>
  <c r="BA29" i="1"/>
  <c r="BD27" i="1"/>
  <c r="BD28" i="1"/>
  <c r="BB26" i="1"/>
  <c r="BC26" i="1" s="1"/>
  <c r="BD26" i="1"/>
  <c r="BA25" i="1"/>
  <c r="BB25" i="1"/>
  <c r="BC25" i="1" s="1"/>
  <c r="BB29" i="1"/>
  <c r="BC29" i="1" s="1"/>
  <c r="Q13" i="1"/>
  <c r="L4" i="1"/>
  <c r="P4" i="1"/>
  <c r="J5" i="1"/>
  <c r="N5" i="1"/>
  <c r="H6" i="1"/>
  <c r="L6" i="1"/>
  <c r="P6" i="1"/>
  <c r="J7" i="1"/>
  <c r="N7" i="1"/>
  <c r="H8" i="1"/>
  <c r="L8" i="1"/>
  <c r="P8" i="1"/>
  <c r="J9" i="1"/>
  <c r="N9" i="1"/>
  <c r="H10" i="1"/>
  <c r="L10" i="1"/>
  <c r="P10" i="1"/>
  <c r="J11" i="1"/>
  <c r="N11" i="1"/>
  <c r="H12" i="1"/>
  <c r="L12" i="1"/>
  <c r="P12" i="1"/>
  <c r="J13" i="1"/>
  <c r="N13" i="1"/>
  <c r="M4" i="1"/>
  <c r="Q4" i="1"/>
  <c r="K5" i="1"/>
  <c r="O5" i="1"/>
  <c r="I6" i="1"/>
  <c r="M6" i="1"/>
  <c r="Q6" i="1"/>
  <c r="K7" i="1"/>
  <c r="O7" i="1"/>
  <c r="I8" i="1"/>
  <c r="M8" i="1"/>
  <c r="Q8" i="1"/>
  <c r="K9" i="1"/>
  <c r="O9" i="1"/>
  <c r="I10" i="1"/>
  <c r="M10" i="1"/>
  <c r="Q10" i="1"/>
  <c r="K11" i="1"/>
  <c r="O11" i="1"/>
  <c r="I12" i="1"/>
  <c r="M12" i="1"/>
  <c r="Q12" i="1"/>
  <c r="K13" i="1"/>
  <c r="O13" i="1"/>
  <c r="J4" i="1"/>
  <c r="N4" i="1"/>
  <c r="H5" i="1"/>
  <c r="L5" i="1"/>
  <c r="P5" i="1"/>
  <c r="J6" i="1"/>
  <c r="N6" i="1"/>
  <c r="H7" i="1"/>
  <c r="L7" i="1"/>
  <c r="P7" i="1"/>
  <c r="J8" i="1"/>
  <c r="N8" i="1"/>
  <c r="H9" i="1"/>
  <c r="L9" i="1"/>
  <c r="P9" i="1"/>
  <c r="J10" i="1"/>
  <c r="N10" i="1"/>
  <c r="H11" i="1"/>
  <c r="L11" i="1"/>
  <c r="P11" i="1"/>
  <c r="J12" i="1"/>
  <c r="N12" i="1"/>
  <c r="H13" i="1"/>
  <c r="L13" i="1"/>
  <c r="P13" i="1"/>
  <c r="K4" i="1"/>
  <c r="O4" i="1"/>
  <c r="I5" i="1"/>
  <c r="M5" i="1"/>
  <c r="Q5" i="1"/>
  <c r="K6" i="1"/>
  <c r="O6" i="1"/>
  <c r="I7" i="1"/>
  <c r="M7" i="1"/>
  <c r="Q7" i="1"/>
  <c r="K8" i="1"/>
  <c r="O8" i="1"/>
  <c r="I9" i="1"/>
  <c r="M9" i="1"/>
  <c r="Q9" i="1"/>
  <c r="K10" i="1"/>
  <c r="O10" i="1"/>
  <c r="I11" i="1"/>
  <c r="M11" i="1"/>
  <c r="Q11" i="1"/>
  <c r="K12" i="1"/>
  <c r="O12" i="1"/>
  <c r="I13" i="1"/>
  <c r="M13" i="1"/>
  <c r="BL5" i="1"/>
  <c r="BL9" i="1"/>
  <c r="BL13" i="1"/>
  <c r="BL6" i="1"/>
  <c r="BL10" i="1"/>
  <c r="BL7" i="1"/>
  <c r="BL11" i="1"/>
  <c r="BL4" i="1"/>
  <c r="BL8" i="1"/>
  <c r="BL12" i="1"/>
  <c r="X5" i="4" l="1"/>
  <c r="X6" i="4"/>
  <c r="X4" i="4"/>
  <c r="X7" i="4"/>
  <c r="AS9" i="8"/>
  <c r="X9" i="8" s="1"/>
  <c r="A9" i="8" s="1"/>
  <c r="AS13" i="8"/>
  <c r="X13" i="8" s="1"/>
  <c r="A13" i="8" s="1"/>
  <c r="AS10" i="8"/>
  <c r="X10" i="8" s="1"/>
  <c r="A10" i="8" s="1"/>
  <c r="AS16" i="8"/>
  <c r="X16" i="8" s="1"/>
  <c r="A16" i="8" s="1"/>
  <c r="AS7" i="8"/>
  <c r="X7" i="8" s="1"/>
  <c r="A7" i="8" s="1"/>
  <c r="AS15" i="8"/>
  <c r="X15" i="8" s="1"/>
  <c r="A15" i="8" s="1"/>
  <c r="AS4" i="8"/>
  <c r="X4" i="8" s="1"/>
  <c r="A4" i="8" s="1"/>
  <c r="AS14" i="8"/>
  <c r="X14" i="8" s="1"/>
  <c r="A14" i="8" s="1"/>
  <c r="AS12" i="8"/>
  <c r="X12" i="8" s="1"/>
  <c r="A12" i="8" s="1"/>
  <c r="AS6" i="8"/>
  <c r="X6" i="8" s="1"/>
  <c r="A6" i="8" s="1"/>
  <c r="AS5" i="8"/>
  <c r="X5" i="8" s="1"/>
  <c r="A5" i="8" s="1"/>
  <c r="AS17" i="8"/>
  <c r="X17" i="8" s="1"/>
  <c r="A17" i="8" s="1"/>
  <c r="AS8" i="8"/>
  <c r="X8" i="8" s="1"/>
  <c r="A8" i="8" s="1"/>
  <c r="AS11" i="8"/>
  <c r="X11" i="8" s="1"/>
  <c r="A11" i="8" s="1"/>
  <c r="Y8" i="3"/>
  <c r="Y9" i="3"/>
  <c r="Y4" i="3"/>
  <c r="Y5" i="3"/>
  <c r="Y7" i="3"/>
  <c r="Y6" i="3"/>
  <c r="S8" i="3"/>
  <c r="S4" i="3"/>
  <c r="S9" i="3"/>
  <c r="S7" i="3"/>
  <c r="S5" i="3"/>
  <c r="S6" i="3"/>
  <c r="R5" i="4"/>
  <c r="R8" i="4"/>
  <c r="AF8" i="4" s="1"/>
  <c r="R4" i="4"/>
  <c r="R6" i="4"/>
  <c r="R7" i="4"/>
  <c r="S4" i="2"/>
  <c r="Z9" i="2"/>
  <c r="Z6" i="2"/>
  <c r="Z11" i="2"/>
  <c r="Z7" i="2"/>
  <c r="Z5" i="2"/>
  <c r="Z10" i="2"/>
  <c r="Z8" i="2"/>
  <c r="S5" i="2"/>
  <c r="S10" i="2"/>
  <c r="S9" i="2"/>
  <c r="S6" i="2"/>
  <c r="S8" i="2"/>
  <c r="S7" i="2"/>
  <c r="S11" i="2"/>
  <c r="AT20" i="4"/>
  <c r="AT21" i="4"/>
  <c r="BD6" i="4"/>
  <c r="BD4" i="4"/>
  <c r="BD5" i="4"/>
  <c r="BD7" i="4"/>
  <c r="BH5" i="3"/>
  <c r="AX26" i="3"/>
  <c r="AV29" i="3"/>
  <c r="AW29" i="3" s="1"/>
  <c r="BH9" i="3"/>
  <c r="AU29" i="3"/>
  <c r="AU30" i="3"/>
  <c r="BH7" i="3"/>
  <c r="AU34" i="3" s="1"/>
  <c r="AX34" i="3" s="1"/>
  <c r="AV31" i="3"/>
  <c r="AW31" i="3" s="1"/>
  <c r="AV30" i="3"/>
  <c r="AW30" i="3" s="1"/>
  <c r="BH8" i="3"/>
  <c r="AU31" i="3"/>
  <c r="BH4" i="3"/>
  <c r="BJ6" i="3"/>
  <c r="AX36" i="2"/>
  <c r="BA29" i="2"/>
  <c r="BL8" i="2"/>
  <c r="BA30" i="2"/>
  <c r="BK5" i="2"/>
  <c r="AX34" i="2"/>
  <c r="BK10" i="2"/>
  <c r="AY34" i="2"/>
  <c r="AZ34" i="2" s="1"/>
  <c r="BA28" i="2"/>
  <c r="AX37" i="2"/>
  <c r="BK4" i="2"/>
  <c r="BK6" i="2"/>
  <c r="BK11" i="2"/>
  <c r="AX35" i="2"/>
  <c r="AY35" i="2"/>
  <c r="AZ35" i="2" s="1"/>
  <c r="BK9" i="2"/>
  <c r="BK7" i="2"/>
  <c r="AX42" i="2" s="1"/>
  <c r="AY37" i="2"/>
  <c r="AZ37" i="2" s="1"/>
  <c r="BD25" i="1"/>
  <c r="BM4" i="1"/>
  <c r="BB33" i="1"/>
  <c r="BC33" i="1" s="1"/>
  <c r="BM6" i="1"/>
  <c r="BA33" i="1"/>
  <c r="BM12" i="1"/>
  <c r="BB34" i="1"/>
  <c r="BC34" i="1" s="1"/>
  <c r="BM7" i="1"/>
  <c r="BA34" i="1"/>
  <c r="BM9" i="1"/>
  <c r="BA36" i="1"/>
  <c r="BM8" i="1"/>
  <c r="BA35" i="1"/>
  <c r="BM10" i="1"/>
  <c r="BB36" i="1"/>
  <c r="BC36" i="1" s="1"/>
  <c r="BM5" i="1"/>
  <c r="BA32" i="1"/>
  <c r="BD29" i="1"/>
  <c r="BM11" i="1"/>
  <c r="BB35" i="1"/>
  <c r="BC35" i="1" s="1"/>
  <c r="BM13" i="1"/>
  <c r="BB32" i="1"/>
  <c r="BC32" i="1" s="1"/>
  <c r="R10" i="1"/>
  <c r="R11" i="1"/>
  <c r="R4" i="1"/>
  <c r="R12" i="1"/>
  <c r="R6" i="1"/>
  <c r="R5" i="1"/>
  <c r="R9" i="1"/>
  <c r="R8" i="1"/>
  <c r="R13" i="1"/>
  <c r="R7" i="1"/>
  <c r="D141" i="8" l="1"/>
  <c r="D145" i="8"/>
  <c r="D149" i="8"/>
  <c r="D153" i="8"/>
  <c r="D147" i="8"/>
  <c r="D144" i="8"/>
  <c r="D148" i="8"/>
  <c r="D142" i="8"/>
  <c r="D146" i="8"/>
  <c r="D150" i="8"/>
  <c r="D140" i="8"/>
  <c r="D143" i="8"/>
  <c r="D151" i="8"/>
  <c r="D152" i="8"/>
  <c r="X9" i="4"/>
  <c r="Y5" i="4" s="1"/>
  <c r="G153" i="8"/>
  <c r="G142" i="8"/>
  <c r="E144" i="8"/>
  <c r="G147" i="8"/>
  <c r="E149" i="8"/>
  <c r="E142" i="8"/>
  <c r="G149" i="8"/>
  <c r="E151" i="8"/>
  <c r="G140" i="8"/>
  <c r="G143" i="8"/>
  <c r="G152" i="8"/>
  <c r="G141" i="8"/>
  <c r="E143" i="8"/>
  <c r="G146" i="8"/>
  <c r="E148" i="8"/>
  <c r="G151" i="8"/>
  <c r="E153" i="8"/>
  <c r="G144" i="8"/>
  <c r="E146" i="8"/>
  <c r="E145" i="8"/>
  <c r="E140" i="8"/>
  <c r="G145" i="8"/>
  <c r="E147" i="8"/>
  <c r="G150" i="8"/>
  <c r="E152" i="8"/>
  <c r="E141" i="8"/>
  <c r="G148" i="8"/>
  <c r="E150" i="8"/>
  <c r="AE7" i="1"/>
  <c r="AE5" i="1"/>
  <c r="AE8" i="1"/>
  <c r="AE13" i="1"/>
  <c r="AE6" i="1"/>
  <c r="AE10" i="1"/>
  <c r="AE12" i="1"/>
  <c r="AE9" i="1"/>
  <c r="AE4" i="1"/>
  <c r="AE11" i="1"/>
  <c r="S14" i="1"/>
  <c r="S8" i="1"/>
  <c r="S11" i="1"/>
  <c r="S9" i="1"/>
  <c r="S4" i="1"/>
  <c r="S6" i="1"/>
  <c r="S13" i="1"/>
  <c r="S12" i="1"/>
  <c r="S7" i="1"/>
  <c r="S10" i="1"/>
  <c r="S5" i="1"/>
  <c r="AG7" i="3"/>
  <c r="AG6" i="3"/>
  <c r="AG4" i="3"/>
  <c r="Y11" i="3"/>
  <c r="AG5" i="3"/>
  <c r="AG8" i="3"/>
  <c r="AG9" i="3"/>
  <c r="AF6" i="4"/>
  <c r="AF4" i="4"/>
  <c r="AF7" i="4"/>
  <c r="AF5" i="4"/>
  <c r="AY43" i="2"/>
  <c r="AZ43" i="2" s="1"/>
  <c r="BA36" i="2"/>
  <c r="AH11" i="2"/>
  <c r="AH9" i="2"/>
  <c r="Z13" i="2"/>
  <c r="AH7" i="2"/>
  <c r="AH10" i="2"/>
  <c r="AH8" i="2"/>
  <c r="AH5" i="2"/>
  <c r="AH6" i="2"/>
  <c r="AH12" i="2"/>
  <c r="AI12" i="2" s="1"/>
  <c r="AH4" i="2"/>
  <c r="BE5" i="4"/>
  <c r="BF5" i="4" s="1"/>
  <c r="BG5" i="4" s="1"/>
  <c r="BH5" i="4" s="1"/>
  <c r="BI5" i="4" s="1"/>
  <c r="AL7" i="4"/>
  <c r="BE4" i="4"/>
  <c r="AL6" i="4"/>
  <c r="BE7" i="4"/>
  <c r="BF7" i="4" s="1"/>
  <c r="BG7" i="4" s="1"/>
  <c r="BH7" i="4" s="1"/>
  <c r="BI7" i="4" s="1"/>
  <c r="BE6" i="4"/>
  <c r="AV35" i="3"/>
  <c r="AW35" i="3" s="1"/>
  <c r="BI5" i="3"/>
  <c r="AX31" i="3"/>
  <c r="AV34" i="3"/>
  <c r="AW34" i="3" s="1"/>
  <c r="BI4" i="3"/>
  <c r="AV36" i="3"/>
  <c r="AW36" i="3" s="1"/>
  <c r="AX30" i="3"/>
  <c r="BK6" i="3"/>
  <c r="AU36" i="3"/>
  <c r="BI8" i="3"/>
  <c r="BI7" i="3"/>
  <c r="AU35" i="3"/>
  <c r="AX29" i="3"/>
  <c r="BI9" i="3"/>
  <c r="BA34" i="2"/>
  <c r="AY41" i="2"/>
  <c r="AZ41" i="2" s="1"/>
  <c r="BL5" i="2"/>
  <c r="BL4" i="2"/>
  <c r="AX47" i="2" s="1"/>
  <c r="AY42" i="2"/>
  <c r="AZ42" i="2" s="1"/>
  <c r="BA35" i="2"/>
  <c r="BL6" i="2"/>
  <c r="AX40" i="2"/>
  <c r="BA37" i="2"/>
  <c r="BL10" i="2"/>
  <c r="BM8" i="2"/>
  <c r="AX43" i="2"/>
  <c r="BL9" i="2"/>
  <c r="AX41" i="2"/>
  <c r="BL7" i="2"/>
  <c r="AY49" i="2" s="1"/>
  <c r="AZ49" i="2" s="1"/>
  <c r="BL11" i="2"/>
  <c r="AY40" i="2"/>
  <c r="AZ40" i="2" s="1"/>
  <c r="BA42" i="2"/>
  <c r="BN11" i="1"/>
  <c r="BA40" i="1"/>
  <c r="BN10" i="1"/>
  <c r="BB39" i="1"/>
  <c r="BC39" i="1" s="1"/>
  <c r="BD33" i="1"/>
  <c r="BD36" i="1"/>
  <c r="BN7" i="1"/>
  <c r="BB42" i="1"/>
  <c r="BC42" i="1" s="1"/>
  <c r="BN6" i="1"/>
  <c r="BB43" i="1"/>
  <c r="BC43" i="1" s="1"/>
  <c r="BN13" i="1"/>
  <c r="BA39" i="1"/>
  <c r="BD32" i="1"/>
  <c r="BD35" i="1"/>
  <c r="BN9" i="1"/>
  <c r="BB40" i="1"/>
  <c r="BC40" i="1" s="1"/>
  <c r="BN5" i="1"/>
  <c r="BA43" i="1"/>
  <c r="BD43" i="1" s="1"/>
  <c r="BN8" i="1"/>
  <c r="BB41" i="1"/>
  <c r="BC41" i="1" s="1"/>
  <c r="BD34" i="1"/>
  <c r="BN12" i="1"/>
  <c r="BA41" i="1"/>
  <c r="BN4" i="1"/>
  <c r="BA42" i="1"/>
  <c r="Y6" i="4" l="1"/>
  <c r="Y7" i="4"/>
  <c r="Y4" i="4"/>
  <c r="AA8" i="2"/>
  <c r="AM10" i="1"/>
  <c r="AM7" i="1"/>
  <c r="AM4" i="1"/>
  <c r="AM12" i="1"/>
  <c r="AM9" i="1"/>
  <c r="AM5" i="1"/>
  <c r="AM13" i="1"/>
  <c r="AM11" i="1"/>
  <c r="AE15" i="1"/>
  <c r="AM6" i="1"/>
  <c r="AM8" i="1"/>
  <c r="Z7" i="3"/>
  <c r="Z4" i="3"/>
  <c r="Z8" i="3"/>
  <c r="Z9" i="3"/>
  <c r="Z5" i="3"/>
  <c r="Z6" i="3"/>
  <c r="AA10" i="2"/>
  <c r="AA11" i="2"/>
  <c r="AA6" i="2"/>
  <c r="AA7" i="2"/>
  <c r="AA9" i="2"/>
  <c r="AA5" i="2"/>
  <c r="AK4" i="4"/>
  <c r="AM7" i="4"/>
  <c r="U4" i="4" s="1"/>
  <c r="AL4" i="4"/>
  <c r="BF4" i="4"/>
  <c r="BG4" i="4" s="1"/>
  <c r="BH4" i="4" s="1"/>
  <c r="BI4" i="4" s="1"/>
  <c r="AL5" i="4"/>
  <c r="AK7" i="4"/>
  <c r="BF6" i="4"/>
  <c r="BG6" i="4" s="1"/>
  <c r="BH6" i="4" s="1"/>
  <c r="BI6" i="4" s="1"/>
  <c r="AM6" i="4" s="1"/>
  <c r="U5" i="4" s="1"/>
  <c r="AK6" i="4"/>
  <c r="AK5" i="4"/>
  <c r="AM5" i="4"/>
  <c r="U6" i="4" s="1"/>
  <c r="BJ5" i="3"/>
  <c r="AP8" i="3"/>
  <c r="BJ9" i="3"/>
  <c r="BJ7" i="3"/>
  <c r="AX36" i="3"/>
  <c r="AX35" i="3"/>
  <c r="BL6" i="3"/>
  <c r="BM6" i="3" s="1"/>
  <c r="BJ4" i="3"/>
  <c r="BJ8" i="3"/>
  <c r="AO6" i="3"/>
  <c r="F45" i="3" s="1"/>
  <c r="BM9" i="2"/>
  <c r="AY48" i="2"/>
  <c r="AZ48" i="2" s="1"/>
  <c r="AX48" i="2"/>
  <c r="BM4" i="2"/>
  <c r="BA47" i="2"/>
  <c r="BM7" i="2"/>
  <c r="AX53" i="2" s="1"/>
  <c r="BA43" i="2"/>
  <c r="BA40" i="2"/>
  <c r="AY46" i="2"/>
  <c r="AZ46" i="2" s="1"/>
  <c r="BM11" i="2"/>
  <c r="BA41" i="2"/>
  <c r="BN8" i="2"/>
  <c r="AY47" i="2"/>
  <c r="AZ47" i="2" s="1"/>
  <c r="BM10" i="2"/>
  <c r="BM6" i="2"/>
  <c r="AX46" i="2"/>
  <c r="AX49" i="2"/>
  <c r="BM5" i="2"/>
  <c r="BD39" i="1"/>
  <c r="BO11" i="1"/>
  <c r="BB50" i="1"/>
  <c r="BC50" i="1" s="1"/>
  <c r="BO12" i="1"/>
  <c r="BB49" i="1"/>
  <c r="BC49" i="1" s="1"/>
  <c r="BO8" i="1"/>
  <c r="BA48" i="1"/>
  <c r="BO13" i="1"/>
  <c r="BB46" i="1"/>
  <c r="BC46" i="1" s="1"/>
  <c r="BO7" i="1"/>
  <c r="BA47" i="1"/>
  <c r="BD42" i="1"/>
  <c r="BO4" i="1"/>
  <c r="BB48" i="1"/>
  <c r="BC48" i="1" s="1"/>
  <c r="BO5" i="1"/>
  <c r="BB47" i="1"/>
  <c r="BC47" i="1" s="1"/>
  <c r="BO6" i="1"/>
  <c r="BA46" i="1"/>
  <c r="BD40" i="1"/>
  <c r="BD41" i="1"/>
  <c r="BO9" i="1"/>
  <c r="BA49" i="1"/>
  <c r="BO10" i="1"/>
  <c r="BA50" i="1"/>
  <c r="AF5" i="1" l="1"/>
  <c r="AF9" i="1"/>
  <c r="AF13" i="1"/>
  <c r="AF6" i="1"/>
  <c r="AF10" i="1"/>
  <c r="AF4" i="1"/>
  <c r="AF7" i="1"/>
  <c r="AF11" i="1"/>
  <c r="AF8" i="1"/>
  <c r="AF12" i="1"/>
  <c r="AA9" i="3"/>
  <c r="AA8" i="3"/>
  <c r="AA6" i="3"/>
  <c r="AA4" i="3"/>
  <c r="AA5" i="3"/>
  <c r="AA7" i="3"/>
  <c r="AB10" i="2"/>
  <c r="AB8" i="2"/>
  <c r="AB9" i="2"/>
  <c r="AB11" i="2"/>
  <c r="AB4" i="2"/>
  <c r="AB6" i="2"/>
  <c r="AB5" i="2"/>
  <c r="AB7" i="2"/>
  <c r="AM4" i="4"/>
  <c r="U7" i="4" s="1"/>
  <c r="BK5" i="3"/>
  <c r="BL5" i="3" s="1"/>
  <c r="BM5" i="3" s="1"/>
  <c r="AQ5" i="3" s="1"/>
  <c r="BK9" i="3"/>
  <c r="AP7" i="3"/>
  <c r="BK7" i="3"/>
  <c r="BK8" i="3"/>
  <c r="BL8" i="3" s="1"/>
  <c r="BM8" i="3" s="1"/>
  <c r="BK4" i="3"/>
  <c r="BL4" i="3" s="1"/>
  <c r="BM4" i="3" s="1"/>
  <c r="AQ4" i="3" s="1"/>
  <c r="AQ6" i="3"/>
  <c r="V8" i="3" s="1"/>
  <c r="BA46" i="2"/>
  <c r="BO8" i="2"/>
  <c r="BN11" i="2"/>
  <c r="AX52" i="2"/>
  <c r="BN7" i="2"/>
  <c r="AX55" i="2"/>
  <c r="BN10" i="2"/>
  <c r="BA53" i="2"/>
  <c r="AX54" i="2"/>
  <c r="BN9" i="2"/>
  <c r="AY54" i="2"/>
  <c r="AZ54" i="2" s="1"/>
  <c r="BN5" i="2"/>
  <c r="AY55" i="2"/>
  <c r="BN4" i="2"/>
  <c r="BA49" i="2"/>
  <c r="AY52" i="2"/>
  <c r="AZ52" i="2" s="1"/>
  <c r="BN6" i="2"/>
  <c r="AY53" i="2"/>
  <c r="AZ53" i="2" s="1"/>
  <c r="BA48" i="2"/>
  <c r="BP9" i="1"/>
  <c r="BB55" i="1"/>
  <c r="BC55" i="1" s="1"/>
  <c r="BP13" i="1"/>
  <c r="BA53" i="1"/>
  <c r="BP8" i="1"/>
  <c r="BB56" i="1"/>
  <c r="BC56" i="1" s="1"/>
  <c r="BD50" i="1"/>
  <c r="BP10" i="1"/>
  <c r="BB54" i="1"/>
  <c r="BC54" i="1" s="1"/>
  <c r="BP6" i="1"/>
  <c r="BA57" i="1"/>
  <c r="BD57" i="1" s="1"/>
  <c r="BP5" i="1"/>
  <c r="BA56" i="1"/>
  <c r="BP7" i="1"/>
  <c r="BB57" i="1"/>
  <c r="BC57" i="1" s="1"/>
  <c r="BD49" i="1"/>
  <c r="BD48" i="1"/>
  <c r="BP12" i="1"/>
  <c r="BA54" i="1"/>
  <c r="BD46" i="1"/>
  <c r="BP4" i="1"/>
  <c r="BA55" i="1"/>
  <c r="BD47" i="1"/>
  <c r="BP11" i="1"/>
  <c r="BB53" i="1"/>
  <c r="BC53" i="1" s="1"/>
  <c r="Z7" i="4" l="1"/>
  <c r="Z6" i="4"/>
  <c r="AG8" i="1"/>
  <c r="AG11" i="1"/>
  <c r="AG6" i="1"/>
  <c r="AG7" i="1"/>
  <c r="AG13" i="1"/>
  <c r="AG12" i="1"/>
  <c r="AG9" i="1"/>
  <c r="AG10" i="1"/>
  <c r="AG5" i="1"/>
  <c r="AA11" i="3"/>
  <c r="Z5" i="4"/>
  <c r="Z4" i="4"/>
  <c r="AZ55" i="2"/>
  <c r="AR4" i="2"/>
  <c r="AB13" i="2"/>
  <c r="AC4" i="2" s="1"/>
  <c r="AP9" i="3"/>
  <c r="AO5" i="3"/>
  <c r="F46" i="3" s="1"/>
  <c r="BL7" i="3"/>
  <c r="BM7" i="3" s="1"/>
  <c r="BL9" i="3"/>
  <c r="BM9" i="3" s="1"/>
  <c r="AQ8" i="3"/>
  <c r="V5" i="3" s="1"/>
  <c r="AP6" i="3"/>
  <c r="AO8" i="3"/>
  <c r="F43" i="3" s="1"/>
  <c r="AP5" i="3"/>
  <c r="AO9" i="3"/>
  <c r="F42" i="3" s="1"/>
  <c r="AO4" i="3"/>
  <c r="F47" i="3" s="1"/>
  <c r="AO7" i="3"/>
  <c r="F44" i="3" s="1"/>
  <c r="BO4" i="2"/>
  <c r="BO5" i="2"/>
  <c r="BA54" i="2"/>
  <c r="BO10" i="2"/>
  <c r="BA52" i="2"/>
  <c r="BP8" i="2"/>
  <c r="AT8" i="2" s="1"/>
  <c r="W9" i="2" s="1"/>
  <c r="BA55" i="2"/>
  <c r="BO11" i="2"/>
  <c r="BO6" i="2"/>
  <c r="BO9" i="2"/>
  <c r="BO7" i="2"/>
  <c r="BD54" i="1"/>
  <c r="BQ12" i="1"/>
  <c r="BB64" i="1"/>
  <c r="BC64" i="1" s="1"/>
  <c r="BQ4" i="1"/>
  <c r="BB63" i="1"/>
  <c r="BC63" i="1" s="1"/>
  <c r="BQ5" i="1"/>
  <c r="BB62" i="1"/>
  <c r="BC62" i="1" s="1"/>
  <c r="BQ13" i="1"/>
  <c r="BB60" i="1"/>
  <c r="BC60" i="1" s="1"/>
  <c r="BQ10" i="1"/>
  <c r="BA63" i="1"/>
  <c r="BQ7" i="1"/>
  <c r="BA60" i="1"/>
  <c r="BQ8" i="1"/>
  <c r="BA61" i="1"/>
  <c r="BQ11" i="1"/>
  <c r="BA64" i="1"/>
  <c r="BD55" i="1"/>
  <c r="BD56" i="1"/>
  <c r="BQ6" i="1"/>
  <c r="BB61" i="1"/>
  <c r="BC61" i="1" s="1"/>
  <c r="BD53" i="1"/>
  <c r="BQ9" i="1"/>
  <c r="BA62" i="1"/>
  <c r="Z9" i="4" l="1"/>
  <c r="AA7" i="4" s="1"/>
  <c r="AG15" i="1"/>
  <c r="AB6" i="3"/>
  <c r="AB9" i="3"/>
  <c r="AB4" i="3"/>
  <c r="AB5" i="3"/>
  <c r="AB7" i="3"/>
  <c r="AB8" i="3"/>
  <c r="AC10" i="2"/>
  <c r="AC8" i="2"/>
  <c r="AC6" i="2"/>
  <c r="AC5" i="2"/>
  <c r="AC11" i="2"/>
  <c r="AC9" i="2"/>
  <c r="AC7" i="2"/>
  <c r="AP4" i="3"/>
  <c r="AQ9" i="3"/>
  <c r="AQ7" i="3"/>
  <c r="BP11" i="2"/>
  <c r="AT11" i="2" s="1"/>
  <c r="W11" i="2" s="1"/>
  <c r="BP7" i="2"/>
  <c r="AT7" i="2" s="1"/>
  <c r="W10" i="2" s="1"/>
  <c r="BP9" i="2"/>
  <c r="AT9" i="2" s="1"/>
  <c r="W7" i="2" s="1"/>
  <c r="AR8" i="2"/>
  <c r="G65" i="2" s="1"/>
  <c r="BP4" i="2"/>
  <c r="AT4" i="2" s="1"/>
  <c r="W6" i="2" s="1"/>
  <c r="BP6" i="2"/>
  <c r="AT6" i="2" s="1"/>
  <c r="W8" i="2" s="1"/>
  <c r="BP10" i="2"/>
  <c r="AT10" i="2" s="1"/>
  <c r="W5" i="2" s="1"/>
  <c r="BP5" i="2"/>
  <c r="AT5" i="2" s="1"/>
  <c r="W4" i="2" s="1"/>
  <c r="BR9" i="1"/>
  <c r="BB70" i="1"/>
  <c r="BC70" i="1" s="1"/>
  <c r="BR6" i="1"/>
  <c r="BA70" i="1"/>
  <c r="BR12" i="1"/>
  <c r="BB67" i="1"/>
  <c r="BC67" i="1" s="1"/>
  <c r="BD61" i="1"/>
  <c r="BR7" i="1"/>
  <c r="BA71" i="1"/>
  <c r="BD71" i="1" s="1"/>
  <c r="BD64" i="1"/>
  <c r="BR8" i="1"/>
  <c r="BB71" i="1"/>
  <c r="BC71" i="1" s="1"/>
  <c r="BR4" i="1"/>
  <c r="BA68" i="1"/>
  <c r="BD60" i="1"/>
  <c r="BR10" i="1"/>
  <c r="BB69" i="1"/>
  <c r="BC69" i="1" s="1"/>
  <c r="BD62" i="1"/>
  <c r="BR11" i="1"/>
  <c r="BB68" i="1"/>
  <c r="BC68" i="1" s="1"/>
  <c r="BD63" i="1"/>
  <c r="BR13" i="1"/>
  <c r="BA67" i="1"/>
  <c r="BR5" i="1"/>
  <c r="BA69" i="1"/>
  <c r="AD5" i="2" l="1"/>
  <c r="AD6" i="2"/>
  <c r="AD9" i="2"/>
  <c r="AD8" i="2"/>
  <c r="AD11" i="2"/>
  <c r="AD10" i="2"/>
  <c r="AA6" i="4"/>
  <c r="AA5" i="4"/>
  <c r="AA4" i="4"/>
  <c r="V7" i="3"/>
  <c r="V6" i="3"/>
  <c r="V9" i="3"/>
  <c r="V4" i="3"/>
  <c r="AD4" i="2"/>
  <c r="AH5" i="1"/>
  <c r="AI5" i="1" s="1"/>
  <c r="AH9" i="1"/>
  <c r="AI9" i="1" s="1"/>
  <c r="AJ9" i="1" s="1"/>
  <c r="AH13" i="1"/>
  <c r="AI13" i="1" s="1"/>
  <c r="AH6" i="1"/>
  <c r="AI6" i="1" s="1"/>
  <c r="AH10" i="1"/>
  <c r="AI10" i="1" s="1"/>
  <c r="AH4" i="1"/>
  <c r="AI4" i="1" s="1"/>
  <c r="AH7" i="1"/>
  <c r="AI7" i="1" s="1"/>
  <c r="AH11" i="1"/>
  <c r="AI11" i="1" s="1"/>
  <c r="AJ5" i="1"/>
  <c r="AH8" i="1"/>
  <c r="AI8" i="1" s="1"/>
  <c r="AH12" i="1"/>
  <c r="AI12" i="1" s="1"/>
  <c r="AC5" i="3"/>
  <c r="AC4" i="3"/>
  <c r="AC8" i="3"/>
  <c r="AC9" i="3"/>
  <c r="AC7" i="3"/>
  <c r="AC6" i="3"/>
  <c r="AS11" i="2"/>
  <c r="AS4" i="2"/>
  <c r="AS10" i="2"/>
  <c r="AS8" i="2"/>
  <c r="AR10" i="2"/>
  <c r="G61" i="2" s="1"/>
  <c r="AR5" i="2"/>
  <c r="AS9" i="2"/>
  <c r="AR7" i="2"/>
  <c r="G66" i="2" s="1"/>
  <c r="AS7" i="2"/>
  <c r="AR9" i="2"/>
  <c r="G63" i="2" s="1"/>
  <c r="G62" i="2"/>
  <c r="AS6" i="2"/>
  <c r="AR11" i="2"/>
  <c r="G67" i="2" s="1"/>
  <c r="AR6" i="2"/>
  <c r="G64" i="2" s="1"/>
  <c r="BD67" i="1"/>
  <c r="BS11" i="1"/>
  <c r="AW11" i="1" s="1"/>
  <c r="BA77" i="1"/>
  <c r="BD68" i="1"/>
  <c r="BS8" i="1"/>
  <c r="AW8" i="1" s="1"/>
  <c r="BA74" i="1"/>
  <c r="BD69" i="1"/>
  <c r="BS10" i="1"/>
  <c r="AW10" i="1" s="1"/>
  <c r="BA76" i="1"/>
  <c r="BS4" i="1"/>
  <c r="AW4" i="1" s="1"/>
  <c r="BB78" i="1"/>
  <c r="BC78" i="1" s="1"/>
  <c r="BS7" i="1"/>
  <c r="AW7" i="1" s="1"/>
  <c r="BB75" i="1"/>
  <c r="BC75" i="1" s="1"/>
  <c r="BS12" i="1"/>
  <c r="AW12" i="1" s="1"/>
  <c r="BA78" i="1"/>
  <c r="BS6" i="1"/>
  <c r="AW6" i="1" s="1"/>
  <c r="BB76" i="1"/>
  <c r="BC76" i="1" s="1"/>
  <c r="BS13" i="1"/>
  <c r="AW13" i="1" s="1"/>
  <c r="BB74" i="1"/>
  <c r="BC74" i="1" s="1"/>
  <c r="BS5" i="1"/>
  <c r="AW5" i="1" s="1"/>
  <c r="BB77" i="1"/>
  <c r="BC77" i="1" s="1"/>
  <c r="BD70" i="1"/>
  <c r="BS9" i="1"/>
  <c r="AW9" i="1" s="1"/>
  <c r="BA75" i="1"/>
  <c r="AD7" i="2" l="1"/>
  <c r="AD13" i="2" s="1"/>
  <c r="AE6" i="2" s="1"/>
  <c r="AD12" i="2"/>
  <c r="AJ13" i="1"/>
  <c r="AB4" i="4"/>
  <c r="AB7" i="4"/>
  <c r="AB5" i="4"/>
  <c r="AB6" i="4"/>
  <c r="AB7" i="1"/>
  <c r="AJ12" i="1"/>
  <c r="AJ8" i="1"/>
  <c r="AJ11" i="1"/>
  <c r="AI15" i="1"/>
  <c r="AJ7" i="1"/>
  <c r="AJ4" i="1"/>
  <c r="AJ10" i="1"/>
  <c r="AJ6" i="1"/>
  <c r="AB5" i="1"/>
  <c r="AB11" i="1"/>
  <c r="AC11" i="3"/>
  <c r="AS5" i="2"/>
  <c r="AB13" i="1"/>
  <c r="AB10" i="1"/>
  <c r="AB6" i="1"/>
  <c r="AB12" i="1"/>
  <c r="AB4" i="1"/>
  <c r="AB8" i="1"/>
  <c r="AB9" i="1"/>
  <c r="AU4" i="1"/>
  <c r="AV10" i="1"/>
  <c r="BD78" i="1"/>
  <c r="AU10" i="1"/>
  <c r="BD77" i="1"/>
  <c r="AV5" i="1" s="1"/>
  <c r="AU12" i="1"/>
  <c r="AU7" i="1"/>
  <c r="AU5" i="1"/>
  <c r="AU13" i="1"/>
  <c r="AU6" i="1"/>
  <c r="AV12" i="1"/>
  <c r="AV9" i="1"/>
  <c r="AV8" i="1"/>
  <c r="AV11" i="1"/>
  <c r="BD75" i="1"/>
  <c r="AV7" i="1" s="1"/>
  <c r="AU8" i="1"/>
  <c r="BD76" i="1"/>
  <c r="AU11" i="1"/>
  <c r="BD74" i="1"/>
  <c r="AV13" i="1" s="1"/>
  <c r="AU9" i="1"/>
  <c r="AB9" i="4" l="1"/>
  <c r="AC4" i="4" s="1"/>
  <c r="AL6" i="1"/>
  <c r="AN6" i="1" s="1"/>
  <c r="AL10" i="1"/>
  <c r="AN10" i="1" s="1"/>
  <c r="AL13" i="1"/>
  <c r="AN13" i="1" s="1"/>
  <c r="AL11" i="1"/>
  <c r="AN11" i="1" s="1"/>
  <c r="AL12" i="1"/>
  <c r="AN12" i="1" s="1"/>
  <c r="AL4" i="1"/>
  <c r="AN4" i="1" s="1"/>
  <c r="AL8" i="1"/>
  <c r="AN8" i="1" s="1"/>
  <c r="AL9" i="1"/>
  <c r="AN9" i="1" s="1"/>
  <c r="AL7" i="1"/>
  <c r="AN7" i="1" s="1"/>
  <c r="AL5" i="1"/>
  <c r="AN5" i="1" s="1"/>
  <c r="AD5" i="3"/>
  <c r="AD7" i="3"/>
  <c r="AD9" i="3"/>
  <c r="AD8" i="3"/>
  <c r="AD6" i="3"/>
  <c r="AD4" i="3"/>
  <c r="AE5" i="2"/>
  <c r="AE10" i="2"/>
  <c r="AE11" i="2"/>
  <c r="AE4" i="2"/>
  <c r="AE8" i="2"/>
  <c r="AE7" i="2"/>
  <c r="AE9" i="2"/>
  <c r="H90" i="1"/>
  <c r="H83" i="1"/>
  <c r="H85" i="1"/>
  <c r="H89" i="1"/>
  <c r="H91" i="1"/>
  <c r="H87" i="1"/>
  <c r="H84" i="1"/>
  <c r="H92" i="1"/>
  <c r="H88" i="1"/>
  <c r="H86" i="1"/>
  <c r="AV6" i="1"/>
  <c r="AV4" i="1"/>
  <c r="AC6" i="4" l="1"/>
  <c r="AC5" i="4"/>
  <c r="AC7" i="4"/>
  <c r="AO7" i="1"/>
  <c r="T7" i="1" s="1"/>
  <c r="A7" i="1" s="1"/>
  <c r="AO9" i="1"/>
  <c r="T9" i="1" s="1"/>
  <c r="A9" i="1" s="1"/>
  <c r="AO11" i="1"/>
  <c r="T11" i="1" s="1"/>
  <c r="A11" i="1" s="1"/>
  <c r="AO8" i="1"/>
  <c r="T8" i="1" s="1"/>
  <c r="A8" i="1" s="1"/>
  <c r="AO13" i="1"/>
  <c r="T13" i="1" s="1"/>
  <c r="A13" i="1" s="1"/>
  <c r="AO5" i="1"/>
  <c r="T5" i="1" s="1"/>
  <c r="A5" i="1" s="1"/>
  <c r="AO4" i="1"/>
  <c r="T4" i="1" s="1"/>
  <c r="A4" i="1" s="1"/>
  <c r="AO14" i="1"/>
  <c r="AO6" i="1"/>
  <c r="T6" i="1" s="1"/>
  <c r="A6" i="1" s="1"/>
  <c r="AO12" i="1"/>
  <c r="T12" i="1" s="1"/>
  <c r="A12" i="1" s="1"/>
  <c r="AO10" i="1"/>
  <c r="T10" i="1" s="1"/>
  <c r="A10" i="1" s="1"/>
  <c r="AF8" i="3"/>
  <c r="AH8" i="3" s="1"/>
  <c r="AF9" i="3"/>
  <c r="AH9" i="3" s="1"/>
  <c r="AF4" i="3"/>
  <c r="AH4" i="3" s="1"/>
  <c r="AF7" i="3"/>
  <c r="AH7" i="3" s="1"/>
  <c r="AF6" i="3"/>
  <c r="AH6" i="3" s="1"/>
  <c r="AF5" i="3"/>
  <c r="AH5" i="3" s="1"/>
  <c r="AG11" i="2"/>
  <c r="AI11" i="2" s="1"/>
  <c r="AG9" i="2"/>
  <c r="AI9" i="2" s="1"/>
  <c r="AG5" i="2"/>
  <c r="AI5" i="2" s="1"/>
  <c r="AG7" i="2"/>
  <c r="AI7" i="2" s="1"/>
  <c r="AG10" i="2"/>
  <c r="AI10" i="2" s="1"/>
  <c r="AG8" i="2"/>
  <c r="AI8" i="2" s="1"/>
  <c r="AG6" i="2"/>
  <c r="AI6" i="2" s="1"/>
  <c r="AG4" i="2"/>
  <c r="AI4" i="2" s="1"/>
  <c r="F86" i="1" l="1"/>
  <c r="F90" i="1"/>
  <c r="F84" i="1"/>
  <c r="F92" i="1"/>
  <c r="F85" i="1"/>
  <c r="F83" i="1"/>
  <c r="F87" i="1"/>
  <c r="F91" i="1"/>
  <c r="F88" i="1"/>
  <c r="F89" i="1"/>
  <c r="AE5" i="4"/>
  <c r="AG5" i="4" s="1"/>
  <c r="AE7" i="4"/>
  <c r="AG7" i="4" s="1"/>
  <c r="AE6" i="4"/>
  <c r="AG6" i="4" s="1"/>
  <c r="AE4" i="4"/>
  <c r="AG4" i="4" s="1"/>
  <c r="I83" i="1"/>
  <c r="G83" i="1"/>
  <c r="G87" i="1"/>
  <c r="G85" i="1"/>
  <c r="G89" i="1"/>
  <c r="I88" i="1"/>
  <c r="G90" i="1"/>
  <c r="I87" i="1"/>
  <c r="G92" i="1"/>
  <c r="I92" i="1"/>
  <c r="I90" i="1"/>
  <c r="Y14" i="1"/>
  <c r="I85" i="1"/>
  <c r="G88" i="1"/>
  <c r="G86" i="1"/>
  <c r="I86" i="1"/>
  <c r="G84" i="1"/>
  <c r="I84" i="1"/>
  <c r="G91" i="1"/>
  <c r="I91" i="1"/>
  <c r="I89" i="1"/>
  <c r="AI4" i="3"/>
  <c r="T4" i="3" s="1"/>
  <c r="A4" i="3" s="1"/>
  <c r="AI7" i="3"/>
  <c r="T7" i="3" s="1"/>
  <c r="A7" i="3" s="1"/>
  <c r="AI5" i="3"/>
  <c r="T5" i="3" s="1"/>
  <c r="A5" i="3" s="1"/>
  <c r="AI9" i="3"/>
  <c r="T9" i="3" s="1"/>
  <c r="A9" i="3" s="1"/>
  <c r="AI6" i="3"/>
  <c r="T6" i="3" s="1"/>
  <c r="A6" i="3" s="1"/>
  <c r="AI8" i="3"/>
  <c r="T8" i="3" s="1"/>
  <c r="A8" i="3" s="1"/>
  <c r="AJ9" i="2"/>
  <c r="T9" i="2" s="1"/>
  <c r="A9" i="2" s="1"/>
  <c r="AJ4" i="2"/>
  <c r="T4" i="2" s="1"/>
  <c r="A4" i="2" s="1"/>
  <c r="AJ12" i="2"/>
  <c r="T12" i="2" s="1"/>
  <c r="A12" i="2" s="1"/>
  <c r="AJ11" i="2"/>
  <c r="T11" i="2" s="1"/>
  <c r="A11" i="2" s="1"/>
  <c r="AJ10" i="2"/>
  <c r="T10" i="2" s="1"/>
  <c r="A10" i="2" s="1"/>
  <c r="AJ5" i="2"/>
  <c r="T5" i="2" s="1"/>
  <c r="A5" i="2" s="1"/>
  <c r="AJ7" i="2"/>
  <c r="T7" i="2" s="1"/>
  <c r="A7" i="2" s="1"/>
  <c r="AJ6" i="2"/>
  <c r="T6" i="2" s="1"/>
  <c r="A6" i="2" s="1"/>
  <c r="AJ8" i="2"/>
  <c r="T8" i="2" s="1"/>
  <c r="A8" i="2" s="1"/>
  <c r="D43" i="3" l="1"/>
  <c r="D47" i="3"/>
  <c r="D44" i="3"/>
  <c r="D45" i="3"/>
  <c r="D46" i="3"/>
  <c r="E60" i="2"/>
  <c r="E61" i="2"/>
  <c r="E65" i="2"/>
  <c r="E62" i="2"/>
  <c r="E66" i="2"/>
  <c r="E64" i="2"/>
  <c r="E63" i="2"/>
  <c r="E67" i="2"/>
  <c r="AH7" i="4"/>
  <c r="S7" i="4" s="1"/>
  <c r="A7" i="4" s="1"/>
  <c r="AH4" i="4"/>
  <c r="S4" i="4" s="1"/>
  <c r="A4" i="4" s="1"/>
  <c r="AH5" i="4"/>
  <c r="S5" i="4" s="1"/>
  <c r="A5" i="4" s="1"/>
  <c r="AH6" i="4"/>
  <c r="S6" i="4" s="1"/>
  <c r="A6" i="4" s="1"/>
  <c r="G43" i="3"/>
  <c r="G42" i="3"/>
  <c r="E44" i="3"/>
  <c r="G46" i="3"/>
  <c r="G47" i="3"/>
  <c r="E45" i="3"/>
  <c r="G44" i="3"/>
  <c r="E43" i="3"/>
  <c r="D48" i="3"/>
  <c r="G45" i="3"/>
  <c r="E46" i="3"/>
  <c r="E47" i="3"/>
  <c r="H61" i="2"/>
  <c r="H65" i="2"/>
  <c r="F61" i="2"/>
  <c r="F65" i="2"/>
  <c r="H62" i="2"/>
  <c r="H66" i="2"/>
  <c r="F62" i="2"/>
  <c r="F66" i="2"/>
  <c r="H63" i="2"/>
  <c r="H67" i="2"/>
  <c r="F63" i="2"/>
  <c r="F67" i="2"/>
  <c r="H64" i="2"/>
  <c r="H60" i="2"/>
  <c r="F64" i="2"/>
  <c r="F60" i="2"/>
  <c r="G60" i="2"/>
  <c r="D29" i="4" l="1"/>
  <c r="D27" i="4"/>
  <c r="D28" i="4"/>
  <c r="D26" i="4"/>
  <c r="E26" i="4"/>
  <c r="F26" i="4"/>
  <c r="G26" i="4"/>
  <c r="G29" i="4"/>
  <c r="G27" i="4"/>
  <c r="F28" i="4"/>
  <c r="G28" i="4"/>
  <c r="F27" i="4"/>
  <c r="E28" i="4"/>
  <c r="E27" i="4"/>
  <c r="E29" i="4"/>
  <c r="F29" i="4"/>
</calcChain>
</file>

<file path=xl/sharedStrings.xml><?xml version="1.0" encoding="utf-8"?>
<sst xmlns="http://schemas.openxmlformats.org/spreadsheetml/2006/main" count="893" uniqueCount="86">
  <si>
    <t>wit</t>
  </si>
  <si>
    <t>zwart</t>
  </si>
  <si>
    <t>gespeeld</t>
  </si>
  <si>
    <t>Ronde 1</t>
  </si>
  <si>
    <t>nr</t>
  </si>
  <si>
    <t>-</t>
  </si>
  <si>
    <t>Naam</t>
  </si>
  <si>
    <t>KNSB nr</t>
  </si>
  <si>
    <t>rating</t>
  </si>
  <si>
    <t>Ronde 2</t>
  </si>
  <si>
    <t>Ronde 3</t>
  </si>
  <si>
    <t>Ronde 4</t>
  </si>
  <si>
    <t>Ronde 5</t>
  </si>
  <si>
    <t>Ronde 6</t>
  </si>
  <si>
    <t>Ronde 7</t>
  </si>
  <si>
    <t>Ronde 8</t>
  </si>
  <si>
    <t>Ronde 9</t>
  </si>
  <si>
    <t>Totaal</t>
  </si>
  <si>
    <t>Pw</t>
  </si>
  <si>
    <t>Pz</t>
  </si>
  <si>
    <t>SBw</t>
  </si>
  <si>
    <t>SBz</t>
  </si>
  <si>
    <t>Punten per ronde</t>
  </si>
  <si>
    <t>Cummulatief t/m ronde</t>
  </si>
  <si>
    <t>WP</t>
  </si>
  <si>
    <t>punten</t>
  </si>
  <si>
    <t>SB</t>
  </si>
  <si>
    <t>Weerstand</t>
  </si>
  <si>
    <t>Progresieve</t>
  </si>
  <si>
    <t>Punten</t>
  </si>
  <si>
    <t>id</t>
  </si>
  <si>
    <t xml:space="preserve">INVULBLAD </t>
  </si>
  <si>
    <t>GROEP A</t>
  </si>
  <si>
    <t>pos</t>
  </si>
  <si>
    <t>Prog</t>
  </si>
  <si>
    <t>Rat</t>
  </si>
  <si>
    <t>ID</t>
  </si>
  <si>
    <t>w/z</t>
  </si>
  <si>
    <t>z/w</t>
  </si>
  <si>
    <t>ronde</t>
  </si>
  <si>
    <t>A</t>
  </si>
  <si>
    <t>B</t>
  </si>
  <si>
    <t>C</t>
  </si>
  <si>
    <t>D</t>
  </si>
  <si>
    <t>F</t>
  </si>
  <si>
    <t>G</t>
  </si>
  <si>
    <t>H</t>
  </si>
  <si>
    <t>E</t>
  </si>
  <si>
    <t>I</t>
  </si>
  <si>
    <t>J</t>
  </si>
  <si>
    <t>(Voorlopige) deelnemerslijst</t>
  </si>
  <si>
    <t>(Voorlopige) groepsindeling</t>
  </si>
  <si>
    <t>Uitslagmogelijkheden</t>
  </si>
  <si>
    <t>1-0</t>
  </si>
  <si>
    <t>0-1</t>
  </si>
  <si>
    <t>½-½</t>
  </si>
  <si>
    <t>1-0(regl.)</t>
  </si>
  <si>
    <t>0-0 (regl.)</t>
  </si>
  <si>
    <t>0-1 (regl.)</t>
  </si>
  <si>
    <t>½-½ (regl.)</t>
  </si>
  <si>
    <t>Onder_1</t>
  </si>
  <si>
    <t>pnt2</t>
  </si>
  <si>
    <t>Onder_2</t>
  </si>
  <si>
    <t>pnt3</t>
  </si>
  <si>
    <t>Onder_3</t>
  </si>
  <si>
    <t>pnt4</t>
  </si>
  <si>
    <t>RPunten</t>
  </si>
  <si>
    <t>RSB</t>
  </si>
  <si>
    <t>RSom</t>
  </si>
  <si>
    <t>Rank</t>
  </si>
  <si>
    <t>Aantal</t>
  </si>
  <si>
    <t>1-0 (adj.)</t>
  </si>
  <si>
    <t>0-1 (adj.)</t>
  </si>
  <si>
    <t>½-½ (adj.)</t>
  </si>
  <si>
    <t>(snelformaat)</t>
  </si>
  <si>
    <t>K</t>
  </si>
  <si>
    <t>L</t>
  </si>
  <si>
    <t>M</t>
  </si>
  <si>
    <t>O</t>
  </si>
  <si>
    <t>N</t>
  </si>
  <si>
    <t>Ronde 10</t>
  </si>
  <si>
    <t>Ronde 11</t>
  </si>
  <si>
    <t>Ronde 12</t>
  </si>
  <si>
    <t>Ronde 13</t>
  </si>
  <si>
    <t>Bestandsversie</t>
  </si>
  <si>
    <t>0.3.0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</si>
</sst>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 * #,##0.00_ ;_ * \-#,##0.00_ ;_ * &quot;-&quot;??_ ;_ @_ "/>
    <numFmt numFmtId="164" formatCode="0.0"/>
  </numFmts>
  <fonts count="1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1"/>
      <name val="Calibri"/>
      <family val="2"/>
      <scheme val="minor"/>
    </font>
    <font>
      <sz val="8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0"/>
      <name val="Arial"/>
      <family val="2"/>
    </font>
    <font>
      <b/>
      <sz val="1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20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</fills>
  <borders count="1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/>
      <top style="thin">
        <color auto="1"/>
      </top>
      <bottom/>
      <diagonal/>
    </border>
  </borders>
  <cellStyleXfs count="3">
    <xf numFmtId="0" fontId="0" fillId="0" borderId="0"/>
    <xf numFmtId="0" fontId="7" fillId="0" borderId="0">
      <alignment vertical="center"/>
    </xf>
    <xf numFmtId="43" fontId="10" fillId="0" borderId="0" applyFont="0" applyFill="0" applyBorder="0" applyAlignment="0" applyProtection="0"/>
  </cellStyleXfs>
  <cellXfs count="115">
    <xf numFmtId="0" fontId="0" fillId="0" borderId="0" xfId="0"/>
    <xf numFmtId="0" fontId="0" fillId="0" borderId="0" xfId="0" applyAlignment="1"/>
    <xf numFmtId="0" fontId="0" fillId="0" borderId="0" xfId="0" applyFill="1" applyBorder="1" applyAlignment="1"/>
    <xf numFmtId="0" fontId="0" fillId="0" borderId="0" xfId="0" applyBorder="1" applyAlignment="1"/>
    <xf numFmtId="0" fontId="0" fillId="0" borderId="0" xfId="0" applyFont="1"/>
    <xf numFmtId="0" fontId="0" fillId="0" borderId="1" xfId="0" quotePrefix="1" applyBorder="1" applyAlignment="1" applyProtection="1">
      <alignment horizontal="center"/>
      <protection locked="0"/>
    </xf>
    <xf numFmtId="0" fontId="0" fillId="0" borderId="0" xfId="0" applyProtection="1"/>
    <xf numFmtId="0" fontId="0" fillId="4" borderId="1" xfId="0" applyFill="1" applyBorder="1" applyAlignment="1" applyProtection="1">
      <alignment horizontal="center"/>
    </xf>
    <xf numFmtId="0" fontId="8" fillId="0" borderId="5" xfId="1" applyFont="1" applyBorder="1" applyAlignment="1" applyProtection="1">
      <alignment horizontal="center" vertical="center"/>
    </xf>
    <xf numFmtId="1" fontId="8" fillId="0" borderId="5" xfId="1" applyNumberFormat="1" applyFont="1" applyBorder="1" applyAlignment="1" applyProtection="1">
      <alignment horizontal="center" vertical="center"/>
    </xf>
    <xf numFmtId="1" fontId="8" fillId="0" borderId="0" xfId="1" applyNumberFormat="1" applyFont="1" applyBorder="1" applyAlignment="1" applyProtection="1">
      <alignment horizontal="center" vertical="center"/>
    </xf>
    <xf numFmtId="0" fontId="0" fillId="3" borderId="0" xfId="0" applyFill="1" applyProtection="1"/>
    <xf numFmtId="0" fontId="3" fillId="0" borderId="5" xfId="1" applyFont="1" applyBorder="1" applyAlignment="1" applyProtection="1">
      <alignment horizontal="center" vertical="center"/>
    </xf>
    <xf numFmtId="0" fontId="0" fillId="4" borderId="0" xfId="0" applyFill="1" applyBorder="1" applyAlignment="1" applyProtection="1">
      <alignment horizontal="center"/>
    </xf>
    <xf numFmtId="0" fontId="8" fillId="0" borderId="0" xfId="1" applyFont="1" applyBorder="1" applyAlignment="1" applyProtection="1">
      <alignment horizontal="center" vertical="center"/>
    </xf>
    <xf numFmtId="0" fontId="5" fillId="0" borderId="0" xfId="0" applyFont="1" applyAlignment="1" applyProtection="1">
      <alignment horizontal="left"/>
    </xf>
    <xf numFmtId="0" fontId="2" fillId="4" borderId="1" xfId="0" applyFont="1" applyFill="1" applyBorder="1" applyAlignment="1" applyProtection="1">
      <alignment horizontal="center"/>
    </xf>
    <xf numFmtId="0" fontId="0" fillId="0" borderId="0" xfId="0" applyAlignment="1" applyProtection="1">
      <alignment horizontal="center"/>
    </xf>
    <xf numFmtId="0" fontId="0" fillId="0" borderId="0" xfId="0" applyAlignment="1" applyProtection="1"/>
    <xf numFmtId="0" fontId="0" fillId="4" borderId="1" xfId="0" applyFill="1" applyBorder="1" applyProtection="1"/>
    <xf numFmtId="0" fontId="0" fillId="4" borderId="2" xfId="0" applyFill="1" applyBorder="1" applyAlignment="1" applyProtection="1">
      <alignment horizontal="center"/>
    </xf>
    <xf numFmtId="0" fontId="0" fillId="0" borderId="0" xfId="0" applyFill="1" applyBorder="1" applyAlignment="1" applyProtection="1">
      <alignment horizontal="center"/>
    </xf>
    <xf numFmtId="0" fontId="6" fillId="4" borderId="1" xfId="0" applyFont="1" applyFill="1" applyBorder="1" applyAlignment="1" applyProtection="1"/>
    <xf numFmtId="0" fontId="2" fillId="4" borderId="3" xfId="0" applyFont="1" applyFill="1" applyBorder="1" applyAlignment="1" applyProtection="1">
      <alignment horizontal="center"/>
    </xf>
    <xf numFmtId="0" fontId="9" fillId="0" borderId="0" xfId="0" applyFont="1" applyProtection="1"/>
    <xf numFmtId="0" fontId="0" fillId="0" borderId="1" xfId="0" applyBorder="1" applyProtection="1"/>
    <xf numFmtId="0" fontId="0" fillId="2" borderId="1" xfId="0" applyFill="1" applyBorder="1" applyAlignment="1" applyProtection="1">
      <alignment horizontal="center"/>
    </xf>
    <xf numFmtId="0" fontId="0" fillId="5" borderId="1" xfId="0" applyFill="1" applyBorder="1" applyAlignment="1" applyProtection="1">
      <alignment horizontal="center"/>
    </xf>
    <xf numFmtId="0" fontId="0" fillId="5" borderId="2" xfId="0" applyFill="1" applyBorder="1" applyAlignment="1" applyProtection="1">
      <alignment horizontal="center"/>
    </xf>
    <xf numFmtId="164" fontId="0" fillId="5" borderId="1" xfId="0" applyNumberFormat="1" applyFill="1" applyBorder="1" applyAlignment="1" applyProtection="1">
      <alignment horizontal="center"/>
    </xf>
    <xf numFmtId="0" fontId="1" fillId="0" borderId="0" xfId="0" applyFont="1" applyFill="1" applyBorder="1" applyAlignment="1" applyProtection="1">
      <alignment horizontal="center"/>
    </xf>
    <xf numFmtId="0" fontId="1" fillId="0" borderId="1" xfId="0" applyFont="1" applyBorder="1" applyAlignment="1" applyProtection="1">
      <alignment horizontal="center"/>
    </xf>
    <xf numFmtId="0" fontId="6" fillId="0" borderId="1" xfId="0" applyFont="1" applyBorder="1" applyAlignment="1" applyProtection="1"/>
    <xf numFmtId="0" fontId="0" fillId="0" borderId="1" xfId="0" applyFont="1" applyBorder="1" applyAlignment="1" applyProtection="1">
      <alignment horizontal="left"/>
    </xf>
    <xf numFmtId="164" fontId="0" fillId="0" borderId="1" xfId="0" applyNumberFormat="1" applyFont="1" applyBorder="1" applyAlignment="1" applyProtection="1">
      <alignment horizontal="right"/>
    </xf>
    <xf numFmtId="1" fontId="0" fillId="0" borderId="1" xfId="0" applyNumberFormat="1" applyFont="1" applyBorder="1" applyAlignment="1" applyProtection="1">
      <alignment horizontal="right"/>
    </xf>
    <xf numFmtId="0" fontId="0" fillId="0" borderId="0" xfId="0" applyFont="1" applyFill="1" applyBorder="1" applyAlignment="1" applyProtection="1">
      <alignment horizontal="center"/>
    </xf>
    <xf numFmtId="0" fontId="0" fillId="0" borderId="1" xfId="0" applyFont="1" applyFill="1" applyBorder="1" applyAlignment="1" applyProtection="1">
      <alignment horizontal="left"/>
    </xf>
    <xf numFmtId="0" fontId="2" fillId="0" borderId="3" xfId="0" applyFont="1" applyFill="1" applyBorder="1" applyAlignment="1" applyProtection="1">
      <alignment horizontal="center"/>
    </xf>
    <xf numFmtId="0" fontId="2" fillId="0" borderId="1" xfId="0" applyFont="1" applyFill="1" applyBorder="1" applyAlignment="1" applyProtection="1">
      <alignment horizontal="center"/>
    </xf>
    <xf numFmtId="0" fontId="0" fillId="0" borderId="0" xfId="0" applyFont="1" applyProtection="1"/>
    <xf numFmtId="0" fontId="0" fillId="0" borderId="0" xfId="0" applyAlignment="1" applyProtection="1">
      <alignment horizontal="right"/>
    </xf>
    <xf numFmtId="0" fontId="3" fillId="0" borderId="0" xfId="0" applyFont="1" applyFill="1" applyProtection="1"/>
    <xf numFmtId="0" fontId="3" fillId="2" borderId="0" xfId="0" applyFont="1" applyFill="1" applyProtection="1"/>
    <xf numFmtId="0" fontId="0" fillId="2" borderId="0" xfId="0" applyFill="1" applyProtection="1"/>
    <xf numFmtId="0" fontId="1" fillId="0" borderId="0" xfId="0" applyFont="1" applyProtection="1"/>
    <xf numFmtId="0" fontId="0" fillId="0" borderId="0" xfId="0" quotePrefix="1" applyAlignment="1" applyProtection="1">
      <alignment horizontal="center"/>
    </xf>
    <xf numFmtId="0" fontId="0" fillId="0" borderId="0" xfId="0" applyAlignment="1" applyProtection="1">
      <alignment horizontal="left"/>
    </xf>
    <xf numFmtId="0" fontId="4" fillId="0" borderId="0" xfId="0" applyFont="1" applyFill="1" applyProtection="1"/>
    <xf numFmtId="0" fontId="0" fillId="4" borderId="4" xfId="0" applyFill="1" applyBorder="1" applyAlignment="1" applyProtection="1">
      <alignment horizontal="center"/>
    </xf>
    <xf numFmtId="0" fontId="0" fillId="4" borderId="3" xfId="0" applyFill="1" applyBorder="1" applyAlignment="1" applyProtection="1">
      <alignment horizontal="center"/>
    </xf>
    <xf numFmtId="1" fontId="9" fillId="0" borderId="0" xfId="0" applyNumberFormat="1" applyFont="1" applyProtection="1"/>
    <xf numFmtId="0" fontId="0" fillId="5" borderId="4" xfId="0" applyFill="1" applyBorder="1" applyAlignment="1" applyProtection="1">
      <alignment horizontal="center"/>
    </xf>
    <xf numFmtId="0" fontId="0" fillId="5" borderId="3" xfId="0" applyFill="1" applyBorder="1" applyAlignment="1" applyProtection="1">
      <alignment horizontal="center"/>
    </xf>
    <xf numFmtId="1" fontId="1" fillId="0" borderId="1" xfId="0" applyNumberFormat="1" applyFont="1" applyBorder="1" applyAlignment="1" applyProtection="1">
      <alignment horizontal="center"/>
    </xf>
    <xf numFmtId="2" fontId="0" fillId="0" borderId="1" xfId="0" applyNumberFormat="1" applyFont="1" applyBorder="1" applyAlignment="1" applyProtection="1">
      <alignment horizontal="right"/>
    </xf>
    <xf numFmtId="1" fontId="0" fillId="0" borderId="0" xfId="0" applyNumberFormat="1" applyFont="1" applyBorder="1" applyAlignment="1" applyProtection="1">
      <alignment horizontal="right"/>
    </xf>
    <xf numFmtId="1" fontId="0" fillId="0" borderId="0" xfId="0" applyNumberFormat="1" applyFont="1" applyFill="1" applyBorder="1" applyAlignment="1" applyProtection="1">
      <alignment horizontal="right"/>
    </xf>
    <xf numFmtId="0" fontId="3" fillId="0" borderId="0" xfId="1" applyFont="1" applyFill="1" applyBorder="1" applyAlignment="1" applyProtection="1">
      <alignment horizontal="center" vertical="center"/>
    </xf>
    <xf numFmtId="1" fontId="1" fillId="0" borderId="0" xfId="0" applyNumberFormat="1" applyFont="1" applyBorder="1" applyAlignment="1" applyProtection="1">
      <alignment horizontal="center"/>
    </xf>
    <xf numFmtId="164" fontId="1" fillId="0" borderId="0" xfId="0" applyNumberFormat="1" applyFont="1" applyBorder="1" applyAlignment="1" applyProtection="1">
      <alignment horizontal="center"/>
    </xf>
    <xf numFmtId="0" fontId="0" fillId="0" borderId="0" xfId="0" quotePrefix="1" applyBorder="1" applyAlignment="1" applyProtection="1">
      <alignment horizontal="center"/>
    </xf>
    <xf numFmtId="164" fontId="1" fillId="0" borderId="1" xfId="0" applyNumberFormat="1" applyFont="1" applyBorder="1" applyAlignment="1" applyProtection="1">
      <alignment horizontal="center"/>
    </xf>
    <xf numFmtId="164" fontId="0" fillId="0" borderId="1" xfId="0" applyNumberFormat="1" applyFont="1" applyBorder="1" applyAlignment="1" applyProtection="1">
      <alignment horizontal="center"/>
    </xf>
    <xf numFmtId="164" fontId="0" fillId="0" borderId="0" xfId="0" applyNumberFormat="1" applyFont="1" applyBorder="1" applyAlignment="1" applyProtection="1">
      <alignment horizontal="right"/>
    </xf>
    <xf numFmtId="2" fontId="0" fillId="0" borderId="0" xfId="0" applyNumberFormat="1" applyFont="1" applyBorder="1" applyAlignment="1" applyProtection="1">
      <alignment horizontal="right"/>
    </xf>
    <xf numFmtId="2" fontId="0" fillId="0" borderId="0" xfId="0" applyNumberFormat="1" applyProtection="1"/>
    <xf numFmtId="0" fontId="0" fillId="0" borderId="0" xfId="0" applyAlignment="1" applyProtection="1">
      <alignment horizontal="center"/>
    </xf>
    <xf numFmtId="0" fontId="0" fillId="0" borderId="2" xfId="0" applyBorder="1" applyProtection="1"/>
    <xf numFmtId="0" fontId="0" fillId="0" borderId="0" xfId="0" applyFont="1" applyFill="1" applyBorder="1" applyAlignment="1" applyProtection="1">
      <alignment horizontal="left"/>
    </xf>
    <xf numFmtId="0" fontId="2" fillId="0" borderId="0" xfId="0" applyFont="1" applyFill="1" applyBorder="1" applyAlignment="1" applyProtection="1">
      <alignment horizontal="center"/>
    </xf>
    <xf numFmtId="0" fontId="0" fillId="0" borderId="0" xfId="0" applyAlignment="1" applyProtection="1">
      <alignment horizontal="center"/>
    </xf>
    <xf numFmtId="0" fontId="0" fillId="0" borderId="0" xfId="0" applyFill="1" applyBorder="1" applyAlignment="1" applyProtection="1">
      <alignment horizontal="center"/>
      <protection locked="0"/>
    </xf>
    <xf numFmtId="0" fontId="0" fillId="5" borderId="1" xfId="2" applyNumberFormat="1" applyFont="1" applyFill="1" applyBorder="1" applyAlignment="1" applyProtection="1">
      <alignment horizontal="center"/>
    </xf>
    <xf numFmtId="0" fontId="0" fillId="4" borderId="1" xfId="0" applyNumberFormat="1" applyFill="1" applyBorder="1" applyAlignment="1" applyProtection="1">
      <alignment horizontal="center"/>
    </xf>
    <xf numFmtId="0" fontId="0" fillId="2" borderId="1" xfId="2" applyNumberFormat="1" applyFont="1" applyFill="1" applyBorder="1" applyAlignment="1" applyProtection="1">
      <alignment horizontal="center"/>
    </xf>
    <xf numFmtId="0" fontId="0" fillId="5" borderId="1" xfId="0" applyNumberFormat="1" applyFill="1" applyBorder="1" applyAlignment="1" applyProtection="1">
      <alignment horizontal="center"/>
    </xf>
    <xf numFmtId="0" fontId="3" fillId="0" borderId="8" xfId="1" applyFont="1" applyFill="1" applyBorder="1" applyAlignment="1" applyProtection="1">
      <alignment horizontal="center" vertical="center"/>
    </xf>
    <xf numFmtId="0" fontId="5" fillId="0" borderId="0" xfId="0" applyFont="1" applyAlignment="1" applyProtection="1"/>
    <xf numFmtId="0" fontId="0" fillId="0" borderId="0" xfId="0" applyAlignment="1" applyProtection="1">
      <alignment horizontal="left"/>
    </xf>
    <xf numFmtId="0" fontId="0" fillId="0" borderId="0" xfId="0" quotePrefix="1" applyBorder="1" applyAlignment="1" applyProtection="1">
      <alignment horizontal="center"/>
      <protection locked="0"/>
    </xf>
    <xf numFmtId="0" fontId="0" fillId="0" borderId="0" xfId="0" applyAlignment="1" applyProtection="1">
      <alignment horizontal="left"/>
    </xf>
    <xf numFmtId="0" fontId="5" fillId="0" borderId="0" xfId="0" applyFont="1" applyAlignment="1" applyProtection="1">
      <alignment horizontal="left"/>
    </xf>
    <xf numFmtId="0" fontId="0" fillId="0" borderId="0" xfId="0" applyAlignment="1">
      <alignment horizontal="left"/>
    </xf>
    <xf numFmtId="0" fontId="0" fillId="0" borderId="0" xfId="0" applyAlignment="1"/>
    <xf numFmtId="0" fontId="0" fillId="0" borderId="0" xfId="0" applyAlignment="1" applyProtection="1">
      <alignment horizontal="center"/>
    </xf>
    <xf numFmtId="0" fontId="12" fillId="0" borderId="0" xfId="0" applyFont="1" applyAlignment="1" applyProtection="1">
      <alignment horizontal="right"/>
    </xf>
    <xf numFmtId="1" fontId="11" fillId="0" borderId="0" xfId="0" applyNumberFormat="1" applyFont="1" applyProtection="1"/>
    <xf numFmtId="0" fontId="13" fillId="0" borderId="0" xfId="0" applyFont="1" applyAlignment="1" applyProtection="1">
      <alignment horizontal="right"/>
    </xf>
    <xf numFmtId="0" fontId="9" fillId="0" borderId="0" xfId="0" applyFont="1"/>
    <xf numFmtId="0" fontId="0" fillId="0" borderId="0" xfId="0" applyAlignment="1" applyProtection="1">
      <alignment horizontal="left"/>
    </xf>
    <xf numFmtId="0" fontId="5" fillId="0" borderId="0" xfId="0" applyFont="1" applyAlignment="1" applyProtection="1">
      <alignment horizontal="center"/>
    </xf>
    <xf numFmtId="0" fontId="0" fillId="0" borderId="0" xfId="0" applyAlignment="1" applyProtection="1">
      <alignment horizontal="center"/>
    </xf>
    <xf numFmtId="0" fontId="0" fillId="4" borderId="1" xfId="0" applyFill="1" applyBorder="1" applyAlignment="1" applyProtection="1">
      <alignment horizontal="left"/>
    </xf>
    <xf numFmtId="0" fontId="0" fillId="0" borderId="2" xfId="0" applyBorder="1" applyAlignment="1" applyProtection="1">
      <alignment horizontal="left"/>
    </xf>
    <xf numFmtId="0" fontId="0" fillId="0" borderId="3" xfId="0" applyBorder="1" applyAlignment="1" applyProtection="1">
      <alignment horizontal="left"/>
    </xf>
    <xf numFmtId="0" fontId="0" fillId="0" borderId="6" xfId="0" applyBorder="1" applyAlignment="1" applyProtection="1">
      <alignment horizontal="left"/>
    </xf>
    <xf numFmtId="0" fontId="0" fillId="0" borderId="7" xfId="0" applyBorder="1" applyAlignment="1" applyProtection="1">
      <alignment horizontal="left"/>
    </xf>
    <xf numFmtId="0" fontId="5" fillId="0" borderId="0" xfId="0" applyFont="1" applyAlignment="1" applyProtection="1">
      <alignment horizontal="right"/>
    </xf>
    <xf numFmtId="0" fontId="5" fillId="0" borderId="0" xfId="0" applyFont="1" applyAlignment="1" applyProtection="1">
      <alignment horizontal="left"/>
    </xf>
    <xf numFmtId="0" fontId="0" fillId="0" borderId="0" xfId="0" applyAlignment="1" applyProtection="1">
      <alignment horizontal="right"/>
    </xf>
    <xf numFmtId="0" fontId="0" fillId="0" borderId="6" xfId="0" applyFont="1" applyBorder="1" applyAlignment="1" applyProtection="1">
      <alignment horizontal="left"/>
    </xf>
    <xf numFmtId="0" fontId="0" fillId="0" borderId="9" xfId="0" applyBorder="1" applyAlignment="1" applyProtection="1"/>
    <xf numFmtId="0" fontId="0" fillId="0" borderId="7" xfId="0" applyBorder="1" applyAlignment="1" applyProtection="1"/>
    <xf numFmtId="0" fontId="0" fillId="0" borderId="2" xfId="0" applyFont="1" applyBorder="1" applyAlignment="1" applyProtection="1">
      <alignment horizontal="left"/>
    </xf>
    <xf numFmtId="0" fontId="0" fillId="0" borderId="4" xfId="0" applyBorder="1" applyAlignment="1" applyProtection="1"/>
    <xf numFmtId="0" fontId="0" fillId="0" borderId="3" xfId="0" applyBorder="1" applyAlignment="1" applyProtection="1"/>
    <xf numFmtId="0" fontId="0" fillId="4" borderId="2" xfId="0" applyFill="1" applyBorder="1" applyAlignment="1" applyProtection="1">
      <alignment horizontal="center"/>
    </xf>
    <xf numFmtId="0" fontId="0" fillId="0" borderId="4" xfId="0" applyBorder="1" applyAlignment="1" applyProtection="1">
      <alignment horizontal="center"/>
    </xf>
    <xf numFmtId="0" fontId="0" fillId="0" borderId="3" xfId="0" applyBorder="1" applyAlignment="1" applyProtection="1">
      <alignment horizontal="center"/>
    </xf>
    <xf numFmtId="0" fontId="0" fillId="0" borderId="1" xfId="0" applyBorder="1" applyAlignment="1" applyProtection="1">
      <alignment horizontal="left"/>
    </xf>
    <xf numFmtId="0" fontId="0" fillId="4" borderId="4" xfId="0" applyFill="1" applyBorder="1" applyAlignment="1" applyProtection="1">
      <alignment horizontal="center"/>
    </xf>
    <xf numFmtId="0" fontId="0" fillId="5" borderId="2" xfId="0" applyFill="1" applyBorder="1" applyAlignment="1" applyProtection="1">
      <alignment horizontal="center"/>
    </xf>
    <xf numFmtId="0" fontId="0" fillId="5" borderId="4" xfId="0" applyFill="1" applyBorder="1" applyAlignment="1" applyProtection="1">
      <alignment horizontal="center"/>
    </xf>
    <xf numFmtId="0" fontId="5" fillId="0" borderId="0" xfId="0" applyFont="1" applyAlignment="1">
      <alignment horizontal="center"/>
    </xf>
  </cellXfs>
  <cellStyles count="3">
    <cellStyle name="Komma" xfId="2" builtinId="3"/>
    <cellStyle name="Standaard" xfId="0" builtinId="0"/>
    <cellStyle name="Standaard_Kopie van Uitslagen" xfId="1" xr:uid="{00000000-0005-0000-0000-000002000000}"/>
  </cellStyles>
  <dxfs count="53">
    <dxf>
      <fill>
        <patternFill>
          <bgColor rgb="FFCEBD42"/>
        </patternFill>
      </fill>
    </dxf>
    <dxf>
      <fill>
        <patternFill>
          <bgColor theme="0" tint="-0.34998626667073579"/>
        </patternFill>
      </fill>
    </dxf>
    <dxf>
      <fill>
        <patternFill>
          <bgColor rgb="FF797343"/>
        </patternFill>
      </fill>
    </dxf>
    <dxf>
      <fill>
        <patternFill>
          <bgColor theme="0"/>
        </patternFill>
      </fill>
    </dxf>
    <dxf>
      <fill>
        <patternFill>
          <bgColor rgb="FFCEBD42"/>
        </patternFill>
      </fill>
    </dxf>
    <dxf>
      <fill>
        <patternFill>
          <bgColor theme="0" tint="-0.34998626667073579"/>
        </patternFill>
      </fill>
    </dxf>
    <dxf>
      <fill>
        <patternFill>
          <bgColor rgb="FF797343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CEBD42"/>
        </patternFill>
      </fill>
    </dxf>
    <dxf>
      <fill>
        <patternFill>
          <bgColor theme="0" tint="-0.24994659260841701"/>
        </patternFill>
      </fill>
    </dxf>
    <dxf>
      <fill>
        <patternFill>
          <bgColor rgb="FF797343"/>
        </patternFill>
      </fill>
    </dxf>
    <dxf>
      <fill>
        <patternFill>
          <bgColor theme="0"/>
        </patternFill>
      </fill>
    </dxf>
    <dxf>
      <fill>
        <patternFill>
          <bgColor rgb="FFCEBD42"/>
        </patternFill>
      </fill>
    </dxf>
    <dxf>
      <fill>
        <patternFill>
          <bgColor theme="0" tint="-0.24994659260841701"/>
        </patternFill>
      </fill>
    </dxf>
    <dxf>
      <fill>
        <patternFill>
          <bgColor rgb="FF797343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CEBD42"/>
        </patternFill>
      </fill>
    </dxf>
    <dxf>
      <fill>
        <patternFill>
          <bgColor theme="0" tint="-0.24994659260841701"/>
        </patternFill>
      </fill>
    </dxf>
    <dxf>
      <fill>
        <patternFill>
          <bgColor rgb="FF797343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CEBD42"/>
        </patternFill>
      </fill>
    </dxf>
    <dxf>
      <fill>
        <patternFill>
          <bgColor theme="0" tint="-0.24994659260841701"/>
        </patternFill>
      </fill>
    </dxf>
    <dxf>
      <fill>
        <patternFill>
          <bgColor rgb="FF797343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</dxfs>
  <tableStyles count="0" defaultTableStyle="TableStyleMedium2" defaultPivotStyle="PivotStyleLight16"/>
  <colors>
    <mruColors>
      <color rgb="FF797343"/>
      <color rgb="FFCEBD42"/>
      <color rgb="FFCEBD45"/>
      <color rgb="FFA9A16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pageSetUpPr fitToPage="1"/>
  </sheetPr>
  <dimension ref="A1:CE196"/>
  <sheetViews>
    <sheetView view="pageBreakPreview" zoomScale="60" zoomScaleNormal="100" workbookViewId="0">
      <selection activeCell="X21" sqref="X21"/>
    </sheetView>
  </sheetViews>
  <sheetFormatPr defaultRowHeight="15" x14ac:dyDescent="0.25"/>
  <cols>
    <col min="1" max="2" width="3.42578125" customWidth="1"/>
    <col min="3" max="3" width="21.7109375" customWidth="1"/>
    <col min="8" max="21" width="3.7109375" customWidth="1"/>
    <col min="23" max="23" width="16.5703125" bestFit="1" customWidth="1"/>
    <col min="27" max="27" width="0" hidden="1" customWidth="1"/>
    <col min="28" max="28" width="23.5703125" customWidth="1"/>
    <col min="29" max="29" width="11.42578125" customWidth="1"/>
    <col min="30" max="30" width="0" hidden="1" customWidth="1"/>
    <col min="31" max="31" width="10.42578125" customWidth="1"/>
    <col min="32" max="81" width="9.140625" hidden="1" customWidth="1"/>
    <col min="82" max="84" width="0" hidden="1" customWidth="1"/>
  </cols>
  <sheetData>
    <row r="1" spans="1:83" ht="26.25" x14ac:dyDescent="0.4">
      <c r="A1" s="89">
        <v>14</v>
      </c>
      <c r="C1" s="98" t="s">
        <v>31</v>
      </c>
      <c r="D1" s="98"/>
      <c r="E1" s="98"/>
      <c r="F1" s="98"/>
      <c r="G1" s="82" t="s">
        <v>32</v>
      </c>
      <c r="H1" s="84"/>
      <c r="I1" s="84"/>
      <c r="J1" s="84"/>
      <c r="K1" s="84"/>
      <c r="L1" s="84"/>
      <c r="M1" s="84"/>
      <c r="N1" s="84"/>
      <c r="O1" s="84"/>
      <c r="P1" s="84"/>
      <c r="Q1" s="84"/>
      <c r="R1" s="84"/>
      <c r="S1" s="84"/>
      <c r="T1" s="84"/>
      <c r="U1" s="84"/>
      <c r="V1" s="84"/>
      <c r="X1" s="86" t="str">
        <f>"versie " &amp; Configuratie!B1</f>
        <v>versie 0.3.0</v>
      </c>
      <c r="Y1" s="78"/>
    </row>
    <row r="2" spans="1:83" x14ac:dyDescent="0.25"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16" t="s">
        <v>27</v>
      </c>
      <c r="AZ2" s="16" t="s">
        <v>26</v>
      </c>
      <c r="BA2" s="16" t="s">
        <v>28</v>
      </c>
      <c r="BB2" s="6"/>
      <c r="BC2" s="6"/>
      <c r="BD2" s="92" t="s">
        <v>22</v>
      </c>
      <c r="BE2" s="92"/>
      <c r="BF2" s="92"/>
      <c r="BG2" s="92"/>
      <c r="BH2" s="92"/>
      <c r="BI2" s="92"/>
      <c r="BJ2" s="92"/>
      <c r="BK2" s="92"/>
      <c r="BL2" s="92"/>
      <c r="BM2" s="71"/>
      <c r="BN2" s="71"/>
      <c r="BO2" s="71"/>
      <c r="BP2" s="71"/>
      <c r="BQ2" s="71"/>
      <c r="BR2" s="67"/>
      <c r="BS2" s="18"/>
      <c r="BT2" s="92" t="s">
        <v>23</v>
      </c>
      <c r="BU2" s="92"/>
      <c r="BV2" s="92"/>
      <c r="BW2" s="92"/>
      <c r="BX2" s="92"/>
      <c r="BY2" s="92"/>
      <c r="BZ2" s="92"/>
      <c r="CA2" s="92"/>
      <c r="CB2" s="92"/>
    </row>
    <row r="3" spans="1:83" x14ac:dyDescent="0.25">
      <c r="B3" s="19" t="s">
        <v>4</v>
      </c>
      <c r="C3" s="19" t="s">
        <v>6</v>
      </c>
      <c r="D3" s="93" t="s">
        <v>7</v>
      </c>
      <c r="E3" s="93"/>
      <c r="F3" s="19" t="s">
        <v>8</v>
      </c>
      <c r="G3" s="6"/>
      <c r="H3" s="74">
        <v>1</v>
      </c>
      <c r="I3" s="74">
        <v>2</v>
      </c>
      <c r="J3" s="74">
        <v>3</v>
      </c>
      <c r="K3" s="74">
        <v>4</v>
      </c>
      <c r="L3" s="74">
        <v>5</v>
      </c>
      <c r="M3" s="74">
        <v>6</v>
      </c>
      <c r="N3" s="74">
        <v>7</v>
      </c>
      <c r="O3" s="74">
        <v>8</v>
      </c>
      <c r="P3" s="74">
        <v>9</v>
      </c>
      <c r="Q3" s="74">
        <v>10</v>
      </c>
      <c r="R3" s="74">
        <v>11</v>
      </c>
      <c r="S3" s="74">
        <v>12</v>
      </c>
      <c r="T3" s="74">
        <v>13</v>
      </c>
      <c r="U3" s="74">
        <v>14</v>
      </c>
      <c r="V3" s="7" t="s">
        <v>17</v>
      </c>
      <c r="W3" s="7" t="s">
        <v>26</v>
      </c>
      <c r="X3" s="7" t="s">
        <v>69</v>
      </c>
      <c r="AH3" s="13"/>
      <c r="AI3" s="7" t="s">
        <v>60</v>
      </c>
      <c r="AJ3" s="7" t="s">
        <v>61</v>
      </c>
      <c r="AK3" s="7" t="s">
        <v>62</v>
      </c>
      <c r="AL3" s="7" t="s">
        <v>63</v>
      </c>
      <c r="AM3" s="7" t="s">
        <v>64</v>
      </c>
      <c r="AN3" s="7" t="s">
        <v>65</v>
      </c>
      <c r="AO3" s="7"/>
      <c r="AP3" s="7" t="s">
        <v>66</v>
      </c>
      <c r="AQ3" s="7" t="s">
        <v>67</v>
      </c>
      <c r="AR3" s="7" t="s">
        <v>68</v>
      </c>
      <c r="AS3" s="7" t="s">
        <v>69</v>
      </c>
      <c r="AT3" s="13"/>
      <c r="AU3" s="13"/>
      <c r="AV3" s="13"/>
      <c r="AW3" s="21"/>
      <c r="AX3" s="7" t="s">
        <v>36</v>
      </c>
      <c r="AY3" s="23" t="s">
        <v>25</v>
      </c>
      <c r="AZ3" s="16" t="s">
        <v>25</v>
      </c>
      <c r="BA3" s="16" t="s">
        <v>25</v>
      </c>
      <c r="BB3" s="6"/>
      <c r="BC3" s="6" t="s">
        <v>30</v>
      </c>
      <c r="BD3" s="18">
        <v>1</v>
      </c>
      <c r="BE3" s="18">
        <v>2</v>
      </c>
      <c r="BF3" s="18">
        <v>3</v>
      </c>
      <c r="BG3" s="18">
        <v>4</v>
      </c>
      <c r="BH3" s="18">
        <v>5</v>
      </c>
      <c r="BI3" s="18">
        <v>6</v>
      </c>
      <c r="BJ3" s="18">
        <v>7</v>
      </c>
      <c r="BK3" s="18">
        <v>8</v>
      </c>
      <c r="BL3" s="18">
        <v>9</v>
      </c>
      <c r="BM3" s="18">
        <v>10</v>
      </c>
      <c r="BN3" s="18">
        <v>11</v>
      </c>
      <c r="BO3" s="18">
        <v>12</v>
      </c>
      <c r="BP3" s="18">
        <v>13</v>
      </c>
      <c r="BQ3" s="18"/>
      <c r="BR3" s="6" t="s">
        <v>30</v>
      </c>
      <c r="BS3" s="18">
        <v>1</v>
      </c>
      <c r="BT3" s="18">
        <v>2</v>
      </c>
      <c r="BU3" s="18">
        <v>3</v>
      </c>
      <c r="BV3" s="18">
        <v>4</v>
      </c>
      <c r="BW3" s="18">
        <v>5</v>
      </c>
      <c r="BX3" s="18">
        <v>6</v>
      </c>
      <c r="BY3" s="18">
        <v>7</v>
      </c>
      <c r="BZ3" s="18">
        <v>8</v>
      </c>
      <c r="CA3" s="18">
        <v>9</v>
      </c>
      <c r="CB3" s="18">
        <v>10</v>
      </c>
      <c r="CC3" s="18">
        <v>11</v>
      </c>
      <c r="CD3" s="18">
        <v>12</v>
      </c>
      <c r="CE3" s="18">
        <v>13</v>
      </c>
    </row>
    <row r="4" spans="1:83" x14ac:dyDescent="0.25">
      <c r="A4" s="89">
        <f>X4</f>
        <v>1</v>
      </c>
      <c r="B4" s="25">
        <v>1</v>
      </c>
      <c r="C4" s="25" t="s">
        <v>40</v>
      </c>
      <c r="D4" s="94"/>
      <c r="E4" s="95"/>
      <c r="F4" s="25">
        <v>1000</v>
      </c>
      <c r="G4" s="6"/>
      <c r="H4" s="75" t="str">
        <f>IF((SUMIF($BC$21:$BC$102,$B4*100+H$3,$BA$22:$BA$103)+SUMIF($BC$21:$BC$102,$B4+H$3*100,$BA$22:$BA$103))=1,(SUMIF($BC$21:$BC$102,$B4*100+H$3,$J$19:$J$99)+SUMIF($BD$21:$BD$102,$B4*100+H$3,$M$19:$M$99)),"")</f>
        <v/>
      </c>
      <c r="I4" s="76" t="str">
        <f>IF((SUMIF($BC$18:$BC$135,$B4*100+I$3,$BA$18:$BA$135)+SUMIF($BC$18:$BC$135,$B4+I$3*100,$BA$18:$BA$135))=1,(SUMIF($BC$18:$BC$135,$B4*100+I$3,$J$18:$J$135)+SUMIF($BD$18:$BD$135,$B4*100+I$3,$M$18:$M$135)),"")</f>
        <v/>
      </c>
      <c r="J4" s="76" t="str">
        <f t="shared" ref="J4:U16" si="0">IF((SUMIF($BC$18:$BC$135,$B4*100+J$3,$BA$18:$BA$135)+SUMIF($BC$18:$BC$135,$B4+J$3*100,$BA$18:$BA$135))=1,(SUMIF($BC$18:$BC$135,$B4*100+J$3,$J$18:$J$135)+SUMIF($BD$18:$BD$135,$B4*100+J$3,$M$18:$M$135)),"")</f>
        <v/>
      </c>
      <c r="K4" s="76" t="str">
        <f t="shared" si="0"/>
        <v/>
      </c>
      <c r="L4" s="76" t="str">
        <f t="shared" si="0"/>
        <v/>
      </c>
      <c r="M4" s="76" t="str">
        <f t="shared" si="0"/>
        <v/>
      </c>
      <c r="N4" s="76" t="str">
        <f t="shared" si="0"/>
        <v/>
      </c>
      <c r="O4" s="76" t="str">
        <f t="shared" si="0"/>
        <v/>
      </c>
      <c r="P4" s="76" t="str">
        <f t="shared" si="0"/>
        <v/>
      </c>
      <c r="Q4" s="76" t="str">
        <f t="shared" si="0"/>
        <v/>
      </c>
      <c r="R4" s="76" t="str">
        <f t="shared" si="0"/>
        <v/>
      </c>
      <c r="S4" s="76" t="str">
        <f t="shared" si="0"/>
        <v/>
      </c>
      <c r="T4" s="76" t="str">
        <f t="shared" si="0"/>
        <v/>
      </c>
      <c r="U4" s="76" t="str">
        <f t="shared" si="0"/>
        <v/>
      </c>
      <c r="V4" s="8">
        <f>SUM(H4:U4)</f>
        <v>0</v>
      </c>
      <c r="W4" s="8">
        <f>IF(H4="",0,H4)*$V$4+IF(I4="",0,I4)*$V$5+IF(J4="",0,J4)*$V$6+IF(K4="",0,K4)*$V$7+IF(L4="",0,L4)*$V$8+IF(M4="",0,M4)*$V$9+IF(N4="",0,N4)*$V$10+IF(O4="",0,O4)*$V$11+IF(P4="",0,P4)*$V$12+IF(Q4="",0,Q4)*$V$13+IF(R4="",0,R4)*$V$14+IF(S4="",0,S4)*$V$15+IF(T4="",0,T4)*$V$16+IF(U4="",0,U4)*$V$17</f>
        <v>0</v>
      </c>
      <c r="X4" s="8">
        <f>AS4</f>
        <v>1</v>
      </c>
      <c r="AH4" s="56"/>
      <c r="AI4" s="12">
        <f>IF(V4=$V$4,IF(H4="",0,H4))+IF(V4=$V$5,IF(I4="",0,I4))+IF(V4=$V$6,IF(J4="",0,J4))+IF(V4=$V$7,IF(K4="",0,K4))+IF(V4=$V$8,IF(L4="",0,L4))+IF(V4=$V$9,IF(M4="",0,M4))+IF(V4=$V$10,IF(N4="",0,N4))+IF(V4=$V$11,IF(O4="",0,O4))+IF(V4=$V$12,IF(P4="",0,P4))+IF(V4=$V$13,IF(Q4="",0,Q4))+IF(V4=$V$14,IF(R4="",0,R4))+IF(V4=$V$15,IF(S4="",0,S4))+IF(V4=$V$16,IF(T4="",0,T4))+IF(V4=$V$17,IF(U4="",0,U4))</f>
        <v>0</v>
      </c>
      <c r="AJ4" s="12">
        <f>$AI$18*V4+AI4</f>
        <v>0</v>
      </c>
      <c r="AK4" s="12">
        <f>IF(AJ4=$AJ$4,IF(H4="",0,H4))+IF(AJ4=$AJ$5,IF(I4="",0,I4))+IF(AJ4=$AJ$6,IF(J4="",0,J4))+IF(AJ4=$AJ$7,IF(K4="",0,K4))+IF(AJ4=$AJ$8,IF(L4="",0,L4))+IF(AJ4=$AJ$9,IF(M4="",0,M4))+IF(AJ4=$AJ$10,IF(N4="",0,N4))+IF(AJ4=$AJ$11,IF(O4="",0,O4))+IF(AJ4=$AJ$12,IF(P4="",0,P4))+IF(AJ4=$AJ$13,IF(Q4="",0,Q4))+IF(AJ4=$AJ$14,IF(R4="",0,R4))+IF(AJ4=$AJ$15,IF(S4="",0,S4))+IF(AJ4=$AJ$16,IF(T4="",0,T4))+IF(AJ4=$AJ$17,IF(U4="",0,U4))</f>
        <v>0</v>
      </c>
      <c r="AL4" s="12">
        <f>$AK$18*AJ4+AK4</f>
        <v>0</v>
      </c>
      <c r="AM4" s="12">
        <f>IF(AL4=$AL$4,IF(H4="",0,H4))+IF(AL4=$AL$5,IF(I4="",0,I4))+IF(AL4=$AL$6,IF(J4="",0,J4))+IF(AL4=$AL$7,IF(K4="",0,K4))+IF(AL4=$AL$8,IF(L4="",0,L4))+IF(AL4=$AL$9,IF(M4="",0,M4))+IF(AL4=$AL$10,IF(N4="",0,N4))+IF(AL4=AL11,IF(O4="",0,O4))+IF(AL4=$AL$12,IF(P4="",0,P4))+IF(AL4=$AL$13,IF(Q4="",0,Q4))+IF(AL4=$AL$14,IF(R4="",0,R4))+IF(AL4=$AL$15,IF(S4="",0,S4))+IF(AL4=$AL$16,IF(T4="",0,T4))+IF(AL4=$AL$17,IF(U4="",0,U4))</f>
        <v>0</v>
      </c>
      <c r="AN4" s="12">
        <f>$AM$18*AL4+AM4</f>
        <v>0</v>
      </c>
      <c r="AO4" s="12"/>
      <c r="AP4" s="12">
        <f>RANK(AN4,$AN$4:$AN$17,1)-1</f>
        <v>0</v>
      </c>
      <c r="AQ4" s="12">
        <f>RANK(W4,$W$4:$W$17,1)-1</f>
        <v>0</v>
      </c>
      <c r="AR4" s="12">
        <f>14*AP4+AQ4</f>
        <v>0</v>
      </c>
      <c r="AS4" s="12">
        <f>RANK(AR4,$AR$4:$AR$17)</f>
        <v>1</v>
      </c>
      <c r="AT4" s="56"/>
      <c r="AU4" s="56"/>
      <c r="AV4" s="56"/>
      <c r="AW4" s="30"/>
      <c r="AX4" s="37">
        <v>1</v>
      </c>
      <c r="AY4" s="38">
        <f t="shared" ref="AY4:AY17" si="1">SUMIF($AU$15:$AU$77,F4,$BA$19:$BA$81)+SUMIF($AV$15:$AV$77,F4,$BB$15:$BB$77)</f>
        <v>0</v>
      </c>
      <c r="AZ4" s="39">
        <f t="shared" ref="AZ4:AZ17" ca="1" si="2">SUMIF($AU$15:$AU$77,F4,$BC$19:$BC$80)+SUMIF($AV$15:$AV$77,F4,$BD$19:$BD$80)</f>
        <v>0</v>
      </c>
      <c r="BA4" s="39">
        <f t="shared" ref="BA4:BA17" si="3">SUM(BS4:CA4)</f>
        <v>0</v>
      </c>
      <c r="BB4" s="6"/>
      <c r="BC4" s="6">
        <v>1</v>
      </c>
      <c r="BD4" s="6">
        <f t="shared" ref="BD4:BP17" si="4" xml:space="preserve"> SUMIFS( $J$18:$J$77, $AU$18:$AU$77,$AY4, $AT$18:$AT$77,BD$3) + SUMIFS( $M$18:$M$77, $AV$18:$AV$77,$AY4, $AT$18:$AT$77,BD$3)</f>
        <v>0</v>
      </c>
      <c r="BE4" s="6">
        <f t="shared" si="4"/>
        <v>0</v>
      </c>
      <c r="BF4" s="6">
        <f t="shared" si="4"/>
        <v>0</v>
      </c>
      <c r="BG4" s="6">
        <f t="shared" si="4"/>
        <v>0</v>
      </c>
      <c r="BH4" s="6">
        <f t="shared" si="4"/>
        <v>0</v>
      </c>
      <c r="BI4" s="6">
        <f t="shared" si="4"/>
        <v>0</v>
      </c>
      <c r="BJ4" s="6">
        <f t="shared" si="4"/>
        <v>0</v>
      </c>
      <c r="BK4" s="6">
        <f t="shared" si="4"/>
        <v>0</v>
      </c>
      <c r="BL4" s="6">
        <f t="shared" si="4"/>
        <v>0</v>
      </c>
      <c r="BM4" s="6">
        <f t="shared" si="4"/>
        <v>0</v>
      </c>
      <c r="BN4" s="6">
        <f t="shared" si="4"/>
        <v>0</v>
      </c>
      <c r="BO4" s="6">
        <f t="shared" si="4"/>
        <v>0</v>
      </c>
      <c r="BP4" s="6">
        <f t="shared" si="4"/>
        <v>0</v>
      </c>
      <c r="BQ4" s="6"/>
      <c r="BR4" s="6">
        <v>1</v>
      </c>
      <c r="BS4" s="6">
        <f t="shared" ref="BS4:BS17" si="5">BD4</f>
        <v>0</v>
      </c>
      <c r="BT4" s="6">
        <f t="shared" ref="BT4:BT17" si="6">BS4+BE4</f>
        <v>0</v>
      </c>
      <c r="BU4" s="6">
        <f t="shared" ref="BU4:BU17" si="7">BT4+BF4</f>
        <v>0</v>
      </c>
      <c r="BV4" s="6">
        <f t="shared" ref="BV4:BV17" si="8">BU4+BG4</f>
        <v>0</v>
      </c>
      <c r="BW4" s="6">
        <f t="shared" ref="BW4:BW17" si="9">BV4+BH4</f>
        <v>0</v>
      </c>
      <c r="BX4" s="6">
        <f t="shared" ref="BX4:BX17" si="10">BW4+BI4</f>
        <v>0</v>
      </c>
      <c r="BY4" s="6">
        <f t="shared" ref="BY4:BY17" si="11">BX4+BJ4</f>
        <v>0</v>
      </c>
      <c r="BZ4" s="6">
        <f t="shared" ref="BZ4:BZ17" si="12">BY4+BK4</f>
        <v>0</v>
      </c>
      <c r="CA4" s="6">
        <f t="shared" ref="CA4:CA17" si="13">BZ4+BL4</f>
        <v>0</v>
      </c>
      <c r="CB4" s="6">
        <f t="shared" ref="CB4:CB17" si="14">CA4+BM4</f>
        <v>0</v>
      </c>
      <c r="CC4" s="6">
        <f t="shared" ref="CC4:CC17" si="15">CB4+BN4</f>
        <v>0</v>
      </c>
      <c r="CD4" s="6">
        <f t="shared" ref="CD4:CD17" si="16">CC4+BO4</f>
        <v>0</v>
      </c>
      <c r="CE4" s="6">
        <f t="shared" ref="CE4:CE17" si="17">CD4+BP4</f>
        <v>0</v>
      </c>
    </row>
    <row r="5" spans="1:83" x14ac:dyDescent="0.25">
      <c r="A5" s="89">
        <f t="shared" ref="A5:A17" si="18">X5</f>
        <v>1</v>
      </c>
      <c r="B5" s="25">
        <v>2</v>
      </c>
      <c r="C5" s="25" t="s">
        <v>41</v>
      </c>
      <c r="D5" s="94"/>
      <c r="E5" s="95"/>
      <c r="F5" s="25">
        <v>1000</v>
      </c>
      <c r="G5" s="6"/>
      <c r="H5" s="76" t="str">
        <f>IF((SUMIF($BC$18:$BC$135,$B5*100+H$3,$BA$18:$BA$135)+SUMIF($BC$18:$BC$135,$B5+H$3*100,$BA$18:$BA$135))=1,(SUMIF($BC$18:$BC$135,$B5*100+H$3,$J$18:$J$135)+SUMIF($BD$18:$BD$135,$B5*100+H$3,$M$18:$M$135)),"")</f>
        <v/>
      </c>
      <c r="I5" s="75" t="str">
        <f>IF((SUMIF($BC$21:$BC$102,$B5*100+I$3,$BA$22:$BA$103)+SUMIF($BC$21:$BC$102,$B5+I$3*100,$BA$22:$BA$103))=1,(SUMIF($BC$21:$BC$102,$B5*100+I$3,$J$19:$J$99)+SUMIF($BD$21:$BD$102,$B5*100+I$3,$M$19:$M$99)),"")</f>
        <v/>
      </c>
      <c r="J5" s="73" t="str">
        <f t="shared" si="0"/>
        <v/>
      </c>
      <c r="K5" s="73" t="str">
        <f t="shared" si="0"/>
        <v/>
      </c>
      <c r="L5" s="73" t="str">
        <f t="shared" si="0"/>
        <v/>
      </c>
      <c r="M5" s="73" t="str">
        <f t="shared" si="0"/>
        <v/>
      </c>
      <c r="N5" s="73" t="str">
        <f t="shared" si="0"/>
        <v/>
      </c>
      <c r="O5" s="73" t="str">
        <f t="shared" si="0"/>
        <v/>
      </c>
      <c r="P5" s="73" t="str">
        <f t="shared" si="0"/>
        <v/>
      </c>
      <c r="Q5" s="73" t="str">
        <f t="shared" si="0"/>
        <v/>
      </c>
      <c r="R5" s="73" t="str">
        <f t="shared" si="0"/>
        <v/>
      </c>
      <c r="S5" s="73" t="str">
        <f t="shared" si="0"/>
        <v/>
      </c>
      <c r="T5" s="73" t="str">
        <f t="shared" si="0"/>
        <v/>
      </c>
      <c r="U5" s="73" t="str">
        <f t="shared" si="0"/>
        <v/>
      </c>
      <c r="V5" s="8">
        <f t="shared" ref="V5:V17" si="19">SUM(H5:U5)</f>
        <v>0</v>
      </c>
      <c r="W5" s="8">
        <f t="shared" ref="W5:W17" si="20">IF(H5="",0,H5)*$V$4+IF(I5="",0,I5)*$V$5+IF(J5="",0,J5)*$V$6+IF(K5="",0,K5)*$V$7+IF(L5="",0,L5)*$V$8+IF(M5="",0,M5)*$V$9+IF(N5="",0,N5)*$V$10+IF(O5="",0,O5)*$V$11+IF(P5="",0,P5)*$V$12+IF(Q5="",0,Q5)*$V$13+IF(R5="",0,R5)*$V$14+IF(S5="",0,S5)*$V$15+IF(T5="",0,T5)*$V$16+IF(U5="",0,U5)*$V$17</f>
        <v>0</v>
      </c>
      <c r="X5" s="8">
        <f t="shared" ref="X5:X17" si="21">AS5</f>
        <v>1</v>
      </c>
      <c r="AH5" s="56"/>
      <c r="AI5" s="12">
        <f t="shared" ref="AI5:AI17" si="22">IF(V5=$V$4,IF(H5="",0,H5))+IF(V5=$V$5,IF(I5="",0,I5))+IF(V5=$V$6,IF(J5="",0,J5))+IF(V5=$V$7,IF(K5="",0,K5))+IF(V5=$V$8,IF(L5="",0,L5))+IF(V5=$V$9,IF(M5="",0,M5))+IF(V5=$V$10,IF(N5="",0,N5))+IF(V5=$V$11,IF(O5="",0,O5))+IF(V5=$V$12,IF(P5="",0,P5))+IF(V5=$V$13,IF(Q5="",0,Q5))+IF(V5=$V$14,IF(R5="",0,R5))+IF(V5=$V$15,IF(S5="",0,S5))+IF(V5=$V$16,IF(T5="",0,T5))+IF(V5=$V$17,IF(U5="",0,U5))</f>
        <v>0</v>
      </c>
      <c r="AJ5" s="12">
        <f t="shared" ref="AJ5:AJ17" si="23">$AI$18*V5+AI5</f>
        <v>0</v>
      </c>
      <c r="AK5" s="12">
        <f t="shared" ref="AK5:AK17" si="24">IF(AJ5=$AJ$4,IF(H5="",0,H5))+IF(AJ5=$AJ$5,IF(I5="",0,I5))+IF(AJ5=$AJ$6,IF(J5="",0,J5))+IF(AJ5=$AJ$7,IF(K5="",0,K5))+IF(AJ5=$AJ$8,IF(L5="",0,L5))+IF(AJ5=$AJ$9,IF(M5="",0,M5))+IF(AJ5=$AJ$10,IF(N5="",0,N5))+IF(AJ5=$AJ$11,IF(O5="",0,O5))+IF(AJ5=$AJ$12,IF(P5="",0,P5))+IF(AJ5=$AJ$13,IF(Q5="",0,Q5))+IF(AJ5=$AJ$14,IF(R5="",0,R5))+IF(AJ5=$AJ$15,IF(S5="",0,S5))+IF(AJ5=$AJ$16,IF(T5="",0,T5))+IF(AJ5=$AJ$17,IF(U5="",0,U5))</f>
        <v>0</v>
      </c>
      <c r="AL5" s="12">
        <f t="shared" ref="AL5:AL17" si="25">$AK$18*AJ5+AK5</f>
        <v>0</v>
      </c>
      <c r="AM5" s="12">
        <f t="shared" ref="AM5:AM17" si="26">IF(AL5=$AL$4,IF(H5="",0,H5))+IF(AL5=$AL$5,IF(I5="",0,I5))+IF(AL5=$AL$6,IF(J5="",0,J5))+IF(AL5=$AL$7,IF(K5="",0,K5))+IF(AL5=$AL$8,IF(L5="",0,L5))+IF(AL5=$AL$9,IF(M5="",0,M5))+IF(AL5=$AL$10,IF(N5="",0,N5))+IF(AL5=AL12,IF(O5="",0,O5))+IF(AL5=$AL$12,IF(P5="",0,P5))+IF(AL5=$AL$13,IF(Q5="",0,Q5))+IF(AL5=$AL$14,IF(R5="",0,R5))+IF(AL5=$AL$15,IF(S5="",0,S5))+IF(AL5=$AL$16,IF(T5="",0,T5))+IF(AL5=$AL$17,IF(U5="",0,U5))</f>
        <v>0</v>
      </c>
      <c r="AN5" s="12">
        <f t="shared" ref="AN5:AN17" si="27">$AM$18*AL5+AM5</f>
        <v>0</v>
      </c>
      <c r="AO5" s="12"/>
      <c r="AP5" s="12">
        <f t="shared" ref="AP5:AP17" si="28">RANK(AN5,$AN$4:$AN$17,1)-1</f>
        <v>0</v>
      </c>
      <c r="AQ5" s="12">
        <f t="shared" ref="AQ5:AQ17" si="29">RANK(W5,$W$4:$W$17,1)-1</f>
        <v>0</v>
      </c>
      <c r="AR5" s="12">
        <f t="shared" ref="AR5:AR17" si="30">14*AP5+AQ5</f>
        <v>0</v>
      </c>
      <c r="AS5" s="12">
        <f t="shared" ref="AS5:AS17" si="31">RANK(AR5,$AR$4:$AR$17)</f>
        <v>1</v>
      </c>
      <c r="AT5" s="56"/>
      <c r="AU5" s="56"/>
      <c r="AV5" s="56"/>
      <c r="AW5" s="30"/>
      <c r="AX5" s="37">
        <v>2</v>
      </c>
      <c r="AY5" s="38">
        <f t="shared" si="1"/>
        <v>0</v>
      </c>
      <c r="AZ5" s="39">
        <f t="shared" ca="1" si="2"/>
        <v>0</v>
      </c>
      <c r="BA5" s="39">
        <f t="shared" si="3"/>
        <v>0</v>
      </c>
      <c r="BB5" s="6"/>
      <c r="BC5" s="6">
        <v>2</v>
      </c>
      <c r="BD5" s="6">
        <f t="shared" si="4"/>
        <v>0</v>
      </c>
      <c r="BE5" s="6">
        <f t="shared" si="4"/>
        <v>0</v>
      </c>
      <c r="BF5" s="6">
        <f t="shared" si="4"/>
        <v>0</v>
      </c>
      <c r="BG5" s="6">
        <f t="shared" si="4"/>
        <v>0</v>
      </c>
      <c r="BH5" s="6">
        <f t="shared" si="4"/>
        <v>0</v>
      </c>
      <c r="BI5" s="6">
        <f t="shared" si="4"/>
        <v>0</v>
      </c>
      <c r="BJ5" s="6">
        <f t="shared" si="4"/>
        <v>0</v>
      </c>
      <c r="BK5" s="6">
        <f t="shared" si="4"/>
        <v>0</v>
      </c>
      <c r="BL5" s="6">
        <f t="shared" si="4"/>
        <v>0</v>
      </c>
      <c r="BM5" s="6">
        <f t="shared" si="4"/>
        <v>0</v>
      </c>
      <c r="BN5" s="6">
        <f t="shared" si="4"/>
        <v>0</v>
      </c>
      <c r="BO5" s="6">
        <f t="shared" si="4"/>
        <v>0</v>
      </c>
      <c r="BP5" s="6">
        <f t="shared" si="4"/>
        <v>0</v>
      </c>
      <c r="BQ5" s="6"/>
      <c r="BR5" s="6">
        <v>2</v>
      </c>
      <c r="BS5" s="6">
        <f t="shared" si="5"/>
        <v>0</v>
      </c>
      <c r="BT5" s="6">
        <f t="shared" si="6"/>
        <v>0</v>
      </c>
      <c r="BU5" s="6">
        <f t="shared" si="7"/>
        <v>0</v>
      </c>
      <c r="BV5" s="6">
        <f t="shared" si="8"/>
        <v>0</v>
      </c>
      <c r="BW5" s="6">
        <f t="shared" si="9"/>
        <v>0</v>
      </c>
      <c r="BX5" s="6">
        <f t="shared" si="10"/>
        <v>0</v>
      </c>
      <c r="BY5" s="6">
        <f t="shared" si="11"/>
        <v>0</v>
      </c>
      <c r="BZ5" s="6">
        <f t="shared" si="12"/>
        <v>0</v>
      </c>
      <c r="CA5" s="6">
        <f t="shared" si="13"/>
        <v>0</v>
      </c>
      <c r="CB5" s="6">
        <f t="shared" si="14"/>
        <v>0</v>
      </c>
      <c r="CC5" s="6">
        <f t="shared" si="15"/>
        <v>0</v>
      </c>
      <c r="CD5" s="6">
        <f t="shared" si="16"/>
        <v>0</v>
      </c>
      <c r="CE5" s="6">
        <f t="shared" si="17"/>
        <v>0</v>
      </c>
    </row>
    <row r="6" spans="1:83" x14ac:dyDescent="0.25">
      <c r="A6" s="89">
        <f t="shared" si="18"/>
        <v>1</v>
      </c>
      <c r="B6" s="25">
        <v>3</v>
      </c>
      <c r="C6" s="25" t="s">
        <v>42</v>
      </c>
      <c r="D6" s="94"/>
      <c r="E6" s="95"/>
      <c r="F6" s="25">
        <v>1000</v>
      </c>
      <c r="G6" s="6"/>
      <c r="H6" s="76" t="str">
        <f t="shared" ref="H6:T17" si="32">IF((SUMIF($BC$18:$BC$135,$B6*100+H$3,$BA$18:$BA$135)+SUMIF($BC$18:$BC$135,$B6+H$3*100,$BA$18:$BA$135))=1,(SUMIF($BC$18:$BC$135,$B6*100+H$3,$J$18:$J$135)+SUMIF($BD$18:$BD$135,$B6*100+H$3,$M$18:$M$135)),"")</f>
        <v/>
      </c>
      <c r="I6" s="76" t="str">
        <f>IF((SUMIF($BC$18:$BC$135,$B6*100+I$3,$BA$18:$BA$135)+SUMIF($BC$18:$BC$135,$B6+I$3*100,$BA$18:$BA$135))=1,(SUMIF($BC$18:$BC$135,$B6*100+I$3,$J$18:$J$135)+SUMIF($BD$18:$BD$135,$B6*100+I$3,$M$18:$M$135)),"")</f>
        <v/>
      </c>
      <c r="J6" s="75" t="str">
        <f>IF((SUMIF($BC$21:$BC$102,$B6*100+J$3,$BA$22:$BA$103)+SUMIF($BC$21:$BC$102,$B6+J$3*100,$BA$22:$BA$103))=1,(SUMIF($BC$21:$BC$102,$B6*100+J$3,$J$19:$J$99)+SUMIF($BD$21:$BD$102,$B6*100+J$3,$M$19:$M$99)),"")</f>
        <v/>
      </c>
      <c r="K6" s="73" t="str">
        <f t="shared" si="0"/>
        <v/>
      </c>
      <c r="L6" s="73" t="str">
        <f t="shared" si="0"/>
        <v/>
      </c>
      <c r="M6" s="73" t="str">
        <f t="shared" si="0"/>
        <v/>
      </c>
      <c r="N6" s="73" t="str">
        <f t="shared" si="0"/>
        <v/>
      </c>
      <c r="O6" s="73" t="str">
        <f t="shared" si="0"/>
        <v/>
      </c>
      <c r="P6" s="73" t="str">
        <f t="shared" si="0"/>
        <v/>
      </c>
      <c r="Q6" s="73" t="str">
        <f t="shared" si="0"/>
        <v/>
      </c>
      <c r="R6" s="73" t="str">
        <f t="shared" si="0"/>
        <v/>
      </c>
      <c r="S6" s="73" t="str">
        <f t="shared" si="0"/>
        <v/>
      </c>
      <c r="T6" s="73" t="str">
        <f t="shared" si="0"/>
        <v/>
      </c>
      <c r="U6" s="73" t="str">
        <f t="shared" si="0"/>
        <v/>
      </c>
      <c r="V6" s="8">
        <f t="shared" si="19"/>
        <v>0</v>
      </c>
      <c r="W6" s="8">
        <f t="shared" si="20"/>
        <v>0</v>
      </c>
      <c r="X6" s="8">
        <f t="shared" si="21"/>
        <v>1</v>
      </c>
      <c r="AH6" s="56"/>
      <c r="AI6" s="12">
        <f t="shared" si="22"/>
        <v>0</v>
      </c>
      <c r="AJ6" s="12">
        <f t="shared" si="23"/>
        <v>0</v>
      </c>
      <c r="AK6" s="12">
        <f t="shared" si="24"/>
        <v>0</v>
      </c>
      <c r="AL6" s="12">
        <f t="shared" si="25"/>
        <v>0</v>
      </c>
      <c r="AM6" s="12">
        <f t="shared" si="26"/>
        <v>0</v>
      </c>
      <c r="AN6" s="12">
        <f t="shared" si="27"/>
        <v>0</v>
      </c>
      <c r="AO6" s="12"/>
      <c r="AP6" s="12">
        <f t="shared" si="28"/>
        <v>0</v>
      </c>
      <c r="AQ6" s="12">
        <f t="shared" si="29"/>
        <v>0</v>
      </c>
      <c r="AR6" s="12">
        <f t="shared" si="30"/>
        <v>0</v>
      </c>
      <c r="AS6" s="12">
        <f t="shared" si="31"/>
        <v>1</v>
      </c>
      <c r="AT6" s="56"/>
      <c r="AU6" s="56"/>
      <c r="AV6" s="56"/>
      <c r="AW6" s="30"/>
      <c r="AX6" s="37">
        <v>3</v>
      </c>
      <c r="AY6" s="38">
        <f t="shared" si="1"/>
        <v>0</v>
      </c>
      <c r="AZ6" s="39">
        <f t="shared" ca="1" si="2"/>
        <v>0</v>
      </c>
      <c r="BA6" s="39">
        <f t="shared" si="3"/>
        <v>0</v>
      </c>
      <c r="BB6" s="6"/>
      <c r="BC6" s="6">
        <v>3</v>
      </c>
      <c r="BD6" s="6">
        <f t="shared" si="4"/>
        <v>0</v>
      </c>
      <c r="BE6" s="6">
        <f t="shared" si="4"/>
        <v>0</v>
      </c>
      <c r="BF6" s="6">
        <f t="shared" si="4"/>
        <v>0</v>
      </c>
      <c r="BG6" s="6">
        <f t="shared" si="4"/>
        <v>0</v>
      </c>
      <c r="BH6" s="6">
        <f t="shared" si="4"/>
        <v>0</v>
      </c>
      <c r="BI6" s="6">
        <f t="shared" si="4"/>
        <v>0</v>
      </c>
      <c r="BJ6" s="6">
        <f t="shared" si="4"/>
        <v>0</v>
      </c>
      <c r="BK6" s="6">
        <f t="shared" si="4"/>
        <v>0</v>
      </c>
      <c r="BL6" s="6">
        <f t="shared" si="4"/>
        <v>0</v>
      </c>
      <c r="BM6" s="6">
        <f t="shared" si="4"/>
        <v>0</v>
      </c>
      <c r="BN6" s="6">
        <f t="shared" si="4"/>
        <v>0</v>
      </c>
      <c r="BO6" s="6">
        <f t="shared" si="4"/>
        <v>0</v>
      </c>
      <c r="BP6" s="6">
        <f t="shared" si="4"/>
        <v>0</v>
      </c>
      <c r="BQ6" s="6"/>
      <c r="BR6" s="6">
        <v>3</v>
      </c>
      <c r="BS6" s="6">
        <f t="shared" si="5"/>
        <v>0</v>
      </c>
      <c r="BT6" s="6">
        <f t="shared" si="6"/>
        <v>0</v>
      </c>
      <c r="BU6" s="6">
        <f t="shared" si="7"/>
        <v>0</v>
      </c>
      <c r="BV6" s="6">
        <f t="shared" si="8"/>
        <v>0</v>
      </c>
      <c r="BW6" s="6">
        <f t="shared" si="9"/>
        <v>0</v>
      </c>
      <c r="BX6" s="6">
        <f t="shared" si="10"/>
        <v>0</v>
      </c>
      <c r="BY6" s="6">
        <f t="shared" si="11"/>
        <v>0</v>
      </c>
      <c r="BZ6" s="6">
        <f t="shared" si="12"/>
        <v>0</v>
      </c>
      <c r="CA6" s="6">
        <f t="shared" si="13"/>
        <v>0</v>
      </c>
      <c r="CB6" s="6">
        <f t="shared" si="14"/>
        <v>0</v>
      </c>
      <c r="CC6" s="6">
        <f t="shared" si="15"/>
        <v>0</v>
      </c>
      <c r="CD6" s="6">
        <f t="shared" si="16"/>
        <v>0</v>
      </c>
      <c r="CE6" s="6">
        <f t="shared" si="17"/>
        <v>0</v>
      </c>
    </row>
    <row r="7" spans="1:83" x14ac:dyDescent="0.25">
      <c r="A7" s="89">
        <f t="shared" si="18"/>
        <v>1</v>
      </c>
      <c r="B7" s="25">
        <v>4</v>
      </c>
      <c r="C7" s="25" t="s">
        <v>43</v>
      </c>
      <c r="D7" s="94"/>
      <c r="E7" s="95"/>
      <c r="F7" s="25">
        <v>1000</v>
      </c>
      <c r="G7" s="6"/>
      <c r="H7" s="76" t="str">
        <f t="shared" si="32"/>
        <v/>
      </c>
      <c r="I7" s="76" t="str">
        <f t="shared" si="32"/>
        <v/>
      </c>
      <c r="J7" s="76" t="str">
        <f t="shared" si="32"/>
        <v/>
      </c>
      <c r="K7" s="75" t="str">
        <f>IF((SUMIF($BC$21:$BC$102,$B7*100+K$3,$BA$22:$BA$103)+SUMIF($BC$21:$BC$102,$B7+K$3*100,$BA$22:$BA$103))=1,(SUMIF($BC$21:$BC$102,$B7*100+K$3,$J$19:$J$99)+SUMIF($BD$21:$BD$102,$B7*100+K$3,$M$19:$M$99)),"")</f>
        <v/>
      </c>
      <c r="L7" s="73" t="str">
        <f t="shared" si="0"/>
        <v/>
      </c>
      <c r="M7" s="73" t="str">
        <f t="shared" si="0"/>
        <v/>
      </c>
      <c r="N7" s="73" t="str">
        <f t="shared" si="0"/>
        <v/>
      </c>
      <c r="O7" s="73" t="str">
        <f t="shared" si="0"/>
        <v/>
      </c>
      <c r="P7" s="73" t="str">
        <f t="shared" si="0"/>
        <v/>
      </c>
      <c r="Q7" s="73" t="str">
        <f>IF((SUMIF($BC$18:$BC$135,$B7*100+Q$3,$BA$18:$BA$135)+SUMIF($BC$18:$BC$135,$B7+Q$3*100,$BA$18:$BA$135))=1,(SUMIF($BC$18:$BC$135,$B7*100+Q$3,$J$18:$J$135)+SUMIF($BD$18:$BD$135,$B7*100+Q$3,$M$18:$M$135)),"")</f>
        <v/>
      </c>
      <c r="R7" s="73" t="str">
        <f t="shared" si="0"/>
        <v/>
      </c>
      <c r="S7" s="73" t="str">
        <f t="shared" si="0"/>
        <v/>
      </c>
      <c r="T7" s="73" t="str">
        <f t="shared" si="0"/>
        <v/>
      </c>
      <c r="U7" s="73" t="str">
        <f t="shared" si="0"/>
        <v/>
      </c>
      <c r="V7" s="8">
        <f t="shared" si="19"/>
        <v>0</v>
      </c>
      <c r="W7" s="8">
        <f t="shared" si="20"/>
        <v>0</v>
      </c>
      <c r="X7" s="8">
        <f t="shared" si="21"/>
        <v>1</v>
      </c>
      <c r="AH7" s="56"/>
      <c r="AI7" s="12">
        <f t="shared" si="22"/>
        <v>0</v>
      </c>
      <c r="AJ7" s="12">
        <f t="shared" si="23"/>
        <v>0</v>
      </c>
      <c r="AK7" s="12">
        <f t="shared" si="24"/>
        <v>0</v>
      </c>
      <c r="AL7" s="12">
        <f t="shared" si="25"/>
        <v>0</v>
      </c>
      <c r="AM7" s="12">
        <f t="shared" si="26"/>
        <v>0</v>
      </c>
      <c r="AN7" s="12">
        <f t="shared" si="27"/>
        <v>0</v>
      </c>
      <c r="AO7" s="12"/>
      <c r="AP7" s="12">
        <f t="shared" si="28"/>
        <v>0</v>
      </c>
      <c r="AQ7" s="12">
        <f t="shared" si="29"/>
        <v>0</v>
      </c>
      <c r="AR7" s="12">
        <f t="shared" si="30"/>
        <v>0</v>
      </c>
      <c r="AS7" s="12">
        <f t="shared" si="31"/>
        <v>1</v>
      </c>
      <c r="AT7" s="56"/>
      <c r="AU7" s="56"/>
      <c r="AV7" s="56"/>
      <c r="AW7" s="30"/>
      <c r="AX7" s="37">
        <v>4</v>
      </c>
      <c r="AY7" s="38">
        <f t="shared" si="1"/>
        <v>0</v>
      </c>
      <c r="AZ7" s="39">
        <f t="shared" ca="1" si="2"/>
        <v>0</v>
      </c>
      <c r="BA7" s="39">
        <f t="shared" si="3"/>
        <v>0</v>
      </c>
      <c r="BB7" s="6"/>
      <c r="BC7" s="6">
        <v>4</v>
      </c>
      <c r="BD7" s="6">
        <f t="shared" si="4"/>
        <v>0</v>
      </c>
      <c r="BE7" s="6">
        <f t="shared" si="4"/>
        <v>0</v>
      </c>
      <c r="BF7" s="6">
        <f t="shared" si="4"/>
        <v>0</v>
      </c>
      <c r="BG7" s="6">
        <f t="shared" si="4"/>
        <v>0</v>
      </c>
      <c r="BH7" s="6">
        <f t="shared" si="4"/>
        <v>0</v>
      </c>
      <c r="BI7" s="6">
        <f t="shared" si="4"/>
        <v>0</v>
      </c>
      <c r="BJ7" s="6">
        <f t="shared" si="4"/>
        <v>0</v>
      </c>
      <c r="BK7" s="6">
        <f t="shared" si="4"/>
        <v>0</v>
      </c>
      <c r="BL7" s="6">
        <f t="shared" si="4"/>
        <v>0</v>
      </c>
      <c r="BM7" s="6">
        <f t="shared" si="4"/>
        <v>0</v>
      </c>
      <c r="BN7" s="6">
        <f t="shared" si="4"/>
        <v>0</v>
      </c>
      <c r="BO7" s="6">
        <f t="shared" si="4"/>
        <v>0</v>
      </c>
      <c r="BP7" s="6">
        <f t="shared" si="4"/>
        <v>0</v>
      </c>
      <c r="BQ7" s="6"/>
      <c r="BR7" s="6">
        <v>4</v>
      </c>
      <c r="BS7" s="6">
        <f t="shared" si="5"/>
        <v>0</v>
      </c>
      <c r="BT7" s="6">
        <f t="shared" si="6"/>
        <v>0</v>
      </c>
      <c r="BU7" s="6">
        <f t="shared" si="7"/>
        <v>0</v>
      </c>
      <c r="BV7" s="6">
        <f t="shared" si="8"/>
        <v>0</v>
      </c>
      <c r="BW7" s="6">
        <f t="shared" si="9"/>
        <v>0</v>
      </c>
      <c r="BX7" s="6">
        <f t="shared" si="10"/>
        <v>0</v>
      </c>
      <c r="BY7" s="6">
        <f t="shared" si="11"/>
        <v>0</v>
      </c>
      <c r="BZ7" s="6">
        <f t="shared" si="12"/>
        <v>0</v>
      </c>
      <c r="CA7" s="6">
        <f t="shared" si="13"/>
        <v>0</v>
      </c>
      <c r="CB7" s="6">
        <f t="shared" si="14"/>
        <v>0</v>
      </c>
      <c r="CC7" s="6">
        <f t="shared" si="15"/>
        <v>0</v>
      </c>
      <c r="CD7" s="6">
        <f t="shared" si="16"/>
        <v>0</v>
      </c>
      <c r="CE7" s="6">
        <f t="shared" si="17"/>
        <v>0</v>
      </c>
    </row>
    <row r="8" spans="1:83" x14ac:dyDescent="0.25">
      <c r="A8" s="89">
        <f t="shared" si="18"/>
        <v>1</v>
      </c>
      <c r="B8" s="25">
        <v>5</v>
      </c>
      <c r="C8" s="25" t="s">
        <v>47</v>
      </c>
      <c r="D8" s="94"/>
      <c r="E8" s="95"/>
      <c r="F8" s="25">
        <v>1000</v>
      </c>
      <c r="G8" s="6"/>
      <c r="H8" s="76" t="str">
        <f t="shared" si="32"/>
        <v/>
      </c>
      <c r="I8" s="76" t="str">
        <f t="shared" si="32"/>
        <v/>
      </c>
      <c r="J8" s="76" t="str">
        <f t="shared" si="32"/>
        <v/>
      </c>
      <c r="K8" s="76" t="str">
        <f t="shared" si="32"/>
        <v/>
      </c>
      <c r="L8" s="75" t="str">
        <f>IF((SUMIF($BC$21:$BC$102,$B8*100+L$3,$BA$22:$BA$103)+SUMIF($BC$21:$BC$102,$B8+L$3*100,$BA$22:$BA$103))=1,(SUMIF($BC$21:$BC$102,$B8*100+L$3,$J$19:$J$99)+SUMIF($BD$21:$BD$102,$B8*100+L$3,$M$19:$M$99)),"")</f>
        <v/>
      </c>
      <c r="M8" s="73" t="str">
        <f t="shared" si="0"/>
        <v/>
      </c>
      <c r="N8" s="73" t="str">
        <f t="shared" si="0"/>
        <v/>
      </c>
      <c r="O8" s="73" t="str">
        <f t="shared" si="0"/>
        <v/>
      </c>
      <c r="P8" s="73" t="str">
        <f t="shared" si="0"/>
        <v/>
      </c>
      <c r="Q8" s="73" t="str">
        <f t="shared" si="0"/>
        <v/>
      </c>
      <c r="R8" s="73" t="str">
        <f t="shared" si="0"/>
        <v/>
      </c>
      <c r="S8" s="73" t="str">
        <f t="shared" si="0"/>
        <v/>
      </c>
      <c r="T8" s="73" t="str">
        <f t="shared" si="0"/>
        <v/>
      </c>
      <c r="U8" s="73" t="str">
        <f t="shared" si="0"/>
        <v/>
      </c>
      <c r="V8" s="8">
        <f t="shared" si="19"/>
        <v>0</v>
      </c>
      <c r="W8" s="8">
        <f t="shared" si="20"/>
        <v>0</v>
      </c>
      <c r="X8" s="8">
        <f t="shared" si="21"/>
        <v>1</v>
      </c>
      <c r="AH8" s="56"/>
      <c r="AI8" s="12">
        <f t="shared" si="22"/>
        <v>0</v>
      </c>
      <c r="AJ8" s="12">
        <f t="shared" si="23"/>
        <v>0</v>
      </c>
      <c r="AK8" s="12">
        <f t="shared" si="24"/>
        <v>0</v>
      </c>
      <c r="AL8" s="12">
        <f t="shared" si="25"/>
        <v>0</v>
      </c>
      <c r="AM8" s="12">
        <f t="shared" si="26"/>
        <v>0</v>
      </c>
      <c r="AN8" s="12">
        <f t="shared" si="27"/>
        <v>0</v>
      </c>
      <c r="AO8" s="12"/>
      <c r="AP8" s="12">
        <f t="shared" si="28"/>
        <v>0</v>
      </c>
      <c r="AQ8" s="12">
        <f t="shared" si="29"/>
        <v>0</v>
      </c>
      <c r="AR8" s="12">
        <f t="shared" si="30"/>
        <v>0</v>
      </c>
      <c r="AS8" s="12">
        <f t="shared" si="31"/>
        <v>1</v>
      </c>
      <c r="AT8" s="56"/>
      <c r="AU8" s="56"/>
      <c r="AV8" s="56"/>
      <c r="AW8" s="30"/>
      <c r="AX8" s="37">
        <v>5</v>
      </c>
      <c r="AY8" s="38">
        <f t="shared" si="1"/>
        <v>0</v>
      </c>
      <c r="AZ8" s="39">
        <f t="shared" ca="1" si="2"/>
        <v>0</v>
      </c>
      <c r="BA8" s="39">
        <f t="shared" si="3"/>
        <v>0</v>
      </c>
      <c r="BB8" s="6"/>
      <c r="BC8" s="6">
        <v>5</v>
      </c>
      <c r="BD8" s="6">
        <f t="shared" si="4"/>
        <v>0</v>
      </c>
      <c r="BE8" s="6">
        <f t="shared" si="4"/>
        <v>0</v>
      </c>
      <c r="BF8" s="6">
        <f t="shared" si="4"/>
        <v>0</v>
      </c>
      <c r="BG8" s="6">
        <f t="shared" si="4"/>
        <v>0</v>
      </c>
      <c r="BH8" s="6">
        <f t="shared" si="4"/>
        <v>0</v>
      </c>
      <c r="BI8" s="6">
        <f t="shared" si="4"/>
        <v>0</v>
      </c>
      <c r="BJ8" s="6">
        <f t="shared" si="4"/>
        <v>0</v>
      </c>
      <c r="BK8" s="6">
        <f t="shared" si="4"/>
        <v>0</v>
      </c>
      <c r="BL8" s="6">
        <f t="shared" si="4"/>
        <v>0</v>
      </c>
      <c r="BM8" s="6">
        <f t="shared" si="4"/>
        <v>0</v>
      </c>
      <c r="BN8" s="6">
        <f t="shared" si="4"/>
        <v>0</v>
      </c>
      <c r="BO8" s="6">
        <f t="shared" si="4"/>
        <v>0</v>
      </c>
      <c r="BP8" s="6">
        <f t="shared" si="4"/>
        <v>0</v>
      </c>
      <c r="BQ8" s="6"/>
      <c r="BR8" s="6">
        <v>5</v>
      </c>
      <c r="BS8" s="6">
        <f t="shared" si="5"/>
        <v>0</v>
      </c>
      <c r="BT8" s="6">
        <f t="shared" si="6"/>
        <v>0</v>
      </c>
      <c r="BU8" s="6">
        <f t="shared" si="7"/>
        <v>0</v>
      </c>
      <c r="BV8" s="6">
        <f t="shared" si="8"/>
        <v>0</v>
      </c>
      <c r="BW8" s="6">
        <f t="shared" si="9"/>
        <v>0</v>
      </c>
      <c r="BX8" s="6">
        <f t="shared" si="10"/>
        <v>0</v>
      </c>
      <c r="BY8" s="6">
        <f t="shared" si="11"/>
        <v>0</v>
      </c>
      <c r="BZ8" s="6">
        <f t="shared" si="12"/>
        <v>0</v>
      </c>
      <c r="CA8" s="6">
        <f t="shared" si="13"/>
        <v>0</v>
      </c>
      <c r="CB8" s="6">
        <f t="shared" si="14"/>
        <v>0</v>
      </c>
      <c r="CC8" s="6">
        <f t="shared" si="15"/>
        <v>0</v>
      </c>
      <c r="CD8" s="6">
        <f t="shared" si="16"/>
        <v>0</v>
      </c>
      <c r="CE8" s="6">
        <f t="shared" si="17"/>
        <v>0</v>
      </c>
    </row>
    <row r="9" spans="1:83" x14ac:dyDescent="0.25">
      <c r="A9" s="89">
        <f t="shared" si="18"/>
        <v>1</v>
      </c>
      <c r="B9" s="25">
        <v>6</v>
      </c>
      <c r="C9" s="25" t="s">
        <v>45</v>
      </c>
      <c r="D9" s="94"/>
      <c r="E9" s="95"/>
      <c r="F9" s="25">
        <v>1000</v>
      </c>
      <c r="G9" s="6"/>
      <c r="H9" s="76" t="str">
        <f t="shared" si="32"/>
        <v/>
      </c>
      <c r="I9" s="76" t="str">
        <f t="shared" si="32"/>
        <v/>
      </c>
      <c r="J9" s="76" t="str">
        <f t="shared" si="32"/>
        <v/>
      </c>
      <c r="K9" s="76" t="str">
        <f t="shared" si="32"/>
        <v/>
      </c>
      <c r="L9" s="76" t="str">
        <f t="shared" si="32"/>
        <v/>
      </c>
      <c r="M9" s="75" t="str">
        <f>IF((SUMIF($BC$21:$BC$102,$B9*100+M$3,$BA$22:$BA$103)+SUMIF($BC$21:$BC$102,$B9+M$3*100,$BA$22:$BA$103))=1,(SUMIF($BC$21:$BC$102,$B9*100+M$3,$J$19:$J$99)+SUMIF($BD$21:$BD$102,$B9*100+M$3,$M$19:$M$99)),"")</f>
        <v/>
      </c>
      <c r="N9" s="73" t="str">
        <f t="shared" si="0"/>
        <v/>
      </c>
      <c r="O9" s="73" t="str">
        <f t="shared" si="0"/>
        <v/>
      </c>
      <c r="P9" s="73" t="str">
        <f t="shared" si="0"/>
        <v/>
      </c>
      <c r="Q9" s="73" t="str">
        <f t="shared" si="0"/>
        <v/>
      </c>
      <c r="R9" s="73" t="str">
        <f t="shared" si="0"/>
        <v/>
      </c>
      <c r="S9" s="73" t="str">
        <f t="shared" si="0"/>
        <v/>
      </c>
      <c r="T9" s="73" t="str">
        <f t="shared" si="0"/>
        <v/>
      </c>
      <c r="U9" s="73" t="str">
        <f t="shared" si="0"/>
        <v/>
      </c>
      <c r="V9" s="8">
        <f t="shared" si="19"/>
        <v>0</v>
      </c>
      <c r="W9" s="8">
        <f t="shared" si="20"/>
        <v>0</v>
      </c>
      <c r="X9" s="8">
        <f t="shared" si="21"/>
        <v>1</v>
      </c>
      <c r="AH9" s="56"/>
      <c r="AI9" s="12">
        <f t="shared" si="22"/>
        <v>0</v>
      </c>
      <c r="AJ9" s="12">
        <f t="shared" si="23"/>
        <v>0</v>
      </c>
      <c r="AK9" s="12">
        <f t="shared" si="24"/>
        <v>0</v>
      </c>
      <c r="AL9" s="12">
        <f t="shared" si="25"/>
        <v>0</v>
      </c>
      <c r="AM9" s="12">
        <f t="shared" si="26"/>
        <v>0</v>
      </c>
      <c r="AN9" s="12">
        <f t="shared" si="27"/>
        <v>0</v>
      </c>
      <c r="AO9" s="12"/>
      <c r="AP9" s="12">
        <f t="shared" si="28"/>
        <v>0</v>
      </c>
      <c r="AQ9" s="12">
        <f t="shared" si="29"/>
        <v>0</v>
      </c>
      <c r="AR9" s="12">
        <f t="shared" si="30"/>
        <v>0</v>
      </c>
      <c r="AS9" s="12">
        <f t="shared" si="31"/>
        <v>1</v>
      </c>
      <c r="AT9" s="56"/>
      <c r="AU9" s="56"/>
      <c r="AV9" s="56"/>
      <c r="AW9" s="30"/>
      <c r="AX9" s="37">
        <v>6</v>
      </c>
      <c r="AY9" s="38">
        <f t="shared" si="1"/>
        <v>0</v>
      </c>
      <c r="AZ9" s="39">
        <f t="shared" ca="1" si="2"/>
        <v>0</v>
      </c>
      <c r="BA9" s="39">
        <f t="shared" si="3"/>
        <v>0</v>
      </c>
      <c r="BB9" s="6"/>
      <c r="BC9" s="6">
        <v>6</v>
      </c>
      <c r="BD9" s="6">
        <f t="shared" si="4"/>
        <v>0</v>
      </c>
      <c r="BE9" s="6">
        <f t="shared" si="4"/>
        <v>0</v>
      </c>
      <c r="BF9" s="6">
        <f t="shared" si="4"/>
        <v>0</v>
      </c>
      <c r="BG9" s="6">
        <f t="shared" si="4"/>
        <v>0</v>
      </c>
      <c r="BH9" s="6">
        <f t="shared" si="4"/>
        <v>0</v>
      </c>
      <c r="BI9" s="6">
        <f t="shared" si="4"/>
        <v>0</v>
      </c>
      <c r="BJ9" s="6">
        <f t="shared" si="4"/>
        <v>0</v>
      </c>
      <c r="BK9" s="6">
        <f t="shared" si="4"/>
        <v>0</v>
      </c>
      <c r="BL9" s="6">
        <f t="shared" si="4"/>
        <v>0</v>
      </c>
      <c r="BM9" s="6">
        <f t="shared" si="4"/>
        <v>0</v>
      </c>
      <c r="BN9" s="6">
        <f t="shared" si="4"/>
        <v>0</v>
      </c>
      <c r="BO9" s="6">
        <f t="shared" si="4"/>
        <v>0</v>
      </c>
      <c r="BP9" s="6">
        <f t="shared" si="4"/>
        <v>0</v>
      </c>
      <c r="BQ9" s="6"/>
      <c r="BR9" s="6">
        <v>6</v>
      </c>
      <c r="BS9" s="6">
        <f t="shared" si="5"/>
        <v>0</v>
      </c>
      <c r="BT9" s="6">
        <f t="shared" si="6"/>
        <v>0</v>
      </c>
      <c r="BU9" s="6">
        <f t="shared" si="7"/>
        <v>0</v>
      </c>
      <c r="BV9" s="6">
        <f t="shared" si="8"/>
        <v>0</v>
      </c>
      <c r="BW9" s="6">
        <f t="shared" si="9"/>
        <v>0</v>
      </c>
      <c r="BX9" s="6">
        <f t="shared" si="10"/>
        <v>0</v>
      </c>
      <c r="BY9" s="6">
        <f t="shared" si="11"/>
        <v>0</v>
      </c>
      <c r="BZ9" s="6">
        <f t="shared" si="12"/>
        <v>0</v>
      </c>
      <c r="CA9" s="6">
        <f t="shared" si="13"/>
        <v>0</v>
      </c>
      <c r="CB9" s="6">
        <f t="shared" si="14"/>
        <v>0</v>
      </c>
      <c r="CC9" s="6">
        <f t="shared" si="15"/>
        <v>0</v>
      </c>
      <c r="CD9" s="6">
        <f t="shared" si="16"/>
        <v>0</v>
      </c>
      <c r="CE9" s="6">
        <f t="shared" si="17"/>
        <v>0</v>
      </c>
    </row>
    <row r="10" spans="1:83" x14ac:dyDescent="0.25">
      <c r="A10" s="89">
        <f t="shared" si="18"/>
        <v>1</v>
      </c>
      <c r="B10" s="25">
        <v>7</v>
      </c>
      <c r="C10" s="25" t="s">
        <v>46</v>
      </c>
      <c r="D10" s="94"/>
      <c r="E10" s="95"/>
      <c r="F10" s="25">
        <v>1000</v>
      </c>
      <c r="G10" s="6"/>
      <c r="H10" s="76" t="str">
        <f t="shared" si="32"/>
        <v/>
      </c>
      <c r="I10" s="76" t="str">
        <f t="shared" si="32"/>
        <v/>
      </c>
      <c r="J10" s="76" t="str">
        <f t="shared" si="32"/>
        <v/>
      </c>
      <c r="K10" s="76" t="str">
        <f t="shared" si="32"/>
        <v/>
      </c>
      <c r="L10" s="76" t="str">
        <f t="shared" si="32"/>
        <v/>
      </c>
      <c r="M10" s="76" t="str">
        <f t="shared" si="32"/>
        <v/>
      </c>
      <c r="N10" s="75" t="str">
        <f>IF((SUMIF($BC$21:$BC$102,$B10*100+N$3,$BA$22:$BA$103)+SUMIF($BC$21:$BC$102,$B10+N$3*100,$BA$22:$BA$103))=1,(SUMIF($BC$21:$BC$102,$B10*100+N$3,$J$19:$J$99)+SUMIF($BD$21:$BD$102,$B10*100+N$3,$M$19:$M$99)),"")</f>
        <v/>
      </c>
      <c r="O10" s="73" t="str">
        <f t="shared" si="0"/>
        <v/>
      </c>
      <c r="P10" s="73" t="str">
        <f t="shared" si="0"/>
        <v/>
      </c>
      <c r="Q10" s="73" t="str">
        <f t="shared" si="0"/>
        <v/>
      </c>
      <c r="R10" s="73" t="str">
        <f t="shared" si="0"/>
        <v/>
      </c>
      <c r="S10" s="73" t="str">
        <f t="shared" si="0"/>
        <v/>
      </c>
      <c r="T10" s="73" t="str">
        <f t="shared" si="0"/>
        <v/>
      </c>
      <c r="U10" s="73" t="str">
        <f t="shared" si="0"/>
        <v/>
      </c>
      <c r="V10" s="8">
        <f t="shared" si="19"/>
        <v>0</v>
      </c>
      <c r="W10" s="8">
        <f t="shared" si="20"/>
        <v>0</v>
      </c>
      <c r="X10" s="8">
        <f t="shared" si="21"/>
        <v>1</v>
      </c>
      <c r="AH10" s="56"/>
      <c r="AI10" s="12">
        <f t="shared" si="22"/>
        <v>0</v>
      </c>
      <c r="AJ10" s="12">
        <f t="shared" si="23"/>
        <v>0</v>
      </c>
      <c r="AK10" s="12">
        <f t="shared" si="24"/>
        <v>0</v>
      </c>
      <c r="AL10" s="12">
        <f t="shared" si="25"/>
        <v>0</v>
      </c>
      <c r="AM10" s="12">
        <f t="shared" si="26"/>
        <v>0</v>
      </c>
      <c r="AN10" s="12">
        <f t="shared" si="27"/>
        <v>0</v>
      </c>
      <c r="AO10" s="12"/>
      <c r="AP10" s="12">
        <f t="shared" si="28"/>
        <v>0</v>
      </c>
      <c r="AQ10" s="12">
        <f t="shared" si="29"/>
        <v>0</v>
      </c>
      <c r="AR10" s="12">
        <f t="shared" si="30"/>
        <v>0</v>
      </c>
      <c r="AS10" s="12">
        <f t="shared" si="31"/>
        <v>1</v>
      </c>
      <c r="AT10" s="56"/>
      <c r="AU10" s="56"/>
      <c r="AV10" s="56"/>
      <c r="AW10" s="30"/>
      <c r="AX10" s="37">
        <v>7</v>
      </c>
      <c r="AY10" s="38">
        <f t="shared" si="1"/>
        <v>0</v>
      </c>
      <c r="AZ10" s="39">
        <f t="shared" ca="1" si="2"/>
        <v>0</v>
      </c>
      <c r="BA10" s="39">
        <f t="shared" si="3"/>
        <v>0</v>
      </c>
      <c r="BB10" s="6"/>
      <c r="BC10" s="6">
        <v>7</v>
      </c>
      <c r="BD10" s="6">
        <f t="shared" si="4"/>
        <v>0</v>
      </c>
      <c r="BE10" s="6">
        <f t="shared" si="4"/>
        <v>0</v>
      </c>
      <c r="BF10" s="6">
        <f t="shared" si="4"/>
        <v>0</v>
      </c>
      <c r="BG10" s="6">
        <f t="shared" si="4"/>
        <v>0</v>
      </c>
      <c r="BH10" s="6">
        <f t="shared" si="4"/>
        <v>0</v>
      </c>
      <c r="BI10" s="6">
        <f t="shared" si="4"/>
        <v>0</v>
      </c>
      <c r="BJ10" s="6">
        <f t="shared" si="4"/>
        <v>0</v>
      </c>
      <c r="BK10" s="6">
        <f t="shared" si="4"/>
        <v>0</v>
      </c>
      <c r="BL10" s="6">
        <f t="shared" si="4"/>
        <v>0</v>
      </c>
      <c r="BM10" s="6">
        <f t="shared" si="4"/>
        <v>0</v>
      </c>
      <c r="BN10" s="6">
        <f t="shared" si="4"/>
        <v>0</v>
      </c>
      <c r="BO10" s="6">
        <f t="shared" si="4"/>
        <v>0</v>
      </c>
      <c r="BP10" s="6">
        <f t="shared" si="4"/>
        <v>0</v>
      </c>
      <c r="BQ10" s="6"/>
      <c r="BR10" s="6">
        <v>7</v>
      </c>
      <c r="BS10" s="6">
        <f t="shared" si="5"/>
        <v>0</v>
      </c>
      <c r="BT10" s="6">
        <f t="shared" si="6"/>
        <v>0</v>
      </c>
      <c r="BU10" s="6">
        <f t="shared" si="7"/>
        <v>0</v>
      </c>
      <c r="BV10" s="6">
        <f t="shared" si="8"/>
        <v>0</v>
      </c>
      <c r="BW10" s="6">
        <f t="shared" si="9"/>
        <v>0</v>
      </c>
      <c r="BX10" s="6">
        <f t="shared" si="10"/>
        <v>0</v>
      </c>
      <c r="BY10" s="6">
        <f t="shared" si="11"/>
        <v>0</v>
      </c>
      <c r="BZ10" s="6">
        <f t="shared" si="12"/>
        <v>0</v>
      </c>
      <c r="CA10" s="6">
        <f t="shared" si="13"/>
        <v>0</v>
      </c>
      <c r="CB10" s="6">
        <f t="shared" si="14"/>
        <v>0</v>
      </c>
      <c r="CC10" s="6">
        <f t="shared" si="15"/>
        <v>0</v>
      </c>
      <c r="CD10" s="6">
        <f t="shared" si="16"/>
        <v>0</v>
      </c>
      <c r="CE10" s="6">
        <f t="shared" si="17"/>
        <v>0</v>
      </c>
    </row>
    <row r="11" spans="1:83" x14ac:dyDescent="0.25">
      <c r="A11" s="89">
        <f t="shared" si="18"/>
        <v>1</v>
      </c>
      <c r="B11" s="25">
        <v>8</v>
      </c>
      <c r="C11" s="25" t="s">
        <v>48</v>
      </c>
      <c r="D11" s="94"/>
      <c r="E11" s="95"/>
      <c r="F11" s="25">
        <v>1000</v>
      </c>
      <c r="G11" s="6"/>
      <c r="H11" s="76" t="str">
        <f t="shared" si="32"/>
        <v/>
      </c>
      <c r="I11" s="76" t="str">
        <f t="shared" si="32"/>
        <v/>
      </c>
      <c r="J11" s="76" t="str">
        <f t="shared" si="32"/>
        <v/>
      </c>
      <c r="K11" s="76" t="str">
        <f t="shared" si="32"/>
        <v/>
      </c>
      <c r="L11" s="76" t="str">
        <f t="shared" si="32"/>
        <v/>
      </c>
      <c r="M11" s="76" t="str">
        <f t="shared" si="32"/>
        <v/>
      </c>
      <c r="N11" s="76" t="str">
        <f t="shared" si="32"/>
        <v/>
      </c>
      <c r="O11" s="75" t="str">
        <f>IF((SUMIF($BC$21:$BC$102,$B11*100+O$3,$BA$22:$BA$103)+SUMIF($BC$21:$BC$102,$B11+O$3*100,$BA$22:$BA$103))=1,(SUMIF($BC$21:$BC$102,$B11*100+O$3,$J$19:$J$99)+SUMIF($BD$21:$BD$102,$B11*100+O$3,$M$19:$M$99)),"")</f>
        <v/>
      </c>
      <c r="P11" s="73" t="str">
        <f t="shared" si="0"/>
        <v/>
      </c>
      <c r="Q11" s="73" t="str">
        <f t="shared" si="0"/>
        <v/>
      </c>
      <c r="R11" s="73" t="str">
        <f t="shared" si="0"/>
        <v/>
      </c>
      <c r="S11" s="73" t="str">
        <f t="shared" si="0"/>
        <v/>
      </c>
      <c r="T11" s="73" t="str">
        <f t="shared" si="0"/>
        <v/>
      </c>
      <c r="U11" s="73" t="str">
        <f t="shared" si="0"/>
        <v/>
      </c>
      <c r="V11" s="8">
        <f t="shared" si="19"/>
        <v>0</v>
      </c>
      <c r="W11" s="8">
        <f t="shared" si="20"/>
        <v>0</v>
      </c>
      <c r="X11" s="8">
        <f t="shared" si="21"/>
        <v>1</v>
      </c>
      <c r="AH11" s="56"/>
      <c r="AI11" s="12">
        <f t="shared" si="22"/>
        <v>0</v>
      </c>
      <c r="AJ11" s="12">
        <f t="shared" si="23"/>
        <v>0</v>
      </c>
      <c r="AK11" s="12">
        <f t="shared" si="24"/>
        <v>0</v>
      </c>
      <c r="AL11" s="12">
        <f t="shared" si="25"/>
        <v>0</v>
      </c>
      <c r="AM11" s="12">
        <f t="shared" si="26"/>
        <v>0</v>
      </c>
      <c r="AN11" s="12">
        <f t="shared" si="27"/>
        <v>0</v>
      </c>
      <c r="AO11" s="12"/>
      <c r="AP11" s="12">
        <f t="shared" si="28"/>
        <v>0</v>
      </c>
      <c r="AQ11" s="12">
        <f t="shared" si="29"/>
        <v>0</v>
      </c>
      <c r="AR11" s="12">
        <f t="shared" si="30"/>
        <v>0</v>
      </c>
      <c r="AS11" s="12">
        <f t="shared" si="31"/>
        <v>1</v>
      </c>
      <c r="AT11" s="56"/>
      <c r="AU11" s="56"/>
      <c r="AV11" s="56"/>
      <c r="AW11" s="30"/>
      <c r="AX11" s="37">
        <v>8</v>
      </c>
      <c r="AY11" s="38">
        <f t="shared" si="1"/>
        <v>0</v>
      </c>
      <c r="AZ11" s="39">
        <f t="shared" ca="1" si="2"/>
        <v>0</v>
      </c>
      <c r="BA11" s="39">
        <f t="shared" si="3"/>
        <v>0</v>
      </c>
      <c r="BB11" s="6"/>
      <c r="BC11" s="6">
        <v>8</v>
      </c>
      <c r="BD11" s="6">
        <f t="shared" si="4"/>
        <v>0</v>
      </c>
      <c r="BE11" s="6">
        <f t="shared" si="4"/>
        <v>0</v>
      </c>
      <c r="BF11" s="6">
        <f t="shared" si="4"/>
        <v>0</v>
      </c>
      <c r="BG11" s="6">
        <f t="shared" si="4"/>
        <v>0</v>
      </c>
      <c r="BH11" s="6">
        <f t="shared" si="4"/>
        <v>0</v>
      </c>
      <c r="BI11" s="6">
        <f t="shared" si="4"/>
        <v>0</v>
      </c>
      <c r="BJ11" s="6">
        <f t="shared" si="4"/>
        <v>0</v>
      </c>
      <c r="BK11" s="6">
        <f t="shared" si="4"/>
        <v>0</v>
      </c>
      <c r="BL11" s="6">
        <f t="shared" si="4"/>
        <v>0</v>
      </c>
      <c r="BM11" s="6">
        <f t="shared" si="4"/>
        <v>0</v>
      </c>
      <c r="BN11" s="6">
        <f t="shared" si="4"/>
        <v>0</v>
      </c>
      <c r="BO11" s="6">
        <f t="shared" si="4"/>
        <v>0</v>
      </c>
      <c r="BP11" s="6">
        <f t="shared" si="4"/>
        <v>0</v>
      </c>
      <c r="BQ11" s="6"/>
      <c r="BR11" s="6">
        <v>8</v>
      </c>
      <c r="BS11" s="6">
        <f t="shared" si="5"/>
        <v>0</v>
      </c>
      <c r="BT11" s="6">
        <f t="shared" si="6"/>
        <v>0</v>
      </c>
      <c r="BU11" s="6">
        <f t="shared" si="7"/>
        <v>0</v>
      </c>
      <c r="BV11" s="6">
        <f t="shared" si="8"/>
        <v>0</v>
      </c>
      <c r="BW11" s="6">
        <f t="shared" si="9"/>
        <v>0</v>
      </c>
      <c r="BX11" s="6">
        <f t="shared" si="10"/>
        <v>0</v>
      </c>
      <c r="BY11" s="6">
        <f t="shared" si="11"/>
        <v>0</v>
      </c>
      <c r="BZ11" s="6">
        <f t="shared" si="12"/>
        <v>0</v>
      </c>
      <c r="CA11" s="6">
        <f t="shared" si="13"/>
        <v>0</v>
      </c>
      <c r="CB11" s="6">
        <f t="shared" si="14"/>
        <v>0</v>
      </c>
      <c r="CC11" s="6">
        <f t="shared" si="15"/>
        <v>0</v>
      </c>
      <c r="CD11" s="6">
        <f t="shared" si="16"/>
        <v>0</v>
      </c>
      <c r="CE11" s="6">
        <f t="shared" si="17"/>
        <v>0</v>
      </c>
    </row>
    <row r="12" spans="1:83" x14ac:dyDescent="0.25">
      <c r="A12" s="89">
        <f t="shared" si="18"/>
        <v>1</v>
      </c>
      <c r="B12" s="25">
        <v>9</v>
      </c>
      <c r="C12" s="25" t="s">
        <v>49</v>
      </c>
      <c r="D12" s="94"/>
      <c r="E12" s="95"/>
      <c r="F12" s="25">
        <v>1000</v>
      </c>
      <c r="G12" s="6"/>
      <c r="H12" s="76" t="str">
        <f t="shared" si="32"/>
        <v/>
      </c>
      <c r="I12" s="76" t="str">
        <f t="shared" si="32"/>
        <v/>
      </c>
      <c r="J12" s="76" t="str">
        <f t="shared" si="32"/>
        <v/>
      </c>
      <c r="K12" s="76" t="str">
        <f t="shared" si="32"/>
        <v/>
      </c>
      <c r="L12" s="76" t="str">
        <f t="shared" si="32"/>
        <v/>
      </c>
      <c r="M12" s="76" t="str">
        <f t="shared" si="32"/>
        <v/>
      </c>
      <c r="N12" s="76" t="str">
        <f t="shared" si="32"/>
        <v/>
      </c>
      <c r="O12" s="76" t="str">
        <f t="shared" si="32"/>
        <v/>
      </c>
      <c r="P12" s="75" t="str">
        <f>IF((SUMIF($BC$21:$BC$102,$B12*100+P$3,$BA$22:$BA$103)+SUMIF($BC$21:$BC$102,$B12+P$3*100,$BA$22:$BA$103))=1,(SUMIF($BC$21:$BC$102,$B12*100+P$3,$J$19:$J$99)+SUMIF($BD$21:$BD$102,$B12*100+P$3,$M$19:$M$99)),"")</f>
        <v/>
      </c>
      <c r="Q12" s="73" t="str">
        <f t="shared" si="0"/>
        <v/>
      </c>
      <c r="R12" s="73" t="str">
        <f t="shared" si="0"/>
        <v/>
      </c>
      <c r="S12" s="73" t="str">
        <f t="shared" si="0"/>
        <v/>
      </c>
      <c r="T12" s="73" t="str">
        <f t="shared" si="0"/>
        <v/>
      </c>
      <c r="U12" s="73" t="str">
        <f t="shared" si="0"/>
        <v/>
      </c>
      <c r="V12" s="8">
        <f t="shared" si="19"/>
        <v>0</v>
      </c>
      <c r="W12" s="8">
        <f t="shared" si="20"/>
        <v>0</v>
      </c>
      <c r="X12" s="8">
        <f t="shared" si="21"/>
        <v>1</v>
      </c>
      <c r="AH12" s="56"/>
      <c r="AI12" s="12">
        <f t="shared" si="22"/>
        <v>0</v>
      </c>
      <c r="AJ12" s="12">
        <f t="shared" si="23"/>
        <v>0</v>
      </c>
      <c r="AK12" s="12">
        <f t="shared" si="24"/>
        <v>0</v>
      </c>
      <c r="AL12" s="12">
        <f t="shared" si="25"/>
        <v>0</v>
      </c>
      <c r="AM12" s="12">
        <f t="shared" si="26"/>
        <v>0</v>
      </c>
      <c r="AN12" s="12">
        <f t="shared" si="27"/>
        <v>0</v>
      </c>
      <c r="AO12" s="12"/>
      <c r="AP12" s="12">
        <f t="shared" si="28"/>
        <v>0</v>
      </c>
      <c r="AQ12" s="12">
        <f t="shared" si="29"/>
        <v>0</v>
      </c>
      <c r="AR12" s="12">
        <f t="shared" si="30"/>
        <v>0</v>
      </c>
      <c r="AS12" s="12">
        <f t="shared" si="31"/>
        <v>1</v>
      </c>
      <c r="AT12" s="56"/>
      <c r="AU12" s="56"/>
      <c r="AV12" s="56"/>
      <c r="AW12" s="30"/>
      <c r="AX12" s="37">
        <v>9</v>
      </c>
      <c r="AY12" s="38">
        <f t="shared" si="1"/>
        <v>0</v>
      </c>
      <c r="AZ12" s="39">
        <f t="shared" ca="1" si="2"/>
        <v>0</v>
      </c>
      <c r="BA12" s="39">
        <f t="shared" si="3"/>
        <v>0</v>
      </c>
      <c r="BB12" s="6"/>
      <c r="BC12" s="6">
        <v>9</v>
      </c>
      <c r="BD12" s="6">
        <f t="shared" si="4"/>
        <v>0</v>
      </c>
      <c r="BE12" s="6">
        <f t="shared" si="4"/>
        <v>0</v>
      </c>
      <c r="BF12" s="6">
        <f t="shared" si="4"/>
        <v>0</v>
      </c>
      <c r="BG12" s="6">
        <f t="shared" si="4"/>
        <v>0</v>
      </c>
      <c r="BH12" s="6">
        <f t="shared" si="4"/>
        <v>0</v>
      </c>
      <c r="BI12" s="6">
        <f t="shared" si="4"/>
        <v>0</v>
      </c>
      <c r="BJ12" s="6">
        <f t="shared" si="4"/>
        <v>0</v>
      </c>
      <c r="BK12" s="6">
        <f t="shared" si="4"/>
        <v>0</v>
      </c>
      <c r="BL12" s="6">
        <f t="shared" si="4"/>
        <v>0</v>
      </c>
      <c r="BM12" s="6">
        <f t="shared" si="4"/>
        <v>0</v>
      </c>
      <c r="BN12" s="6">
        <f t="shared" si="4"/>
        <v>0</v>
      </c>
      <c r="BO12" s="6">
        <f t="shared" si="4"/>
        <v>0</v>
      </c>
      <c r="BP12" s="6">
        <f t="shared" si="4"/>
        <v>0</v>
      </c>
      <c r="BQ12" s="6"/>
      <c r="BR12" s="6">
        <v>9</v>
      </c>
      <c r="BS12" s="6">
        <f t="shared" si="5"/>
        <v>0</v>
      </c>
      <c r="BT12" s="6">
        <f t="shared" si="6"/>
        <v>0</v>
      </c>
      <c r="BU12" s="6">
        <f t="shared" si="7"/>
        <v>0</v>
      </c>
      <c r="BV12" s="6">
        <f t="shared" si="8"/>
        <v>0</v>
      </c>
      <c r="BW12" s="6">
        <f t="shared" si="9"/>
        <v>0</v>
      </c>
      <c r="BX12" s="6">
        <f t="shared" si="10"/>
        <v>0</v>
      </c>
      <c r="BY12" s="6">
        <f t="shared" si="11"/>
        <v>0</v>
      </c>
      <c r="BZ12" s="6">
        <f t="shared" si="12"/>
        <v>0</v>
      </c>
      <c r="CA12" s="6">
        <f t="shared" si="13"/>
        <v>0</v>
      </c>
      <c r="CB12" s="6">
        <f t="shared" si="14"/>
        <v>0</v>
      </c>
      <c r="CC12" s="6">
        <f t="shared" si="15"/>
        <v>0</v>
      </c>
      <c r="CD12" s="6">
        <f t="shared" si="16"/>
        <v>0</v>
      </c>
      <c r="CE12" s="6">
        <f t="shared" si="17"/>
        <v>0</v>
      </c>
    </row>
    <row r="13" spans="1:83" x14ac:dyDescent="0.25">
      <c r="A13" s="89">
        <f t="shared" si="18"/>
        <v>1</v>
      </c>
      <c r="B13" s="25">
        <v>10</v>
      </c>
      <c r="C13" s="25" t="s">
        <v>75</v>
      </c>
      <c r="D13" s="96"/>
      <c r="E13" s="97"/>
      <c r="F13" s="25">
        <v>1000</v>
      </c>
      <c r="G13" s="6"/>
      <c r="H13" s="76" t="str">
        <f t="shared" si="32"/>
        <v/>
      </c>
      <c r="I13" s="76" t="str">
        <f t="shared" si="32"/>
        <v/>
      </c>
      <c r="J13" s="76" t="str">
        <f t="shared" si="32"/>
        <v/>
      </c>
      <c r="K13" s="76" t="str">
        <f t="shared" si="32"/>
        <v/>
      </c>
      <c r="L13" s="76" t="str">
        <f t="shared" si="32"/>
        <v/>
      </c>
      <c r="M13" s="76" t="str">
        <f t="shared" si="32"/>
        <v/>
      </c>
      <c r="N13" s="76" t="str">
        <f t="shared" si="32"/>
        <v/>
      </c>
      <c r="O13" s="76" t="str">
        <f t="shared" si="32"/>
        <v/>
      </c>
      <c r="P13" s="76" t="str">
        <f t="shared" si="32"/>
        <v/>
      </c>
      <c r="Q13" s="75" t="str">
        <f>IF((SUMIF($BC$21:$BC$102,$B13*100+Q$3,$BA$22:$BA$103)+SUMIF($BC$21:$BC$102,$B13+Q$3*100,$BA$22:$BA$103))=1,(SUMIF($BC$21:$BC$102,$B13*100+Q$3,$J$19:$J$99)+SUMIF($BD$21:$BD$102,$B13*100+Q$3,$M$19:$M$99)),"")</f>
        <v/>
      </c>
      <c r="R13" s="73" t="str">
        <f t="shared" si="0"/>
        <v/>
      </c>
      <c r="S13" s="73" t="str">
        <f t="shared" si="0"/>
        <v/>
      </c>
      <c r="T13" s="73" t="str">
        <f t="shared" si="0"/>
        <v/>
      </c>
      <c r="U13" s="73" t="str">
        <f t="shared" si="0"/>
        <v/>
      </c>
      <c r="V13" s="8">
        <f t="shared" si="19"/>
        <v>0</v>
      </c>
      <c r="W13" s="8">
        <f t="shared" si="20"/>
        <v>0</v>
      </c>
      <c r="X13" s="8">
        <f t="shared" si="21"/>
        <v>1</v>
      </c>
      <c r="AH13" s="56"/>
      <c r="AI13" s="12">
        <f t="shared" si="22"/>
        <v>0</v>
      </c>
      <c r="AJ13" s="12">
        <f t="shared" si="23"/>
        <v>0</v>
      </c>
      <c r="AK13" s="12">
        <f t="shared" si="24"/>
        <v>0</v>
      </c>
      <c r="AL13" s="12">
        <f t="shared" si="25"/>
        <v>0</v>
      </c>
      <c r="AM13" s="12">
        <f t="shared" si="26"/>
        <v>0</v>
      </c>
      <c r="AN13" s="12">
        <f t="shared" si="27"/>
        <v>0</v>
      </c>
      <c r="AO13" s="12"/>
      <c r="AP13" s="12">
        <f t="shared" si="28"/>
        <v>0</v>
      </c>
      <c r="AQ13" s="12">
        <f t="shared" si="29"/>
        <v>0</v>
      </c>
      <c r="AR13" s="12">
        <f t="shared" si="30"/>
        <v>0</v>
      </c>
      <c r="AS13" s="12">
        <f t="shared" si="31"/>
        <v>1</v>
      </c>
      <c r="AT13" s="56"/>
      <c r="AU13" s="56"/>
      <c r="AV13" s="56"/>
      <c r="AW13" s="30"/>
      <c r="AX13" s="37">
        <v>10</v>
      </c>
      <c r="AY13" s="38">
        <f t="shared" si="1"/>
        <v>0</v>
      </c>
      <c r="AZ13" s="39">
        <f t="shared" ca="1" si="2"/>
        <v>0</v>
      </c>
      <c r="BA13" s="39">
        <f t="shared" si="3"/>
        <v>0</v>
      </c>
      <c r="BB13" s="6"/>
      <c r="BC13" s="6">
        <v>10</v>
      </c>
      <c r="BD13" s="6">
        <f t="shared" si="4"/>
        <v>0</v>
      </c>
      <c r="BE13" s="6">
        <f t="shared" si="4"/>
        <v>0</v>
      </c>
      <c r="BF13" s="6">
        <f t="shared" si="4"/>
        <v>0</v>
      </c>
      <c r="BG13" s="6">
        <f t="shared" si="4"/>
        <v>0</v>
      </c>
      <c r="BH13" s="6">
        <f t="shared" si="4"/>
        <v>0</v>
      </c>
      <c r="BI13" s="6">
        <f t="shared" si="4"/>
        <v>0</v>
      </c>
      <c r="BJ13" s="6">
        <f t="shared" si="4"/>
        <v>0</v>
      </c>
      <c r="BK13" s="6">
        <f t="shared" si="4"/>
        <v>0</v>
      </c>
      <c r="BL13" s="6">
        <f t="shared" si="4"/>
        <v>0</v>
      </c>
      <c r="BM13" s="6">
        <f t="shared" si="4"/>
        <v>0</v>
      </c>
      <c r="BN13" s="6">
        <f t="shared" si="4"/>
        <v>0</v>
      </c>
      <c r="BO13" s="6">
        <f t="shared" si="4"/>
        <v>0</v>
      </c>
      <c r="BP13" s="6">
        <f t="shared" si="4"/>
        <v>0</v>
      </c>
      <c r="BQ13" s="6"/>
      <c r="BR13" s="6">
        <v>10</v>
      </c>
      <c r="BS13" s="6">
        <f t="shared" si="5"/>
        <v>0</v>
      </c>
      <c r="BT13" s="6">
        <f t="shared" si="6"/>
        <v>0</v>
      </c>
      <c r="BU13" s="6">
        <f t="shared" si="7"/>
        <v>0</v>
      </c>
      <c r="BV13" s="6">
        <f t="shared" si="8"/>
        <v>0</v>
      </c>
      <c r="BW13" s="6">
        <f t="shared" si="9"/>
        <v>0</v>
      </c>
      <c r="BX13" s="6">
        <f t="shared" si="10"/>
        <v>0</v>
      </c>
      <c r="BY13" s="6">
        <f t="shared" si="11"/>
        <v>0</v>
      </c>
      <c r="BZ13" s="6">
        <f t="shared" si="12"/>
        <v>0</v>
      </c>
      <c r="CA13" s="6">
        <f t="shared" si="13"/>
        <v>0</v>
      </c>
      <c r="CB13" s="6">
        <f t="shared" si="14"/>
        <v>0</v>
      </c>
      <c r="CC13" s="6">
        <f t="shared" si="15"/>
        <v>0</v>
      </c>
      <c r="CD13" s="6">
        <f t="shared" si="16"/>
        <v>0</v>
      </c>
      <c r="CE13" s="6">
        <f t="shared" si="17"/>
        <v>0</v>
      </c>
    </row>
    <row r="14" spans="1:83" x14ac:dyDescent="0.25">
      <c r="A14" s="89">
        <f t="shared" si="18"/>
        <v>1</v>
      </c>
      <c r="B14" s="25">
        <v>11</v>
      </c>
      <c r="C14" s="68" t="s">
        <v>76</v>
      </c>
      <c r="D14" s="96"/>
      <c r="E14" s="97"/>
      <c r="F14" s="25">
        <v>1000</v>
      </c>
      <c r="G14" s="6"/>
      <c r="H14" s="76" t="str">
        <f t="shared" si="32"/>
        <v/>
      </c>
      <c r="I14" s="76" t="str">
        <f t="shared" si="32"/>
        <v/>
      </c>
      <c r="J14" s="76" t="str">
        <f t="shared" si="32"/>
        <v/>
      </c>
      <c r="K14" s="76" t="str">
        <f t="shared" si="32"/>
        <v/>
      </c>
      <c r="L14" s="76" t="str">
        <f t="shared" si="32"/>
        <v/>
      </c>
      <c r="M14" s="76" t="str">
        <f t="shared" si="32"/>
        <v/>
      </c>
      <c r="N14" s="76" t="str">
        <f t="shared" si="32"/>
        <v/>
      </c>
      <c r="O14" s="76" t="str">
        <f t="shared" si="32"/>
        <v/>
      </c>
      <c r="P14" s="76" t="str">
        <f t="shared" si="32"/>
        <v/>
      </c>
      <c r="Q14" s="76" t="str">
        <f t="shared" si="32"/>
        <v/>
      </c>
      <c r="R14" s="75" t="str">
        <f>IF((SUMIF($BC$21:$BC$102,$B14*100+R$3,$BA$22:$BA$103)+SUMIF($BC$21:$BC$102,$B14+R$3*100,$BA$22:$BA$103))=1,(SUMIF($BC$21:$BC$102,$B14*100+R$3,$J$19:$J$99)+SUMIF($BD$21:$BD$102,$B14*100+R$3,$M$19:$M$99)),"")</f>
        <v/>
      </c>
      <c r="S14" s="73" t="str">
        <f t="shared" si="0"/>
        <v/>
      </c>
      <c r="T14" s="73" t="str">
        <f t="shared" si="0"/>
        <v/>
      </c>
      <c r="U14" s="73" t="str">
        <f t="shared" si="0"/>
        <v/>
      </c>
      <c r="V14" s="8">
        <f t="shared" si="19"/>
        <v>0</v>
      </c>
      <c r="W14" s="8">
        <f t="shared" si="20"/>
        <v>0</v>
      </c>
      <c r="X14" s="8">
        <f t="shared" si="21"/>
        <v>1</v>
      </c>
      <c r="AH14" s="56"/>
      <c r="AI14" s="12">
        <f t="shared" si="22"/>
        <v>0</v>
      </c>
      <c r="AJ14" s="12">
        <f t="shared" si="23"/>
        <v>0</v>
      </c>
      <c r="AK14" s="12">
        <f t="shared" si="24"/>
        <v>0</v>
      </c>
      <c r="AL14" s="12">
        <f t="shared" si="25"/>
        <v>0</v>
      </c>
      <c r="AM14" s="12">
        <f t="shared" si="26"/>
        <v>0</v>
      </c>
      <c r="AN14" s="12">
        <f t="shared" si="27"/>
        <v>0</v>
      </c>
      <c r="AO14" s="12"/>
      <c r="AP14" s="12">
        <f t="shared" si="28"/>
        <v>0</v>
      </c>
      <c r="AQ14" s="12">
        <f t="shared" si="29"/>
        <v>0</v>
      </c>
      <c r="AR14" s="12">
        <f t="shared" si="30"/>
        <v>0</v>
      </c>
      <c r="AS14" s="12">
        <f t="shared" si="31"/>
        <v>1</v>
      </c>
      <c r="AT14" s="6"/>
      <c r="AU14" s="6"/>
      <c r="AV14" s="6"/>
      <c r="AW14" s="6"/>
      <c r="AX14" s="37">
        <v>11</v>
      </c>
      <c r="AY14" s="38">
        <f t="shared" si="1"/>
        <v>0</v>
      </c>
      <c r="AZ14" s="39">
        <f t="shared" ca="1" si="2"/>
        <v>0</v>
      </c>
      <c r="BA14" s="39">
        <f t="shared" si="3"/>
        <v>0</v>
      </c>
      <c r="BB14" s="6"/>
      <c r="BC14" s="6">
        <v>11</v>
      </c>
      <c r="BD14" s="6">
        <f t="shared" si="4"/>
        <v>0</v>
      </c>
      <c r="BE14" s="6">
        <f t="shared" si="4"/>
        <v>0</v>
      </c>
      <c r="BF14" s="6">
        <f t="shared" si="4"/>
        <v>0</v>
      </c>
      <c r="BG14" s="6">
        <f t="shared" si="4"/>
        <v>0</v>
      </c>
      <c r="BH14" s="6">
        <f t="shared" si="4"/>
        <v>0</v>
      </c>
      <c r="BI14" s="6">
        <f t="shared" si="4"/>
        <v>0</v>
      </c>
      <c r="BJ14" s="6">
        <f t="shared" si="4"/>
        <v>0</v>
      </c>
      <c r="BK14" s="6">
        <f t="shared" si="4"/>
        <v>0</v>
      </c>
      <c r="BL14" s="6">
        <f t="shared" si="4"/>
        <v>0</v>
      </c>
      <c r="BM14" s="6">
        <f t="shared" si="4"/>
        <v>0</v>
      </c>
      <c r="BN14" s="6">
        <f t="shared" si="4"/>
        <v>0</v>
      </c>
      <c r="BO14" s="6">
        <f t="shared" si="4"/>
        <v>0</v>
      </c>
      <c r="BP14" s="6">
        <f t="shared" si="4"/>
        <v>0</v>
      </c>
      <c r="BQ14" s="6"/>
      <c r="BR14" s="6">
        <v>11</v>
      </c>
      <c r="BS14" s="6">
        <f t="shared" si="5"/>
        <v>0</v>
      </c>
      <c r="BT14" s="6">
        <f t="shared" si="6"/>
        <v>0</v>
      </c>
      <c r="BU14" s="6">
        <f t="shared" si="7"/>
        <v>0</v>
      </c>
      <c r="BV14" s="6">
        <f t="shared" si="8"/>
        <v>0</v>
      </c>
      <c r="BW14" s="6">
        <f t="shared" si="9"/>
        <v>0</v>
      </c>
      <c r="BX14" s="6">
        <f t="shared" si="10"/>
        <v>0</v>
      </c>
      <c r="BY14" s="6">
        <f t="shared" si="11"/>
        <v>0</v>
      </c>
      <c r="BZ14" s="6">
        <f t="shared" si="12"/>
        <v>0</v>
      </c>
      <c r="CA14" s="6">
        <f t="shared" si="13"/>
        <v>0</v>
      </c>
      <c r="CB14" s="6">
        <f t="shared" si="14"/>
        <v>0</v>
      </c>
      <c r="CC14" s="6">
        <f t="shared" si="15"/>
        <v>0</v>
      </c>
      <c r="CD14" s="6">
        <f t="shared" si="16"/>
        <v>0</v>
      </c>
      <c r="CE14" s="6">
        <f t="shared" si="17"/>
        <v>0</v>
      </c>
    </row>
    <row r="15" spans="1:83" x14ac:dyDescent="0.25">
      <c r="A15" s="89">
        <f t="shared" si="18"/>
        <v>1</v>
      </c>
      <c r="B15" s="25">
        <v>12</v>
      </c>
      <c r="C15" s="25" t="s">
        <v>77</v>
      </c>
      <c r="D15" s="96"/>
      <c r="E15" s="97"/>
      <c r="F15" s="25">
        <v>1000</v>
      </c>
      <c r="G15" s="6"/>
      <c r="H15" s="76" t="str">
        <f t="shared" si="32"/>
        <v/>
      </c>
      <c r="I15" s="76" t="str">
        <f t="shared" si="32"/>
        <v/>
      </c>
      <c r="J15" s="76" t="str">
        <f t="shared" si="32"/>
        <v/>
      </c>
      <c r="K15" s="76" t="str">
        <f t="shared" si="32"/>
        <v/>
      </c>
      <c r="L15" s="76" t="str">
        <f t="shared" si="32"/>
        <v/>
      </c>
      <c r="M15" s="76" t="str">
        <f t="shared" si="32"/>
        <v/>
      </c>
      <c r="N15" s="76" t="str">
        <f t="shared" si="32"/>
        <v/>
      </c>
      <c r="O15" s="76" t="str">
        <f t="shared" si="32"/>
        <v/>
      </c>
      <c r="P15" s="76" t="str">
        <f t="shared" si="32"/>
        <v/>
      </c>
      <c r="Q15" s="76" t="str">
        <f t="shared" si="32"/>
        <v/>
      </c>
      <c r="R15" s="76" t="str">
        <f t="shared" si="32"/>
        <v/>
      </c>
      <c r="S15" s="75" t="str">
        <f>IF((SUMIF($BC$21:$BC$102,$B15*100+S$3,$BA$22:$BA$103)+SUMIF($BC$21:$BC$102,$B15+S$3*100,$BA$22:$BA$103))=1,(SUMIF($BC$21:$BC$102,$B15*100+S$3,$J$19:$J$99)+SUMIF($BD$21:$BD$102,$B15*100+S$3,$M$19:$M$99)),"")</f>
        <v/>
      </c>
      <c r="T15" s="73" t="str">
        <f t="shared" si="0"/>
        <v/>
      </c>
      <c r="U15" s="73" t="str">
        <f t="shared" si="0"/>
        <v/>
      </c>
      <c r="V15" s="8">
        <f t="shared" si="19"/>
        <v>0</v>
      </c>
      <c r="W15" s="8">
        <f t="shared" si="20"/>
        <v>0</v>
      </c>
      <c r="X15" s="8">
        <f t="shared" si="21"/>
        <v>1</v>
      </c>
      <c r="AH15" s="56"/>
      <c r="AI15" s="12">
        <f t="shared" si="22"/>
        <v>0</v>
      </c>
      <c r="AJ15" s="12">
        <f t="shared" si="23"/>
        <v>0</v>
      </c>
      <c r="AK15" s="12">
        <f t="shared" si="24"/>
        <v>0</v>
      </c>
      <c r="AL15" s="12">
        <f t="shared" si="25"/>
        <v>0</v>
      </c>
      <c r="AM15" s="12">
        <f t="shared" si="26"/>
        <v>0</v>
      </c>
      <c r="AN15" s="12">
        <f t="shared" si="27"/>
        <v>0</v>
      </c>
      <c r="AO15" s="12"/>
      <c r="AP15" s="12">
        <f t="shared" si="28"/>
        <v>0</v>
      </c>
      <c r="AQ15" s="12">
        <f t="shared" si="29"/>
        <v>0</v>
      </c>
      <c r="AR15" s="12">
        <f t="shared" si="30"/>
        <v>0</v>
      </c>
      <c r="AS15" s="12">
        <f t="shared" si="31"/>
        <v>1</v>
      </c>
      <c r="AT15" s="6"/>
      <c r="AU15" s="6"/>
      <c r="AV15" s="6"/>
      <c r="AW15" s="6"/>
      <c r="AX15" s="37">
        <v>12</v>
      </c>
      <c r="AY15" s="38">
        <f t="shared" si="1"/>
        <v>0</v>
      </c>
      <c r="AZ15" s="39">
        <f t="shared" ca="1" si="2"/>
        <v>0</v>
      </c>
      <c r="BA15" s="39">
        <f t="shared" si="3"/>
        <v>0</v>
      </c>
      <c r="BB15" s="6"/>
      <c r="BC15" s="6">
        <v>12</v>
      </c>
      <c r="BD15" s="6">
        <f t="shared" si="4"/>
        <v>0</v>
      </c>
      <c r="BE15" s="6">
        <f t="shared" si="4"/>
        <v>0</v>
      </c>
      <c r="BF15" s="6">
        <f t="shared" si="4"/>
        <v>0</v>
      </c>
      <c r="BG15" s="6">
        <f t="shared" si="4"/>
        <v>0</v>
      </c>
      <c r="BH15" s="6">
        <f t="shared" si="4"/>
        <v>0</v>
      </c>
      <c r="BI15" s="6">
        <f t="shared" si="4"/>
        <v>0</v>
      </c>
      <c r="BJ15" s="6">
        <f t="shared" si="4"/>
        <v>0</v>
      </c>
      <c r="BK15" s="6">
        <f t="shared" si="4"/>
        <v>0</v>
      </c>
      <c r="BL15" s="6">
        <f t="shared" si="4"/>
        <v>0</v>
      </c>
      <c r="BM15" s="6">
        <f t="shared" si="4"/>
        <v>0</v>
      </c>
      <c r="BN15" s="6">
        <f t="shared" si="4"/>
        <v>0</v>
      </c>
      <c r="BO15" s="6">
        <f t="shared" si="4"/>
        <v>0</v>
      </c>
      <c r="BP15" s="6">
        <f t="shared" si="4"/>
        <v>0</v>
      </c>
      <c r="BQ15" s="6"/>
      <c r="BR15" s="6">
        <v>12</v>
      </c>
      <c r="BS15" s="6">
        <f t="shared" si="5"/>
        <v>0</v>
      </c>
      <c r="BT15" s="6">
        <f t="shared" si="6"/>
        <v>0</v>
      </c>
      <c r="BU15" s="6">
        <f t="shared" si="7"/>
        <v>0</v>
      </c>
      <c r="BV15" s="6">
        <f t="shared" si="8"/>
        <v>0</v>
      </c>
      <c r="BW15" s="6">
        <f t="shared" si="9"/>
        <v>0</v>
      </c>
      <c r="BX15" s="6">
        <f t="shared" si="10"/>
        <v>0</v>
      </c>
      <c r="BY15" s="6">
        <f t="shared" si="11"/>
        <v>0</v>
      </c>
      <c r="BZ15" s="6">
        <f t="shared" si="12"/>
        <v>0</v>
      </c>
      <c r="CA15" s="6">
        <f t="shared" si="13"/>
        <v>0</v>
      </c>
      <c r="CB15" s="6">
        <f t="shared" si="14"/>
        <v>0</v>
      </c>
      <c r="CC15" s="6">
        <f t="shared" si="15"/>
        <v>0</v>
      </c>
      <c r="CD15" s="6">
        <f t="shared" si="16"/>
        <v>0</v>
      </c>
      <c r="CE15" s="6">
        <f t="shared" si="17"/>
        <v>0</v>
      </c>
    </row>
    <row r="16" spans="1:83" x14ac:dyDescent="0.25">
      <c r="A16" s="89">
        <f>X16</f>
        <v>1</v>
      </c>
      <c r="B16" s="25">
        <v>13</v>
      </c>
      <c r="C16" s="25" t="s">
        <v>79</v>
      </c>
      <c r="D16" s="96"/>
      <c r="E16" s="97"/>
      <c r="F16" s="25">
        <v>1000</v>
      </c>
      <c r="G16" s="6"/>
      <c r="H16" s="76" t="str">
        <f t="shared" si="32"/>
        <v/>
      </c>
      <c r="I16" s="76" t="str">
        <f t="shared" si="32"/>
        <v/>
      </c>
      <c r="J16" s="76" t="str">
        <f t="shared" si="32"/>
        <v/>
      </c>
      <c r="K16" s="76" t="str">
        <f t="shared" si="32"/>
        <v/>
      </c>
      <c r="L16" s="76" t="str">
        <f t="shared" si="32"/>
        <v/>
      </c>
      <c r="M16" s="76" t="str">
        <f t="shared" si="32"/>
        <v/>
      </c>
      <c r="N16" s="76" t="str">
        <f t="shared" si="32"/>
        <v/>
      </c>
      <c r="O16" s="76" t="str">
        <f t="shared" si="32"/>
        <v/>
      </c>
      <c r="P16" s="76" t="str">
        <f t="shared" si="32"/>
        <v/>
      </c>
      <c r="Q16" s="76" t="str">
        <f t="shared" si="32"/>
        <v/>
      </c>
      <c r="R16" s="76" t="str">
        <f t="shared" si="32"/>
        <v/>
      </c>
      <c r="S16" s="76" t="str">
        <f t="shared" si="32"/>
        <v/>
      </c>
      <c r="T16" s="75" t="str">
        <f>IF((SUMIF($BC$21:$BC$102,$B16*100+T$3,$BA$22:$BA$103)+SUMIF($BC$21:$BC$102,$B16+T$3*100,$BA$22:$BA$103))=1,(SUMIF($BC$21:$BC$102,$B16*100+T$3,$J$19:$J$99)+SUMIF($BD$21:$BD$102,$B16*100+T$3,$M$19:$M$99)),"")</f>
        <v/>
      </c>
      <c r="U16" s="73" t="str">
        <f t="shared" si="0"/>
        <v/>
      </c>
      <c r="V16" s="8">
        <f t="shared" si="19"/>
        <v>0</v>
      </c>
      <c r="W16" s="8">
        <f t="shared" si="20"/>
        <v>0</v>
      </c>
      <c r="X16" s="8">
        <f t="shared" si="21"/>
        <v>1</v>
      </c>
      <c r="AH16" s="56"/>
      <c r="AI16" s="12">
        <f t="shared" si="22"/>
        <v>0</v>
      </c>
      <c r="AJ16" s="12">
        <f t="shared" si="23"/>
        <v>0</v>
      </c>
      <c r="AK16" s="12">
        <f t="shared" si="24"/>
        <v>0</v>
      </c>
      <c r="AL16" s="12">
        <f t="shared" si="25"/>
        <v>0</v>
      </c>
      <c r="AM16" s="12">
        <f t="shared" si="26"/>
        <v>0</v>
      </c>
      <c r="AN16" s="12">
        <f t="shared" si="27"/>
        <v>0</v>
      </c>
      <c r="AO16" s="12"/>
      <c r="AP16" s="12">
        <f t="shared" si="28"/>
        <v>0</v>
      </c>
      <c r="AQ16" s="12">
        <f t="shared" si="29"/>
        <v>0</v>
      </c>
      <c r="AR16" s="12">
        <f t="shared" si="30"/>
        <v>0</v>
      </c>
      <c r="AS16" s="12">
        <f t="shared" si="31"/>
        <v>1</v>
      </c>
      <c r="AT16" s="6"/>
      <c r="AU16" s="6"/>
      <c r="AV16" s="6"/>
      <c r="AW16" s="6"/>
      <c r="AX16" s="37">
        <v>13</v>
      </c>
      <c r="AY16" s="38">
        <f t="shared" si="1"/>
        <v>0</v>
      </c>
      <c r="AZ16" s="39">
        <f t="shared" ca="1" si="2"/>
        <v>0</v>
      </c>
      <c r="BA16" s="39">
        <f t="shared" si="3"/>
        <v>0</v>
      </c>
      <c r="BB16" s="6"/>
      <c r="BC16" s="6">
        <v>13</v>
      </c>
      <c r="BD16" s="6">
        <f t="shared" si="4"/>
        <v>0</v>
      </c>
      <c r="BE16" s="6">
        <f t="shared" si="4"/>
        <v>0</v>
      </c>
      <c r="BF16" s="6">
        <f t="shared" si="4"/>
        <v>0</v>
      </c>
      <c r="BG16" s="6">
        <f t="shared" si="4"/>
        <v>0</v>
      </c>
      <c r="BH16" s="6">
        <f t="shared" si="4"/>
        <v>0</v>
      </c>
      <c r="BI16" s="6">
        <f t="shared" si="4"/>
        <v>0</v>
      </c>
      <c r="BJ16" s="6">
        <f t="shared" si="4"/>
        <v>0</v>
      </c>
      <c r="BK16" s="6">
        <f t="shared" si="4"/>
        <v>0</v>
      </c>
      <c r="BL16" s="6">
        <f t="shared" si="4"/>
        <v>0</v>
      </c>
      <c r="BM16" s="6">
        <f t="shared" si="4"/>
        <v>0</v>
      </c>
      <c r="BN16" s="6">
        <f t="shared" si="4"/>
        <v>0</v>
      </c>
      <c r="BO16" s="6">
        <f t="shared" si="4"/>
        <v>0</v>
      </c>
      <c r="BP16" s="6">
        <f t="shared" si="4"/>
        <v>0</v>
      </c>
      <c r="BQ16" s="6"/>
      <c r="BR16" s="6">
        <v>13</v>
      </c>
      <c r="BS16" s="6">
        <f t="shared" si="5"/>
        <v>0</v>
      </c>
      <c r="BT16" s="6">
        <f t="shared" si="6"/>
        <v>0</v>
      </c>
      <c r="BU16" s="6">
        <f t="shared" si="7"/>
        <v>0</v>
      </c>
      <c r="BV16" s="6">
        <f t="shared" si="8"/>
        <v>0</v>
      </c>
      <c r="BW16" s="6">
        <f t="shared" si="9"/>
        <v>0</v>
      </c>
      <c r="BX16" s="6">
        <f t="shared" si="10"/>
        <v>0</v>
      </c>
      <c r="BY16" s="6">
        <f t="shared" si="11"/>
        <v>0</v>
      </c>
      <c r="BZ16" s="6">
        <f t="shared" si="12"/>
        <v>0</v>
      </c>
      <c r="CA16" s="6">
        <f t="shared" si="13"/>
        <v>0</v>
      </c>
      <c r="CB16" s="6">
        <f t="shared" si="14"/>
        <v>0</v>
      </c>
      <c r="CC16" s="6">
        <f t="shared" si="15"/>
        <v>0</v>
      </c>
      <c r="CD16" s="6">
        <f t="shared" si="16"/>
        <v>0</v>
      </c>
      <c r="CE16" s="6">
        <f t="shared" si="17"/>
        <v>0</v>
      </c>
    </row>
    <row r="17" spans="1:83" x14ac:dyDescent="0.25">
      <c r="A17" s="89">
        <f t="shared" si="18"/>
        <v>1</v>
      </c>
      <c r="B17" s="25">
        <v>14</v>
      </c>
      <c r="C17" s="25" t="s">
        <v>78</v>
      </c>
      <c r="D17" s="94"/>
      <c r="E17" s="95"/>
      <c r="F17" s="25">
        <v>1000</v>
      </c>
      <c r="G17" s="6"/>
      <c r="H17" s="76" t="str">
        <f t="shared" si="32"/>
        <v/>
      </c>
      <c r="I17" s="76" t="str">
        <f t="shared" si="32"/>
        <v/>
      </c>
      <c r="J17" s="76" t="str">
        <f t="shared" si="32"/>
        <v/>
      </c>
      <c r="K17" s="76" t="str">
        <f t="shared" si="32"/>
        <v/>
      </c>
      <c r="L17" s="76" t="str">
        <f t="shared" si="32"/>
        <v/>
      </c>
      <c r="M17" s="76" t="str">
        <f t="shared" si="32"/>
        <v/>
      </c>
      <c r="N17" s="76" t="str">
        <f t="shared" si="32"/>
        <v/>
      </c>
      <c r="O17" s="76" t="str">
        <f t="shared" si="32"/>
        <v/>
      </c>
      <c r="P17" s="76" t="str">
        <f t="shared" si="32"/>
        <v/>
      </c>
      <c r="Q17" s="76" t="str">
        <f t="shared" si="32"/>
        <v/>
      </c>
      <c r="R17" s="76" t="str">
        <f t="shared" si="32"/>
        <v/>
      </c>
      <c r="S17" s="76" t="str">
        <f t="shared" si="32"/>
        <v/>
      </c>
      <c r="T17" s="76" t="str">
        <f t="shared" si="32"/>
        <v/>
      </c>
      <c r="U17" s="75" t="str">
        <f>IF((SUMIF($BC$21:$BC$102,$B17*100+U$3,$BA$22:$BA$103)+SUMIF($BC$21:$BC$102,$B17+U$3*100,$BA$22:$BA$103))=1,(SUMIF($BC$21:$BC$102,$B17*100+U$3,$J$19:$J$99)+SUMIF($BD$21:$BD$102,$B17*100+U$3,$M$19:$M$99)),"")</f>
        <v/>
      </c>
      <c r="V17" s="8">
        <f t="shared" si="19"/>
        <v>0</v>
      </c>
      <c r="W17" s="8">
        <f t="shared" si="20"/>
        <v>0</v>
      </c>
      <c r="X17" s="8">
        <f t="shared" si="21"/>
        <v>1</v>
      </c>
      <c r="AH17" s="56"/>
      <c r="AI17" s="12">
        <f t="shared" si="22"/>
        <v>0</v>
      </c>
      <c r="AJ17" s="12">
        <f t="shared" si="23"/>
        <v>0</v>
      </c>
      <c r="AK17" s="12">
        <f t="shared" si="24"/>
        <v>0</v>
      </c>
      <c r="AL17" s="12">
        <f t="shared" si="25"/>
        <v>0</v>
      </c>
      <c r="AM17" s="12">
        <f t="shared" si="26"/>
        <v>0</v>
      </c>
      <c r="AN17" s="12">
        <f t="shared" si="27"/>
        <v>0</v>
      </c>
      <c r="AO17" s="12"/>
      <c r="AP17" s="12">
        <f t="shared" si="28"/>
        <v>0</v>
      </c>
      <c r="AQ17" s="12">
        <f t="shared" si="29"/>
        <v>0</v>
      </c>
      <c r="AR17" s="12">
        <f t="shared" si="30"/>
        <v>0</v>
      </c>
      <c r="AS17" s="12">
        <f t="shared" si="31"/>
        <v>1</v>
      </c>
      <c r="AT17" s="6"/>
      <c r="AU17" s="6"/>
      <c r="AV17" s="6"/>
      <c r="AW17" s="6"/>
      <c r="AX17" s="37">
        <v>14</v>
      </c>
      <c r="AY17" s="38">
        <f t="shared" si="1"/>
        <v>0</v>
      </c>
      <c r="AZ17" s="39">
        <f t="shared" ca="1" si="2"/>
        <v>0</v>
      </c>
      <c r="BA17" s="39">
        <f t="shared" si="3"/>
        <v>0</v>
      </c>
      <c r="BB17" s="6"/>
      <c r="BC17" s="6">
        <v>14</v>
      </c>
      <c r="BD17" s="6">
        <f t="shared" si="4"/>
        <v>0</v>
      </c>
      <c r="BE17" s="6">
        <f t="shared" si="4"/>
        <v>0</v>
      </c>
      <c r="BF17" s="6">
        <f t="shared" si="4"/>
        <v>0</v>
      </c>
      <c r="BG17" s="6">
        <f t="shared" si="4"/>
        <v>0</v>
      </c>
      <c r="BH17" s="6">
        <f t="shared" si="4"/>
        <v>0</v>
      </c>
      <c r="BI17" s="6">
        <f t="shared" si="4"/>
        <v>0</v>
      </c>
      <c r="BJ17" s="6">
        <f t="shared" si="4"/>
        <v>0</v>
      </c>
      <c r="BK17" s="6">
        <f t="shared" si="4"/>
        <v>0</v>
      </c>
      <c r="BL17" s="6">
        <f t="shared" si="4"/>
        <v>0</v>
      </c>
      <c r="BM17" s="6">
        <f t="shared" si="4"/>
        <v>0</v>
      </c>
      <c r="BN17" s="6">
        <f t="shared" si="4"/>
        <v>0</v>
      </c>
      <c r="BO17" s="6">
        <f t="shared" si="4"/>
        <v>0</v>
      </c>
      <c r="BP17" s="6">
        <f t="shared" si="4"/>
        <v>0</v>
      </c>
      <c r="BQ17" s="6"/>
      <c r="BR17" s="6">
        <v>14</v>
      </c>
      <c r="BS17" s="6">
        <f t="shared" si="5"/>
        <v>0</v>
      </c>
      <c r="BT17" s="6">
        <f t="shared" si="6"/>
        <v>0</v>
      </c>
      <c r="BU17" s="6">
        <f t="shared" si="7"/>
        <v>0</v>
      </c>
      <c r="BV17" s="6">
        <f t="shared" si="8"/>
        <v>0</v>
      </c>
      <c r="BW17" s="6">
        <f t="shared" si="9"/>
        <v>0</v>
      </c>
      <c r="BX17" s="6">
        <f t="shared" si="10"/>
        <v>0</v>
      </c>
      <c r="BY17" s="6">
        <f t="shared" si="11"/>
        <v>0</v>
      </c>
      <c r="BZ17" s="6">
        <f t="shared" si="12"/>
        <v>0</v>
      </c>
      <c r="CA17" s="6">
        <f t="shared" si="13"/>
        <v>0</v>
      </c>
      <c r="CB17" s="6">
        <f t="shared" si="14"/>
        <v>0</v>
      </c>
      <c r="CC17" s="6">
        <f t="shared" si="15"/>
        <v>0</v>
      </c>
      <c r="CD17" s="6">
        <f t="shared" si="16"/>
        <v>0</v>
      </c>
      <c r="CE17" s="6">
        <f t="shared" si="17"/>
        <v>0</v>
      </c>
    </row>
    <row r="18" spans="1:83" x14ac:dyDescent="0.25">
      <c r="A18" s="89"/>
      <c r="B18" s="6"/>
      <c r="C18" s="6"/>
      <c r="D18" s="6"/>
      <c r="E18" s="6"/>
      <c r="F18" s="6"/>
      <c r="G18" s="6"/>
      <c r="H18" s="6"/>
      <c r="I18" s="6"/>
      <c r="J18" s="6"/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0"/>
      <c r="X18" s="6"/>
      <c r="Z18" s="6"/>
      <c r="AA18" s="6"/>
      <c r="AB18" s="6"/>
      <c r="AD18" s="6"/>
      <c r="AE18" s="6"/>
      <c r="AF18" s="6"/>
      <c r="AG18" s="6"/>
      <c r="AH18" s="6"/>
      <c r="AI18" s="77">
        <f>2*MAX(AI4:AI17)+1</f>
        <v>1</v>
      </c>
      <c r="AJ18" s="6"/>
      <c r="AK18" s="77">
        <f>2*MAX(AK4:AK17)+1</f>
        <v>1</v>
      </c>
      <c r="AL18" s="6"/>
      <c r="AM18" s="77">
        <f>2*MAX(AM4:AM17)+1</f>
        <v>1</v>
      </c>
      <c r="AN18" s="6"/>
      <c r="AO18" s="6"/>
      <c r="AP18" s="6"/>
      <c r="AQ18" s="6"/>
      <c r="AR18" s="6"/>
      <c r="AS18" s="56"/>
      <c r="AT18" s="6"/>
      <c r="AU18" s="6"/>
      <c r="AV18" s="6"/>
      <c r="AW18" s="6"/>
      <c r="AX18" s="69"/>
      <c r="AY18" s="70"/>
      <c r="AZ18" s="70"/>
      <c r="BA18" s="70"/>
      <c r="BB18" s="6"/>
      <c r="BC18" s="6"/>
      <c r="BD18" s="6"/>
      <c r="BE18" s="6"/>
      <c r="BF18" s="6"/>
      <c r="BG18" s="6"/>
      <c r="BH18" s="6"/>
      <c r="BI18" s="6"/>
      <c r="BJ18" s="6"/>
      <c r="BK18" s="6"/>
      <c r="BL18" s="6"/>
      <c r="BM18" s="6"/>
      <c r="BN18" s="6"/>
      <c r="BO18" s="6"/>
      <c r="BP18" s="6"/>
      <c r="BQ18" s="6"/>
      <c r="BR18" s="6"/>
      <c r="BS18" s="6"/>
      <c r="BT18" s="6"/>
      <c r="BU18" s="6"/>
      <c r="BV18" s="6"/>
      <c r="BW18" s="6"/>
      <c r="BX18" s="6"/>
      <c r="BY18" s="6"/>
      <c r="BZ18" s="6"/>
      <c r="CA18" s="6"/>
      <c r="CB18" s="6"/>
    </row>
    <row r="19" spans="1:83" x14ac:dyDescent="0.25">
      <c r="B19" s="11"/>
      <c r="C19" s="11"/>
      <c r="D19" s="11"/>
      <c r="E19" s="11"/>
      <c r="F19" s="11"/>
      <c r="G19" s="11"/>
      <c r="H19" s="11"/>
      <c r="I19" s="11"/>
      <c r="J19" s="11"/>
      <c r="K19" s="11"/>
      <c r="L19" s="11"/>
      <c r="M19" s="11"/>
      <c r="N19" s="11"/>
      <c r="O19" s="11"/>
      <c r="P19" s="11"/>
      <c r="Q19" s="11"/>
      <c r="R19" s="11"/>
      <c r="S19" s="11"/>
      <c r="T19" s="11"/>
      <c r="U19" s="11"/>
      <c r="V19" s="11"/>
      <c r="W19" s="11"/>
      <c r="X19" s="11"/>
      <c r="Z19" s="6"/>
      <c r="AA19" s="6"/>
      <c r="AB19" s="6"/>
      <c r="AC19" s="6"/>
      <c r="AD19" s="6"/>
      <c r="AE19" s="6"/>
      <c r="AF19" s="6"/>
      <c r="AG19" s="6"/>
      <c r="AH19" s="6"/>
      <c r="AI19" s="6"/>
      <c r="AJ19" s="6"/>
      <c r="AK19" s="6"/>
      <c r="AL19" s="6"/>
      <c r="AM19" s="6"/>
      <c r="AN19" s="6"/>
      <c r="AO19" s="6"/>
      <c r="AP19" s="6"/>
      <c r="AQ19" s="6"/>
      <c r="AR19" s="6"/>
      <c r="AS19" s="6"/>
      <c r="AT19" s="6"/>
      <c r="AU19" s="6"/>
      <c r="AV19" s="6"/>
      <c r="AW19" s="6"/>
      <c r="AX19" s="41" t="s">
        <v>39</v>
      </c>
      <c r="AY19" s="41" t="s">
        <v>0</v>
      </c>
      <c r="AZ19" s="41" t="s">
        <v>1</v>
      </c>
      <c r="BA19" s="41" t="s">
        <v>2</v>
      </c>
      <c r="BB19" s="6"/>
      <c r="BC19" s="42" t="s">
        <v>37</v>
      </c>
      <c r="BD19" s="42" t="s">
        <v>38</v>
      </c>
      <c r="BE19" s="6" t="s">
        <v>18</v>
      </c>
      <c r="BF19" s="6" t="s">
        <v>19</v>
      </c>
      <c r="BG19" s="6" t="s">
        <v>20</v>
      </c>
      <c r="BH19" s="6" t="s">
        <v>21</v>
      </c>
      <c r="BI19" s="6"/>
      <c r="BJ19" s="6"/>
      <c r="BK19" s="6"/>
      <c r="BL19" s="6"/>
      <c r="BM19" s="6"/>
      <c r="BN19" s="6"/>
      <c r="BO19" s="6"/>
      <c r="BP19" s="6"/>
      <c r="BQ19" s="6"/>
      <c r="BR19" s="6"/>
      <c r="BS19" s="6"/>
      <c r="BT19" s="6"/>
      <c r="BU19" s="6"/>
      <c r="BV19" s="6"/>
      <c r="BW19" s="6"/>
      <c r="BX19" s="6"/>
      <c r="BY19" s="6"/>
      <c r="BZ19" s="6"/>
      <c r="CA19" s="6"/>
      <c r="CB19" s="6"/>
    </row>
    <row r="20" spans="1:83" x14ac:dyDescent="0.25">
      <c r="B20" s="45" t="s">
        <v>3</v>
      </c>
      <c r="C20" s="6"/>
      <c r="D20" s="6"/>
      <c r="E20" s="6"/>
      <c r="F20" s="6"/>
      <c r="G20" s="6"/>
      <c r="H20" s="6"/>
      <c r="I20" s="6"/>
      <c r="J20" s="6"/>
      <c r="K20" s="6"/>
      <c r="L20" s="6"/>
      <c r="M20" s="6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6"/>
      <c r="AR20" s="6"/>
      <c r="AS20" s="6"/>
      <c r="AT20" s="6"/>
      <c r="AU20" s="6"/>
      <c r="AV20" s="6"/>
      <c r="AW20" s="6"/>
      <c r="AX20" s="6"/>
      <c r="AY20" s="6"/>
      <c r="AZ20" s="6"/>
      <c r="BA20" s="6"/>
      <c r="BB20" s="6"/>
      <c r="BC20" s="48"/>
      <c r="BD20" s="48"/>
      <c r="BE20" s="6">
        <v>0</v>
      </c>
      <c r="BF20" s="6">
        <v>0</v>
      </c>
      <c r="BG20" s="6">
        <f>N18*BF20</f>
        <v>0</v>
      </c>
      <c r="BH20" s="6">
        <f>Q18*BE20</f>
        <v>0</v>
      </c>
      <c r="BI20" s="6"/>
      <c r="BJ20" s="6"/>
      <c r="BK20" s="6"/>
      <c r="BL20" s="6"/>
      <c r="BM20" s="6"/>
      <c r="BN20" s="6"/>
      <c r="BO20" s="6"/>
      <c r="BP20" s="6"/>
      <c r="BQ20" s="6"/>
      <c r="BR20" s="6"/>
      <c r="BS20" s="6"/>
      <c r="BT20" s="6"/>
      <c r="BU20" s="6"/>
      <c r="BV20" s="6"/>
      <c r="BW20" s="6"/>
      <c r="BX20" s="6"/>
      <c r="BY20" s="6"/>
      <c r="BZ20" s="6"/>
      <c r="CA20" s="6"/>
      <c r="CB20" s="6"/>
    </row>
    <row r="21" spans="1:83" x14ac:dyDescent="0.25">
      <c r="B21" s="6">
        <v>1</v>
      </c>
      <c r="C21" s="6" t="str">
        <f>VLOOKUP(AY21,$B$4:$F$17,2,FALSE)</f>
        <v>A</v>
      </c>
      <c r="D21" s="46" t="s">
        <v>5</v>
      </c>
      <c r="E21" s="90" t="str">
        <f t="shared" ref="E21:E27" si="33">VLOOKUP(AZ21,$B$4:$F$17,2,FALSE)</f>
        <v>O</v>
      </c>
      <c r="F21" s="90"/>
      <c r="G21" s="90"/>
      <c r="H21" s="90"/>
      <c r="I21" s="6"/>
      <c r="J21" s="90" t="str">
        <f>IF(X21="","",VLOOKUP(X21,Configuratie!$B$2:$E$11,3,FALSE))</f>
        <v/>
      </c>
      <c r="K21" s="90"/>
      <c r="L21" s="6" t="s">
        <v>5</v>
      </c>
      <c r="M21" s="90" t="str">
        <f>IF(X21="","",VLOOKUP(X21,Configuratie!$B$2:$E$11,4,FALSE))</f>
        <v/>
      </c>
      <c r="N21" s="90"/>
      <c r="O21" s="6"/>
      <c r="P21" s="6"/>
      <c r="Q21" s="6"/>
      <c r="R21" s="6"/>
      <c r="S21" s="6"/>
      <c r="T21" s="6"/>
      <c r="U21" s="6"/>
      <c r="V21" s="6" t="str">
        <f>IF(X21="","",VLOOKUP(X21,Configuratie!$B$2:$E$11,2,FALSE))</f>
        <v/>
      </c>
      <c r="W21" s="61"/>
      <c r="X21" s="5"/>
      <c r="Z21" s="6"/>
      <c r="AA21" s="6"/>
      <c r="AB21" s="6"/>
      <c r="AC21" s="6"/>
      <c r="AD21" s="6"/>
      <c r="AE21" s="6"/>
      <c r="AF21" s="6"/>
      <c r="AG21" s="6"/>
      <c r="AH21" s="6"/>
      <c r="AI21" s="6"/>
      <c r="AJ21" s="6"/>
      <c r="AK21" s="6"/>
      <c r="AL21" s="6"/>
      <c r="AM21" s="6"/>
      <c r="AN21" s="6"/>
      <c r="AO21" s="6"/>
      <c r="AP21" s="6"/>
      <c r="AQ21" s="6"/>
      <c r="AR21" s="6"/>
      <c r="AS21" s="6"/>
      <c r="AT21" s="6"/>
      <c r="AU21" s="6"/>
      <c r="AV21" s="6"/>
      <c r="AW21" s="6"/>
      <c r="AX21" s="6">
        <v>1</v>
      </c>
      <c r="AY21" s="6">
        <v>1</v>
      </c>
      <c r="AZ21" s="6">
        <v>14</v>
      </c>
      <c r="BA21" s="6" t="str">
        <f>IF(AND(ISNUMBER(J21),ISNUMBER(M21)),IF(J21+M21=1,1,0),"")</f>
        <v/>
      </c>
      <c r="BB21" s="6"/>
      <c r="BC21" s="48">
        <f>AY21*100+AZ21</f>
        <v>114</v>
      </c>
      <c r="BD21" s="48">
        <f>AZ21*100+AY21</f>
        <v>1401</v>
      </c>
      <c r="BE21" s="6">
        <v>0</v>
      </c>
      <c r="BF21" s="6">
        <v>0</v>
      </c>
      <c r="BG21" s="6" t="e">
        <f>#REF!*BF21</f>
        <v>#REF!</v>
      </c>
      <c r="BH21" s="6" t="e">
        <f>#REF!*BE21</f>
        <v>#REF!</v>
      </c>
      <c r="BI21" s="6"/>
      <c r="BJ21" s="6"/>
      <c r="BK21" s="6"/>
      <c r="BL21" s="6"/>
      <c r="BM21" s="6"/>
      <c r="BN21" s="6"/>
      <c r="BO21" s="6"/>
      <c r="BP21" s="6"/>
      <c r="BQ21" s="6"/>
      <c r="BR21" s="6"/>
      <c r="BS21" s="6"/>
      <c r="BT21" s="6"/>
      <c r="BU21" s="6"/>
      <c r="BV21" s="6"/>
      <c r="BW21" s="6"/>
      <c r="BX21" s="6"/>
      <c r="BY21" s="6"/>
      <c r="BZ21" s="6"/>
      <c r="CA21" s="6"/>
      <c r="CB21" s="6"/>
    </row>
    <row r="22" spans="1:83" x14ac:dyDescent="0.25">
      <c r="B22" s="6">
        <v>2</v>
      </c>
      <c r="C22" s="6" t="str">
        <f t="shared" ref="C22:C27" si="34">VLOOKUP(AY22,$B$4:$F$17,2,FALSE)</f>
        <v>B</v>
      </c>
      <c r="D22" s="46" t="s">
        <v>5</v>
      </c>
      <c r="E22" s="90" t="str">
        <f t="shared" si="33"/>
        <v>N</v>
      </c>
      <c r="F22" s="90"/>
      <c r="G22" s="90"/>
      <c r="H22" s="90"/>
      <c r="I22" s="6"/>
      <c r="J22" s="90" t="str">
        <f>IF(X22="","",VLOOKUP(X22,Configuratie!$B$2:$E$11,3,FALSE))</f>
        <v/>
      </c>
      <c r="K22" s="90"/>
      <c r="L22" s="6" t="s">
        <v>5</v>
      </c>
      <c r="M22" s="90" t="str">
        <f>IF(X22="","",VLOOKUP(X22,Configuratie!$B$2:$E$11,4,FALSE))</f>
        <v/>
      </c>
      <c r="N22" s="90"/>
      <c r="O22" s="6"/>
      <c r="P22" s="6"/>
      <c r="Q22" s="6"/>
      <c r="R22" s="6"/>
      <c r="S22" s="6"/>
      <c r="T22" s="6"/>
      <c r="U22" s="6"/>
      <c r="V22" s="6" t="str">
        <f>IF(X22="","",VLOOKUP(X22,Configuratie!$B$2:$E$11,2,FALSE))</f>
        <v/>
      </c>
      <c r="W22" s="61"/>
      <c r="X22" s="5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6"/>
      <c r="AL22" s="6"/>
      <c r="AM22" s="6"/>
      <c r="AN22" s="6"/>
      <c r="AO22" s="6"/>
      <c r="AP22" s="6"/>
      <c r="AQ22" s="6"/>
      <c r="AR22" s="6"/>
      <c r="AS22" s="6"/>
      <c r="AT22" s="6"/>
      <c r="AU22" s="6"/>
      <c r="AV22" s="6"/>
      <c r="AW22" s="6"/>
      <c r="AX22" s="6">
        <v>1</v>
      </c>
      <c r="AY22" s="6">
        <v>2</v>
      </c>
      <c r="AZ22" s="6">
        <v>13</v>
      </c>
      <c r="BA22" s="6" t="str">
        <f t="shared" ref="BA22:BA27" si="35">IF(AND(ISNUMBER(J22),ISNUMBER(M22)),IF(J22+M22=1,1,0),"")</f>
        <v/>
      </c>
      <c r="BB22" s="6"/>
      <c r="BC22" s="48">
        <f t="shared" ref="BC22:BC27" si="36">AY22*100+AZ22</f>
        <v>213</v>
      </c>
      <c r="BD22" s="48">
        <f t="shared" ref="BD22:BD26" si="37">AZ22*100+AY22</f>
        <v>1302</v>
      </c>
      <c r="BE22" s="6">
        <v>0</v>
      </c>
      <c r="BF22" s="6">
        <v>0</v>
      </c>
      <c r="BG22" s="6">
        <f>N19*BF22</f>
        <v>0</v>
      </c>
      <c r="BH22" s="6">
        <f>Q19*BE22</f>
        <v>0</v>
      </c>
      <c r="BI22" s="6"/>
      <c r="BJ22" s="6"/>
      <c r="BK22" s="6"/>
      <c r="BL22" s="6"/>
      <c r="BM22" s="6"/>
      <c r="BN22" s="6"/>
      <c r="BO22" s="6"/>
      <c r="BP22" s="6"/>
      <c r="BQ22" s="6"/>
      <c r="BR22" s="6"/>
      <c r="BS22" s="6"/>
      <c r="BT22" s="6"/>
      <c r="BU22" s="6"/>
      <c r="BV22" s="6"/>
      <c r="BW22" s="6"/>
      <c r="BX22" s="6"/>
      <c r="BY22" s="6"/>
      <c r="BZ22" s="6"/>
      <c r="CA22" s="6"/>
      <c r="CB22" s="6"/>
    </row>
    <row r="23" spans="1:83" x14ac:dyDescent="0.25">
      <c r="B23" s="6">
        <v>3</v>
      </c>
      <c r="C23" s="6" t="str">
        <f t="shared" si="34"/>
        <v>C</v>
      </c>
      <c r="D23" s="46" t="s">
        <v>5</v>
      </c>
      <c r="E23" s="90" t="str">
        <f t="shared" si="33"/>
        <v>M</v>
      </c>
      <c r="F23" s="90"/>
      <c r="G23" s="90"/>
      <c r="H23" s="90"/>
      <c r="I23" s="6"/>
      <c r="J23" s="90" t="str">
        <f>IF(X23="","",VLOOKUP(X23,Configuratie!$B$2:$E$11,3,FALSE))</f>
        <v/>
      </c>
      <c r="K23" s="90"/>
      <c r="L23" s="6" t="s">
        <v>5</v>
      </c>
      <c r="M23" s="90" t="str">
        <f>IF(X23="","",VLOOKUP(X23,Configuratie!$B$2:$E$11,4,FALSE))</f>
        <v/>
      </c>
      <c r="N23" s="90"/>
      <c r="O23" s="6"/>
      <c r="P23" s="6"/>
      <c r="Q23" s="6"/>
      <c r="R23" s="6"/>
      <c r="S23" s="6"/>
      <c r="T23" s="6"/>
      <c r="U23" s="6"/>
      <c r="V23" s="6" t="str">
        <f>IF(X23="","",VLOOKUP(X23,Configuratie!$B$2:$E$11,2,FALSE))</f>
        <v/>
      </c>
      <c r="W23" s="61"/>
      <c r="X23" s="5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>
        <v>1</v>
      </c>
      <c r="AY23" s="6">
        <v>3</v>
      </c>
      <c r="AZ23" s="6">
        <v>12</v>
      </c>
      <c r="BA23" s="6" t="str">
        <f t="shared" si="35"/>
        <v/>
      </c>
      <c r="BB23" s="6"/>
      <c r="BC23" s="48">
        <f t="shared" si="36"/>
        <v>312</v>
      </c>
      <c r="BD23" s="48">
        <f t="shared" si="37"/>
        <v>1203</v>
      </c>
      <c r="BE23" s="6">
        <v>0</v>
      </c>
      <c r="BF23" s="6">
        <v>0</v>
      </c>
      <c r="BG23" s="6">
        <f>N20*BF23</f>
        <v>0</v>
      </c>
      <c r="BH23" s="6">
        <f>Q20*BE23</f>
        <v>0</v>
      </c>
      <c r="BI23" s="6"/>
      <c r="BJ23" s="6"/>
      <c r="BK23" s="6"/>
      <c r="BL23" s="6"/>
      <c r="BM23" s="6"/>
      <c r="BN23" s="6"/>
      <c r="BO23" s="6"/>
      <c r="BP23" s="6"/>
      <c r="BQ23" s="6"/>
      <c r="BR23" s="6"/>
      <c r="BS23" s="6"/>
      <c r="BT23" s="6"/>
      <c r="BU23" s="6"/>
      <c r="BV23" s="6"/>
      <c r="BW23" s="6"/>
      <c r="BX23" s="6"/>
      <c r="BY23" s="6"/>
      <c r="BZ23" s="6"/>
      <c r="CA23" s="6"/>
      <c r="CB23" s="6"/>
    </row>
    <row r="24" spans="1:83" x14ac:dyDescent="0.25">
      <c r="B24" s="6">
        <v>4</v>
      </c>
      <c r="C24" s="6" t="str">
        <f t="shared" si="34"/>
        <v>D</v>
      </c>
      <c r="D24" s="46" t="s">
        <v>5</v>
      </c>
      <c r="E24" s="90" t="str">
        <f t="shared" si="33"/>
        <v>L</v>
      </c>
      <c r="F24" s="90"/>
      <c r="G24" s="90"/>
      <c r="H24" s="90"/>
      <c r="I24" s="6"/>
      <c r="J24" s="90" t="str">
        <f>IF(X24="","",VLOOKUP(X24,Configuratie!$B$2:$E$11,3,FALSE))</f>
        <v/>
      </c>
      <c r="K24" s="90"/>
      <c r="L24" s="6" t="s">
        <v>5</v>
      </c>
      <c r="M24" s="90" t="str">
        <f>IF(X24="","",VLOOKUP(X24,Configuratie!$B$2:$E$11,4,FALSE))</f>
        <v/>
      </c>
      <c r="N24" s="90"/>
      <c r="O24" s="6"/>
      <c r="P24" s="6"/>
      <c r="Q24" s="6"/>
      <c r="R24" s="6"/>
      <c r="S24" s="6"/>
      <c r="T24" s="6"/>
      <c r="U24" s="6"/>
      <c r="V24" s="6" t="str">
        <f>IF(X24="","",VLOOKUP(X24,Configuratie!$B$2:$E$11,2,FALSE))</f>
        <v/>
      </c>
      <c r="W24" s="61"/>
      <c r="X24" s="5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  <c r="AX24" s="6">
        <v>1</v>
      </c>
      <c r="AY24" s="6">
        <v>4</v>
      </c>
      <c r="AZ24" s="6">
        <v>11</v>
      </c>
      <c r="BA24" s="6" t="str">
        <f t="shared" si="35"/>
        <v/>
      </c>
      <c r="BB24" s="6"/>
      <c r="BC24" s="48">
        <f t="shared" si="36"/>
        <v>411</v>
      </c>
      <c r="BD24" s="48">
        <f t="shared" si="37"/>
        <v>1104</v>
      </c>
      <c r="BE24" s="6">
        <v>0</v>
      </c>
      <c r="BF24" s="6">
        <v>0</v>
      </c>
      <c r="BG24" s="6">
        <f>N21*BF24</f>
        <v>0</v>
      </c>
      <c r="BH24" s="6">
        <f>Q21*BE24</f>
        <v>0</v>
      </c>
      <c r="BI24" s="6"/>
      <c r="BJ24" s="6"/>
      <c r="BK24" s="6"/>
      <c r="BL24" s="6"/>
      <c r="BM24" s="6"/>
      <c r="BN24" s="6"/>
      <c r="BO24" s="6"/>
      <c r="BP24" s="6"/>
      <c r="BQ24" s="6"/>
      <c r="BR24" s="6"/>
      <c r="BS24" s="6"/>
      <c r="BT24" s="6"/>
      <c r="BU24" s="6"/>
      <c r="BV24" s="6"/>
      <c r="BW24" s="6"/>
      <c r="BX24" s="6"/>
      <c r="BY24" s="6"/>
      <c r="BZ24" s="6"/>
      <c r="CA24" s="6"/>
      <c r="CB24" s="6"/>
    </row>
    <row r="25" spans="1:83" x14ac:dyDescent="0.25">
      <c r="B25" s="6">
        <v>5</v>
      </c>
      <c r="C25" s="6" t="str">
        <f t="shared" si="34"/>
        <v>E</v>
      </c>
      <c r="D25" s="46" t="s">
        <v>5</v>
      </c>
      <c r="E25" s="90" t="str">
        <f t="shared" si="33"/>
        <v>K</v>
      </c>
      <c r="F25" s="90"/>
      <c r="G25" s="90"/>
      <c r="H25" s="90"/>
      <c r="I25" s="6"/>
      <c r="J25" s="90" t="str">
        <f>IF(X25="","",VLOOKUP(X25,Configuratie!$B$2:$E$11,3,FALSE))</f>
        <v/>
      </c>
      <c r="K25" s="90"/>
      <c r="L25" s="6" t="s">
        <v>5</v>
      </c>
      <c r="M25" s="90" t="str">
        <f>IF(X25="","",VLOOKUP(X25,Configuratie!$B$2:$E$11,4,FALSE))</f>
        <v/>
      </c>
      <c r="N25" s="90"/>
      <c r="O25" s="6"/>
      <c r="P25" s="6"/>
      <c r="Q25" s="6"/>
      <c r="R25" s="6"/>
      <c r="S25" s="6"/>
      <c r="T25" s="6"/>
      <c r="U25" s="6"/>
      <c r="V25" s="6" t="str">
        <f>IF(X25="","",VLOOKUP(X25,Configuratie!$B$2:$E$11,2,FALSE))</f>
        <v/>
      </c>
      <c r="W25" s="61"/>
      <c r="X25" s="5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>
        <v>1</v>
      </c>
      <c r="AY25" s="6">
        <v>5</v>
      </c>
      <c r="AZ25" s="6">
        <v>10</v>
      </c>
      <c r="BA25" s="6" t="str">
        <f t="shared" si="35"/>
        <v/>
      </c>
      <c r="BB25" s="6"/>
      <c r="BC25" s="48">
        <f t="shared" si="36"/>
        <v>510</v>
      </c>
      <c r="BD25" s="48">
        <f>AZ25*100+AY25</f>
        <v>1005</v>
      </c>
      <c r="BE25" s="6"/>
      <c r="BF25" s="6"/>
      <c r="BG25" s="6"/>
      <c r="BH25" s="6"/>
      <c r="BI25" s="6"/>
      <c r="BJ25" s="6"/>
      <c r="BK25" s="6"/>
      <c r="BL25" s="6"/>
      <c r="BM25" s="6"/>
      <c r="BN25" s="6"/>
      <c r="BO25" s="6"/>
      <c r="BP25" s="6"/>
      <c r="BQ25" s="6"/>
      <c r="BR25" s="6"/>
      <c r="BS25" s="6"/>
      <c r="BT25" s="6"/>
      <c r="BU25" s="6"/>
      <c r="BV25" s="6"/>
      <c r="BW25" s="6"/>
      <c r="BX25" s="6"/>
      <c r="BY25" s="6"/>
      <c r="BZ25" s="6"/>
      <c r="CA25" s="6"/>
      <c r="CB25" s="6"/>
    </row>
    <row r="26" spans="1:83" x14ac:dyDescent="0.25">
      <c r="B26" s="6">
        <v>6</v>
      </c>
      <c r="C26" s="6" t="str">
        <f t="shared" si="34"/>
        <v>G</v>
      </c>
      <c r="D26" s="46" t="s">
        <v>5</v>
      </c>
      <c r="E26" s="90" t="str">
        <f t="shared" si="33"/>
        <v>J</v>
      </c>
      <c r="F26" s="90"/>
      <c r="G26" s="90"/>
      <c r="H26" s="90"/>
      <c r="I26" s="6"/>
      <c r="J26" s="90" t="str">
        <f>IF(X26="","",VLOOKUP(X26,Configuratie!$B$2:$E$11,3,FALSE))</f>
        <v/>
      </c>
      <c r="K26" s="90"/>
      <c r="L26" s="6" t="s">
        <v>5</v>
      </c>
      <c r="M26" s="90" t="str">
        <f>IF(X26="","",VLOOKUP(X26,Configuratie!$B$2:$E$11,4,FALSE))</f>
        <v/>
      </c>
      <c r="N26" s="90"/>
      <c r="O26" s="6"/>
      <c r="P26" s="6"/>
      <c r="Q26" s="6"/>
      <c r="R26" s="6"/>
      <c r="S26" s="6"/>
      <c r="T26" s="6"/>
      <c r="U26" s="6"/>
      <c r="V26" s="6" t="str">
        <f>IF(X26="","",VLOOKUP(X26,Configuratie!$B$2:$E$11,2,FALSE))</f>
        <v/>
      </c>
      <c r="W26" s="61"/>
      <c r="X26" s="5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>
        <v>1</v>
      </c>
      <c r="AY26" s="6">
        <v>6</v>
      </c>
      <c r="AZ26" s="6">
        <v>9</v>
      </c>
      <c r="BA26" s="6" t="str">
        <f t="shared" si="35"/>
        <v/>
      </c>
      <c r="BB26" s="6"/>
      <c r="BC26" s="48">
        <f t="shared" si="36"/>
        <v>609</v>
      </c>
      <c r="BD26" s="48">
        <f t="shared" si="37"/>
        <v>906</v>
      </c>
      <c r="BE26" s="6"/>
      <c r="BF26" s="6"/>
      <c r="BG26" s="6"/>
      <c r="BH26" s="6"/>
      <c r="BI26" s="6"/>
      <c r="BJ26" s="6"/>
      <c r="BK26" s="6"/>
      <c r="BL26" s="6"/>
      <c r="BM26" s="6"/>
      <c r="BN26" s="6"/>
      <c r="BO26" s="6"/>
      <c r="BP26" s="6"/>
      <c r="BQ26" s="6"/>
      <c r="BR26" s="6"/>
      <c r="BS26" s="6"/>
      <c r="BT26" s="6"/>
      <c r="BU26" s="6"/>
      <c r="BV26" s="6"/>
      <c r="BW26" s="6"/>
      <c r="BX26" s="6"/>
      <c r="BY26" s="6"/>
      <c r="BZ26" s="6"/>
      <c r="CA26" s="6"/>
      <c r="CB26" s="6"/>
    </row>
    <row r="27" spans="1:83" x14ac:dyDescent="0.25">
      <c r="B27" s="6">
        <v>7</v>
      </c>
      <c r="C27" s="6" t="str">
        <f t="shared" si="34"/>
        <v>H</v>
      </c>
      <c r="D27" s="46" t="s">
        <v>5</v>
      </c>
      <c r="E27" s="90" t="str">
        <f t="shared" si="33"/>
        <v>I</v>
      </c>
      <c r="F27" s="90"/>
      <c r="G27" s="90"/>
      <c r="H27" s="90"/>
      <c r="I27" s="6"/>
      <c r="J27" s="90" t="str">
        <f>IF(X27="","",VLOOKUP(X27,Configuratie!$B$2:$E$11,3,FALSE))</f>
        <v/>
      </c>
      <c r="K27" s="90"/>
      <c r="L27" s="6" t="s">
        <v>5</v>
      </c>
      <c r="M27" s="90" t="str">
        <f>IF(X27="","",VLOOKUP(X27,Configuratie!$B$2:$E$11,4,FALSE))</f>
        <v/>
      </c>
      <c r="N27" s="90"/>
      <c r="O27" s="6"/>
      <c r="P27" s="6"/>
      <c r="Q27" s="6"/>
      <c r="R27" s="6"/>
      <c r="S27" s="6"/>
      <c r="T27" s="6"/>
      <c r="U27" s="6"/>
      <c r="V27" s="6" t="str">
        <f>IF(X27="","",VLOOKUP(X27,Configuratie!$B$2:$E$11,2,FALSE))</f>
        <v/>
      </c>
      <c r="W27" s="61"/>
      <c r="X27" s="5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>
        <v>1</v>
      </c>
      <c r="AY27" s="6">
        <v>7</v>
      </c>
      <c r="AZ27" s="6">
        <v>8</v>
      </c>
      <c r="BA27" s="6" t="str">
        <f t="shared" si="35"/>
        <v/>
      </c>
      <c r="BB27" s="6"/>
      <c r="BC27" s="48">
        <f t="shared" si="36"/>
        <v>708</v>
      </c>
      <c r="BD27" s="48">
        <f>AZ27*100+AY27</f>
        <v>807</v>
      </c>
      <c r="BE27" s="6" t="e">
        <f t="shared" ref="BE27:BF31" si="38">VLOOKUP(AY30,$BJ$3:$BW$13,$AT24,FALSE)</f>
        <v>#N/A</v>
      </c>
      <c r="BF27" s="6" t="e">
        <f t="shared" si="38"/>
        <v>#N/A</v>
      </c>
      <c r="BG27" s="6" t="e">
        <f>N24*BF27</f>
        <v>#N/A</v>
      </c>
      <c r="BH27" s="6" t="e">
        <f>Q24*BE27</f>
        <v>#N/A</v>
      </c>
      <c r="BI27" s="6"/>
      <c r="BJ27" s="6"/>
      <c r="BK27" s="6"/>
      <c r="BL27" s="6"/>
      <c r="BM27" s="6"/>
      <c r="BN27" s="6"/>
      <c r="BO27" s="6"/>
      <c r="BP27" s="6"/>
      <c r="BQ27" s="6"/>
      <c r="BR27" s="6"/>
      <c r="BS27" s="6"/>
      <c r="BT27" s="6"/>
      <c r="BU27" s="6"/>
      <c r="BV27" s="6"/>
      <c r="BW27" s="6"/>
      <c r="BX27" s="6"/>
      <c r="BY27" s="6"/>
      <c r="BZ27" s="6"/>
      <c r="CA27" s="6"/>
      <c r="CB27" s="6"/>
    </row>
    <row r="28" spans="1:83" x14ac:dyDescent="0.25">
      <c r="B28" s="11"/>
      <c r="C28" s="11"/>
      <c r="D28" s="11"/>
      <c r="E28" s="11"/>
      <c r="F28" s="11"/>
      <c r="G28" s="11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1"/>
      <c r="S28" s="11"/>
      <c r="T28" s="11"/>
      <c r="U28" s="11"/>
      <c r="V28" s="11"/>
      <c r="W28" s="11"/>
      <c r="X28" s="11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6"/>
      <c r="AZ28" s="6"/>
      <c r="BA28" s="6" t="str">
        <f t="shared" ref="BA28:BA29" si="39">IF(AND(ISNUMBER(N24),ISNUMBER(Q24)),IF(N24+Q24=1,1,0),"")</f>
        <v/>
      </c>
      <c r="BB28" s="6"/>
      <c r="BC28" s="48"/>
      <c r="BD28" s="48"/>
      <c r="BE28" s="6" t="e">
        <f t="shared" si="38"/>
        <v>#N/A</v>
      </c>
      <c r="BF28" s="6" t="e">
        <f t="shared" si="38"/>
        <v>#N/A</v>
      </c>
      <c r="BG28" s="6" t="e">
        <f>N25*BF28</f>
        <v>#N/A</v>
      </c>
      <c r="BH28" s="6" t="e">
        <f>Q25*BE28</f>
        <v>#N/A</v>
      </c>
      <c r="BI28" s="6"/>
      <c r="BJ28" s="6"/>
      <c r="BK28" s="6"/>
      <c r="BL28" s="6"/>
      <c r="BM28" s="6"/>
      <c r="BN28" s="6"/>
      <c r="BO28" s="6"/>
      <c r="BP28" s="6"/>
      <c r="BQ28" s="6"/>
      <c r="BR28" s="6"/>
      <c r="BS28" s="6"/>
      <c r="BT28" s="6"/>
      <c r="BU28" s="6"/>
      <c r="BV28" s="6"/>
      <c r="BW28" s="6"/>
      <c r="BX28" s="6"/>
      <c r="BY28" s="6"/>
      <c r="BZ28" s="6"/>
      <c r="CA28" s="6"/>
      <c r="CB28" s="6"/>
    </row>
    <row r="29" spans="1:83" x14ac:dyDescent="0.25">
      <c r="B29" s="45" t="s">
        <v>9</v>
      </c>
      <c r="C29" s="6"/>
      <c r="D29" s="6"/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 t="str">
        <f t="shared" si="39"/>
        <v/>
      </c>
      <c r="BB29" s="6"/>
      <c r="BC29" s="48"/>
      <c r="BD29" s="48"/>
      <c r="BE29" s="6" t="e">
        <f t="shared" si="38"/>
        <v>#N/A</v>
      </c>
      <c r="BF29" s="6" t="e">
        <f t="shared" si="38"/>
        <v>#N/A</v>
      </c>
      <c r="BG29" s="6" t="e">
        <f>N26*BF29</f>
        <v>#N/A</v>
      </c>
      <c r="BH29" s="6" t="e">
        <f>Q26*BE29</f>
        <v>#N/A</v>
      </c>
      <c r="BI29" s="6"/>
      <c r="BJ29" s="6"/>
      <c r="BK29" s="6"/>
      <c r="BL29" s="6"/>
      <c r="BM29" s="6"/>
      <c r="BN29" s="6"/>
      <c r="BO29" s="6"/>
      <c r="BP29" s="6"/>
      <c r="BQ29" s="6"/>
      <c r="BR29" s="6"/>
      <c r="BS29" s="6"/>
      <c r="BT29" s="6"/>
      <c r="BU29" s="6"/>
      <c r="BV29" s="6"/>
      <c r="BW29" s="6"/>
      <c r="BX29" s="6"/>
      <c r="BY29" s="6"/>
      <c r="BZ29" s="6"/>
      <c r="CA29" s="6"/>
      <c r="CB29" s="6"/>
    </row>
    <row r="30" spans="1:83" x14ac:dyDescent="0.25">
      <c r="B30" s="6">
        <v>1</v>
      </c>
      <c r="C30" s="6" t="str">
        <f>VLOOKUP(AY30,$B$4:$F$17,2,FALSE)</f>
        <v>N</v>
      </c>
      <c r="D30" s="46" t="s">
        <v>5</v>
      </c>
      <c r="E30" s="90" t="str">
        <f t="shared" ref="E30:E36" si="40">VLOOKUP(AZ30,$B$4:$F$17,2,FALSE)</f>
        <v>A</v>
      </c>
      <c r="F30" s="90"/>
      <c r="G30" s="90"/>
      <c r="H30" s="90"/>
      <c r="I30" s="6"/>
      <c r="J30" s="90" t="str">
        <f>IF(X30="","",VLOOKUP(X30,Configuratie!$B$2:$E$11,3,FALSE))</f>
        <v/>
      </c>
      <c r="K30" s="90"/>
      <c r="L30" s="6" t="s">
        <v>5</v>
      </c>
      <c r="M30" s="90" t="str">
        <f>IF(X30="","",VLOOKUP(X30,Configuratie!$B$2:$E$11,4,FALSE))</f>
        <v/>
      </c>
      <c r="N30" s="90"/>
      <c r="O30" s="6"/>
      <c r="P30" s="6"/>
      <c r="Q30" s="6"/>
      <c r="R30" s="6"/>
      <c r="S30" s="6"/>
      <c r="T30" s="6"/>
      <c r="U30" s="6"/>
      <c r="V30" s="6" t="str">
        <f>IF(X30="","",VLOOKUP(X30,Configuratie!$B$2:$E$11,2,FALSE))</f>
        <v/>
      </c>
      <c r="W30" s="61"/>
      <c r="X30" s="5"/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  <c r="AK30" s="6"/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>
        <v>2</v>
      </c>
      <c r="AY30" s="6">
        <v>13</v>
      </c>
      <c r="AZ30" s="6">
        <v>1</v>
      </c>
      <c r="BA30" s="6" t="str">
        <f>IF(AND(ISNUMBER(J30),ISNUMBER(M30)),IF(J30+M30=1,1,0),"")</f>
        <v/>
      </c>
      <c r="BB30" s="6"/>
      <c r="BC30" s="48">
        <f t="shared" ref="BC30:BC36" si="41">AY30*100+AZ30</f>
        <v>1301</v>
      </c>
      <c r="BD30" s="48">
        <f>AZ30*100+AY30</f>
        <v>113</v>
      </c>
      <c r="BE30" s="6" t="e">
        <f t="shared" si="38"/>
        <v>#N/A</v>
      </c>
      <c r="BF30" s="6" t="e">
        <f t="shared" si="38"/>
        <v>#N/A</v>
      </c>
      <c r="BG30" s="6" t="e">
        <f>N27*BF30</f>
        <v>#N/A</v>
      </c>
      <c r="BH30" s="6" t="e">
        <f>Q27*BE30</f>
        <v>#N/A</v>
      </c>
      <c r="BI30" s="6"/>
      <c r="BJ30" s="6"/>
      <c r="BK30" s="6"/>
      <c r="BL30" s="6"/>
      <c r="BM30" s="6"/>
      <c r="BN30" s="6"/>
      <c r="BO30" s="6"/>
      <c r="BP30" s="6"/>
      <c r="BQ30" s="6"/>
      <c r="BR30" s="6"/>
      <c r="BS30" s="6"/>
      <c r="BT30" s="6"/>
      <c r="BU30" s="6"/>
      <c r="BV30" s="6"/>
      <c r="BW30" s="6"/>
      <c r="BX30" s="6"/>
      <c r="BY30" s="6"/>
      <c r="BZ30" s="6"/>
      <c r="CA30" s="6"/>
      <c r="CB30" s="6"/>
    </row>
    <row r="31" spans="1:83" x14ac:dyDescent="0.25">
      <c r="B31" s="6">
        <v>2</v>
      </c>
      <c r="C31" s="6" t="str">
        <f t="shared" ref="C31:C36" si="42">VLOOKUP(AY31,$B$4:$F$17,2,FALSE)</f>
        <v>M</v>
      </c>
      <c r="D31" s="46" t="s">
        <v>5</v>
      </c>
      <c r="E31" s="90" t="str">
        <f t="shared" si="40"/>
        <v>B</v>
      </c>
      <c r="F31" s="90"/>
      <c r="G31" s="90"/>
      <c r="H31" s="90"/>
      <c r="I31" s="6"/>
      <c r="J31" s="90" t="str">
        <f>IF(X31="","",VLOOKUP(X31,Configuratie!$B$2:$E$11,3,FALSE))</f>
        <v/>
      </c>
      <c r="K31" s="90"/>
      <c r="L31" s="6" t="s">
        <v>5</v>
      </c>
      <c r="M31" s="90" t="str">
        <f>IF(X31="","",VLOOKUP(X31,Configuratie!$B$2:$E$11,4,FALSE))</f>
        <v/>
      </c>
      <c r="N31" s="90"/>
      <c r="O31" s="6"/>
      <c r="P31" s="6"/>
      <c r="Q31" s="6"/>
      <c r="R31" s="6"/>
      <c r="S31" s="6"/>
      <c r="T31" s="6"/>
      <c r="U31" s="6"/>
      <c r="V31" s="6" t="str">
        <f>IF(X31="","",VLOOKUP(X31,Configuratie!$B$2:$E$11,2,FALSE))</f>
        <v/>
      </c>
      <c r="W31" s="61"/>
      <c r="X31" s="5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>
        <v>2</v>
      </c>
      <c r="AY31" s="6">
        <v>12</v>
      </c>
      <c r="AZ31" s="6">
        <v>2</v>
      </c>
      <c r="BA31" s="6" t="str">
        <f t="shared" ref="BA31:BA36" si="43">IF(AND(ISNUMBER(J31),ISNUMBER(M31)),IF(J31+M31=1,1,0),"")</f>
        <v/>
      </c>
      <c r="BB31" s="6"/>
      <c r="BC31" s="48">
        <f t="shared" si="41"/>
        <v>1202</v>
      </c>
      <c r="BD31" s="48">
        <f t="shared" ref="BD31:BD35" si="44">AZ31*100+AY31</f>
        <v>212</v>
      </c>
      <c r="BE31" s="6" t="e">
        <f t="shared" si="38"/>
        <v>#N/A</v>
      </c>
      <c r="BF31" s="6" t="e">
        <f t="shared" si="38"/>
        <v>#N/A</v>
      </c>
      <c r="BG31" s="6" t="e">
        <f>N28*BF31</f>
        <v>#N/A</v>
      </c>
      <c r="BH31" s="6" t="e">
        <f>Q28*BE31</f>
        <v>#N/A</v>
      </c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  <c r="BX31" s="6"/>
      <c r="BY31" s="6"/>
      <c r="BZ31" s="6"/>
      <c r="CA31" s="6"/>
      <c r="CB31" s="6"/>
    </row>
    <row r="32" spans="1:83" x14ac:dyDescent="0.25">
      <c r="B32" s="6">
        <v>3</v>
      </c>
      <c r="C32" s="6" t="str">
        <f t="shared" si="42"/>
        <v>L</v>
      </c>
      <c r="D32" s="46" t="s">
        <v>5</v>
      </c>
      <c r="E32" s="90" t="str">
        <f t="shared" si="40"/>
        <v>C</v>
      </c>
      <c r="F32" s="90"/>
      <c r="G32" s="90"/>
      <c r="H32" s="90"/>
      <c r="I32" s="6"/>
      <c r="J32" s="90" t="str">
        <f>IF(X32="","",VLOOKUP(X32,Configuratie!$B$2:$E$11,3,FALSE))</f>
        <v/>
      </c>
      <c r="K32" s="90"/>
      <c r="L32" s="6" t="s">
        <v>5</v>
      </c>
      <c r="M32" s="90" t="str">
        <f>IF(X32="","",VLOOKUP(X32,Configuratie!$B$2:$E$11,4,FALSE))</f>
        <v/>
      </c>
      <c r="N32" s="90"/>
      <c r="O32" s="6"/>
      <c r="P32" s="6"/>
      <c r="Q32" s="6"/>
      <c r="R32" s="6"/>
      <c r="S32" s="6"/>
      <c r="T32" s="6"/>
      <c r="U32" s="6"/>
      <c r="V32" s="6" t="str">
        <f>IF(X32="","",VLOOKUP(X32,Configuratie!$B$2:$E$11,2,FALSE))</f>
        <v/>
      </c>
      <c r="W32" s="61"/>
      <c r="X32" s="5"/>
      <c r="Z32" s="6"/>
      <c r="AA32" s="6"/>
      <c r="AB32" s="6"/>
      <c r="AC32" s="6"/>
      <c r="AD32" s="6"/>
      <c r="AE32" s="6"/>
      <c r="AF32" s="6"/>
      <c r="AG32" s="6"/>
      <c r="AH32" s="6"/>
      <c r="AI32" s="6"/>
      <c r="AJ32" s="6"/>
      <c r="AK32" s="6"/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>
        <v>2</v>
      </c>
      <c r="AY32" s="6">
        <v>11</v>
      </c>
      <c r="AZ32" s="6">
        <v>3</v>
      </c>
      <c r="BA32" s="6" t="str">
        <f t="shared" si="43"/>
        <v/>
      </c>
      <c r="BB32" s="6"/>
      <c r="BC32" s="48">
        <f t="shared" si="41"/>
        <v>1103</v>
      </c>
      <c r="BD32" s="48">
        <f t="shared" si="44"/>
        <v>311</v>
      </c>
      <c r="BE32" s="6"/>
      <c r="BF32" s="6"/>
      <c r="BG32" s="6"/>
      <c r="BH32" s="6"/>
      <c r="BI32" s="6"/>
      <c r="BJ32" s="6"/>
      <c r="BK32" s="6"/>
      <c r="BL32" s="6"/>
      <c r="BM32" s="6"/>
      <c r="BN32" s="6"/>
      <c r="BO32" s="6"/>
      <c r="BP32" s="6"/>
      <c r="BQ32" s="6"/>
      <c r="BR32" s="6"/>
      <c r="BS32" s="6"/>
      <c r="BT32" s="6"/>
      <c r="BU32" s="6"/>
      <c r="BV32" s="6"/>
      <c r="BW32" s="6"/>
      <c r="BX32" s="6"/>
      <c r="BY32" s="6"/>
      <c r="BZ32" s="6"/>
      <c r="CA32" s="6"/>
      <c r="CB32" s="6"/>
    </row>
    <row r="33" spans="2:80" x14ac:dyDescent="0.25">
      <c r="B33" s="6">
        <v>4</v>
      </c>
      <c r="C33" s="6" t="str">
        <f t="shared" si="42"/>
        <v>K</v>
      </c>
      <c r="D33" s="46" t="s">
        <v>5</v>
      </c>
      <c r="E33" s="90" t="str">
        <f t="shared" si="40"/>
        <v>D</v>
      </c>
      <c r="F33" s="90"/>
      <c r="G33" s="90"/>
      <c r="H33" s="90"/>
      <c r="I33" s="6"/>
      <c r="J33" s="90" t="str">
        <f>IF(X33="","",VLOOKUP(X33,Configuratie!$B$2:$E$11,3,FALSE))</f>
        <v/>
      </c>
      <c r="K33" s="90"/>
      <c r="L33" s="6" t="s">
        <v>5</v>
      </c>
      <c r="M33" s="90" t="str">
        <f>IF(X33="","",VLOOKUP(X33,Configuratie!$B$2:$E$11,4,FALSE))</f>
        <v/>
      </c>
      <c r="N33" s="90"/>
      <c r="O33" s="6"/>
      <c r="P33" s="6"/>
      <c r="Q33" s="6"/>
      <c r="R33" s="6"/>
      <c r="S33" s="6"/>
      <c r="T33" s="6"/>
      <c r="U33" s="6"/>
      <c r="V33" s="6" t="str">
        <f>IF(X33="","",VLOOKUP(X33,Configuratie!$B$2:$E$11,2,FALSE))</f>
        <v/>
      </c>
      <c r="W33" s="61"/>
      <c r="X33" s="5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>
        <v>2</v>
      </c>
      <c r="AY33" s="6">
        <v>10</v>
      </c>
      <c r="AZ33" s="6">
        <v>4</v>
      </c>
      <c r="BA33" s="6" t="str">
        <f t="shared" si="43"/>
        <v/>
      </c>
      <c r="BB33" s="6"/>
      <c r="BC33" s="48">
        <f t="shared" si="41"/>
        <v>1004</v>
      </c>
      <c r="BD33" s="48">
        <f t="shared" si="44"/>
        <v>410</v>
      </c>
      <c r="BE33" s="6"/>
      <c r="BF33" s="6"/>
      <c r="BG33" s="6"/>
      <c r="BH33" s="6"/>
      <c r="BI33" s="6"/>
      <c r="BJ33" s="6"/>
      <c r="BK33" s="6"/>
      <c r="BL33" s="6"/>
      <c r="BM33" s="6"/>
      <c r="BN33" s="6"/>
      <c r="BO33" s="6"/>
      <c r="BP33" s="6"/>
      <c r="BQ33" s="6"/>
      <c r="BR33" s="6"/>
      <c r="BS33" s="6"/>
      <c r="BT33" s="6"/>
      <c r="BU33" s="6"/>
      <c r="BV33" s="6"/>
      <c r="BW33" s="6"/>
      <c r="BX33" s="6"/>
      <c r="BY33" s="6"/>
      <c r="BZ33" s="6"/>
      <c r="CA33" s="6"/>
      <c r="CB33" s="6"/>
    </row>
    <row r="34" spans="2:80" x14ac:dyDescent="0.25">
      <c r="B34" s="6">
        <v>5</v>
      </c>
      <c r="C34" s="6" t="str">
        <f t="shared" si="42"/>
        <v>J</v>
      </c>
      <c r="D34" s="46" t="s">
        <v>5</v>
      </c>
      <c r="E34" s="90" t="str">
        <f t="shared" si="40"/>
        <v>E</v>
      </c>
      <c r="F34" s="90"/>
      <c r="G34" s="90"/>
      <c r="H34" s="90"/>
      <c r="I34" s="6"/>
      <c r="J34" s="90" t="str">
        <f>IF(X34="","",VLOOKUP(X34,Configuratie!$B$2:$E$11,3,FALSE))</f>
        <v/>
      </c>
      <c r="K34" s="90"/>
      <c r="L34" s="6" t="s">
        <v>5</v>
      </c>
      <c r="M34" s="90" t="str">
        <f>IF(X34="","",VLOOKUP(X34,Configuratie!$B$2:$E$11,4,FALSE))</f>
        <v/>
      </c>
      <c r="N34" s="90"/>
      <c r="O34" s="6"/>
      <c r="P34" s="6"/>
      <c r="Q34" s="6"/>
      <c r="R34" s="6"/>
      <c r="S34" s="6"/>
      <c r="T34" s="6"/>
      <c r="U34" s="6"/>
      <c r="V34" s="6" t="str">
        <f>IF(X34="","",VLOOKUP(X34,Configuratie!$B$2:$E$11,2,FALSE))</f>
        <v/>
      </c>
      <c r="W34" s="61"/>
      <c r="X34" s="5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6"/>
      <c r="AW34" s="6"/>
      <c r="AX34" s="6">
        <v>2</v>
      </c>
      <c r="AY34" s="6">
        <v>9</v>
      </c>
      <c r="AZ34" s="6">
        <v>5</v>
      </c>
      <c r="BA34" s="6" t="str">
        <f t="shared" si="43"/>
        <v/>
      </c>
      <c r="BB34" s="6"/>
      <c r="BC34" s="48">
        <f t="shared" si="41"/>
        <v>905</v>
      </c>
      <c r="BD34" s="48">
        <f>AZ34*100+AY34</f>
        <v>509</v>
      </c>
      <c r="BE34" s="6" t="e">
        <f t="shared" ref="BE34:BF38" si="45">VLOOKUP(AY39,$BJ$3:$BW$13,$AT31,FALSE)</f>
        <v>#N/A</v>
      </c>
      <c r="BF34" s="6" t="e">
        <f t="shared" si="45"/>
        <v>#N/A</v>
      </c>
      <c r="BG34" s="6" t="e">
        <f>N31*BF34</f>
        <v>#N/A</v>
      </c>
      <c r="BH34" s="6" t="e">
        <f>Q31*BE34</f>
        <v>#N/A</v>
      </c>
      <c r="BI34" s="6"/>
      <c r="BJ34" s="6"/>
      <c r="BK34" s="6"/>
      <c r="BL34" s="6"/>
      <c r="BM34" s="6"/>
      <c r="BN34" s="6"/>
      <c r="BO34" s="6"/>
      <c r="BP34" s="6"/>
      <c r="BQ34" s="6"/>
      <c r="BR34" s="6"/>
      <c r="BS34" s="6"/>
      <c r="BT34" s="6"/>
      <c r="BU34" s="6"/>
      <c r="BV34" s="6"/>
      <c r="BW34" s="6"/>
      <c r="BX34" s="6"/>
      <c r="BY34" s="6"/>
      <c r="BZ34" s="6"/>
      <c r="CA34" s="6"/>
      <c r="CB34" s="6"/>
    </row>
    <row r="35" spans="2:80" x14ac:dyDescent="0.25">
      <c r="B35" s="6">
        <v>6</v>
      </c>
      <c r="C35" s="6" t="str">
        <f t="shared" si="42"/>
        <v>I</v>
      </c>
      <c r="D35" s="46" t="s">
        <v>5</v>
      </c>
      <c r="E35" s="90" t="str">
        <f t="shared" si="40"/>
        <v>G</v>
      </c>
      <c r="F35" s="90"/>
      <c r="G35" s="90"/>
      <c r="H35" s="90"/>
      <c r="I35" s="6"/>
      <c r="J35" s="90" t="str">
        <f>IF(X35="","",VLOOKUP(X35,Configuratie!$B$2:$E$11,3,FALSE))</f>
        <v/>
      </c>
      <c r="K35" s="90"/>
      <c r="L35" s="6" t="s">
        <v>5</v>
      </c>
      <c r="M35" s="90" t="str">
        <f>IF(X35="","",VLOOKUP(X35,Configuratie!$B$2:$E$11,4,FALSE))</f>
        <v/>
      </c>
      <c r="N35" s="90"/>
      <c r="O35" s="6"/>
      <c r="P35" s="6"/>
      <c r="Q35" s="6"/>
      <c r="R35" s="6"/>
      <c r="S35" s="6"/>
      <c r="T35" s="6"/>
      <c r="U35" s="6"/>
      <c r="V35" s="6" t="str">
        <f>IF(X35="","",VLOOKUP(X35,Configuratie!$B$2:$E$11,2,FALSE))</f>
        <v/>
      </c>
      <c r="W35" s="61"/>
      <c r="X35" s="5"/>
      <c r="Z35" s="6"/>
      <c r="AA35" s="6"/>
      <c r="AB35" s="6"/>
      <c r="AC35" s="6"/>
      <c r="AD35" s="6"/>
      <c r="AE35" s="6"/>
      <c r="AF35" s="6"/>
      <c r="AG35" s="6"/>
      <c r="AH35" s="6"/>
      <c r="AI35" s="6"/>
      <c r="AJ35" s="6"/>
      <c r="AK35" s="6"/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>
        <v>2</v>
      </c>
      <c r="AY35" s="6">
        <v>8</v>
      </c>
      <c r="AZ35" s="6">
        <v>6</v>
      </c>
      <c r="BA35" s="6" t="str">
        <f t="shared" si="43"/>
        <v/>
      </c>
      <c r="BB35" s="6"/>
      <c r="BC35" s="48">
        <f t="shared" si="41"/>
        <v>806</v>
      </c>
      <c r="BD35" s="48">
        <f t="shared" si="44"/>
        <v>608</v>
      </c>
      <c r="BE35" s="6" t="e">
        <f t="shared" si="45"/>
        <v>#N/A</v>
      </c>
      <c r="BF35" s="6" t="e">
        <f t="shared" si="45"/>
        <v>#N/A</v>
      </c>
      <c r="BG35" s="6" t="e">
        <f>N32*BF35</f>
        <v>#N/A</v>
      </c>
      <c r="BH35" s="6" t="e">
        <f>Q32*BE35</f>
        <v>#N/A</v>
      </c>
      <c r="BI35" s="6"/>
      <c r="BJ35" s="6"/>
      <c r="BK35" s="6"/>
      <c r="BL35" s="6"/>
      <c r="BM35" s="6"/>
      <c r="BN35" s="6"/>
      <c r="BO35" s="6"/>
      <c r="BP35" s="6"/>
      <c r="BQ35" s="6"/>
      <c r="BR35" s="6"/>
      <c r="BS35" s="6"/>
      <c r="BT35" s="6"/>
      <c r="BU35" s="6"/>
      <c r="BV35" s="6"/>
      <c r="BW35" s="6"/>
      <c r="BX35" s="6"/>
      <c r="BY35" s="6"/>
      <c r="BZ35" s="6"/>
      <c r="CA35" s="6"/>
      <c r="CB35" s="6"/>
    </row>
    <row r="36" spans="2:80" x14ac:dyDescent="0.25">
      <c r="B36" s="6">
        <v>7</v>
      </c>
      <c r="C36" s="6" t="str">
        <f t="shared" si="42"/>
        <v>O</v>
      </c>
      <c r="D36" s="46" t="s">
        <v>5</v>
      </c>
      <c r="E36" s="90" t="str">
        <f t="shared" si="40"/>
        <v>H</v>
      </c>
      <c r="F36" s="90"/>
      <c r="G36" s="90"/>
      <c r="H36" s="90"/>
      <c r="I36" s="6"/>
      <c r="J36" s="90" t="str">
        <f>IF(X36="","",VLOOKUP(X36,Configuratie!$B$2:$E$11,3,FALSE))</f>
        <v/>
      </c>
      <c r="K36" s="90"/>
      <c r="L36" s="6" t="s">
        <v>5</v>
      </c>
      <c r="M36" s="90" t="str">
        <f>IF(X36="","",VLOOKUP(X36,Configuratie!$B$2:$E$11,4,FALSE))</f>
        <v/>
      </c>
      <c r="N36" s="90"/>
      <c r="O36" s="6"/>
      <c r="P36" s="6"/>
      <c r="Q36" s="6"/>
      <c r="R36" s="6"/>
      <c r="S36" s="6"/>
      <c r="T36" s="6"/>
      <c r="U36" s="6"/>
      <c r="V36" s="6" t="str">
        <f>IF(X36="","",VLOOKUP(X36,Configuratie!$B$2:$E$11,2,FALSE))</f>
        <v/>
      </c>
      <c r="W36" s="61"/>
      <c r="X36" s="5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>
        <v>2</v>
      </c>
      <c r="AY36" s="6">
        <v>14</v>
      </c>
      <c r="AZ36" s="6">
        <v>7</v>
      </c>
      <c r="BA36" s="6" t="str">
        <f t="shared" si="43"/>
        <v/>
      </c>
      <c r="BB36" s="6"/>
      <c r="BC36" s="48">
        <f t="shared" si="41"/>
        <v>1407</v>
      </c>
      <c r="BD36" s="48">
        <f>AZ36*100+AY36</f>
        <v>714</v>
      </c>
      <c r="BE36" s="6" t="e">
        <f t="shared" si="45"/>
        <v>#N/A</v>
      </c>
      <c r="BF36" s="6" t="e">
        <f t="shared" si="45"/>
        <v>#N/A</v>
      </c>
      <c r="BG36" s="6" t="e">
        <f>N33*BF36</f>
        <v>#N/A</v>
      </c>
      <c r="BH36" s="6" t="e">
        <f>Q33*BE36</f>
        <v>#N/A</v>
      </c>
      <c r="BI36" s="6"/>
      <c r="BJ36" s="6"/>
      <c r="BK36" s="6"/>
      <c r="BL36" s="6"/>
      <c r="BM36" s="6"/>
      <c r="BN36" s="6"/>
      <c r="BO36" s="6"/>
      <c r="BP36" s="6"/>
      <c r="BQ36" s="6"/>
      <c r="BR36" s="6"/>
      <c r="BS36" s="6"/>
      <c r="BT36" s="6"/>
      <c r="BU36" s="6"/>
      <c r="BV36" s="6"/>
      <c r="BW36" s="6"/>
      <c r="BX36" s="6"/>
      <c r="BY36" s="6"/>
      <c r="BZ36" s="6"/>
      <c r="CA36" s="6"/>
      <c r="CB36" s="6"/>
    </row>
    <row r="37" spans="2:80" x14ac:dyDescent="0.25">
      <c r="B37" s="11"/>
      <c r="C37" s="11"/>
      <c r="D37" s="11"/>
      <c r="E37" s="11"/>
      <c r="F37" s="11"/>
      <c r="G37" s="11"/>
      <c r="H37" s="11"/>
      <c r="I37" s="11"/>
      <c r="J37" s="11"/>
      <c r="K37" s="11"/>
      <c r="L37" s="11"/>
      <c r="M37" s="11"/>
      <c r="N37" s="11"/>
      <c r="O37" s="11"/>
      <c r="P37" s="11"/>
      <c r="Q37" s="11"/>
      <c r="R37" s="11"/>
      <c r="S37" s="11"/>
      <c r="T37" s="11"/>
      <c r="U37" s="11"/>
      <c r="V37" s="11"/>
      <c r="W37" s="11"/>
      <c r="X37" s="11"/>
      <c r="Z37" s="6"/>
      <c r="AA37" s="6"/>
      <c r="AB37" s="6"/>
      <c r="AC37" s="6"/>
      <c r="AD37" s="6"/>
      <c r="AE37" s="6"/>
      <c r="AF37" s="6"/>
      <c r="AG37" s="6"/>
      <c r="AH37" s="6"/>
      <c r="AI37" s="6"/>
      <c r="AJ37" s="6"/>
      <c r="AK37" s="6"/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/>
      <c r="AY37" s="6"/>
      <c r="AZ37" s="6"/>
      <c r="BA37" s="6" t="str">
        <f t="shared" ref="BA37:BA38" si="46">IF(AND(ISNUMBER(N33),ISNUMBER(Q33)),IF(N33+Q33=1,1,0),"")</f>
        <v/>
      </c>
      <c r="BB37" s="6"/>
      <c r="BC37" s="48"/>
      <c r="BD37" s="48"/>
      <c r="BE37" s="6" t="e">
        <f t="shared" si="45"/>
        <v>#N/A</v>
      </c>
      <c r="BF37" s="6" t="e">
        <f t="shared" si="45"/>
        <v>#N/A</v>
      </c>
      <c r="BG37" s="6" t="e">
        <f>N34*BF37</f>
        <v>#N/A</v>
      </c>
      <c r="BH37" s="6" t="e">
        <f>Q34*BE37</f>
        <v>#N/A</v>
      </c>
      <c r="BI37" s="6"/>
      <c r="BJ37" s="6"/>
      <c r="BK37" s="6"/>
      <c r="BL37" s="6"/>
      <c r="BM37" s="6"/>
      <c r="BN37" s="6"/>
      <c r="BO37" s="6"/>
      <c r="BP37" s="6"/>
      <c r="BQ37" s="6"/>
      <c r="BR37" s="6"/>
      <c r="BS37" s="6"/>
      <c r="BT37" s="6"/>
      <c r="BU37" s="6"/>
      <c r="BV37" s="6"/>
      <c r="BW37" s="6"/>
      <c r="BX37" s="6"/>
      <c r="BY37" s="6"/>
      <c r="BZ37" s="6"/>
      <c r="CA37" s="6"/>
      <c r="CB37" s="6"/>
    </row>
    <row r="38" spans="2:80" x14ac:dyDescent="0.25">
      <c r="B38" s="45" t="s">
        <v>10</v>
      </c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72"/>
      <c r="Z38" s="6"/>
      <c r="AA38" s="6"/>
      <c r="AB38" s="6"/>
      <c r="AC38" s="6"/>
      <c r="AD38" s="6"/>
      <c r="AE38" s="6"/>
      <c r="AF38" s="6"/>
      <c r="AG38" s="6"/>
      <c r="AH38" s="6"/>
      <c r="AI38" s="6"/>
      <c r="AJ38" s="6"/>
      <c r="AK38" s="6"/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6"/>
      <c r="AW38" s="6"/>
      <c r="AX38" s="6"/>
      <c r="AY38" s="6"/>
      <c r="AZ38" s="6"/>
      <c r="BA38" s="6" t="str">
        <f t="shared" si="46"/>
        <v/>
      </c>
      <c r="BB38" s="6"/>
      <c r="BC38" s="48"/>
      <c r="BD38" s="48"/>
      <c r="BE38" s="6" t="e">
        <f t="shared" si="45"/>
        <v>#N/A</v>
      </c>
      <c r="BF38" s="6" t="e">
        <f t="shared" si="45"/>
        <v>#N/A</v>
      </c>
      <c r="BG38" s="6" t="e">
        <f>N35*BF38</f>
        <v>#N/A</v>
      </c>
      <c r="BH38" s="6" t="e">
        <f>Q35*BE38</f>
        <v>#N/A</v>
      </c>
      <c r="BI38" s="6"/>
      <c r="BJ38" s="6"/>
      <c r="BK38" s="6"/>
      <c r="BL38" s="6"/>
      <c r="BM38" s="6"/>
      <c r="BN38" s="6"/>
      <c r="BO38" s="6"/>
      <c r="BP38" s="6"/>
      <c r="BQ38" s="6"/>
      <c r="BR38" s="6"/>
      <c r="BS38" s="6"/>
      <c r="BT38" s="6"/>
      <c r="BU38" s="6"/>
      <c r="BV38" s="6"/>
      <c r="BW38" s="6"/>
      <c r="BX38" s="6"/>
      <c r="BY38" s="6"/>
      <c r="BZ38" s="6"/>
      <c r="CA38" s="6"/>
      <c r="CB38" s="6"/>
    </row>
    <row r="39" spans="2:80" x14ac:dyDescent="0.25">
      <c r="B39" s="6">
        <v>1</v>
      </c>
      <c r="C39" s="6" t="str">
        <f>VLOOKUP(AY39,$B$4:$F$17,2,FALSE)</f>
        <v>N</v>
      </c>
      <c r="D39" s="46" t="s">
        <v>5</v>
      </c>
      <c r="E39" s="90" t="str">
        <f t="shared" ref="E39:E45" si="47">VLOOKUP(AZ39,$B$4:$F$17,2,FALSE)</f>
        <v>O</v>
      </c>
      <c r="F39" s="90"/>
      <c r="G39" s="90"/>
      <c r="H39" s="90"/>
      <c r="I39" s="6"/>
      <c r="J39" s="90" t="str">
        <f>IF(X39="","",VLOOKUP(X39,Configuratie!$B$2:$E$11,3,FALSE))</f>
        <v/>
      </c>
      <c r="K39" s="90"/>
      <c r="L39" s="6" t="s">
        <v>5</v>
      </c>
      <c r="M39" s="90" t="str">
        <f>IF(X39="","",VLOOKUP(X39,Configuratie!$B$2:$E$11,4,FALSE))</f>
        <v/>
      </c>
      <c r="N39" s="90"/>
      <c r="O39" s="6"/>
      <c r="P39" s="6"/>
      <c r="Q39" s="6"/>
      <c r="R39" s="6"/>
      <c r="S39" s="6"/>
      <c r="T39" s="6"/>
      <c r="U39" s="6"/>
      <c r="V39" s="6" t="str">
        <f>IF(X39="","",VLOOKUP(X39,Configuratie!$B$2:$E$11,2,FALSE))</f>
        <v/>
      </c>
      <c r="W39" s="61"/>
      <c r="X39" s="5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>
        <v>3</v>
      </c>
      <c r="AY39" s="6">
        <v>13</v>
      </c>
      <c r="AZ39" s="6">
        <v>14</v>
      </c>
      <c r="BA39" s="6" t="str">
        <f>IF(AND(ISNUMBER(J39),ISNUMBER(M39)),IF(J39+M39=1,1,0),"")</f>
        <v/>
      </c>
      <c r="BB39" s="6"/>
      <c r="BC39" s="48">
        <f t="shared" ref="BC39:BC45" si="48">AY39*100+AZ39</f>
        <v>1314</v>
      </c>
      <c r="BD39" s="48">
        <f>AZ39*100+AY39</f>
        <v>1413</v>
      </c>
      <c r="BE39" s="6"/>
      <c r="BF39" s="6"/>
      <c r="BG39" s="6"/>
      <c r="BH39" s="6"/>
      <c r="BI39" s="6"/>
      <c r="BJ39" s="6"/>
      <c r="BK39" s="6"/>
      <c r="BL39" s="6"/>
      <c r="BM39" s="6"/>
      <c r="BN39" s="6"/>
      <c r="BO39" s="6"/>
      <c r="BP39" s="6"/>
      <c r="BQ39" s="6"/>
      <c r="BR39" s="6"/>
      <c r="BS39" s="6"/>
      <c r="BT39" s="6"/>
      <c r="BU39" s="6"/>
      <c r="BV39" s="6"/>
      <c r="BW39" s="6"/>
      <c r="BX39" s="6"/>
      <c r="BY39" s="6"/>
      <c r="BZ39" s="6"/>
      <c r="CA39" s="6"/>
      <c r="CB39" s="6"/>
    </row>
    <row r="40" spans="2:80" x14ac:dyDescent="0.25">
      <c r="B40" s="6">
        <v>2</v>
      </c>
      <c r="C40" s="6" t="str">
        <f t="shared" ref="C40:C45" si="49">VLOOKUP(AY40,$B$4:$F$17,2,FALSE)</f>
        <v>A</v>
      </c>
      <c r="D40" s="46" t="s">
        <v>5</v>
      </c>
      <c r="E40" s="90" t="str">
        <f t="shared" si="47"/>
        <v>M</v>
      </c>
      <c r="F40" s="90"/>
      <c r="G40" s="90"/>
      <c r="H40" s="90"/>
      <c r="I40" s="6"/>
      <c r="J40" s="90" t="str">
        <f>IF(X40="","",VLOOKUP(X40,Configuratie!$B$2:$E$11,3,FALSE))</f>
        <v/>
      </c>
      <c r="K40" s="90"/>
      <c r="L40" s="6" t="s">
        <v>5</v>
      </c>
      <c r="M40" s="90" t="str">
        <f>IF(X40="","",VLOOKUP(X40,Configuratie!$B$2:$E$11,4,FALSE))</f>
        <v/>
      </c>
      <c r="N40" s="90"/>
      <c r="O40" s="6"/>
      <c r="P40" s="6"/>
      <c r="Q40" s="6"/>
      <c r="R40" s="6"/>
      <c r="S40" s="6"/>
      <c r="T40" s="6"/>
      <c r="U40" s="6"/>
      <c r="V40" s="6" t="str">
        <f>IF(X40="","",VLOOKUP(X40,Configuratie!$B$2:$E$11,2,FALSE))</f>
        <v/>
      </c>
      <c r="W40" s="61"/>
      <c r="X40" s="5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6"/>
      <c r="AW40" s="6"/>
      <c r="AX40" s="6">
        <v>3</v>
      </c>
      <c r="AY40" s="6">
        <v>1</v>
      </c>
      <c r="AZ40" s="6">
        <v>12</v>
      </c>
      <c r="BA40" s="6" t="str">
        <f t="shared" ref="BA40:BA45" si="50">IF(AND(ISNUMBER(J40),ISNUMBER(M40)),IF(J40+M40=1,1,0),"")</f>
        <v/>
      </c>
      <c r="BB40" s="6"/>
      <c r="BC40" s="48">
        <f t="shared" si="48"/>
        <v>112</v>
      </c>
      <c r="BD40" s="48">
        <f t="shared" ref="BD40:BD44" si="51">AZ40*100+AY40</f>
        <v>1201</v>
      </c>
      <c r="BE40" s="6"/>
      <c r="BF40" s="6"/>
      <c r="BG40" s="6"/>
      <c r="BH40" s="6"/>
      <c r="BI40" s="6"/>
      <c r="BJ40" s="6"/>
      <c r="BK40" s="6"/>
      <c r="BL40" s="6"/>
      <c r="BM40" s="6"/>
      <c r="BN40" s="6"/>
      <c r="BO40" s="6"/>
      <c r="BP40" s="6"/>
      <c r="BQ40" s="6"/>
      <c r="BR40" s="6"/>
      <c r="BS40" s="6"/>
      <c r="BT40" s="6"/>
      <c r="BU40" s="6"/>
      <c r="BV40" s="6"/>
      <c r="BW40" s="6"/>
      <c r="BX40" s="6"/>
      <c r="BY40" s="6"/>
      <c r="BZ40" s="6"/>
      <c r="CA40" s="6"/>
      <c r="CB40" s="6"/>
    </row>
    <row r="41" spans="2:80" x14ac:dyDescent="0.25">
      <c r="B41" s="6">
        <v>3</v>
      </c>
      <c r="C41" s="6" t="str">
        <f t="shared" si="49"/>
        <v>B</v>
      </c>
      <c r="D41" s="46" t="s">
        <v>5</v>
      </c>
      <c r="E41" s="90" t="str">
        <f t="shared" si="47"/>
        <v>L</v>
      </c>
      <c r="F41" s="90"/>
      <c r="G41" s="90"/>
      <c r="H41" s="90"/>
      <c r="I41" s="6"/>
      <c r="J41" s="90" t="str">
        <f>IF(X41="","",VLOOKUP(X41,Configuratie!$B$2:$E$11,3,FALSE))</f>
        <v/>
      </c>
      <c r="K41" s="90"/>
      <c r="L41" s="6" t="s">
        <v>5</v>
      </c>
      <c r="M41" s="90" t="str">
        <f>IF(X41="","",VLOOKUP(X41,Configuratie!$B$2:$E$11,4,FALSE))</f>
        <v/>
      </c>
      <c r="N41" s="90"/>
      <c r="O41" s="6"/>
      <c r="P41" s="6"/>
      <c r="Q41" s="6"/>
      <c r="R41" s="6"/>
      <c r="S41" s="6"/>
      <c r="T41" s="6"/>
      <c r="U41" s="6"/>
      <c r="V41" s="6" t="str">
        <f>IF(X41="","",VLOOKUP(X41,Configuratie!$B$2:$E$11,2,FALSE))</f>
        <v/>
      </c>
      <c r="W41" s="61"/>
      <c r="X41" s="5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>
        <v>3</v>
      </c>
      <c r="AY41" s="6">
        <v>2</v>
      </c>
      <c r="AZ41" s="6">
        <v>11</v>
      </c>
      <c r="BA41" s="6" t="str">
        <f t="shared" si="50"/>
        <v/>
      </c>
      <c r="BB41" s="6"/>
      <c r="BC41" s="48">
        <f t="shared" si="48"/>
        <v>211</v>
      </c>
      <c r="BD41" s="48">
        <f t="shared" si="51"/>
        <v>1102</v>
      </c>
      <c r="BE41" s="6" t="e">
        <f t="shared" ref="BE41:BF45" si="52">VLOOKUP(AY48,$BJ$3:$BW$13,$AT38,FALSE)</f>
        <v>#N/A</v>
      </c>
      <c r="BF41" s="6" t="e">
        <f t="shared" si="52"/>
        <v>#N/A</v>
      </c>
      <c r="BG41" s="6" t="e">
        <f>N38*BF41</f>
        <v>#N/A</v>
      </c>
      <c r="BH41" s="6" t="e">
        <f>Q38*BE41</f>
        <v>#N/A</v>
      </c>
      <c r="BI41" s="6"/>
      <c r="BJ41" s="6"/>
      <c r="BK41" s="6"/>
      <c r="BL41" s="6"/>
      <c r="BM41" s="6"/>
      <c r="BN41" s="6"/>
      <c r="BO41" s="6"/>
      <c r="BP41" s="6"/>
      <c r="BQ41" s="6"/>
      <c r="BR41" s="6"/>
      <c r="BS41" s="6"/>
      <c r="BT41" s="6"/>
      <c r="BU41" s="6"/>
      <c r="BV41" s="6"/>
      <c r="BW41" s="6"/>
      <c r="BX41" s="6"/>
      <c r="BY41" s="6"/>
      <c r="BZ41" s="6"/>
      <c r="CA41" s="6"/>
      <c r="CB41" s="6"/>
    </row>
    <row r="42" spans="2:80" x14ac:dyDescent="0.25">
      <c r="B42" s="6">
        <v>4</v>
      </c>
      <c r="C42" s="6" t="str">
        <f t="shared" si="49"/>
        <v>C</v>
      </c>
      <c r="D42" s="46" t="s">
        <v>5</v>
      </c>
      <c r="E42" s="90" t="str">
        <f t="shared" si="47"/>
        <v>K</v>
      </c>
      <c r="F42" s="90"/>
      <c r="G42" s="90"/>
      <c r="H42" s="90"/>
      <c r="I42" s="6"/>
      <c r="J42" s="90" t="str">
        <f>IF(X42="","",VLOOKUP(X42,Configuratie!$B$2:$E$11,3,FALSE))</f>
        <v/>
      </c>
      <c r="K42" s="90"/>
      <c r="L42" s="6" t="s">
        <v>5</v>
      </c>
      <c r="M42" s="90" t="str">
        <f>IF(X42="","",VLOOKUP(X42,Configuratie!$B$2:$E$11,4,FALSE))</f>
        <v/>
      </c>
      <c r="N42" s="90"/>
      <c r="O42" s="6"/>
      <c r="P42" s="6"/>
      <c r="Q42" s="6"/>
      <c r="R42" s="6"/>
      <c r="S42" s="6"/>
      <c r="T42" s="6"/>
      <c r="U42" s="6"/>
      <c r="V42" s="6" t="str">
        <f>IF(X42="","",VLOOKUP(X42,Configuratie!$B$2:$E$11,2,FALSE))</f>
        <v/>
      </c>
      <c r="W42" s="61"/>
      <c r="X42" s="5"/>
      <c r="Z42" s="6"/>
      <c r="AA42" s="6"/>
      <c r="AB42" s="6"/>
      <c r="AC42" s="6"/>
      <c r="AD42" s="6"/>
      <c r="AE42" s="6"/>
      <c r="AF42" s="6"/>
      <c r="AG42" s="6"/>
      <c r="AH42" s="6"/>
      <c r="AI42" s="6"/>
      <c r="AJ42" s="6"/>
      <c r="AK42" s="6"/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>
        <v>3</v>
      </c>
      <c r="AY42" s="6">
        <v>3</v>
      </c>
      <c r="AZ42" s="6">
        <v>10</v>
      </c>
      <c r="BA42" s="6" t="str">
        <f t="shared" si="50"/>
        <v/>
      </c>
      <c r="BB42" s="6"/>
      <c r="BC42" s="48">
        <f t="shared" si="48"/>
        <v>310</v>
      </c>
      <c r="BD42" s="48">
        <f t="shared" si="51"/>
        <v>1003</v>
      </c>
      <c r="BE42" s="6" t="e">
        <f t="shared" si="52"/>
        <v>#N/A</v>
      </c>
      <c r="BF42" s="6" t="e">
        <f t="shared" si="52"/>
        <v>#N/A</v>
      </c>
      <c r="BG42" s="6" t="e">
        <f>N39*BF42</f>
        <v>#N/A</v>
      </c>
      <c r="BH42" s="6" t="e">
        <f>Q39*BE42</f>
        <v>#N/A</v>
      </c>
      <c r="BI42" s="6"/>
      <c r="BJ42" s="6"/>
      <c r="BK42" s="6"/>
      <c r="BL42" s="6"/>
      <c r="BM42" s="6"/>
      <c r="BN42" s="6"/>
      <c r="BO42" s="6"/>
      <c r="BP42" s="6"/>
      <c r="BQ42" s="6"/>
      <c r="BR42" s="6"/>
      <c r="BS42" s="6"/>
      <c r="BT42" s="6"/>
      <c r="BU42" s="6"/>
      <c r="BV42" s="6"/>
      <c r="BW42" s="6"/>
      <c r="BX42" s="6"/>
      <c r="BY42" s="6"/>
      <c r="BZ42" s="6"/>
      <c r="CA42" s="6"/>
      <c r="CB42" s="6"/>
    </row>
    <row r="43" spans="2:80" x14ac:dyDescent="0.25">
      <c r="B43" s="6">
        <v>5</v>
      </c>
      <c r="C43" s="6" t="str">
        <f t="shared" si="49"/>
        <v>D</v>
      </c>
      <c r="D43" s="46" t="s">
        <v>5</v>
      </c>
      <c r="E43" s="90" t="str">
        <f t="shared" si="47"/>
        <v>J</v>
      </c>
      <c r="F43" s="90"/>
      <c r="G43" s="90"/>
      <c r="H43" s="90"/>
      <c r="I43" s="6"/>
      <c r="J43" s="90" t="str">
        <f>IF(X43="","",VLOOKUP(X43,Configuratie!$B$2:$E$11,3,FALSE))</f>
        <v/>
      </c>
      <c r="K43" s="90"/>
      <c r="L43" s="6" t="s">
        <v>5</v>
      </c>
      <c r="M43" s="90" t="str">
        <f>IF(X43="","",VLOOKUP(X43,Configuratie!$B$2:$E$11,4,FALSE))</f>
        <v/>
      </c>
      <c r="N43" s="90"/>
      <c r="O43" s="6"/>
      <c r="P43" s="6"/>
      <c r="Q43" s="6"/>
      <c r="R43" s="6"/>
      <c r="S43" s="6"/>
      <c r="T43" s="6"/>
      <c r="U43" s="6"/>
      <c r="V43" s="6" t="str">
        <f>IF(X43="","",VLOOKUP(X43,Configuratie!$B$2:$E$11,2,FALSE))</f>
        <v/>
      </c>
      <c r="W43" s="61"/>
      <c r="X43" s="5"/>
      <c r="Z43" s="6"/>
      <c r="AA43" s="6"/>
      <c r="AB43" s="6"/>
      <c r="AC43" s="6"/>
      <c r="AD43" s="6"/>
      <c r="AE43" s="6"/>
      <c r="AF43" s="6"/>
      <c r="AG43" s="6"/>
      <c r="AH43" s="6"/>
      <c r="AI43" s="6"/>
      <c r="AJ43" s="6"/>
      <c r="AK43" s="6"/>
      <c r="AL43" s="6"/>
      <c r="AM43" s="6"/>
      <c r="AN43" s="6"/>
      <c r="AO43" s="6"/>
      <c r="AP43" s="6"/>
      <c r="AQ43" s="6"/>
      <c r="AR43" s="6"/>
      <c r="AS43" s="6"/>
      <c r="AT43" s="6"/>
      <c r="AU43" s="6"/>
      <c r="AV43" s="6"/>
      <c r="AW43" s="6"/>
      <c r="AX43" s="6">
        <v>3</v>
      </c>
      <c r="AY43" s="6">
        <v>4</v>
      </c>
      <c r="AZ43" s="6">
        <v>9</v>
      </c>
      <c r="BA43" s="6" t="str">
        <f t="shared" si="50"/>
        <v/>
      </c>
      <c r="BB43" s="6"/>
      <c r="BC43" s="48">
        <f t="shared" si="48"/>
        <v>409</v>
      </c>
      <c r="BD43" s="48">
        <f>AZ43*100+AY43</f>
        <v>904</v>
      </c>
      <c r="BE43" s="6" t="e">
        <f t="shared" si="52"/>
        <v>#N/A</v>
      </c>
      <c r="BF43" s="6" t="e">
        <f t="shared" si="52"/>
        <v>#N/A</v>
      </c>
      <c r="BG43" s="6" t="e">
        <f>N40*BF43</f>
        <v>#N/A</v>
      </c>
      <c r="BH43" s="6" t="e">
        <f>Q40*BE43</f>
        <v>#N/A</v>
      </c>
      <c r="BI43" s="6"/>
      <c r="BJ43" s="6"/>
      <c r="BK43" s="6"/>
      <c r="BL43" s="6"/>
      <c r="BM43" s="6"/>
      <c r="BN43" s="6"/>
      <c r="BO43" s="6"/>
      <c r="BP43" s="6"/>
      <c r="BQ43" s="6"/>
      <c r="BR43" s="6"/>
      <c r="BS43" s="6"/>
      <c r="BT43" s="6"/>
      <c r="BU43" s="6"/>
      <c r="BV43" s="6"/>
      <c r="BW43" s="6"/>
      <c r="BX43" s="6"/>
      <c r="BY43" s="6"/>
      <c r="BZ43" s="6"/>
      <c r="CA43" s="6"/>
      <c r="CB43" s="6"/>
    </row>
    <row r="44" spans="2:80" x14ac:dyDescent="0.25">
      <c r="B44" s="6">
        <v>6</v>
      </c>
      <c r="C44" s="6" t="str">
        <f t="shared" si="49"/>
        <v>E</v>
      </c>
      <c r="D44" s="46" t="s">
        <v>5</v>
      </c>
      <c r="E44" s="90" t="str">
        <f t="shared" si="47"/>
        <v>I</v>
      </c>
      <c r="F44" s="90"/>
      <c r="G44" s="90"/>
      <c r="H44" s="90"/>
      <c r="I44" s="6"/>
      <c r="J44" s="90" t="str">
        <f>IF(X44="","",VLOOKUP(X44,Configuratie!$B$2:$E$11,3,FALSE))</f>
        <v/>
      </c>
      <c r="K44" s="90"/>
      <c r="L44" s="6" t="s">
        <v>5</v>
      </c>
      <c r="M44" s="90" t="str">
        <f>IF(X44="","",VLOOKUP(X44,Configuratie!$B$2:$E$11,4,FALSE))</f>
        <v/>
      </c>
      <c r="N44" s="90"/>
      <c r="O44" s="6"/>
      <c r="P44" s="6"/>
      <c r="Q44" s="6"/>
      <c r="R44" s="6"/>
      <c r="S44" s="6"/>
      <c r="T44" s="6"/>
      <c r="U44" s="6"/>
      <c r="V44" s="6" t="str">
        <f>IF(X44="","",VLOOKUP(X44,Configuratie!$B$2:$E$11,2,FALSE))</f>
        <v/>
      </c>
      <c r="W44" s="61"/>
      <c r="X44" s="5"/>
      <c r="Z44" s="6"/>
      <c r="AA44" s="6"/>
      <c r="AB44" s="6"/>
      <c r="AC44" s="6"/>
      <c r="AD44" s="6"/>
      <c r="AE44" s="6"/>
      <c r="AF44" s="6"/>
      <c r="AG44" s="6"/>
      <c r="AH44" s="6"/>
      <c r="AI44" s="6"/>
      <c r="AJ44" s="6"/>
      <c r="AK44" s="6"/>
      <c r="AL44" s="6"/>
      <c r="AM44" s="6"/>
      <c r="AN44" s="6"/>
      <c r="AO44" s="6"/>
      <c r="AP44" s="6"/>
      <c r="AQ44" s="6"/>
      <c r="AR44" s="6"/>
      <c r="AS44" s="6"/>
      <c r="AT44" s="6"/>
      <c r="AU44" s="6"/>
      <c r="AV44" s="6"/>
      <c r="AW44" s="6"/>
      <c r="AX44" s="6">
        <v>3</v>
      </c>
      <c r="AY44" s="6">
        <v>5</v>
      </c>
      <c r="AZ44" s="6">
        <v>8</v>
      </c>
      <c r="BA44" s="6" t="str">
        <f t="shared" si="50"/>
        <v/>
      </c>
      <c r="BB44" s="6"/>
      <c r="BC44" s="48">
        <f t="shared" si="48"/>
        <v>508</v>
      </c>
      <c r="BD44" s="48">
        <f t="shared" si="51"/>
        <v>805</v>
      </c>
      <c r="BE44" s="6" t="e">
        <f t="shared" si="52"/>
        <v>#N/A</v>
      </c>
      <c r="BF44" s="6" t="e">
        <f t="shared" si="52"/>
        <v>#N/A</v>
      </c>
      <c r="BG44" s="6" t="e">
        <f>N41*BF44</f>
        <v>#N/A</v>
      </c>
      <c r="BH44" s="6" t="e">
        <f>Q41*BE44</f>
        <v>#N/A</v>
      </c>
      <c r="BI44" s="6"/>
      <c r="BJ44" s="6"/>
      <c r="BK44" s="6"/>
      <c r="BL44" s="6"/>
      <c r="BM44" s="6"/>
      <c r="BN44" s="6"/>
      <c r="BO44" s="6"/>
      <c r="BP44" s="6"/>
      <c r="BQ44" s="6"/>
      <c r="BR44" s="6"/>
      <c r="BS44" s="6"/>
      <c r="BT44" s="6"/>
      <c r="BU44" s="6"/>
      <c r="BV44" s="6"/>
      <c r="BW44" s="6"/>
      <c r="BX44" s="6"/>
      <c r="BY44" s="6"/>
      <c r="BZ44" s="6"/>
      <c r="CA44" s="6"/>
      <c r="CB44" s="6"/>
    </row>
    <row r="45" spans="2:80" x14ac:dyDescent="0.25">
      <c r="B45" s="6">
        <v>7</v>
      </c>
      <c r="C45" s="6" t="str">
        <f t="shared" si="49"/>
        <v>G</v>
      </c>
      <c r="D45" s="46" t="s">
        <v>5</v>
      </c>
      <c r="E45" s="90" t="str">
        <f t="shared" si="47"/>
        <v>H</v>
      </c>
      <c r="F45" s="90"/>
      <c r="G45" s="90"/>
      <c r="H45" s="90"/>
      <c r="I45" s="6"/>
      <c r="J45" s="90" t="str">
        <f>IF(X45="","",VLOOKUP(X45,Configuratie!$B$2:$E$11,3,FALSE))</f>
        <v/>
      </c>
      <c r="K45" s="90"/>
      <c r="L45" s="6" t="s">
        <v>5</v>
      </c>
      <c r="M45" s="90" t="str">
        <f>IF(X45="","",VLOOKUP(X45,Configuratie!$B$2:$E$11,4,FALSE))</f>
        <v/>
      </c>
      <c r="N45" s="90"/>
      <c r="O45" s="6"/>
      <c r="P45" s="6"/>
      <c r="Q45" s="6"/>
      <c r="R45" s="6"/>
      <c r="S45" s="6"/>
      <c r="T45" s="6"/>
      <c r="U45" s="6"/>
      <c r="V45" s="6" t="str">
        <f>IF(X45="","",VLOOKUP(X45,Configuratie!$B$2:$E$11,2,FALSE))</f>
        <v/>
      </c>
      <c r="W45" s="61"/>
      <c r="X45" s="5"/>
      <c r="Z45" s="6"/>
      <c r="AA45" s="6"/>
      <c r="AB45" s="6"/>
      <c r="AC45" s="6"/>
      <c r="AD45" s="6"/>
      <c r="AE45" s="6"/>
      <c r="AF45" s="6"/>
      <c r="AG45" s="6"/>
      <c r="AH45" s="6"/>
      <c r="AI45" s="6"/>
      <c r="AJ45" s="6"/>
      <c r="AK45" s="6"/>
      <c r="AL45" s="6"/>
      <c r="AM45" s="6"/>
      <c r="AN45" s="6"/>
      <c r="AO45" s="6"/>
      <c r="AP45" s="6"/>
      <c r="AQ45" s="6"/>
      <c r="AR45" s="6"/>
      <c r="AS45" s="6"/>
      <c r="AT45" s="6"/>
      <c r="AU45" s="6"/>
      <c r="AV45" s="6"/>
      <c r="AW45" s="6"/>
      <c r="AX45" s="6">
        <v>3</v>
      </c>
      <c r="AY45" s="6">
        <v>6</v>
      </c>
      <c r="AZ45" s="6">
        <v>7</v>
      </c>
      <c r="BA45" s="6" t="str">
        <f t="shared" si="50"/>
        <v/>
      </c>
      <c r="BB45" s="6"/>
      <c r="BC45" s="48">
        <f t="shared" si="48"/>
        <v>607</v>
      </c>
      <c r="BD45" s="48">
        <f>AZ45*100+AY45</f>
        <v>706</v>
      </c>
      <c r="BE45" s="6" t="e">
        <f t="shared" si="52"/>
        <v>#N/A</v>
      </c>
      <c r="BF45" s="6" t="e">
        <f t="shared" si="52"/>
        <v>#N/A</v>
      </c>
      <c r="BG45" s="6" t="e">
        <f>N42*BF45</f>
        <v>#N/A</v>
      </c>
      <c r="BH45" s="6" t="e">
        <f>Q42*BE45</f>
        <v>#N/A</v>
      </c>
      <c r="BI45" s="6"/>
      <c r="BJ45" s="6"/>
      <c r="BK45" s="6"/>
      <c r="BL45" s="6"/>
      <c r="BM45" s="6"/>
      <c r="BN45" s="6"/>
      <c r="BO45" s="6"/>
      <c r="BP45" s="6"/>
      <c r="BQ45" s="6"/>
      <c r="BR45" s="6"/>
      <c r="BS45" s="6"/>
      <c r="BT45" s="6"/>
      <c r="BU45" s="6"/>
      <c r="BV45" s="6"/>
      <c r="BW45" s="6"/>
      <c r="BX45" s="6"/>
      <c r="BY45" s="6"/>
      <c r="BZ45" s="6"/>
      <c r="CA45" s="6"/>
      <c r="CB45" s="6"/>
    </row>
    <row r="46" spans="2:80" x14ac:dyDescent="0.25">
      <c r="B46" s="11"/>
      <c r="C46" s="11"/>
      <c r="D46" s="11"/>
      <c r="E46" s="11"/>
      <c r="F46" s="11"/>
      <c r="G46" s="11"/>
      <c r="H46" s="11"/>
      <c r="I46" s="11"/>
      <c r="J46" s="11"/>
      <c r="K46" s="11"/>
      <c r="L46" s="11"/>
      <c r="M46" s="11"/>
      <c r="N46" s="11"/>
      <c r="O46" s="11"/>
      <c r="P46" s="11"/>
      <c r="Q46" s="11"/>
      <c r="R46" s="11"/>
      <c r="S46" s="11"/>
      <c r="T46" s="11"/>
      <c r="U46" s="11"/>
      <c r="V46" s="11"/>
      <c r="W46" s="11"/>
      <c r="X46" s="11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6"/>
      <c r="AL46" s="6"/>
      <c r="AM46" s="6"/>
      <c r="AN46" s="6"/>
      <c r="AO46" s="6"/>
      <c r="AP46" s="6"/>
      <c r="AQ46" s="6"/>
      <c r="AR46" s="6"/>
      <c r="AS46" s="6"/>
      <c r="AT46" s="6"/>
      <c r="AU46" s="6"/>
      <c r="AV46" s="6"/>
      <c r="AW46" s="6"/>
      <c r="AX46" s="6"/>
      <c r="AY46" s="6"/>
      <c r="AZ46" s="6"/>
      <c r="BA46" s="6" t="str">
        <f t="shared" ref="BA46:BA47" si="53">IF(AND(ISNUMBER(N42),ISNUMBER(Q42)),IF(N42+Q42=1,1,0),"")</f>
        <v/>
      </c>
      <c r="BB46" s="6"/>
      <c r="BC46" s="42"/>
      <c r="BD46" s="42"/>
      <c r="BE46" s="6"/>
      <c r="BF46" s="6"/>
      <c r="BG46" s="6"/>
      <c r="BH46" s="6"/>
      <c r="BI46" s="6"/>
      <c r="BJ46" s="6"/>
      <c r="BK46" s="6"/>
      <c r="BL46" s="6"/>
      <c r="BM46" s="6"/>
      <c r="BN46" s="6"/>
      <c r="BO46" s="6"/>
      <c r="BP46" s="6"/>
      <c r="BQ46" s="6"/>
      <c r="BR46" s="6"/>
      <c r="BS46" s="6"/>
      <c r="BT46" s="6"/>
      <c r="BU46" s="6"/>
      <c r="BV46" s="6"/>
      <c r="BW46" s="6"/>
      <c r="BX46" s="6"/>
      <c r="BY46" s="6"/>
      <c r="BZ46" s="6"/>
      <c r="CA46" s="6"/>
      <c r="CB46" s="6"/>
    </row>
    <row r="47" spans="2:80" x14ac:dyDescent="0.25">
      <c r="B47" s="45" t="s">
        <v>11</v>
      </c>
      <c r="C47" s="6"/>
      <c r="D47" s="6"/>
      <c r="E47" s="6"/>
      <c r="F47" s="6"/>
      <c r="G47" s="6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72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6"/>
      <c r="AK47" s="6"/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6"/>
      <c r="AY47" s="6"/>
      <c r="AZ47" s="6"/>
      <c r="BA47" s="6" t="str">
        <f t="shared" si="53"/>
        <v/>
      </c>
      <c r="BB47" s="6"/>
      <c r="BC47" s="42"/>
      <c r="BD47" s="42"/>
      <c r="BE47" s="6"/>
      <c r="BF47" s="6"/>
      <c r="BG47" s="6"/>
      <c r="BH47" s="6"/>
      <c r="BI47" s="6"/>
      <c r="BJ47" s="6"/>
      <c r="BK47" s="6"/>
      <c r="BL47" s="6"/>
      <c r="BM47" s="6"/>
      <c r="BN47" s="6"/>
      <c r="BO47" s="6"/>
      <c r="BP47" s="6"/>
      <c r="BQ47" s="6"/>
      <c r="BR47" s="6"/>
      <c r="BS47" s="6"/>
      <c r="BT47" s="6"/>
      <c r="BU47" s="6"/>
      <c r="BV47" s="6"/>
      <c r="BW47" s="6"/>
      <c r="BX47" s="6"/>
      <c r="BY47" s="6"/>
      <c r="BZ47" s="6"/>
      <c r="CA47" s="6"/>
      <c r="CB47" s="6"/>
    </row>
    <row r="48" spans="2:80" x14ac:dyDescent="0.25">
      <c r="B48" s="6">
        <v>1</v>
      </c>
      <c r="C48" s="6" t="str">
        <f t="shared" ref="C48:C54" si="54">VLOOKUP(AY48,$B$4:$F$17,2,FALSE)</f>
        <v>M</v>
      </c>
      <c r="D48" s="46" t="s">
        <v>5</v>
      </c>
      <c r="E48" s="90" t="str">
        <f t="shared" ref="E48:E54" si="55">VLOOKUP(AZ48,$B$4:$F$17,2,FALSE)</f>
        <v>N</v>
      </c>
      <c r="F48" s="90"/>
      <c r="G48" s="90"/>
      <c r="H48" s="90"/>
      <c r="I48" s="6"/>
      <c r="J48" s="90" t="str">
        <f>IF(X48="","",VLOOKUP(X48,Configuratie!$B$2:$E$11,3,FALSE))</f>
        <v/>
      </c>
      <c r="K48" s="90"/>
      <c r="L48" s="6" t="s">
        <v>5</v>
      </c>
      <c r="M48" s="90" t="str">
        <f>IF(X48="","",VLOOKUP(X48,Configuratie!$B$2:$E$11,4,FALSE))</f>
        <v/>
      </c>
      <c r="N48" s="90"/>
      <c r="O48" s="6"/>
      <c r="P48" s="6"/>
      <c r="Q48" s="6"/>
      <c r="R48" s="6"/>
      <c r="S48" s="6"/>
      <c r="T48" s="6"/>
      <c r="U48" s="6"/>
      <c r="V48" s="6" t="str">
        <f>IF(X48="","",VLOOKUP(X48,Configuratie!$B$2:$E$11,2,FALSE))</f>
        <v/>
      </c>
      <c r="W48" s="61"/>
      <c r="X48" s="5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>
        <v>4</v>
      </c>
      <c r="AY48" s="6">
        <v>12</v>
      </c>
      <c r="AZ48" s="6">
        <v>13</v>
      </c>
      <c r="BA48" s="6" t="str">
        <f>IF(AND(ISNUMBER(J48),ISNUMBER(M48)),IF(J48+M48=1,1,0),"")</f>
        <v/>
      </c>
      <c r="BB48" s="6"/>
      <c r="BC48" s="48">
        <f t="shared" ref="BC48:BC54" si="56">AY48*100+AZ48</f>
        <v>1213</v>
      </c>
      <c r="BD48" s="48">
        <f>AZ48*100+AY48</f>
        <v>1312</v>
      </c>
      <c r="BE48" s="6" t="e">
        <f t="shared" ref="BE48:BF52" si="57">VLOOKUP(AY57,$BJ$3:$BW$13,$AT45,FALSE)</f>
        <v>#N/A</v>
      </c>
      <c r="BF48" s="6" t="e">
        <f t="shared" si="57"/>
        <v>#N/A</v>
      </c>
      <c r="BG48" s="6" t="e">
        <f>N45*BF48</f>
        <v>#N/A</v>
      </c>
      <c r="BH48" s="6" t="e">
        <f>Q45*BE48</f>
        <v>#N/A</v>
      </c>
      <c r="BI48" s="6"/>
      <c r="BJ48" s="6"/>
      <c r="BK48" s="6"/>
      <c r="BL48" s="6"/>
      <c r="BM48" s="6"/>
      <c r="BN48" s="6"/>
      <c r="BO48" s="6"/>
      <c r="BP48" s="6"/>
      <c r="BQ48" s="6"/>
      <c r="BR48" s="6"/>
      <c r="BS48" s="6"/>
      <c r="BT48" s="6"/>
      <c r="BU48" s="6"/>
      <c r="BV48" s="6"/>
      <c r="BW48" s="6"/>
      <c r="BX48" s="6"/>
      <c r="BY48" s="6"/>
      <c r="BZ48" s="6"/>
      <c r="CA48" s="6"/>
      <c r="CB48" s="6"/>
    </row>
    <row r="49" spans="2:80" x14ac:dyDescent="0.25">
      <c r="B49" s="6">
        <v>2</v>
      </c>
      <c r="C49" s="6" t="str">
        <f t="shared" si="54"/>
        <v>L</v>
      </c>
      <c r="D49" s="46" t="s">
        <v>5</v>
      </c>
      <c r="E49" s="90" t="str">
        <f t="shared" si="55"/>
        <v>A</v>
      </c>
      <c r="F49" s="90"/>
      <c r="G49" s="90"/>
      <c r="H49" s="90"/>
      <c r="I49" s="6"/>
      <c r="J49" s="90" t="str">
        <f>IF(X49="","",VLOOKUP(X49,Configuratie!$B$2:$E$11,3,FALSE))</f>
        <v/>
      </c>
      <c r="K49" s="90"/>
      <c r="L49" s="6" t="s">
        <v>5</v>
      </c>
      <c r="M49" s="90" t="str">
        <f>IF(X49="","",VLOOKUP(X49,Configuratie!$B$2:$E$11,4,FALSE))</f>
        <v/>
      </c>
      <c r="N49" s="90"/>
      <c r="O49" s="6"/>
      <c r="P49" s="6"/>
      <c r="Q49" s="6"/>
      <c r="R49" s="6"/>
      <c r="S49" s="6"/>
      <c r="T49" s="6"/>
      <c r="U49" s="6"/>
      <c r="V49" s="6" t="str">
        <f>IF(X49="","",VLOOKUP(X49,Configuratie!$B$2:$E$11,2,FALSE))</f>
        <v/>
      </c>
      <c r="W49" s="61"/>
      <c r="X49" s="5"/>
      <c r="Z49" s="6"/>
      <c r="AA49" s="6"/>
      <c r="AB49" s="6"/>
      <c r="AC49" s="6"/>
      <c r="AD49" s="6"/>
      <c r="AE49" s="6"/>
      <c r="AF49" s="6"/>
      <c r="AG49" s="6"/>
      <c r="AH49" s="6"/>
      <c r="AI49" s="6"/>
      <c r="AJ49" s="6"/>
      <c r="AK49" s="6"/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6">
        <v>4</v>
      </c>
      <c r="AY49" s="6">
        <v>11</v>
      </c>
      <c r="AZ49" s="6">
        <v>1</v>
      </c>
      <c r="BA49" s="6" t="str">
        <f t="shared" ref="BA49:BA54" si="58">IF(AND(ISNUMBER(J49),ISNUMBER(M49)),IF(J49+M49=1,1,0),"")</f>
        <v/>
      </c>
      <c r="BB49" s="6"/>
      <c r="BC49" s="48">
        <f t="shared" si="56"/>
        <v>1101</v>
      </c>
      <c r="BD49" s="48">
        <f t="shared" ref="BD49:BD53" si="59">AZ49*100+AY49</f>
        <v>111</v>
      </c>
      <c r="BE49" s="6" t="e">
        <f t="shared" si="57"/>
        <v>#N/A</v>
      </c>
      <c r="BF49" s="6" t="e">
        <f t="shared" si="57"/>
        <v>#N/A</v>
      </c>
      <c r="BG49" s="6" t="e">
        <f>N46*BF49</f>
        <v>#N/A</v>
      </c>
      <c r="BH49" s="6" t="e">
        <f>Q46*BE49</f>
        <v>#N/A</v>
      </c>
      <c r="BI49" s="6"/>
      <c r="BJ49" s="6"/>
      <c r="BK49" s="6"/>
      <c r="BL49" s="6"/>
      <c r="BM49" s="6"/>
      <c r="BN49" s="6"/>
      <c r="BO49" s="6"/>
      <c r="BP49" s="6"/>
      <c r="BQ49" s="6"/>
      <c r="BR49" s="6"/>
      <c r="BS49" s="6"/>
      <c r="BT49" s="6"/>
      <c r="BU49" s="6"/>
      <c r="BV49" s="6"/>
      <c r="BW49" s="6"/>
      <c r="BX49" s="6"/>
      <c r="BY49" s="6"/>
      <c r="BZ49" s="6"/>
      <c r="CA49" s="6"/>
      <c r="CB49" s="6"/>
    </row>
    <row r="50" spans="2:80" x14ac:dyDescent="0.25">
      <c r="B50" s="6">
        <v>3</v>
      </c>
      <c r="C50" s="6" t="str">
        <f t="shared" si="54"/>
        <v>K</v>
      </c>
      <c r="D50" s="46" t="s">
        <v>5</v>
      </c>
      <c r="E50" s="90" t="str">
        <f t="shared" si="55"/>
        <v>B</v>
      </c>
      <c r="F50" s="90"/>
      <c r="G50" s="90"/>
      <c r="H50" s="90"/>
      <c r="I50" s="6"/>
      <c r="J50" s="90" t="str">
        <f>IF(X50="","",VLOOKUP(X50,Configuratie!$B$2:$E$11,3,FALSE))</f>
        <v/>
      </c>
      <c r="K50" s="90"/>
      <c r="L50" s="6" t="s">
        <v>5</v>
      </c>
      <c r="M50" s="90" t="str">
        <f>IF(X50="","",VLOOKUP(X50,Configuratie!$B$2:$E$11,4,FALSE))</f>
        <v/>
      </c>
      <c r="N50" s="90"/>
      <c r="O50" s="6"/>
      <c r="P50" s="6"/>
      <c r="Q50" s="6"/>
      <c r="R50" s="6"/>
      <c r="S50" s="6"/>
      <c r="T50" s="6"/>
      <c r="U50" s="6"/>
      <c r="V50" s="6" t="str">
        <f>IF(X50="","",VLOOKUP(X50,Configuratie!$B$2:$E$11,2,FALSE))</f>
        <v/>
      </c>
      <c r="W50" s="61"/>
      <c r="X50" s="5"/>
      <c r="Z50" s="6"/>
      <c r="AA50" s="6"/>
      <c r="AB50" s="6"/>
      <c r="AC50" s="6"/>
      <c r="AD50" s="6"/>
      <c r="AE50" s="6"/>
      <c r="AF50" s="6"/>
      <c r="AG50" s="6"/>
      <c r="AH50" s="6"/>
      <c r="AI50" s="6"/>
      <c r="AJ50" s="6"/>
      <c r="AK50" s="6"/>
      <c r="AL50" s="6"/>
      <c r="AM50" s="6"/>
      <c r="AN50" s="6"/>
      <c r="AO50" s="6"/>
      <c r="AP50" s="6"/>
      <c r="AQ50" s="6"/>
      <c r="AR50" s="6"/>
      <c r="AS50" s="6"/>
      <c r="AT50" s="6"/>
      <c r="AU50" s="6"/>
      <c r="AV50" s="6"/>
      <c r="AW50" s="6"/>
      <c r="AX50" s="6">
        <v>4</v>
      </c>
      <c r="AY50" s="6">
        <v>10</v>
      </c>
      <c r="AZ50" s="6">
        <v>2</v>
      </c>
      <c r="BA50" s="6" t="str">
        <f t="shared" si="58"/>
        <v/>
      </c>
      <c r="BB50" s="6"/>
      <c r="BC50" s="48">
        <f t="shared" si="56"/>
        <v>1002</v>
      </c>
      <c r="BD50" s="48">
        <f t="shared" si="59"/>
        <v>210</v>
      </c>
      <c r="BE50" s="6" t="e">
        <f t="shared" si="57"/>
        <v>#N/A</v>
      </c>
      <c r="BF50" s="6" t="e">
        <f t="shared" si="57"/>
        <v>#N/A</v>
      </c>
      <c r="BG50" s="6" t="e">
        <f>N47*BF50</f>
        <v>#N/A</v>
      </c>
      <c r="BH50" s="6" t="e">
        <f>Q47*BE50</f>
        <v>#N/A</v>
      </c>
      <c r="BI50" s="6"/>
      <c r="BJ50" s="6"/>
      <c r="BK50" s="6"/>
      <c r="BL50" s="6"/>
      <c r="BM50" s="6"/>
      <c r="BN50" s="6"/>
      <c r="BO50" s="6"/>
      <c r="BP50" s="6"/>
      <c r="BQ50" s="6"/>
      <c r="BR50" s="6"/>
      <c r="BS50" s="6"/>
      <c r="BT50" s="6"/>
      <c r="BU50" s="6"/>
      <c r="BV50" s="6"/>
      <c r="BW50" s="6"/>
      <c r="BX50" s="6"/>
      <c r="BY50" s="6"/>
      <c r="BZ50" s="6"/>
      <c r="CA50" s="6"/>
      <c r="CB50" s="6"/>
    </row>
    <row r="51" spans="2:80" x14ac:dyDescent="0.25">
      <c r="B51" s="6">
        <v>4</v>
      </c>
      <c r="C51" s="6" t="str">
        <f t="shared" si="54"/>
        <v>J</v>
      </c>
      <c r="D51" s="46" t="s">
        <v>5</v>
      </c>
      <c r="E51" s="90" t="str">
        <f t="shared" si="55"/>
        <v>C</v>
      </c>
      <c r="F51" s="90"/>
      <c r="G51" s="90"/>
      <c r="H51" s="90"/>
      <c r="I51" s="6"/>
      <c r="J51" s="90" t="str">
        <f>IF(X51="","",VLOOKUP(X51,Configuratie!$B$2:$E$11,3,FALSE))</f>
        <v/>
      </c>
      <c r="K51" s="90"/>
      <c r="L51" s="6" t="s">
        <v>5</v>
      </c>
      <c r="M51" s="90" t="str">
        <f>IF(X51="","",VLOOKUP(X51,Configuratie!$B$2:$E$11,4,FALSE))</f>
        <v/>
      </c>
      <c r="N51" s="90"/>
      <c r="O51" s="6"/>
      <c r="P51" s="6"/>
      <c r="Q51" s="6"/>
      <c r="R51" s="6"/>
      <c r="S51" s="6"/>
      <c r="T51" s="6"/>
      <c r="U51" s="6"/>
      <c r="V51" s="6" t="str">
        <f>IF(X51="","",VLOOKUP(X51,Configuratie!$B$2:$E$11,2,FALSE))</f>
        <v/>
      </c>
      <c r="W51" s="61"/>
      <c r="X51" s="5"/>
      <c r="Z51" s="6"/>
      <c r="AA51" s="6"/>
      <c r="AB51" s="6"/>
      <c r="AC51" s="6"/>
      <c r="AD51" s="6"/>
      <c r="AE51" s="6"/>
      <c r="AF51" s="6"/>
      <c r="AG51" s="6"/>
      <c r="AH51" s="6"/>
      <c r="AI51" s="6"/>
      <c r="AJ51" s="6"/>
      <c r="AK51" s="6"/>
      <c r="AL51" s="6"/>
      <c r="AM51" s="6"/>
      <c r="AN51" s="6"/>
      <c r="AO51" s="6"/>
      <c r="AP51" s="6"/>
      <c r="AQ51" s="6"/>
      <c r="AR51" s="6"/>
      <c r="AS51" s="6"/>
      <c r="AT51" s="6"/>
      <c r="AU51" s="6"/>
      <c r="AV51" s="6"/>
      <c r="AW51" s="6"/>
      <c r="AX51" s="6">
        <v>4</v>
      </c>
      <c r="AY51" s="6">
        <v>9</v>
      </c>
      <c r="AZ51" s="6">
        <v>3</v>
      </c>
      <c r="BA51" s="6" t="str">
        <f t="shared" si="58"/>
        <v/>
      </c>
      <c r="BB51" s="6"/>
      <c r="BC51" s="48">
        <f t="shared" si="56"/>
        <v>903</v>
      </c>
      <c r="BD51" s="48">
        <f t="shared" si="59"/>
        <v>309</v>
      </c>
      <c r="BE51" s="6" t="e">
        <f t="shared" si="57"/>
        <v>#N/A</v>
      </c>
      <c r="BF51" s="6" t="e">
        <f t="shared" si="57"/>
        <v>#N/A</v>
      </c>
      <c r="BG51" s="6" t="e">
        <f>N48*BF51</f>
        <v>#N/A</v>
      </c>
      <c r="BH51" s="6" t="e">
        <f>Q48*BE51</f>
        <v>#N/A</v>
      </c>
      <c r="BI51" s="6"/>
      <c r="BJ51" s="6"/>
      <c r="BK51" s="6"/>
      <c r="BL51" s="6"/>
      <c r="BM51" s="6"/>
      <c r="BN51" s="6"/>
      <c r="BO51" s="6"/>
      <c r="BP51" s="6"/>
      <c r="BQ51" s="6"/>
      <c r="BR51" s="6"/>
      <c r="BS51" s="6"/>
      <c r="BT51" s="6"/>
      <c r="BU51" s="6"/>
      <c r="BV51" s="6"/>
      <c r="BW51" s="6"/>
      <c r="BX51" s="6"/>
      <c r="BY51" s="6"/>
      <c r="BZ51" s="6"/>
      <c r="CA51" s="6"/>
      <c r="CB51" s="6"/>
    </row>
    <row r="52" spans="2:80" x14ac:dyDescent="0.25">
      <c r="B52" s="6">
        <v>5</v>
      </c>
      <c r="C52" s="6" t="str">
        <f t="shared" si="54"/>
        <v>I</v>
      </c>
      <c r="D52" s="46" t="s">
        <v>5</v>
      </c>
      <c r="E52" s="90" t="str">
        <f t="shared" si="55"/>
        <v>D</v>
      </c>
      <c r="F52" s="90"/>
      <c r="G52" s="90"/>
      <c r="H52" s="90"/>
      <c r="I52" s="6"/>
      <c r="J52" s="90" t="str">
        <f>IF(X52="","",VLOOKUP(X52,Configuratie!$B$2:$E$11,3,FALSE))</f>
        <v/>
      </c>
      <c r="K52" s="90"/>
      <c r="L52" s="6" t="s">
        <v>5</v>
      </c>
      <c r="M52" s="90" t="str">
        <f>IF(X52="","",VLOOKUP(X52,Configuratie!$B$2:$E$11,4,FALSE))</f>
        <v/>
      </c>
      <c r="N52" s="90"/>
      <c r="O52" s="6"/>
      <c r="P52" s="6"/>
      <c r="Q52" s="6"/>
      <c r="R52" s="6"/>
      <c r="S52" s="6"/>
      <c r="T52" s="6"/>
      <c r="U52" s="6"/>
      <c r="V52" s="6" t="str">
        <f>IF(X52="","",VLOOKUP(X52,Configuratie!$B$2:$E$11,2,FALSE))</f>
        <v/>
      </c>
      <c r="W52" s="61"/>
      <c r="X52" s="5"/>
      <c r="Z52" s="6"/>
      <c r="AA52" s="6"/>
      <c r="AB52" s="6"/>
      <c r="AC52" s="6"/>
      <c r="AD52" s="6"/>
      <c r="AE52" s="6"/>
      <c r="AF52" s="6"/>
      <c r="AG52" s="6"/>
      <c r="AH52" s="6"/>
      <c r="AI52" s="6"/>
      <c r="AJ52" s="6"/>
      <c r="AK52" s="6"/>
      <c r="AL52" s="6"/>
      <c r="AM52" s="6"/>
      <c r="AN52" s="6"/>
      <c r="AO52" s="6"/>
      <c r="AP52" s="6"/>
      <c r="AQ52" s="6"/>
      <c r="AR52" s="6"/>
      <c r="AS52" s="6"/>
      <c r="AT52" s="6"/>
      <c r="AU52" s="6"/>
      <c r="AV52" s="6"/>
      <c r="AW52" s="6"/>
      <c r="AX52" s="6">
        <v>4</v>
      </c>
      <c r="AY52" s="6">
        <v>8</v>
      </c>
      <c r="AZ52" s="6">
        <v>4</v>
      </c>
      <c r="BA52" s="6" t="str">
        <f t="shared" si="58"/>
        <v/>
      </c>
      <c r="BB52" s="6"/>
      <c r="BC52" s="48">
        <f t="shared" si="56"/>
        <v>804</v>
      </c>
      <c r="BD52" s="48">
        <f>AZ52*100+AY52</f>
        <v>408</v>
      </c>
      <c r="BE52" s="6" t="e">
        <f t="shared" si="57"/>
        <v>#N/A</v>
      </c>
      <c r="BF52" s="6" t="e">
        <f t="shared" si="57"/>
        <v>#N/A</v>
      </c>
      <c r="BG52" s="6" t="e">
        <f>N49*BF52</f>
        <v>#N/A</v>
      </c>
      <c r="BH52" s="6" t="e">
        <f>Q49*BE52</f>
        <v>#N/A</v>
      </c>
      <c r="BI52" s="6"/>
      <c r="BJ52" s="6"/>
      <c r="BK52" s="6"/>
      <c r="BL52" s="6"/>
      <c r="BM52" s="6"/>
      <c r="BN52" s="6"/>
      <c r="BO52" s="6"/>
      <c r="BP52" s="6"/>
      <c r="BQ52" s="6"/>
      <c r="BR52" s="6"/>
      <c r="BS52" s="6"/>
      <c r="BT52" s="6"/>
      <c r="BU52" s="6"/>
      <c r="BV52" s="6"/>
      <c r="BW52" s="6"/>
      <c r="BX52" s="6"/>
      <c r="BY52" s="6"/>
      <c r="BZ52" s="6"/>
      <c r="CA52" s="6"/>
      <c r="CB52" s="6"/>
    </row>
    <row r="53" spans="2:80" x14ac:dyDescent="0.25">
      <c r="B53" s="6">
        <v>6</v>
      </c>
      <c r="C53" s="6" t="str">
        <f t="shared" si="54"/>
        <v>H</v>
      </c>
      <c r="D53" s="46" t="s">
        <v>5</v>
      </c>
      <c r="E53" s="90" t="str">
        <f t="shared" si="55"/>
        <v>E</v>
      </c>
      <c r="F53" s="90"/>
      <c r="G53" s="90"/>
      <c r="H53" s="90"/>
      <c r="I53" s="6"/>
      <c r="J53" s="90" t="str">
        <f>IF(X53="","",VLOOKUP(X53,Configuratie!$B$2:$E$11,3,FALSE))</f>
        <v/>
      </c>
      <c r="K53" s="90"/>
      <c r="L53" s="6" t="s">
        <v>5</v>
      </c>
      <c r="M53" s="90" t="str">
        <f>IF(X53="","",VLOOKUP(X53,Configuratie!$B$2:$E$11,4,FALSE))</f>
        <v/>
      </c>
      <c r="N53" s="90"/>
      <c r="O53" s="6"/>
      <c r="P53" s="6"/>
      <c r="Q53" s="6"/>
      <c r="R53" s="6"/>
      <c r="S53" s="6"/>
      <c r="T53" s="6"/>
      <c r="U53" s="6"/>
      <c r="V53" s="6" t="str">
        <f>IF(X53="","",VLOOKUP(X53,Configuratie!$B$2:$E$11,2,FALSE))</f>
        <v/>
      </c>
      <c r="W53" s="61"/>
      <c r="X53" s="5"/>
      <c r="Z53" s="6"/>
      <c r="AA53" s="6"/>
      <c r="AB53" s="6"/>
      <c r="AC53" s="6"/>
      <c r="AD53" s="6"/>
      <c r="AE53" s="6"/>
      <c r="AF53" s="6"/>
      <c r="AG53" s="6"/>
      <c r="AH53" s="6"/>
      <c r="AI53" s="6"/>
      <c r="AJ53" s="6"/>
      <c r="AK53" s="6"/>
      <c r="AL53" s="6"/>
      <c r="AM53" s="6"/>
      <c r="AN53" s="6"/>
      <c r="AO53" s="6"/>
      <c r="AP53" s="6"/>
      <c r="AQ53" s="6"/>
      <c r="AR53" s="6"/>
      <c r="AS53" s="6"/>
      <c r="AT53" s="6"/>
      <c r="AU53" s="6"/>
      <c r="AV53" s="6"/>
      <c r="AW53" s="6"/>
      <c r="AX53" s="6">
        <v>4</v>
      </c>
      <c r="AY53" s="6">
        <v>7</v>
      </c>
      <c r="AZ53" s="6">
        <v>5</v>
      </c>
      <c r="BA53" s="6" t="str">
        <f t="shared" si="58"/>
        <v/>
      </c>
      <c r="BB53" s="6"/>
      <c r="BC53" s="48">
        <f t="shared" si="56"/>
        <v>705</v>
      </c>
      <c r="BD53" s="48">
        <f t="shared" si="59"/>
        <v>507</v>
      </c>
      <c r="BE53" s="6"/>
      <c r="BF53" s="6"/>
      <c r="BG53" s="6"/>
      <c r="BH53" s="6"/>
      <c r="BI53" s="6"/>
      <c r="BJ53" s="6"/>
      <c r="BK53" s="6"/>
      <c r="BL53" s="6"/>
      <c r="BM53" s="6"/>
      <c r="BN53" s="6"/>
      <c r="BO53" s="6"/>
      <c r="BP53" s="6"/>
      <c r="BQ53" s="6"/>
      <c r="BR53" s="6"/>
      <c r="BS53" s="6"/>
      <c r="BT53" s="6"/>
      <c r="BU53" s="6"/>
      <c r="BV53" s="6"/>
      <c r="BW53" s="6"/>
      <c r="BX53" s="6"/>
      <c r="BY53" s="6"/>
      <c r="BZ53" s="6"/>
      <c r="CA53" s="6"/>
      <c r="CB53" s="6"/>
    </row>
    <row r="54" spans="2:80" x14ac:dyDescent="0.25">
      <c r="B54" s="6">
        <v>7</v>
      </c>
      <c r="C54" s="6" t="str">
        <f t="shared" si="54"/>
        <v>O</v>
      </c>
      <c r="D54" s="46" t="s">
        <v>5</v>
      </c>
      <c r="E54" s="90" t="str">
        <f t="shared" si="55"/>
        <v>G</v>
      </c>
      <c r="F54" s="90"/>
      <c r="G54" s="90"/>
      <c r="H54" s="90"/>
      <c r="I54" s="6"/>
      <c r="J54" s="90" t="str">
        <f>IF(X54="","",VLOOKUP(X54,Configuratie!$B$2:$E$11,3,FALSE))</f>
        <v/>
      </c>
      <c r="K54" s="90"/>
      <c r="L54" s="6" t="s">
        <v>5</v>
      </c>
      <c r="M54" s="90" t="str">
        <f>IF(X54="","",VLOOKUP(X54,Configuratie!$B$2:$E$11,4,FALSE))</f>
        <v/>
      </c>
      <c r="N54" s="90"/>
      <c r="O54" s="6"/>
      <c r="P54" s="6"/>
      <c r="Q54" s="6"/>
      <c r="R54" s="6"/>
      <c r="S54" s="6"/>
      <c r="T54" s="6"/>
      <c r="U54" s="6"/>
      <c r="V54" s="6" t="str">
        <f>IF(X54="","",VLOOKUP(X54,Configuratie!$B$2:$E$11,2,FALSE))</f>
        <v/>
      </c>
      <c r="W54" s="61"/>
      <c r="X54" s="5"/>
      <c r="Z54" s="6"/>
      <c r="AA54" s="6"/>
      <c r="AB54" s="6"/>
      <c r="AC54" s="6"/>
      <c r="AD54" s="6"/>
      <c r="AE54" s="6"/>
      <c r="AF54" s="6"/>
      <c r="AG54" s="6"/>
      <c r="AH54" s="6"/>
      <c r="AI54" s="6"/>
      <c r="AJ54" s="6"/>
      <c r="AK54" s="6"/>
      <c r="AL54" s="6"/>
      <c r="AM54" s="6"/>
      <c r="AN54" s="6"/>
      <c r="AO54" s="6"/>
      <c r="AP54" s="6"/>
      <c r="AQ54" s="6"/>
      <c r="AR54" s="6"/>
      <c r="AS54" s="6"/>
      <c r="AT54" s="6"/>
      <c r="AU54" s="6"/>
      <c r="AV54" s="6"/>
      <c r="AW54" s="6"/>
      <c r="AX54" s="6">
        <v>4</v>
      </c>
      <c r="AY54" s="6">
        <v>14</v>
      </c>
      <c r="AZ54" s="6">
        <v>6</v>
      </c>
      <c r="BA54" s="6" t="str">
        <f t="shared" si="58"/>
        <v/>
      </c>
      <c r="BB54" s="6"/>
      <c r="BC54" s="48">
        <f t="shared" si="56"/>
        <v>1406</v>
      </c>
      <c r="BD54" s="48">
        <f>AZ54*100+AY54</f>
        <v>614</v>
      </c>
      <c r="BE54" s="6"/>
      <c r="BF54" s="6"/>
      <c r="BG54" s="6"/>
      <c r="BH54" s="6"/>
      <c r="BI54" s="6"/>
      <c r="BJ54" s="6"/>
      <c r="BK54" s="6"/>
      <c r="BL54" s="6"/>
      <c r="BM54" s="6"/>
      <c r="BN54" s="6"/>
      <c r="BO54" s="6"/>
      <c r="BP54" s="6"/>
      <c r="BQ54" s="6"/>
      <c r="BR54" s="6"/>
      <c r="BS54" s="6"/>
      <c r="BT54" s="6"/>
      <c r="BU54" s="6"/>
      <c r="BV54" s="6"/>
      <c r="BW54" s="6"/>
      <c r="BX54" s="6"/>
      <c r="BY54" s="6"/>
      <c r="BZ54" s="6"/>
      <c r="CA54" s="6"/>
      <c r="CB54" s="6"/>
    </row>
    <row r="55" spans="2:80" x14ac:dyDescent="0.25">
      <c r="B55" s="11"/>
      <c r="C55" s="11"/>
      <c r="D55" s="11"/>
      <c r="E55" s="11"/>
      <c r="F55" s="11"/>
      <c r="G55" s="11"/>
      <c r="H55" s="11"/>
      <c r="I55" s="11"/>
      <c r="J55" s="11"/>
      <c r="K55" s="11"/>
      <c r="L55" s="11"/>
      <c r="M55" s="11"/>
      <c r="N55" s="11"/>
      <c r="O55" s="11"/>
      <c r="P55" s="11"/>
      <c r="Q55" s="11"/>
      <c r="R55" s="11"/>
      <c r="S55" s="11"/>
      <c r="T55" s="11"/>
      <c r="U55" s="11"/>
      <c r="V55" s="11"/>
      <c r="W55" s="11"/>
      <c r="X55" s="11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6"/>
      <c r="AQ55" s="6"/>
      <c r="AR55" s="6"/>
      <c r="AS55" s="6"/>
      <c r="AT55" s="6"/>
      <c r="AU55" s="6"/>
      <c r="AV55" s="6"/>
      <c r="AW55" s="6"/>
      <c r="AX55" s="6"/>
      <c r="AY55" s="6"/>
      <c r="AZ55" s="6"/>
      <c r="BA55" s="6"/>
      <c r="BB55" s="6"/>
      <c r="BC55" s="48"/>
      <c r="BD55" s="48"/>
      <c r="BE55" s="6" t="e">
        <f t="shared" ref="BE55:BF59" si="60">VLOOKUP(AY66,$BJ$3:$BW$13,$AT52,FALSE)</f>
        <v>#N/A</v>
      </c>
      <c r="BF55" s="6" t="e">
        <f t="shared" si="60"/>
        <v>#N/A</v>
      </c>
      <c r="BG55" s="6" t="e">
        <f>N52*BF55</f>
        <v>#N/A</v>
      </c>
      <c r="BH55" s="6" t="e">
        <f>Q52*BE55</f>
        <v>#N/A</v>
      </c>
      <c r="BI55" s="6"/>
      <c r="BJ55" s="6"/>
      <c r="BK55" s="6"/>
      <c r="BL55" s="6"/>
      <c r="BM55" s="6"/>
      <c r="BN55" s="6"/>
      <c r="BO55" s="6"/>
      <c r="BP55" s="6"/>
      <c r="BQ55" s="6"/>
      <c r="BR55" s="6"/>
      <c r="BS55" s="6"/>
      <c r="BT55" s="6"/>
      <c r="BU55" s="6"/>
      <c r="BV55" s="6"/>
      <c r="BW55" s="6"/>
      <c r="BX55" s="6"/>
      <c r="BY55" s="6"/>
      <c r="BZ55" s="6"/>
      <c r="CA55" s="6"/>
      <c r="CB55" s="6"/>
    </row>
    <row r="56" spans="2:80" x14ac:dyDescent="0.25">
      <c r="B56" s="45" t="s">
        <v>12</v>
      </c>
      <c r="C56" s="6"/>
      <c r="D56" s="6"/>
      <c r="E56" s="6"/>
      <c r="F56" s="6"/>
      <c r="G56" s="6"/>
      <c r="H56" s="6"/>
      <c r="I56" s="6"/>
      <c r="J56" s="6"/>
      <c r="K56" s="6"/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AP56" s="6"/>
      <c r="AQ56" s="6"/>
      <c r="AR56" s="6"/>
      <c r="AS56" s="6"/>
      <c r="AT56" s="6"/>
      <c r="AU56" s="6"/>
      <c r="AV56" s="6"/>
      <c r="AW56" s="6"/>
      <c r="AX56" s="6"/>
      <c r="AY56" s="6"/>
      <c r="AZ56" s="6"/>
      <c r="BA56" s="6" t="str">
        <f t="shared" ref="BA56" si="61">IF(AND(ISNUMBER(N52),ISNUMBER(Q52)),IF(N52+Q52=1,1,0),"")</f>
        <v/>
      </c>
      <c r="BB56" s="6"/>
      <c r="BC56" s="48"/>
      <c r="BD56" s="48"/>
      <c r="BE56" s="6" t="e">
        <f t="shared" si="60"/>
        <v>#N/A</v>
      </c>
      <c r="BF56" s="6" t="e">
        <f t="shared" si="60"/>
        <v>#N/A</v>
      </c>
      <c r="BG56" s="6" t="e">
        <f>N53*BF56</f>
        <v>#N/A</v>
      </c>
      <c r="BH56" s="6" t="e">
        <f>Q53*BE56</f>
        <v>#N/A</v>
      </c>
      <c r="BI56" s="6"/>
      <c r="BJ56" s="6"/>
      <c r="BK56" s="6"/>
      <c r="BL56" s="6"/>
      <c r="BM56" s="6"/>
      <c r="BN56" s="6"/>
      <c r="BO56" s="6"/>
      <c r="BP56" s="6"/>
      <c r="BQ56" s="6"/>
      <c r="BR56" s="6"/>
      <c r="BS56" s="6"/>
      <c r="BT56" s="6"/>
      <c r="BU56" s="6"/>
      <c r="BV56" s="6"/>
      <c r="BW56" s="6"/>
      <c r="BX56" s="6"/>
      <c r="BY56" s="6"/>
      <c r="BZ56" s="6"/>
      <c r="CA56" s="6"/>
      <c r="CB56" s="6"/>
    </row>
    <row r="57" spans="2:80" x14ac:dyDescent="0.25">
      <c r="B57" s="6">
        <v>1</v>
      </c>
      <c r="C57" s="6" t="str">
        <f>VLOOKUP(AY57,$B$4:$F$17,2,FALSE)</f>
        <v>M</v>
      </c>
      <c r="D57" s="46" t="s">
        <v>5</v>
      </c>
      <c r="E57" s="90" t="str">
        <f t="shared" ref="E57:E63" si="62">VLOOKUP(AZ57,$B$4:$F$17,2,FALSE)</f>
        <v>O</v>
      </c>
      <c r="F57" s="90"/>
      <c r="G57" s="90"/>
      <c r="H57" s="90"/>
      <c r="I57" s="6"/>
      <c r="J57" s="90" t="str">
        <f>IF(X57="","",VLOOKUP(X57,Configuratie!$B$2:$E$11,3,FALSE))</f>
        <v/>
      </c>
      <c r="K57" s="90"/>
      <c r="L57" s="6" t="s">
        <v>5</v>
      </c>
      <c r="M57" s="90" t="str">
        <f>IF(X57="","",VLOOKUP(X57,Configuratie!$B$2:$E$11,4,FALSE))</f>
        <v/>
      </c>
      <c r="N57" s="90"/>
      <c r="O57" s="6"/>
      <c r="P57" s="6"/>
      <c r="Q57" s="6"/>
      <c r="R57" s="6"/>
      <c r="S57" s="6"/>
      <c r="T57" s="6"/>
      <c r="U57" s="6"/>
      <c r="V57" s="6" t="str">
        <f>IF(X57="","",VLOOKUP(X57,Configuratie!$B$2:$E$11,2,FALSE))</f>
        <v/>
      </c>
      <c r="W57" s="61"/>
      <c r="X57" s="5"/>
      <c r="Z57" s="6"/>
      <c r="AA57" s="6"/>
      <c r="AB57" s="6"/>
      <c r="AC57" s="6"/>
      <c r="AD57" s="6"/>
      <c r="AE57" s="6"/>
      <c r="AF57" s="6"/>
      <c r="AG57" s="6"/>
      <c r="AH57" s="6"/>
      <c r="AI57" s="6"/>
      <c r="AJ57" s="6"/>
      <c r="AK57" s="6"/>
      <c r="AL57" s="6"/>
      <c r="AM57" s="6"/>
      <c r="AN57" s="6"/>
      <c r="AO57" s="6"/>
      <c r="AP57" s="6"/>
      <c r="AQ57" s="6"/>
      <c r="AR57" s="6"/>
      <c r="AS57" s="6"/>
      <c r="AT57" s="6"/>
      <c r="AU57" s="6"/>
      <c r="AV57" s="6"/>
      <c r="AW57" s="6"/>
      <c r="AX57" s="6">
        <v>5</v>
      </c>
      <c r="AY57" s="6">
        <v>12</v>
      </c>
      <c r="AZ57" s="6">
        <v>14</v>
      </c>
      <c r="BA57" s="6" t="str">
        <f>IF(AND(ISNUMBER(J57),ISNUMBER(M57)),IF(J57+M57=1,1,0),"")</f>
        <v/>
      </c>
      <c r="BB57" s="6"/>
      <c r="BC57" s="48">
        <f t="shared" ref="BC57:BC63" si="63">AY57*100+AZ57</f>
        <v>1214</v>
      </c>
      <c r="BD57" s="48">
        <f>AZ57*100+AY57</f>
        <v>1412</v>
      </c>
      <c r="BE57" s="6" t="e">
        <f t="shared" si="60"/>
        <v>#N/A</v>
      </c>
      <c r="BF57" s="6" t="e">
        <f t="shared" si="60"/>
        <v>#N/A</v>
      </c>
      <c r="BG57" s="6" t="e">
        <f>N54*BF57</f>
        <v>#N/A</v>
      </c>
      <c r="BH57" s="6" t="e">
        <f>Q54*BE57</f>
        <v>#N/A</v>
      </c>
      <c r="BI57" s="6"/>
      <c r="BJ57" s="6"/>
      <c r="BK57" s="6"/>
      <c r="BL57" s="6"/>
      <c r="BM57" s="6"/>
      <c r="BN57" s="6"/>
      <c r="BO57" s="6"/>
      <c r="BP57" s="6"/>
      <c r="BQ57" s="6"/>
      <c r="BR57" s="6"/>
      <c r="BS57" s="6"/>
      <c r="BT57" s="6"/>
      <c r="BU57" s="6"/>
      <c r="BV57" s="6"/>
      <c r="BW57" s="6"/>
      <c r="BX57" s="6"/>
      <c r="BY57" s="6"/>
      <c r="BZ57" s="6"/>
      <c r="CA57" s="6"/>
      <c r="CB57" s="6"/>
    </row>
    <row r="58" spans="2:80" x14ac:dyDescent="0.25">
      <c r="B58" s="6">
        <v>2</v>
      </c>
      <c r="C58" s="6" t="str">
        <f t="shared" ref="C58:C63" si="64">VLOOKUP(AY58,$B$4:$F$17,2,FALSE)</f>
        <v>N</v>
      </c>
      <c r="D58" s="46" t="s">
        <v>5</v>
      </c>
      <c r="E58" s="90" t="str">
        <f t="shared" si="62"/>
        <v>L</v>
      </c>
      <c r="F58" s="90"/>
      <c r="G58" s="90"/>
      <c r="H58" s="90"/>
      <c r="I58" s="6"/>
      <c r="J58" s="90" t="str">
        <f>IF(X58="","",VLOOKUP(X58,Configuratie!$B$2:$E$11,3,FALSE))</f>
        <v/>
      </c>
      <c r="K58" s="90"/>
      <c r="L58" s="6" t="s">
        <v>5</v>
      </c>
      <c r="M58" s="90" t="str">
        <f>IF(X58="","",VLOOKUP(X58,Configuratie!$B$2:$E$11,4,FALSE))</f>
        <v/>
      </c>
      <c r="N58" s="90"/>
      <c r="O58" s="6"/>
      <c r="P58" s="6"/>
      <c r="Q58" s="6"/>
      <c r="R58" s="6"/>
      <c r="S58" s="6"/>
      <c r="T58" s="6"/>
      <c r="U58" s="6"/>
      <c r="V58" s="6" t="str">
        <f>IF(X58="","",VLOOKUP(X58,Configuratie!$B$2:$E$11,2,FALSE))</f>
        <v/>
      </c>
      <c r="W58" s="61"/>
      <c r="X58" s="5"/>
      <c r="Z58" s="6"/>
      <c r="AA58" s="6"/>
      <c r="AB58" s="6"/>
      <c r="AC58" s="6"/>
      <c r="AD58" s="6"/>
      <c r="AE58" s="6"/>
      <c r="AF58" s="6"/>
      <c r="AG58" s="6"/>
      <c r="AH58" s="6"/>
      <c r="AI58" s="6"/>
      <c r="AJ58" s="6"/>
      <c r="AK58" s="6"/>
      <c r="AL58" s="6"/>
      <c r="AM58" s="6"/>
      <c r="AN58" s="6"/>
      <c r="AO58" s="6"/>
      <c r="AP58" s="6"/>
      <c r="AQ58" s="6"/>
      <c r="AR58" s="6"/>
      <c r="AS58" s="6"/>
      <c r="AT58" s="6"/>
      <c r="AU58" s="6"/>
      <c r="AV58" s="6"/>
      <c r="AW58" s="6"/>
      <c r="AX58" s="6">
        <v>5</v>
      </c>
      <c r="AY58" s="6">
        <v>13</v>
      </c>
      <c r="AZ58" s="6">
        <v>11</v>
      </c>
      <c r="BA58" s="6" t="str">
        <f t="shared" ref="BA58:BA63" si="65">IF(AND(ISNUMBER(J58),ISNUMBER(M58)),IF(J58+M58=1,1,0),"")</f>
        <v/>
      </c>
      <c r="BB58" s="6"/>
      <c r="BC58" s="48">
        <f t="shared" si="63"/>
        <v>1311</v>
      </c>
      <c r="BD58" s="48">
        <f t="shared" ref="BD58:BD62" si="66">AZ58*100+AY58</f>
        <v>1113</v>
      </c>
      <c r="BE58" s="6" t="e">
        <f t="shared" si="60"/>
        <v>#N/A</v>
      </c>
      <c r="BF58" s="6" t="e">
        <f t="shared" si="60"/>
        <v>#N/A</v>
      </c>
      <c r="BG58" s="6" t="e">
        <f>N55*BF58</f>
        <v>#N/A</v>
      </c>
      <c r="BH58" s="6" t="e">
        <f>Q55*BE58</f>
        <v>#N/A</v>
      </c>
      <c r="BI58" s="6"/>
      <c r="BJ58" s="6"/>
      <c r="BK58" s="6"/>
      <c r="BL58" s="6"/>
      <c r="BM58" s="6"/>
      <c r="BN58" s="6"/>
      <c r="BO58" s="6"/>
      <c r="BP58" s="6"/>
      <c r="BQ58" s="6"/>
      <c r="BR58" s="6"/>
      <c r="BS58" s="6"/>
      <c r="BT58" s="6"/>
      <c r="BU58" s="6"/>
      <c r="BV58" s="6"/>
      <c r="BW58" s="6"/>
      <c r="BX58" s="6"/>
      <c r="BY58" s="6"/>
      <c r="BZ58" s="6"/>
      <c r="CA58" s="6"/>
      <c r="CB58" s="6"/>
    </row>
    <row r="59" spans="2:80" x14ac:dyDescent="0.25">
      <c r="B59" s="6">
        <v>3</v>
      </c>
      <c r="C59" s="6" t="str">
        <f t="shared" si="64"/>
        <v>A</v>
      </c>
      <c r="D59" s="46" t="s">
        <v>5</v>
      </c>
      <c r="E59" s="90" t="str">
        <f t="shared" si="62"/>
        <v>K</v>
      </c>
      <c r="F59" s="90"/>
      <c r="G59" s="90"/>
      <c r="H59" s="90"/>
      <c r="I59" s="6"/>
      <c r="J59" s="90" t="str">
        <f>IF(X59="","",VLOOKUP(X59,Configuratie!$B$2:$E$11,3,FALSE))</f>
        <v/>
      </c>
      <c r="K59" s="90"/>
      <c r="L59" s="6" t="s">
        <v>5</v>
      </c>
      <c r="M59" s="90" t="str">
        <f>IF(X59="","",VLOOKUP(X59,Configuratie!$B$2:$E$11,4,FALSE))</f>
        <v/>
      </c>
      <c r="N59" s="90"/>
      <c r="O59" s="6"/>
      <c r="P59" s="6"/>
      <c r="Q59" s="6"/>
      <c r="R59" s="6"/>
      <c r="S59" s="6"/>
      <c r="T59" s="6"/>
      <c r="U59" s="6"/>
      <c r="V59" s="6" t="str">
        <f>IF(X59="","",VLOOKUP(X59,Configuratie!$B$2:$E$11,2,FALSE))</f>
        <v/>
      </c>
      <c r="W59" s="61"/>
      <c r="X59" s="5"/>
      <c r="Z59" s="6"/>
      <c r="AA59" s="6"/>
      <c r="AB59" s="6"/>
      <c r="AC59" s="6"/>
      <c r="AD59" s="6"/>
      <c r="AE59" s="6"/>
      <c r="AF59" s="6"/>
      <c r="AG59" s="6"/>
      <c r="AH59" s="6"/>
      <c r="AI59" s="6"/>
      <c r="AJ59" s="6"/>
      <c r="AK59" s="6"/>
      <c r="AL59" s="6"/>
      <c r="AM59" s="6"/>
      <c r="AN59" s="6"/>
      <c r="AO59" s="6"/>
      <c r="AP59" s="6"/>
      <c r="AQ59" s="6"/>
      <c r="AR59" s="6"/>
      <c r="AS59" s="6"/>
      <c r="AT59" s="6"/>
      <c r="AU59" s="6"/>
      <c r="AV59" s="6"/>
      <c r="AW59" s="6"/>
      <c r="AX59" s="6">
        <v>5</v>
      </c>
      <c r="AY59" s="6">
        <v>1</v>
      </c>
      <c r="AZ59" s="6">
        <v>10</v>
      </c>
      <c r="BA59" s="6" t="str">
        <f t="shared" si="65"/>
        <v/>
      </c>
      <c r="BB59" s="6"/>
      <c r="BC59" s="48">
        <f t="shared" si="63"/>
        <v>110</v>
      </c>
      <c r="BD59" s="48">
        <f t="shared" si="66"/>
        <v>1001</v>
      </c>
      <c r="BE59" s="6" t="e">
        <f t="shared" si="60"/>
        <v>#VALUE!</v>
      </c>
      <c r="BF59" s="6" t="e">
        <f t="shared" si="60"/>
        <v>#N/A</v>
      </c>
      <c r="BG59" s="6" t="e">
        <f>N56*BF59</f>
        <v>#N/A</v>
      </c>
      <c r="BH59" s="6" t="e">
        <f>Q56*BE59</f>
        <v>#VALUE!</v>
      </c>
      <c r="BI59" s="6"/>
      <c r="BJ59" s="6"/>
      <c r="BK59" s="6"/>
      <c r="BL59" s="6"/>
      <c r="BM59" s="6"/>
      <c r="BN59" s="6"/>
      <c r="BO59" s="6"/>
      <c r="BP59" s="6"/>
      <c r="BQ59" s="6"/>
      <c r="BR59" s="6"/>
      <c r="BS59" s="6"/>
      <c r="BT59" s="6"/>
      <c r="BU59" s="6"/>
      <c r="BV59" s="6"/>
      <c r="BW59" s="6"/>
      <c r="BX59" s="6"/>
      <c r="BY59" s="6"/>
      <c r="BZ59" s="6"/>
      <c r="CA59" s="6"/>
      <c r="CB59" s="6"/>
    </row>
    <row r="60" spans="2:80" x14ac:dyDescent="0.25">
      <c r="B60" s="6">
        <v>4</v>
      </c>
      <c r="C60" s="6" t="str">
        <f t="shared" si="64"/>
        <v>B</v>
      </c>
      <c r="D60" s="46" t="s">
        <v>5</v>
      </c>
      <c r="E60" s="90" t="str">
        <f t="shared" si="62"/>
        <v>J</v>
      </c>
      <c r="F60" s="90"/>
      <c r="G60" s="90"/>
      <c r="H60" s="90"/>
      <c r="I60" s="6"/>
      <c r="J60" s="90" t="str">
        <f>IF(X60="","",VLOOKUP(X60,Configuratie!$B$2:$E$11,3,FALSE))</f>
        <v/>
      </c>
      <c r="K60" s="90"/>
      <c r="L60" s="6" t="s">
        <v>5</v>
      </c>
      <c r="M60" s="90" t="str">
        <f>IF(X60="","",VLOOKUP(X60,Configuratie!$B$2:$E$11,4,FALSE))</f>
        <v/>
      </c>
      <c r="N60" s="90"/>
      <c r="O60" s="6"/>
      <c r="P60" s="6"/>
      <c r="Q60" s="6"/>
      <c r="R60" s="6"/>
      <c r="S60" s="6"/>
      <c r="T60" s="6"/>
      <c r="U60" s="6"/>
      <c r="V60" s="6" t="str">
        <f>IF(X60="","",VLOOKUP(X60,Configuratie!$B$2:$E$11,2,FALSE))</f>
        <v/>
      </c>
      <c r="W60" s="61"/>
      <c r="X60" s="5"/>
      <c r="Z60" s="6"/>
      <c r="AA60" s="6"/>
      <c r="AB60" s="6"/>
      <c r="AC60" s="6"/>
      <c r="AD60" s="6"/>
      <c r="AE60" s="6"/>
      <c r="AF60" s="6"/>
      <c r="AG60" s="6"/>
      <c r="AH60" s="6"/>
      <c r="AI60" s="6"/>
      <c r="AJ60" s="6"/>
      <c r="AK60" s="6"/>
      <c r="AL60" s="6"/>
      <c r="AM60" s="6"/>
      <c r="AN60" s="6"/>
      <c r="AO60" s="6"/>
      <c r="AP60" s="6"/>
      <c r="AQ60" s="6"/>
      <c r="AR60" s="6"/>
      <c r="AS60" s="6"/>
      <c r="AT60" s="6"/>
      <c r="AU60" s="6"/>
      <c r="AV60" s="6"/>
      <c r="AW60" s="6"/>
      <c r="AX60" s="6">
        <v>5</v>
      </c>
      <c r="AY60" s="6">
        <v>2</v>
      </c>
      <c r="AZ60" s="6">
        <v>9</v>
      </c>
      <c r="BA60" s="6" t="str">
        <f t="shared" si="65"/>
        <v/>
      </c>
      <c r="BB60" s="6"/>
      <c r="BC60" s="48">
        <f t="shared" si="63"/>
        <v>209</v>
      </c>
      <c r="BD60" s="48">
        <f t="shared" si="66"/>
        <v>902</v>
      </c>
      <c r="BE60" s="6"/>
      <c r="BF60" s="6"/>
      <c r="BG60" s="6"/>
      <c r="BH60" s="6"/>
      <c r="BI60" s="6"/>
      <c r="BJ60" s="6"/>
      <c r="BK60" s="6"/>
      <c r="BL60" s="6"/>
      <c r="BM60" s="6"/>
      <c r="BN60" s="6"/>
      <c r="BO60" s="6"/>
      <c r="BP60" s="6"/>
      <c r="BQ60" s="6"/>
      <c r="BR60" s="6"/>
      <c r="BS60" s="6"/>
      <c r="BT60" s="6"/>
      <c r="BU60" s="6"/>
      <c r="BV60" s="6"/>
      <c r="BW60" s="6"/>
      <c r="BX60" s="6"/>
      <c r="BY60" s="6"/>
      <c r="BZ60" s="6"/>
      <c r="CA60" s="6"/>
      <c r="CB60" s="6"/>
    </row>
    <row r="61" spans="2:80" x14ac:dyDescent="0.25">
      <c r="B61" s="6">
        <v>5</v>
      </c>
      <c r="C61" s="6" t="str">
        <f t="shared" si="64"/>
        <v>C</v>
      </c>
      <c r="D61" s="46" t="s">
        <v>5</v>
      </c>
      <c r="E61" s="90" t="str">
        <f t="shared" si="62"/>
        <v>I</v>
      </c>
      <c r="F61" s="90"/>
      <c r="G61" s="90"/>
      <c r="H61" s="90"/>
      <c r="I61" s="6"/>
      <c r="J61" s="90" t="str">
        <f>IF(X61="","",VLOOKUP(X61,Configuratie!$B$2:$E$11,3,FALSE))</f>
        <v/>
      </c>
      <c r="K61" s="90"/>
      <c r="L61" s="6" t="s">
        <v>5</v>
      </c>
      <c r="M61" s="90" t="str">
        <f>IF(X61="","",VLOOKUP(X61,Configuratie!$B$2:$E$11,4,FALSE))</f>
        <v/>
      </c>
      <c r="N61" s="90"/>
      <c r="O61" s="6"/>
      <c r="P61" s="6"/>
      <c r="Q61" s="6"/>
      <c r="R61" s="6"/>
      <c r="S61" s="6"/>
      <c r="T61" s="6"/>
      <c r="U61" s="6"/>
      <c r="V61" s="6" t="str">
        <f>IF(X61="","",VLOOKUP(X61,Configuratie!$B$2:$E$11,2,FALSE))</f>
        <v/>
      </c>
      <c r="W61" s="61"/>
      <c r="X61" s="5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6"/>
      <c r="AS61" s="6"/>
      <c r="AT61" s="6"/>
      <c r="AU61" s="6"/>
      <c r="AV61" s="6"/>
      <c r="AW61" s="6"/>
      <c r="AX61" s="6">
        <v>5</v>
      </c>
      <c r="AY61" s="6">
        <v>3</v>
      </c>
      <c r="AZ61" s="6">
        <v>8</v>
      </c>
      <c r="BA61" s="6" t="str">
        <f t="shared" si="65"/>
        <v/>
      </c>
      <c r="BB61" s="6"/>
      <c r="BC61" s="48">
        <f t="shared" si="63"/>
        <v>308</v>
      </c>
      <c r="BD61" s="48">
        <f>AZ61*100+AY61</f>
        <v>803</v>
      </c>
      <c r="BE61" s="6"/>
      <c r="BF61" s="6"/>
      <c r="BG61" s="6"/>
      <c r="BH61" s="6"/>
      <c r="BI61" s="6"/>
      <c r="BJ61" s="6"/>
      <c r="BK61" s="6"/>
      <c r="BL61" s="6"/>
      <c r="BM61" s="6"/>
      <c r="BN61" s="6"/>
      <c r="BO61" s="6"/>
      <c r="BP61" s="6"/>
      <c r="BQ61" s="6"/>
      <c r="BR61" s="6"/>
      <c r="BS61" s="6"/>
      <c r="BT61" s="6"/>
      <c r="BU61" s="6"/>
      <c r="BV61" s="6"/>
      <c r="BW61" s="6"/>
      <c r="BX61" s="6"/>
      <c r="BY61" s="6"/>
      <c r="BZ61" s="6"/>
      <c r="CA61" s="6"/>
      <c r="CB61" s="6"/>
    </row>
    <row r="62" spans="2:80" x14ac:dyDescent="0.25">
      <c r="B62" s="6">
        <v>6</v>
      </c>
      <c r="C62" s="6" t="str">
        <f t="shared" si="64"/>
        <v>D</v>
      </c>
      <c r="D62" s="46" t="s">
        <v>5</v>
      </c>
      <c r="E62" s="90" t="str">
        <f t="shared" si="62"/>
        <v>H</v>
      </c>
      <c r="F62" s="90"/>
      <c r="G62" s="90"/>
      <c r="H62" s="90"/>
      <c r="I62" s="6"/>
      <c r="J62" s="90" t="str">
        <f>IF(X62="","",VLOOKUP(X62,Configuratie!$B$2:$E$11,3,FALSE))</f>
        <v/>
      </c>
      <c r="K62" s="90"/>
      <c r="L62" s="6" t="s">
        <v>5</v>
      </c>
      <c r="M62" s="90" t="str">
        <f>IF(X62="","",VLOOKUP(X62,Configuratie!$B$2:$E$11,4,FALSE))</f>
        <v/>
      </c>
      <c r="N62" s="90"/>
      <c r="O62" s="6"/>
      <c r="P62" s="6"/>
      <c r="Q62" s="6"/>
      <c r="R62" s="6"/>
      <c r="S62" s="6"/>
      <c r="T62" s="6"/>
      <c r="U62" s="6"/>
      <c r="V62" s="6" t="str">
        <f>IF(X62="","",VLOOKUP(X62,Configuratie!$B$2:$E$11,2,FALSE))</f>
        <v/>
      </c>
      <c r="W62" s="61"/>
      <c r="X62" s="5"/>
      <c r="Z62" s="6"/>
      <c r="AA62" s="6"/>
      <c r="AB62" s="6"/>
      <c r="AC62" s="6"/>
      <c r="AD62" s="6"/>
      <c r="AE62" s="6"/>
      <c r="AF62" s="6"/>
      <c r="AG62" s="6"/>
      <c r="AH62" s="6"/>
      <c r="AI62" s="6"/>
      <c r="AJ62" s="6"/>
      <c r="AK62" s="6"/>
      <c r="AL62" s="6"/>
      <c r="AM62" s="6"/>
      <c r="AN62" s="6"/>
      <c r="AO62" s="6"/>
      <c r="AP62" s="6"/>
      <c r="AQ62" s="6"/>
      <c r="AR62" s="6"/>
      <c r="AS62" s="6"/>
      <c r="AT62" s="6"/>
      <c r="AU62" s="6"/>
      <c r="AV62" s="6"/>
      <c r="AW62" s="6"/>
      <c r="AX62" s="6">
        <v>5</v>
      </c>
      <c r="AY62" s="6">
        <v>4</v>
      </c>
      <c r="AZ62" s="6">
        <v>7</v>
      </c>
      <c r="BA62" s="6" t="str">
        <f t="shared" si="65"/>
        <v/>
      </c>
      <c r="BB62" s="6"/>
      <c r="BC62" s="48">
        <f t="shared" si="63"/>
        <v>407</v>
      </c>
      <c r="BD62" s="48">
        <f t="shared" si="66"/>
        <v>704</v>
      </c>
      <c r="BE62" s="6" t="e">
        <f t="shared" ref="BE62:BF66" si="67">VLOOKUP(AY75,$BJ$3:$BW$13,$AT59,FALSE)</f>
        <v>#N/A</v>
      </c>
      <c r="BF62" s="6" t="e">
        <f t="shared" si="67"/>
        <v>#N/A</v>
      </c>
      <c r="BG62" s="6" t="e">
        <f>N59*BF62</f>
        <v>#N/A</v>
      </c>
      <c r="BH62" s="6" t="e">
        <f>Q59*BE62</f>
        <v>#N/A</v>
      </c>
      <c r="BI62" s="6"/>
      <c r="BJ62" s="6"/>
      <c r="BK62" s="6"/>
      <c r="BL62" s="6"/>
      <c r="BM62" s="6"/>
      <c r="BN62" s="6"/>
      <c r="BO62" s="6"/>
      <c r="BP62" s="6"/>
      <c r="BQ62" s="6"/>
      <c r="BR62" s="6"/>
      <c r="BS62" s="6"/>
      <c r="BT62" s="6"/>
      <c r="BU62" s="6"/>
      <c r="BV62" s="6"/>
      <c r="BW62" s="6"/>
      <c r="BX62" s="6"/>
      <c r="BY62" s="6"/>
      <c r="BZ62" s="6"/>
      <c r="CA62" s="6"/>
      <c r="CB62" s="6"/>
    </row>
    <row r="63" spans="2:80" x14ac:dyDescent="0.25">
      <c r="B63" s="6">
        <v>7</v>
      </c>
      <c r="C63" s="6" t="str">
        <f t="shared" si="64"/>
        <v>E</v>
      </c>
      <c r="D63" s="46" t="s">
        <v>5</v>
      </c>
      <c r="E63" s="90" t="str">
        <f t="shared" si="62"/>
        <v>G</v>
      </c>
      <c r="F63" s="90"/>
      <c r="G63" s="90"/>
      <c r="H63" s="90"/>
      <c r="I63" s="6"/>
      <c r="J63" s="90" t="str">
        <f>IF(X63="","",VLOOKUP(X63,Configuratie!$B$2:$E$11,3,FALSE))</f>
        <v/>
      </c>
      <c r="K63" s="90"/>
      <c r="L63" s="6" t="s">
        <v>5</v>
      </c>
      <c r="M63" s="90" t="str">
        <f>IF(X63="","",VLOOKUP(X63,Configuratie!$B$2:$E$11,4,FALSE))</f>
        <v/>
      </c>
      <c r="N63" s="90"/>
      <c r="O63" s="6"/>
      <c r="P63" s="6"/>
      <c r="Q63" s="6"/>
      <c r="R63" s="6"/>
      <c r="S63" s="6"/>
      <c r="T63" s="6"/>
      <c r="U63" s="6"/>
      <c r="V63" s="6" t="str">
        <f>IF(X63="","",VLOOKUP(X63,Configuratie!$B$2:$E$11,2,FALSE))</f>
        <v/>
      </c>
      <c r="W63" s="61"/>
      <c r="X63" s="5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6"/>
      <c r="AS63" s="6"/>
      <c r="AT63" s="6"/>
      <c r="AU63" s="6"/>
      <c r="AV63" s="6"/>
      <c r="AW63" s="6"/>
      <c r="AX63" s="6">
        <v>5</v>
      </c>
      <c r="AY63" s="6">
        <v>5</v>
      </c>
      <c r="AZ63" s="6">
        <v>6</v>
      </c>
      <c r="BA63" s="6" t="str">
        <f t="shared" si="65"/>
        <v/>
      </c>
      <c r="BB63" s="6"/>
      <c r="BC63" s="48">
        <f t="shared" si="63"/>
        <v>506</v>
      </c>
      <c r="BD63" s="48">
        <f>AZ63*100+AY63</f>
        <v>605</v>
      </c>
      <c r="BE63" s="6" t="e">
        <f t="shared" si="67"/>
        <v>#N/A</v>
      </c>
      <c r="BF63" s="6" t="e">
        <f t="shared" si="67"/>
        <v>#N/A</v>
      </c>
      <c r="BG63" s="6" t="e">
        <f>N60*BF63</f>
        <v>#N/A</v>
      </c>
      <c r="BH63" s="6" t="e">
        <f>Q60*BE63</f>
        <v>#N/A</v>
      </c>
      <c r="BI63" s="6"/>
      <c r="BJ63" s="6"/>
      <c r="BK63" s="6"/>
      <c r="BL63" s="6"/>
      <c r="BM63" s="6"/>
      <c r="BN63" s="6"/>
      <c r="BO63" s="6"/>
      <c r="BP63" s="6"/>
      <c r="BQ63" s="6"/>
      <c r="BR63" s="6"/>
      <c r="BS63" s="6"/>
      <c r="BT63" s="6"/>
      <c r="BU63" s="6"/>
      <c r="BV63" s="6"/>
      <c r="BW63" s="6"/>
      <c r="BX63" s="6"/>
      <c r="BY63" s="6"/>
      <c r="BZ63" s="6"/>
      <c r="CA63" s="6"/>
      <c r="CB63" s="6"/>
    </row>
    <row r="64" spans="2:80" x14ac:dyDescent="0.25">
      <c r="B64" s="11"/>
      <c r="C64" s="11"/>
      <c r="D64" s="11"/>
      <c r="E64" s="11"/>
      <c r="F64" s="11"/>
      <c r="G64" s="11"/>
      <c r="H64" s="11"/>
      <c r="I64" s="11"/>
      <c r="J64" s="11"/>
      <c r="K64" s="11"/>
      <c r="L64" s="11"/>
      <c r="M64" s="11"/>
      <c r="N64" s="11"/>
      <c r="O64" s="11"/>
      <c r="P64" s="11"/>
      <c r="Q64" s="11"/>
      <c r="R64" s="11"/>
      <c r="S64" s="11"/>
      <c r="T64" s="11"/>
      <c r="U64" s="11"/>
      <c r="V64" s="11"/>
      <c r="W64" s="11"/>
      <c r="X64" s="11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6"/>
      <c r="AS64" s="6"/>
      <c r="AT64" s="6"/>
      <c r="AU64" s="6"/>
      <c r="AV64" s="6"/>
      <c r="AW64" s="6"/>
      <c r="AX64" s="6"/>
      <c r="AY64" s="6"/>
      <c r="AZ64" s="6"/>
      <c r="BA64" s="6" t="str">
        <f t="shared" ref="BA64:BA65" si="68">IF(AND(ISNUMBER(N60),ISNUMBER(Q60)),IF(N60+Q60=1,1,0),"")</f>
        <v/>
      </c>
      <c r="BB64" s="6"/>
      <c r="BC64" s="48"/>
      <c r="BD64" s="48"/>
      <c r="BE64" s="6" t="e">
        <f t="shared" si="67"/>
        <v>#N/A</v>
      </c>
      <c r="BF64" s="6" t="e">
        <f t="shared" si="67"/>
        <v>#N/A</v>
      </c>
      <c r="BG64" s="6" t="e">
        <f>N61*BF64</f>
        <v>#N/A</v>
      </c>
      <c r="BH64" s="6" t="e">
        <f>Q61*BE64</f>
        <v>#N/A</v>
      </c>
      <c r="BI64" s="6"/>
      <c r="BJ64" s="6"/>
      <c r="BK64" s="6"/>
      <c r="BL64" s="6"/>
      <c r="BM64" s="6"/>
      <c r="BN64" s="6"/>
      <c r="BO64" s="6"/>
      <c r="BP64" s="6"/>
      <c r="BQ64" s="6"/>
      <c r="BR64" s="6"/>
      <c r="BS64" s="6"/>
      <c r="BT64" s="6"/>
      <c r="BU64" s="6"/>
      <c r="BV64" s="6"/>
      <c r="BW64" s="6"/>
      <c r="BX64" s="6"/>
      <c r="BY64" s="6"/>
      <c r="BZ64" s="6"/>
      <c r="CA64" s="6"/>
      <c r="CB64" s="6"/>
    </row>
    <row r="65" spans="2:80" x14ac:dyDescent="0.25">
      <c r="B65" s="45" t="s">
        <v>13</v>
      </c>
      <c r="C65" s="6"/>
      <c r="D65" s="6"/>
      <c r="E65" s="6"/>
      <c r="F65" s="6"/>
      <c r="G65" s="6"/>
      <c r="H65" s="6"/>
      <c r="I65" s="6"/>
      <c r="J65" s="6"/>
      <c r="K65" s="6"/>
      <c r="L65" s="6"/>
      <c r="M65" s="6"/>
      <c r="N65" s="6"/>
      <c r="O65" s="6"/>
      <c r="P65" s="6"/>
      <c r="Q65" s="6"/>
      <c r="R65" s="6"/>
      <c r="S65" s="6"/>
      <c r="T65" s="6"/>
      <c r="U65" s="6"/>
      <c r="V65" s="6"/>
      <c r="W65" s="6"/>
      <c r="X65" s="72"/>
      <c r="Z65" s="6"/>
      <c r="AA65" s="6"/>
      <c r="AB65" s="6"/>
      <c r="AC65" s="6"/>
      <c r="AD65" s="6"/>
      <c r="AE65" s="6"/>
      <c r="AF65" s="6"/>
      <c r="AG65" s="6"/>
      <c r="AH65" s="6"/>
      <c r="AI65" s="6"/>
      <c r="AJ65" s="6"/>
      <c r="AK65" s="6"/>
      <c r="AL65" s="6"/>
      <c r="AM65" s="6"/>
      <c r="AN65" s="6"/>
      <c r="AO65" s="6"/>
      <c r="AP65" s="6"/>
      <c r="AQ65" s="6"/>
      <c r="AR65" s="6"/>
      <c r="AS65" s="6"/>
      <c r="AT65" s="6"/>
      <c r="AU65" s="6"/>
      <c r="AV65" s="6"/>
      <c r="AW65" s="6"/>
      <c r="AX65" s="6"/>
      <c r="AY65" s="6"/>
      <c r="AZ65" s="6"/>
      <c r="BA65" s="6" t="str">
        <f t="shared" si="68"/>
        <v/>
      </c>
      <c r="BB65" s="6"/>
      <c r="BC65" s="48"/>
      <c r="BD65" s="48"/>
      <c r="BE65" s="6" t="e">
        <f t="shared" si="67"/>
        <v>#N/A</v>
      </c>
      <c r="BF65" s="6" t="e">
        <f t="shared" si="67"/>
        <v>#N/A</v>
      </c>
      <c r="BG65" s="6" t="e">
        <f>N62*BF65</f>
        <v>#N/A</v>
      </c>
      <c r="BH65" s="6" t="e">
        <f>Q62*BE65</f>
        <v>#N/A</v>
      </c>
      <c r="BI65" s="6"/>
      <c r="BJ65" s="6"/>
      <c r="BK65" s="6"/>
      <c r="BL65" s="6"/>
      <c r="BM65" s="6"/>
      <c r="BN65" s="6"/>
      <c r="BO65" s="6"/>
      <c r="BP65" s="6"/>
      <c r="BQ65" s="6"/>
      <c r="BR65" s="6"/>
      <c r="BS65" s="6"/>
      <c r="BT65" s="6"/>
      <c r="BU65" s="6"/>
      <c r="BV65" s="6"/>
      <c r="BW65" s="6"/>
      <c r="BX65" s="6"/>
      <c r="BY65" s="6"/>
      <c r="BZ65" s="6"/>
      <c r="CA65" s="6"/>
      <c r="CB65" s="6"/>
    </row>
    <row r="66" spans="2:80" x14ac:dyDescent="0.25">
      <c r="B66" s="6">
        <v>1</v>
      </c>
      <c r="C66" s="6" t="str">
        <f t="shared" ref="C66:C72" si="69">VLOOKUP(AY66,$B$4:$F$17,2,FALSE)</f>
        <v>L</v>
      </c>
      <c r="D66" s="46" t="s">
        <v>5</v>
      </c>
      <c r="E66" s="90" t="str">
        <f t="shared" ref="E66:E72" si="70">VLOOKUP(AZ66,$B$4:$F$17,2,FALSE)</f>
        <v>M</v>
      </c>
      <c r="F66" s="90"/>
      <c r="G66" s="90"/>
      <c r="H66" s="90"/>
      <c r="I66" s="6"/>
      <c r="J66" s="90" t="str">
        <f>IF(X66="","",VLOOKUP(X66,Configuratie!$B$2:$E$11,3,FALSE))</f>
        <v/>
      </c>
      <c r="K66" s="90"/>
      <c r="L66" s="6" t="s">
        <v>5</v>
      </c>
      <c r="M66" s="90" t="str">
        <f>IF(X66="","",VLOOKUP(X66,Configuratie!$B$2:$E$11,4,FALSE))</f>
        <v/>
      </c>
      <c r="N66" s="90"/>
      <c r="O66" s="6"/>
      <c r="P66" s="6"/>
      <c r="Q66" s="6"/>
      <c r="R66" s="6"/>
      <c r="S66" s="6"/>
      <c r="T66" s="6"/>
      <c r="U66" s="6"/>
      <c r="V66" s="6" t="str">
        <f>IF(X66="","",VLOOKUP(X66,Configuratie!$B$2:$E$11,2,FALSE))</f>
        <v/>
      </c>
      <c r="W66" s="61"/>
      <c r="X66" s="5"/>
      <c r="Z66" s="6"/>
      <c r="AA66" s="6"/>
      <c r="AB66" s="6"/>
      <c r="AC66" s="6"/>
      <c r="AD66" s="6"/>
      <c r="AE66" s="6"/>
      <c r="AF66" s="6"/>
      <c r="AG66" s="6"/>
      <c r="AH66" s="6"/>
      <c r="AI66" s="6"/>
      <c r="AJ66" s="6"/>
      <c r="AK66" s="6"/>
      <c r="AL66" s="6"/>
      <c r="AM66" s="6"/>
      <c r="AN66" s="6"/>
      <c r="AO66" s="6"/>
      <c r="AP66" s="6"/>
      <c r="AQ66" s="6"/>
      <c r="AR66" s="6"/>
      <c r="AS66" s="6"/>
      <c r="AT66" s="6"/>
      <c r="AU66" s="6"/>
      <c r="AV66" s="6"/>
      <c r="AW66" s="6"/>
      <c r="AX66" s="6">
        <v>6</v>
      </c>
      <c r="AY66" s="6">
        <v>11</v>
      </c>
      <c r="AZ66" s="6">
        <v>12</v>
      </c>
      <c r="BA66" s="6" t="str">
        <f>IF(AND(ISNUMBER(J66),ISNUMBER(M66)),IF(J66+M66=1,1,0),"")</f>
        <v/>
      </c>
      <c r="BB66" s="6"/>
      <c r="BC66" s="48">
        <f t="shared" ref="BC66:BC72" si="71">AY66*100+AZ66</f>
        <v>1112</v>
      </c>
      <c r="BD66" s="48">
        <f>AZ66*100+AY66</f>
        <v>1211</v>
      </c>
      <c r="BE66" s="6" t="e">
        <f t="shared" si="67"/>
        <v>#N/A</v>
      </c>
      <c r="BF66" s="6" t="e">
        <f t="shared" si="67"/>
        <v>#VALUE!</v>
      </c>
      <c r="BG66" s="6" t="e">
        <f>N63*BF66</f>
        <v>#VALUE!</v>
      </c>
      <c r="BH66" s="6" t="e">
        <f>Q63*BE66</f>
        <v>#N/A</v>
      </c>
      <c r="BI66" s="6"/>
      <c r="BJ66" s="6"/>
      <c r="BK66" s="6"/>
      <c r="BL66" s="6"/>
      <c r="BM66" s="6"/>
      <c r="BN66" s="6"/>
      <c r="BO66" s="6"/>
      <c r="BP66" s="6"/>
      <c r="BQ66" s="6"/>
      <c r="BR66" s="6"/>
      <c r="BS66" s="6"/>
      <c r="BT66" s="6"/>
      <c r="BU66" s="6"/>
      <c r="BV66" s="6"/>
      <c r="BW66" s="6"/>
      <c r="BX66" s="6"/>
      <c r="BY66" s="6"/>
      <c r="BZ66" s="6"/>
      <c r="CA66" s="6"/>
      <c r="CB66" s="6"/>
    </row>
    <row r="67" spans="2:80" x14ac:dyDescent="0.25">
      <c r="B67" s="6">
        <v>2</v>
      </c>
      <c r="C67" s="6" t="str">
        <f t="shared" si="69"/>
        <v>K</v>
      </c>
      <c r="D67" s="46" t="s">
        <v>5</v>
      </c>
      <c r="E67" s="90" t="str">
        <f t="shared" si="70"/>
        <v>N</v>
      </c>
      <c r="F67" s="90"/>
      <c r="G67" s="90"/>
      <c r="H67" s="90"/>
      <c r="I67" s="6"/>
      <c r="J67" s="90" t="str">
        <f>IF(X67="","",VLOOKUP(X67,Configuratie!$B$2:$E$11,3,FALSE))</f>
        <v/>
      </c>
      <c r="K67" s="90"/>
      <c r="L67" s="6" t="s">
        <v>5</v>
      </c>
      <c r="M67" s="90" t="str">
        <f>IF(X67="","",VLOOKUP(X67,Configuratie!$B$2:$E$11,4,FALSE))</f>
        <v/>
      </c>
      <c r="N67" s="90"/>
      <c r="O67" s="6"/>
      <c r="P67" s="6"/>
      <c r="Q67" s="6"/>
      <c r="R67" s="6"/>
      <c r="S67" s="6"/>
      <c r="T67" s="6"/>
      <c r="U67" s="6"/>
      <c r="V67" s="6" t="str">
        <f>IF(X67="","",VLOOKUP(X67,Configuratie!$B$2:$E$11,2,FALSE))</f>
        <v/>
      </c>
      <c r="W67" s="61"/>
      <c r="X67" s="5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>
        <v>6</v>
      </c>
      <c r="AY67" s="6">
        <v>10</v>
      </c>
      <c r="AZ67" s="6">
        <v>13</v>
      </c>
      <c r="BA67" s="6" t="str">
        <f t="shared" ref="BA67:BA72" si="72">IF(AND(ISNUMBER(J67),ISNUMBER(M67)),IF(J67+M67=1,1,0),"")</f>
        <v/>
      </c>
      <c r="BB67" s="6"/>
      <c r="BC67" s="48">
        <f t="shared" si="71"/>
        <v>1013</v>
      </c>
      <c r="BD67" s="48">
        <f t="shared" ref="BD67:BD71" si="73">AZ67*100+AY67</f>
        <v>1310</v>
      </c>
      <c r="BE67" s="6"/>
      <c r="BF67" s="6"/>
      <c r="BG67" s="6"/>
      <c r="BH67" s="6"/>
      <c r="BI67" s="6"/>
      <c r="BJ67" s="6"/>
      <c r="BK67" s="6"/>
      <c r="BL67" s="6"/>
      <c r="BM67" s="6"/>
      <c r="BN67" s="6"/>
      <c r="BO67" s="6"/>
      <c r="BP67" s="6"/>
      <c r="BQ67" s="6"/>
      <c r="BR67" s="6"/>
      <c r="BS67" s="6"/>
      <c r="BT67" s="6"/>
      <c r="BU67" s="6"/>
      <c r="BV67" s="6"/>
      <c r="BW67" s="6"/>
      <c r="BX67" s="6"/>
      <c r="BY67" s="6"/>
      <c r="BZ67" s="6"/>
      <c r="CA67" s="6"/>
      <c r="CB67" s="6"/>
    </row>
    <row r="68" spans="2:80" x14ac:dyDescent="0.25">
      <c r="B68" s="6">
        <v>3</v>
      </c>
      <c r="C68" s="6" t="str">
        <f t="shared" si="69"/>
        <v>J</v>
      </c>
      <c r="D68" s="46" t="s">
        <v>5</v>
      </c>
      <c r="E68" s="90" t="str">
        <f t="shared" si="70"/>
        <v>A</v>
      </c>
      <c r="F68" s="90"/>
      <c r="G68" s="90"/>
      <c r="H68" s="90"/>
      <c r="I68" s="6"/>
      <c r="J68" s="90" t="str">
        <f>IF(X68="","",VLOOKUP(X68,Configuratie!$B$2:$E$11,3,FALSE))</f>
        <v/>
      </c>
      <c r="K68" s="90"/>
      <c r="L68" s="6" t="s">
        <v>5</v>
      </c>
      <c r="M68" s="90" t="str">
        <f>IF(X68="","",VLOOKUP(X68,Configuratie!$B$2:$E$11,4,FALSE))</f>
        <v/>
      </c>
      <c r="N68" s="90"/>
      <c r="O68" s="6"/>
      <c r="P68" s="6"/>
      <c r="Q68" s="6"/>
      <c r="R68" s="6"/>
      <c r="S68" s="6"/>
      <c r="T68" s="6"/>
      <c r="U68" s="6"/>
      <c r="V68" s="6" t="str">
        <f>IF(X68="","",VLOOKUP(X68,Configuratie!$B$2:$E$11,2,FALSE))</f>
        <v/>
      </c>
      <c r="W68" s="61"/>
      <c r="X68" s="5"/>
      <c r="Z68" s="6"/>
      <c r="AA68" s="6"/>
      <c r="AB68" s="6"/>
      <c r="AC68" s="6"/>
      <c r="AD68" s="6"/>
      <c r="AE68" s="6"/>
      <c r="AF68" s="6"/>
      <c r="AG68" s="6"/>
      <c r="AH68" s="6"/>
      <c r="AI68" s="6"/>
      <c r="AJ68" s="6"/>
      <c r="AK68" s="6"/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>
        <v>6</v>
      </c>
      <c r="AY68" s="6">
        <v>9</v>
      </c>
      <c r="AZ68" s="6">
        <v>1</v>
      </c>
      <c r="BA68" s="6" t="str">
        <f t="shared" si="72"/>
        <v/>
      </c>
      <c r="BB68" s="6"/>
      <c r="BC68" s="48">
        <f t="shared" si="71"/>
        <v>901</v>
      </c>
      <c r="BD68" s="48">
        <f t="shared" si="73"/>
        <v>109</v>
      </c>
      <c r="BE68" s="6"/>
      <c r="BF68" s="6"/>
      <c r="BG68" s="6"/>
      <c r="BH68" s="6"/>
      <c r="BI68" s="6"/>
      <c r="BJ68" s="6"/>
      <c r="BK68" s="6"/>
      <c r="BL68" s="6"/>
      <c r="BM68" s="6"/>
      <c r="BN68" s="6"/>
      <c r="BO68" s="6"/>
      <c r="BP68" s="6"/>
      <c r="BQ68" s="6"/>
      <c r="BR68" s="6"/>
      <c r="BS68" s="6"/>
      <c r="BT68" s="6"/>
      <c r="BU68" s="6"/>
      <c r="BV68" s="6"/>
      <c r="BW68" s="6"/>
      <c r="BX68" s="6"/>
      <c r="BY68" s="6"/>
      <c r="BZ68" s="6"/>
      <c r="CA68" s="6"/>
      <c r="CB68" s="6"/>
    </row>
    <row r="69" spans="2:80" x14ac:dyDescent="0.25">
      <c r="B69" s="6">
        <v>4</v>
      </c>
      <c r="C69" s="6" t="str">
        <f t="shared" si="69"/>
        <v>I</v>
      </c>
      <c r="D69" s="46" t="s">
        <v>5</v>
      </c>
      <c r="E69" s="90" t="str">
        <f t="shared" si="70"/>
        <v>B</v>
      </c>
      <c r="F69" s="90"/>
      <c r="G69" s="90"/>
      <c r="H69" s="90"/>
      <c r="I69" s="6"/>
      <c r="J69" s="90" t="str">
        <f>IF(X69="","",VLOOKUP(X69,Configuratie!$B$2:$E$11,3,FALSE))</f>
        <v/>
      </c>
      <c r="K69" s="90"/>
      <c r="L69" s="6" t="s">
        <v>5</v>
      </c>
      <c r="M69" s="90" t="str">
        <f>IF(X69="","",VLOOKUP(X69,Configuratie!$B$2:$E$11,4,FALSE))</f>
        <v/>
      </c>
      <c r="N69" s="90"/>
      <c r="O69" s="6"/>
      <c r="P69" s="6"/>
      <c r="Q69" s="6"/>
      <c r="R69" s="6"/>
      <c r="S69" s="6"/>
      <c r="T69" s="6"/>
      <c r="U69" s="6"/>
      <c r="V69" s="6" t="str">
        <f>IF(X69="","",VLOOKUP(X69,Configuratie!$B$2:$E$11,2,FALSE))</f>
        <v/>
      </c>
      <c r="W69" s="61"/>
      <c r="X69" s="5"/>
      <c r="Z69" s="6"/>
      <c r="AA69" s="6"/>
      <c r="AB69" s="6"/>
      <c r="AC69" s="6"/>
      <c r="AD69" s="6"/>
      <c r="AE69" s="6"/>
      <c r="AF69" s="6"/>
      <c r="AG69" s="6"/>
      <c r="AH69" s="6"/>
      <c r="AI69" s="6"/>
      <c r="AJ69" s="6"/>
      <c r="AK69" s="6"/>
      <c r="AL69" s="6"/>
      <c r="AM69" s="6"/>
      <c r="AN69" s="6"/>
      <c r="AO69" s="6"/>
      <c r="AP69" s="6"/>
      <c r="AQ69" s="6"/>
      <c r="AR69" s="6"/>
      <c r="AS69" s="6"/>
      <c r="AT69" s="6"/>
      <c r="AU69" s="6"/>
      <c r="AV69" s="6"/>
      <c r="AW69" s="6"/>
      <c r="AX69" s="6">
        <v>6</v>
      </c>
      <c r="AY69" s="6">
        <v>8</v>
      </c>
      <c r="AZ69" s="6">
        <v>2</v>
      </c>
      <c r="BA69" s="6" t="str">
        <f t="shared" si="72"/>
        <v/>
      </c>
      <c r="BB69" s="6"/>
      <c r="BC69" s="48">
        <f t="shared" si="71"/>
        <v>802</v>
      </c>
      <c r="BD69" s="48">
        <f t="shared" si="73"/>
        <v>208</v>
      </c>
      <c r="BE69" s="6" t="e">
        <f t="shared" ref="BE69:BF73" si="74">VLOOKUP(AY84,$BJ$3:$BW$13,$AT66,FALSE)</f>
        <v>#N/A</v>
      </c>
      <c r="BF69" s="6" t="e">
        <f t="shared" si="74"/>
        <v>#N/A</v>
      </c>
      <c r="BG69" s="6" t="e">
        <f>N66*BF69</f>
        <v>#N/A</v>
      </c>
      <c r="BH69" s="6" t="e">
        <f>Q66*BE69</f>
        <v>#N/A</v>
      </c>
      <c r="BI69" s="6"/>
      <c r="BJ69" s="6"/>
      <c r="BK69" s="6"/>
      <c r="BL69" s="6"/>
      <c r="BM69" s="6"/>
      <c r="BN69" s="6"/>
      <c r="BO69" s="6"/>
      <c r="BP69" s="6"/>
      <c r="BQ69" s="6"/>
      <c r="BR69" s="6"/>
      <c r="BS69" s="6"/>
      <c r="BT69" s="6"/>
      <c r="BU69" s="6"/>
      <c r="BV69" s="6"/>
      <c r="BW69" s="6"/>
      <c r="BX69" s="6"/>
      <c r="BY69" s="6"/>
      <c r="BZ69" s="6"/>
      <c r="CA69" s="6"/>
      <c r="CB69" s="6"/>
    </row>
    <row r="70" spans="2:80" x14ac:dyDescent="0.25">
      <c r="B70" s="6">
        <v>5</v>
      </c>
      <c r="C70" s="6" t="str">
        <f t="shared" si="69"/>
        <v>H</v>
      </c>
      <c r="D70" s="46" t="s">
        <v>5</v>
      </c>
      <c r="E70" s="90" t="str">
        <f t="shared" si="70"/>
        <v>C</v>
      </c>
      <c r="F70" s="90"/>
      <c r="G70" s="90"/>
      <c r="H70" s="90"/>
      <c r="I70" s="6"/>
      <c r="J70" s="90" t="str">
        <f>IF(X70="","",VLOOKUP(X70,Configuratie!$B$2:$E$11,3,FALSE))</f>
        <v/>
      </c>
      <c r="K70" s="90"/>
      <c r="L70" s="6" t="s">
        <v>5</v>
      </c>
      <c r="M70" s="90" t="str">
        <f>IF(X70="","",VLOOKUP(X70,Configuratie!$B$2:$E$11,4,FALSE))</f>
        <v/>
      </c>
      <c r="N70" s="90"/>
      <c r="O70" s="6"/>
      <c r="P70" s="6"/>
      <c r="Q70" s="6"/>
      <c r="R70" s="6"/>
      <c r="S70" s="6"/>
      <c r="T70" s="6"/>
      <c r="U70" s="6"/>
      <c r="V70" s="6" t="str">
        <f>IF(X70="","",VLOOKUP(X70,Configuratie!$B$2:$E$11,2,FALSE))</f>
        <v/>
      </c>
      <c r="W70" s="61"/>
      <c r="X70" s="5"/>
      <c r="Z70" s="6"/>
      <c r="AA70" s="6"/>
      <c r="AB70" s="6"/>
      <c r="AC70" s="6"/>
      <c r="AD70" s="6"/>
      <c r="AE70" s="6"/>
      <c r="AF70" s="6"/>
      <c r="AG70" s="6"/>
      <c r="AH70" s="6"/>
      <c r="AI70" s="6"/>
      <c r="AJ70" s="6"/>
      <c r="AK70" s="6"/>
      <c r="AL70" s="6"/>
      <c r="AM70" s="6"/>
      <c r="AN70" s="6"/>
      <c r="AO70" s="6"/>
      <c r="AP70" s="6"/>
      <c r="AQ70" s="6"/>
      <c r="AR70" s="6"/>
      <c r="AS70" s="6"/>
      <c r="AT70" s="6"/>
      <c r="AU70" s="6"/>
      <c r="AV70" s="6"/>
      <c r="AW70" s="6"/>
      <c r="AX70" s="6">
        <v>6</v>
      </c>
      <c r="AY70" s="6">
        <v>7</v>
      </c>
      <c r="AZ70" s="6">
        <v>3</v>
      </c>
      <c r="BA70" s="6" t="str">
        <f t="shared" si="72"/>
        <v/>
      </c>
      <c r="BB70" s="6"/>
      <c r="BC70" s="48">
        <f t="shared" si="71"/>
        <v>703</v>
      </c>
      <c r="BD70" s="48">
        <f>AZ70*100+AY70</f>
        <v>307</v>
      </c>
      <c r="BE70" s="6" t="e">
        <f t="shared" si="74"/>
        <v>#N/A</v>
      </c>
      <c r="BF70" s="6" t="e">
        <f t="shared" si="74"/>
        <v>#N/A</v>
      </c>
      <c r="BG70" s="6" t="e">
        <f>N67*BF70</f>
        <v>#N/A</v>
      </c>
      <c r="BH70" s="6" t="e">
        <f>Q67*BE70</f>
        <v>#N/A</v>
      </c>
      <c r="BI70" s="6"/>
      <c r="BJ70" s="6"/>
      <c r="BK70" s="6"/>
      <c r="BL70" s="6"/>
      <c r="BM70" s="6"/>
      <c r="BN70" s="6"/>
      <c r="BO70" s="6"/>
      <c r="BP70" s="6"/>
      <c r="BQ70" s="6"/>
      <c r="BR70" s="6"/>
      <c r="BS70" s="6"/>
      <c r="BT70" s="6"/>
      <c r="BU70" s="6"/>
      <c r="BV70" s="6"/>
      <c r="BW70" s="6"/>
      <c r="BX70" s="6"/>
      <c r="BY70" s="6"/>
      <c r="BZ70" s="6"/>
      <c r="CA70" s="6"/>
      <c r="CB70" s="6"/>
    </row>
    <row r="71" spans="2:80" x14ac:dyDescent="0.25">
      <c r="B71" s="6">
        <v>6</v>
      </c>
      <c r="C71" s="6" t="str">
        <f t="shared" si="69"/>
        <v>G</v>
      </c>
      <c r="D71" s="46" t="s">
        <v>5</v>
      </c>
      <c r="E71" s="90" t="str">
        <f t="shared" si="70"/>
        <v>D</v>
      </c>
      <c r="F71" s="90"/>
      <c r="G71" s="90"/>
      <c r="H71" s="90"/>
      <c r="I71" s="6"/>
      <c r="J71" s="90" t="str">
        <f>IF(X71="","",VLOOKUP(X71,Configuratie!$B$2:$E$11,3,FALSE))</f>
        <v/>
      </c>
      <c r="K71" s="90"/>
      <c r="L71" s="6" t="s">
        <v>5</v>
      </c>
      <c r="M71" s="90" t="str">
        <f>IF(X71="","",VLOOKUP(X71,Configuratie!$B$2:$E$11,4,FALSE))</f>
        <v/>
      </c>
      <c r="N71" s="90"/>
      <c r="O71" s="6"/>
      <c r="P71" s="6"/>
      <c r="Q71" s="6"/>
      <c r="R71" s="6"/>
      <c r="S71" s="6"/>
      <c r="T71" s="6"/>
      <c r="U71" s="6"/>
      <c r="V71" s="6" t="str">
        <f>IF(X71="","",VLOOKUP(X71,Configuratie!$B$2:$E$11,2,FALSE))</f>
        <v/>
      </c>
      <c r="W71" s="61"/>
      <c r="X71" s="5"/>
      <c r="Z71" s="6"/>
      <c r="AA71" s="6"/>
      <c r="AB71" s="6"/>
      <c r="AC71" s="6"/>
      <c r="AD71" s="6"/>
      <c r="AE71" s="6"/>
      <c r="AF71" s="6"/>
      <c r="AG71" s="6"/>
      <c r="AH71" s="6"/>
      <c r="AI71" s="6"/>
      <c r="AJ71" s="6"/>
      <c r="AK71" s="6"/>
      <c r="AL71" s="6"/>
      <c r="AM71" s="6"/>
      <c r="AN71" s="6"/>
      <c r="AO71" s="6"/>
      <c r="AP71" s="6"/>
      <c r="AQ71" s="6"/>
      <c r="AR71" s="6"/>
      <c r="AS71" s="6"/>
      <c r="AT71" s="6"/>
      <c r="AU71" s="6"/>
      <c r="AV71" s="6"/>
      <c r="AW71" s="6"/>
      <c r="AX71" s="6">
        <v>6</v>
      </c>
      <c r="AY71" s="6">
        <v>6</v>
      </c>
      <c r="AZ71" s="6">
        <v>4</v>
      </c>
      <c r="BA71" s="6" t="str">
        <f t="shared" si="72"/>
        <v/>
      </c>
      <c r="BB71" s="6"/>
      <c r="BC71" s="48">
        <f t="shared" si="71"/>
        <v>604</v>
      </c>
      <c r="BD71" s="48">
        <f t="shared" si="73"/>
        <v>406</v>
      </c>
      <c r="BE71" s="6" t="e">
        <f t="shared" si="74"/>
        <v>#N/A</v>
      </c>
      <c r="BF71" s="6" t="e">
        <f t="shared" si="74"/>
        <v>#N/A</v>
      </c>
      <c r="BG71" s="6" t="e">
        <f>N68*BF71</f>
        <v>#N/A</v>
      </c>
      <c r="BH71" s="6" t="e">
        <f>Q68*BE71</f>
        <v>#N/A</v>
      </c>
      <c r="BI71" s="6"/>
      <c r="BJ71" s="6"/>
      <c r="BK71" s="6"/>
      <c r="BL71" s="6"/>
      <c r="BM71" s="6"/>
      <c r="BN71" s="6"/>
      <c r="BO71" s="6"/>
      <c r="BP71" s="6"/>
      <c r="BQ71" s="6"/>
      <c r="BR71" s="6"/>
      <c r="BS71" s="6"/>
      <c r="BT71" s="6"/>
      <c r="BU71" s="6"/>
      <c r="BV71" s="6"/>
      <c r="BW71" s="6"/>
      <c r="BX71" s="6"/>
      <c r="BY71" s="6"/>
      <c r="BZ71" s="6"/>
      <c r="CA71" s="6"/>
      <c r="CB71" s="6"/>
    </row>
    <row r="72" spans="2:80" x14ac:dyDescent="0.25">
      <c r="B72" s="6">
        <v>7</v>
      </c>
      <c r="C72" s="6" t="str">
        <f t="shared" si="69"/>
        <v>O</v>
      </c>
      <c r="D72" s="46" t="s">
        <v>5</v>
      </c>
      <c r="E72" s="90" t="str">
        <f t="shared" si="70"/>
        <v>E</v>
      </c>
      <c r="F72" s="90"/>
      <c r="G72" s="90"/>
      <c r="H72" s="90"/>
      <c r="I72" s="6"/>
      <c r="J72" s="90" t="str">
        <f>IF(X72="","",VLOOKUP(X72,Configuratie!$B$2:$E$11,3,FALSE))</f>
        <v/>
      </c>
      <c r="K72" s="90"/>
      <c r="L72" s="6" t="s">
        <v>5</v>
      </c>
      <c r="M72" s="90" t="str">
        <f>IF(X72="","",VLOOKUP(X72,Configuratie!$B$2:$E$11,4,FALSE))</f>
        <v/>
      </c>
      <c r="N72" s="90"/>
      <c r="O72" s="6"/>
      <c r="P72" s="6"/>
      <c r="Q72" s="6"/>
      <c r="R72" s="6"/>
      <c r="S72" s="6"/>
      <c r="T72" s="6"/>
      <c r="U72" s="6"/>
      <c r="V72" s="6" t="str">
        <f>IF(X72="","",VLOOKUP(X72,Configuratie!$B$2:$E$11,2,FALSE))</f>
        <v/>
      </c>
      <c r="W72" s="61"/>
      <c r="X72" s="5"/>
      <c r="Z72" s="6"/>
      <c r="AA72" s="6"/>
      <c r="AB72" s="6"/>
      <c r="AC72" s="6"/>
      <c r="AD72" s="6"/>
      <c r="AE72" s="6"/>
      <c r="AF72" s="6"/>
      <c r="AG72" s="6"/>
      <c r="AH72" s="6"/>
      <c r="AI72" s="6"/>
      <c r="AJ72" s="6"/>
      <c r="AK72" s="6"/>
      <c r="AL72" s="6"/>
      <c r="AM72" s="6"/>
      <c r="AN72" s="6"/>
      <c r="AO72" s="6"/>
      <c r="AP72" s="6"/>
      <c r="AQ72" s="6"/>
      <c r="AR72" s="6"/>
      <c r="AS72" s="6"/>
      <c r="AT72" s="6"/>
      <c r="AU72" s="6"/>
      <c r="AV72" s="6"/>
      <c r="AW72" s="6"/>
      <c r="AX72" s="6">
        <v>6</v>
      </c>
      <c r="AY72" s="6">
        <v>14</v>
      </c>
      <c r="AZ72" s="6">
        <v>5</v>
      </c>
      <c r="BA72" s="6" t="str">
        <f t="shared" si="72"/>
        <v/>
      </c>
      <c r="BB72" s="6"/>
      <c r="BC72" s="48">
        <f t="shared" si="71"/>
        <v>1405</v>
      </c>
      <c r="BD72" s="48">
        <f>AZ72*100+AY72</f>
        <v>514</v>
      </c>
      <c r="BE72" s="6" t="e">
        <f t="shared" si="74"/>
        <v>#VALUE!</v>
      </c>
      <c r="BF72" s="6" t="e">
        <f t="shared" si="74"/>
        <v>#N/A</v>
      </c>
      <c r="BG72" s="6" t="e">
        <f>N69*BF72</f>
        <v>#N/A</v>
      </c>
      <c r="BH72" s="6" t="e">
        <f>Q69*BE72</f>
        <v>#VALUE!</v>
      </c>
      <c r="BI72" s="6"/>
      <c r="BJ72" s="6"/>
      <c r="BK72" s="6"/>
      <c r="BL72" s="6"/>
      <c r="BM72" s="6"/>
      <c r="BN72" s="6"/>
      <c r="BO72" s="6"/>
      <c r="BP72" s="6"/>
      <c r="BQ72" s="6"/>
      <c r="BR72" s="6"/>
      <c r="BS72" s="6"/>
      <c r="BT72" s="6"/>
      <c r="BU72" s="6"/>
      <c r="BV72" s="6"/>
      <c r="BW72" s="6"/>
      <c r="BX72" s="6"/>
      <c r="BY72" s="6"/>
      <c r="BZ72" s="6"/>
      <c r="CA72" s="6"/>
      <c r="CB72" s="6"/>
    </row>
    <row r="73" spans="2:80" x14ac:dyDescent="0.25">
      <c r="B73" s="11"/>
      <c r="C73" s="11"/>
      <c r="D73" s="11"/>
      <c r="E73" s="11"/>
      <c r="F73" s="11"/>
      <c r="G73" s="11"/>
      <c r="H73" s="11"/>
      <c r="I73" s="11"/>
      <c r="J73" s="11"/>
      <c r="K73" s="11"/>
      <c r="L73" s="11"/>
      <c r="M73" s="11"/>
      <c r="N73" s="11"/>
      <c r="O73" s="11"/>
      <c r="P73" s="11"/>
      <c r="Q73" s="11"/>
      <c r="R73" s="11"/>
      <c r="S73" s="11"/>
      <c r="T73" s="11"/>
      <c r="U73" s="11"/>
      <c r="V73" s="11"/>
      <c r="W73" s="11"/>
      <c r="X73" s="11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  <c r="AK73" s="6"/>
      <c r="AL73" s="6"/>
      <c r="AM73" s="6"/>
      <c r="AN73" s="6"/>
      <c r="AO73" s="6"/>
      <c r="AP73" s="6"/>
      <c r="AQ73" s="6"/>
      <c r="AR73" s="6"/>
      <c r="AS73" s="6"/>
      <c r="AT73" s="6"/>
      <c r="AU73" s="6"/>
      <c r="AV73" s="6"/>
      <c r="AW73" s="6"/>
      <c r="AX73" s="6"/>
      <c r="AY73" s="6"/>
      <c r="AZ73" s="6"/>
      <c r="BA73" s="6" t="str">
        <f t="shared" ref="BA73:BA74" si="75">IF(AND(ISNUMBER(N69),ISNUMBER(Q69)),IF(N69+Q69=1,1,0),"")</f>
        <v/>
      </c>
      <c r="BB73" s="6"/>
      <c r="BC73" s="48"/>
      <c r="BD73" s="48"/>
      <c r="BE73" s="6" t="e">
        <f t="shared" si="74"/>
        <v>#N/A</v>
      </c>
      <c r="BF73" s="6" t="e">
        <f t="shared" si="74"/>
        <v>#N/A</v>
      </c>
      <c r="BG73" s="6" t="e">
        <f>N70*BF73</f>
        <v>#N/A</v>
      </c>
      <c r="BH73" s="6" t="e">
        <f>Q70*BE73</f>
        <v>#N/A</v>
      </c>
      <c r="BI73" s="6"/>
      <c r="BJ73" s="6"/>
      <c r="BK73" s="6"/>
      <c r="BL73" s="6"/>
      <c r="BM73" s="6"/>
      <c r="BN73" s="6"/>
      <c r="BO73" s="6"/>
      <c r="BP73" s="6"/>
      <c r="BQ73" s="6"/>
      <c r="BR73" s="6"/>
      <c r="BS73" s="6"/>
      <c r="BT73" s="6"/>
      <c r="BU73" s="6"/>
      <c r="BV73" s="6"/>
      <c r="BW73" s="6"/>
      <c r="BX73" s="6"/>
      <c r="BY73" s="6"/>
      <c r="BZ73" s="6"/>
      <c r="CA73" s="6"/>
      <c r="CB73" s="6"/>
    </row>
    <row r="74" spans="2:80" x14ac:dyDescent="0.25">
      <c r="B74" s="45" t="s">
        <v>14</v>
      </c>
      <c r="C74" s="6"/>
      <c r="D74" s="6"/>
      <c r="E74" s="6"/>
      <c r="F74" s="6"/>
      <c r="G74" s="6"/>
      <c r="H74" s="6"/>
      <c r="I74" s="6"/>
      <c r="J74" s="6"/>
      <c r="K74" s="6"/>
      <c r="L74" s="6"/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6" t="str">
        <f t="shared" si="75"/>
        <v/>
      </c>
      <c r="BB74" s="6"/>
      <c r="BC74" s="42"/>
      <c r="BD74" s="42"/>
      <c r="BE74" s="6"/>
      <c r="BF74" s="6"/>
      <c r="BG74" s="6"/>
      <c r="BH74" s="6"/>
      <c r="BI74" s="6"/>
      <c r="BJ74" s="6"/>
      <c r="BK74" s="6"/>
      <c r="BL74" s="6"/>
      <c r="BM74" s="6"/>
      <c r="BN74" s="6"/>
      <c r="BO74" s="6"/>
      <c r="BP74" s="6"/>
      <c r="BQ74" s="6"/>
      <c r="BR74" s="6"/>
      <c r="BS74" s="6"/>
      <c r="BT74" s="6"/>
      <c r="BU74" s="6"/>
      <c r="BV74" s="6"/>
      <c r="BW74" s="6"/>
      <c r="BX74" s="6"/>
      <c r="BY74" s="6"/>
      <c r="BZ74" s="6"/>
      <c r="CA74" s="6"/>
      <c r="CB74" s="6"/>
    </row>
    <row r="75" spans="2:80" x14ac:dyDescent="0.25">
      <c r="B75" s="6">
        <v>1</v>
      </c>
      <c r="C75" s="6" t="str">
        <f t="shared" ref="C75:C81" si="76">VLOOKUP(AY75,$B$4:$F$17,2,FALSE)</f>
        <v>L</v>
      </c>
      <c r="D75" s="46" t="s">
        <v>5</v>
      </c>
      <c r="E75" s="90" t="str">
        <f t="shared" ref="E75:E81" si="77">VLOOKUP(AZ75,$B$4:$F$17,2,FALSE)</f>
        <v>O</v>
      </c>
      <c r="F75" s="90"/>
      <c r="G75" s="90"/>
      <c r="H75" s="90"/>
      <c r="I75" s="6"/>
      <c r="J75" s="90" t="str">
        <f>IF(X75="","",VLOOKUP(X75,Configuratie!$B$2:$E$11,3,FALSE))</f>
        <v/>
      </c>
      <c r="K75" s="90"/>
      <c r="L75" s="6" t="s">
        <v>5</v>
      </c>
      <c r="M75" s="90" t="str">
        <f>IF(X75="","",VLOOKUP(X75,Configuratie!$B$2:$E$11,4,FALSE))</f>
        <v/>
      </c>
      <c r="N75" s="90"/>
      <c r="O75" s="6"/>
      <c r="P75" s="6"/>
      <c r="Q75" s="6"/>
      <c r="R75" s="6"/>
      <c r="S75" s="6"/>
      <c r="T75" s="6"/>
      <c r="U75" s="6"/>
      <c r="V75" s="6" t="str">
        <f>IF(X75="","",VLOOKUP(X75,Configuratie!$B$2:$E$11,2,FALSE))</f>
        <v/>
      </c>
      <c r="W75" s="61"/>
      <c r="X75" s="5"/>
      <c r="Z75" s="6"/>
      <c r="AA75" s="6"/>
      <c r="AB75" s="6"/>
      <c r="AC75" s="6"/>
      <c r="AD75" s="6"/>
      <c r="AE75" s="6"/>
      <c r="AF75" s="6"/>
      <c r="AG75" s="6"/>
      <c r="AH75" s="6"/>
      <c r="AI75" s="6"/>
      <c r="AJ75" s="6"/>
      <c r="AK75" s="6"/>
      <c r="AL75" s="6"/>
      <c r="AM75" s="6"/>
      <c r="AN75" s="6"/>
      <c r="AO75" s="6"/>
      <c r="AP75" s="6"/>
      <c r="AQ75" s="6"/>
      <c r="AR75" s="6"/>
      <c r="AS75" s="6"/>
      <c r="AT75" s="6"/>
      <c r="AU75" s="6"/>
      <c r="AV75" s="6"/>
      <c r="AW75" s="6"/>
      <c r="AX75" s="6">
        <v>7</v>
      </c>
      <c r="AY75" s="6">
        <v>11</v>
      </c>
      <c r="AZ75" s="6">
        <v>14</v>
      </c>
      <c r="BA75" s="6" t="str">
        <f>IF(AND(ISNUMBER(J75),ISNUMBER(M75)),IF(J75+M75=1,1,0),"")</f>
        <v/>
      </c>
      <c r="BB75" s="6"/>
      <c r="BC75" s="48">
        <f t="shared" ref="BC75:BC81" si="78">AY75*100+AZ75</f>
        <v>1114</v>
      </c>
      <c r="BD75" s="48">
        <f>AZ75*100+AY75</f>
        <v>1411</v>
      </c>
      <c r="BE75" s="6"/>
      <c r="BF75" s="6"/>
      <c r="BG75" s="6"/>
      <c r="BH75" s="6"/>
      <c r="BI75" s="6"/>
      <c r="BJ75" s="6"/>
      <c r="BK75" s="6"/>
      <c r="BL75" s="6"/>
      <c r="BM75" s="6"/>
      <c r="BN75" s="6"/>
      <c r="BO75" s="6"/>
      <c r="BP75" s="6"/>
      <c r="BQ75" s="6"/>
      <c r="BR75" s="6"/>
      <c r="BS75" s="6"/>
      <c r="BT75" s="6"/>
      <c r="BU75" s="6"/>
      <c r="BV75" s="6"/>
      <c r="BW75" s="6"/>
      <c r="BX75" s="6"/>
      <c r="BY75" s="6"/>
      <c r="BZ75" s="6"/>
      <c r="CA75" s="6"/>
      <c r="CB75" s="6"/>
    </row>
    <row r="76" spans="2:80" x14ac:dyDescent="0.25">
      <c r="B76" s="6">
        <v>2</v>
      </c>
      <c r="C76" s="6" t="str">
        <f t="shared" si="76"/>
        <v>M</v>
      </c>
      <c r="D76" s="46" t="s">
        <v>5</v>
      </c>
      <c r="E76" s="90" t="str">
        <f t="shared" si="77"/>
        <v>K</v>
      </c>
      <c r="F76" s="90"/>
      <c r="G76" s="90"/>
      <c r="H76" s="90"/>
      <c r="I76" s="6"/>
      <c r="J76" s="90" t="str">
        <f>IF(X76="","",VLOOKUP(X76,Configuratie!$B$2:$E$11,3,FALSE))</f>
        <v/>
      </c>
      <c r="K76" s="90"/>
      <c r="L76" s="6" t="s">
        <v>5</v>
      </c>
      <c r="M76" s="90" t="str">
        <f>IF(X76="","",VLOOKUP(X76,Configuratie!$B$2:$E$11,4,FALSE))</f>
        <v/>
      </c>
      <c r="N76" s="90"/>
      <c r="O76" s="6"/>
      <c r="P76" s="6"/>
      <c r="Q76" s="6"/>
      <c r="R76" s="6"/>
      <c r="S76" s="6"/>
      <c r="T76" s="6"/>
      <c r="U76" s="6"/>
      <c r="V76" s="6" t="str">
        <f>IF(X76="","",VLOOKUP(X76,Configuratie!$B$2:$E$11,2,FALSE))</f>
        <v/>
      </c>
      <c r="W76" s="61"/>
      <c r="X76" s="5"/>
      <c r="Z76" s="6"/>
      <c r="AA76" s="6"/>
      <c r="AB76" s="6"/>
      <c r="AC76" s="6"/>
      <c r="AD76" s="6"/>
      <c r="AE76" s="6"/>
      <c r="AF76" s="6"/>
      <c r="AG76" s="6"/>
      <c r="AH76" s="6"/>
      <c r="AI76" s="6"/>
      <c r="AJ76" s="6"/>
      <c r="AK76" s="6"/>
      <c r="AL76" s="6"/>
      <c r="AM76" s="6"/>
      <c r="AN76" s="6"/>
      <c r="AO76" s="6"/>
      <c r="AP76" s="6"/>
      <c r="AQ76" s="6"/>
      <c r="AR76" s="6"/>
      <c r="AS76" s="6"/>
      <c r="AT76" s="6"/>
      <c r="AU76" s="6"/>
      <c r="AV76" s="6"/>
      <c r="AW76" s="6"/>
      <c r="AX76" s="6">
        <v>7</v>
      </c>
      <c r="AY76" s="6">
        <v>12</v>
      </c>
      <c r="AZ76" s="6">
        <v>10</v>
      </c>
      <c r="BA76" s="6" t="str">
        <f t="shared" ref="BA76:BA81" si="79">IF(AND(ISNUMBER(J76),ISNUMBER(M76)),IF(J76+M76=1,1,0),"")</f>
        <v/>
      </c>
      <c r="BB76" s="6"/>
      <c r="BC76" s="48">
        <f t="shared" si="78"/>
        <v>1210</v>
      </c>
      <c r="BD76" s="48">
        <f t="shared" ref="BD76:BD80" si="80">AZ76*100+AY76</f>
        <v>1012</v>
      </c>
      <c r="BE76" s="6" t="e">
        <f t="shared" ref="BE76:BF80" si="81">VLOOKUP(AY93,$BJ$3:$BW$13,$AT73,FALSE)</f>
        <v>#N/A</v>
      </c>
      <c r="BF76" s="6" t="e">
        <f t="shared" si="81"/>
        <v>#N/A</v>
      </c>
      <c r="BG76" s="6" t="e">
        <f>N73*BF76</f>
        <v>#N/A</v>
      </c>
      <c r="BH76" s="6" t="e">
        <f>Q73*BE76</f>
        <v>#N/A</v>
      </c>
      <c r="BI76" s="6"/>
      <c r="BJ76" s="6"/>
      <c r="BK76" s="6"/>
      <c r="BL76" s="6"/>
      <c r="BM76" s="6"/>
      <c r="BN76" s="6"/>
      <c r="BO76" s="6"/>
      <c r="BP76" s="6"/>
      <c r="BQ76" s="6"/>
      <c r="BR76" s="6"/>
      <c r="BS76" s="6"/>
      <c r="BT76" s="6"/>
      <c r="BU76" s="6"/>
      <c r="BV76" s="6"/>
      <c r="BW76" s="6"/>
      <c r="BX76" s="6"/>
      <c r="BY76" s="6"/>
      <c r="BZ76" s="6"/>
      <c r="CA76" s="6"/>
      <c r="CB76" s="6"/>
    </row>
    <row r="77" spans="2:80" x14ac:dyDescent="0.25">
      <c r="B77" s="6">
        <v>3</v>
      </c>
      <c r="C77" s="6" t="str">
        <f t="shared" si="76"/>
        <v>N</v>
      </c>
      <c r="D77" s="46" t="s">
        <v>5</v>
      </c>
      <c r="E77" s="90" t="str">
        <f t="shared" si="77"/>
        <v>J</v>
      </c>
      <c r="F77" s="90"/>
      <c r="G77" s="90"/>
      <c r="H77" s="90"/>
      <c r="I77" s="6"/>
      <c r="J77" s="90" t="str">
        <f>IF(X77="","",VLOOKUP(X77,Configuratie!$B$2:$E$11,3,FALSE))</f>
        <v/>
      </c>
      <c r="K77" s="90"/>
      <c r="L77" s="6" t="s">
        <v>5</v>
      </c>
      <c r="M77" s="90" t="str">
        <f>IF(X77="","",VLOOKUP(X77,Configuratie!$B$2:$E$11,4,FALSE))</f>
        <v/>
      </c>
      <c r="N77" s="90"/>
      <c r="O77" s="6"/>
      <c r="P77" s="6"/>
      <c r="Q77" s="6"/>
      <c r="R77" s="6"/>
      <c r="S77" s="6"/>
      <c r="T77" s="6"/>
      <c r="U77" s="6"/>
      <c r="V77" s="6" t="str">
        <f>IF(X77="","",VLOOKUP(X77,Configuratie!$B$2:$E$11,2,FALSE))</f>
        <v/>
      </c>
      <c r="W77" s="61"/>
      <c r="X77" s="5"/>
      <c r="Z77" s="6"/>
      <c r="AA77" s="6"/>
      <c r="AB77" s="6"/>
      <c r="AC77" s="6"/>
      <c r="AD77" s="6"/>
      <c r="AE77" s="6"/>
      <c r="AF77" s="6"/>
      <c r="AG77" s="6"/>
      <c r="AH77" s="6"/>
      <c r="AI77" s="6"/>
      <c r="AJ77" s="6"/>
      <c r="AK77" s="6"/>
      <c r="AL77" s="6"/>
      <c r="AM77" s="6"/>
      <c r="AN77" s="6"/>
      <c r="AO77" s="6"/>
      <c r="AP77" s="6"/>
      <c r="AQ77" s="6"/>
      <c r="AR77" s="6"/>
      <c r="AS77" s="6"/>
      <c r="AT77" s="6"/>
      <c r="AU77" s="6"/>
      <c r="AV77" s="6"/>
      <c r="AW77" s="6"/>
      <c r="AX77" s="6">
        <v>7</v>
      </c>
      <c r="AY77" s="6">
        <v>13</v>
      </c>
      <c r="AZ77" s="6">
        <v>9</v>
      </c>
      <c r="BA77" s="6" t="str">
        <f t="shared" si="79"/>
        <v/>
      </c>
      <c r="BB77" s="6"/>
      <c r="BC77" s="48">
        <f t="shared" si="78"/>
        <v>1309</v>
      </c>
      <c r="BD77" s="48">
        <f t="shared" si="80"/>
        <v>913</v>
      </c>
      <c r="BE77" s="6" t="e">
        <f t="shared" si="81"/>
        <v>#N/A</v>
      </c>
      <c r="BF77" s="6" t="e">
        <f t="shared" si="81"/>
        <v>#N/A</v>
      </c>
      <c r="BG77" s="6" t="e">
        <f>N74*BF77</f>
        <v>#N/A</v>
      </c>
      <c r="BH77" s="6" t="e">
        <f>Q74*BE77</f>
        <v>#N/A</v>
      </c>
      <c r="BI77" s="6"/>
      <c r="BJ77" s="6"/>
      <c r="BK77" s="6"/>
      <c r="BL77" s="6"/>
      <c r="BM77" s="6"/>
      <c r="BN77" s="6"/>
      <c r="BO77" s="6"/>
      <c r="BP77" s="6"/>
      <c r="BQ77" s="6"/>
      <c r="BR77" s="6"/>
      <c r="BS77" s="6"/>
      <c r="BT77" s="6"/>
      <c r="BU77" s="6"/>
      <c r="BV77" s="6"/>
      <c r="BW77" s="6"/>
      <c r="BX77" s="6"/>
      <c r="BY77" s="6"/>
      <c r="BZ77" s="6"/>
      <c r="CA77" s="6"/>
      <c r="CB77" s="6"/>
    </row>
    <row r="78" spans="2:80" x14ac:dyDescent="0.25">
      <c r="B78" s="6">
        <v>4</v>
      </c>
      <c r="C78" s="6" t="str">
        <f t="shared" si="76"/>
        <v>A</v>
      </c>
      <c r="D78" s="46" t="s">
        <v>5</v>
      </c>
      <c r="E78" s="90" t="str">
        <f t="shared" si="77"/>
        <v>I</v>
      </c>
      <c r="F78" s="90"/>
      <c r="G78" s="90"/>
      <c r="H78" s="90"/>
      <c r="I78" s="6"/>
      <c r="J78" s="90" t="str">
        <f>IF(X78="","",VLOOKUP(X78,Configuratie!$B$2:$E$11,3,FALSE))</f>
        <v/>
      </c>
      <c r="K78" s="90"/>
      <c r="L78" s="6" t="s">
        <v>5</v>
      </c>
      <c r="M78" s="90" t="str">
        <f>IF(X78="","",VLOOKUP(X78,Configuratie!$B$2:$E$11,4,FALSE))</f>
        <v/>
      </c>
      <c r="N78" s="90"/>
      <c r="O78" s="6"/>
      <c r="P78" s="6"/>
      <c r="Q78" s="6"/>
      <c r="R78" s="6"/>
      <c r="S78" s="6"/>
      <c r="T78" s="6"/>
      <c r="U78" s="6"/>
      <c r="V78" s="6" t="str">
        <f>IF(X78="","",VLOOKUP(X78,Configuratie!$B$2:$E$11,2,FALSE))</f>
        <v/>
      </c>
      <c r="W78" s="61"/>
      <c r="X78" s="5"/>
      <c r="Z78" s="6"/>
      <c r="AA78" s="6"/>
      <c r="AB78" s="6"/>
      <c r="AC78" s="6"/>
      <c r="AD78" s="6"/>
      <c r="AE78" s="6"/>
      <c r="AF78" s="6"/>
      <c r="AG78" s="6"/>
      <c r="AH78" s="6"/>
      <c r="AI78" s="6"/>
      <c r="AJ78" s="6"/>
      <c r="AK78" s="6"/>
      <c r="AL78" s="6"/>
      <c r="AM78" s="6"/>
      <c r="AN78" s="6"/>
      <c r="AO78" s="6"/>
      <c r="AP78" s="6"/>
      <c r="AQ78" s="6"/>
      <c r="AR78" s="6"/>
      <c r="AS78" s="6"/>
      <c r="AT78" s="6"/>
      <c r="AU78" s="6"/>
      <c r="AV78" s="6"/>
      <c r="AW78" s="6"/>
      <c r="AX78" s="6">
        <v>7</v>
      </c>
      <c r="AY78" s="6">
        <v>1</v>
      </c>
      <c r="AZ78" s="6">
        <v>8</v>
      </c>
      <c r="BA78" s="6" t="str">
        <f t="shared" si="79"/>
        <v/>
      </c>
      <c r="BB78" s="6"/>
      <c r="BC78" s="48">
        <f t="shared" si="78"/>
        <v>108</v>
      </c>
      <c r="BD78" s="48">
        <f t="shared" si="80"/>
        <v>801</v>
      </c>
      <c r="BE78" s="6" t="e">
        <f t="shared" si="81"/>
        <v>#N/A</v>
      </c>
      <c r="BF78" s="6" t="e">
        <f t="shared" si="81"/>
        <v>#N/A</v>
      </c>
      <c r="BG78" s="6" t="e">
        <f>N75*BF78</f>
        <v>#N/A</v>
      </c>
      <c r="BH78" s="6" t="e">
        <f>Q75*BE78</f>
        <v>#N/A</v>
      </c>
      <c r="BI78" s="6"/>
      <c r="BJ78" s="6"/>
      <c r="BK78" s="6"/>
      <c r="BL78" s="6"/>
      <c r="BM78" s="6"/>
      <c r="BN78" s="6"/>
      <c r="BO78" s="6"/>
      <c r="BP78" s="6"/>
      <c r="BQ78" s="6"/>
      <c r="BR78" s="6"/>
      <c r="BS78" s="6"/>
      <c r="BT78" s="6"/>
      <c r="BU78" s="6"/>
      <c r="BV78" s="6"/>
      <c r="BW78" s="6"/>
      <c r="BX78" s="6"/>
      <c r="BY78" s="6"/>
      <c r="BZ78" s="6"/>
      <c r="CA78" s="6"/>
      <c r="CB78" s="6"/>
    </row>
    <row r="79" spans="2:80" x14ac:dyDescent="0.25">
      <c r="B79" s="6">
        <v>5</v>
      </c>
      <c r="C79" s="6" t="str">
        <f t="shared" si="76"/>
        <v>B</v>
      </c>
      <c r="D79" s="46" t="s">
        <v>5</v>
      </c>
      <c r="E79" s="90" t="str">
        <f t="shared" si="77"/>
        <v>H</v>
      </c>
      <c r="F79" s="90"/>
      <c r="G79" s="90"/>
      <c r="H79" s="90"/>
      <c r="I79" s="6"/>
      <c r="J79" s="90" t="str">
        <f>IF(X79="","",VLOOKUP(X79,Configuratie!$B$2:$E$11,3,FALSE))</f>
        <v/>
      </c>
      <c r="K79" s="90"/>
      <c r="L79" s="6" t="s">
        <v>5</v>
      </c>
      <c r="M79" s="90" t="str">
        <f>IF(X79="","",VLOOKUP(X79,Configuratie!$B$2:$E$11,4,FALSE))</f>
        <v/>
      </c>
      <c r="N79" s="90"/>
      <c r="O79" s="6"/>
      <c r="P79" s="6"/>
      <c r="Q79" s="6"/>
      <c r="R79" s="6"/>
      <c r="S79" s="6"/>
      <c r="T79" s="6"/>
      <c r="U79" s="6"/>
      <c r="V79" s="6" t="str">
        <f>IF(X79="","",VLOOKUP(X79,Configuratie!$B$2:$E$11,2,FALSE))</f>
        <v/>
      </c>
      <c r="W79" s="61"/>
      <c r="X79" s="5"/>
      <c r="Z79" s="6"/>
      <c r="AA79" s="6"/>
      <c r="AB79" s="6"/>
      <c r="AC79" s="6"/>
      <c r="AD79" s="6"/>
      <c r="AE79" s="6"/>
      <c r="AF79" s="6"/>
      <c r="AG79" s="6"/>
      <c r="AH79" s="6"/>
      <c r="AI79" s="6"/>
      <c r="AJ79" s="6"/>
      <c r="AK79" s="6"/>
      <c r="AL79" s="6"/>
      <c r="AM79" s="6"/>
      <c r="AN79" s="6"/>
      <c r="AO79" s="6"/>
      <c r="AP79" s="6"/>
      <c r="AQ79" s="6"/>
      <c r="AR79" s="6"/>
      <c r="AS79" s="6"/>
      <c r="AT79" s="6"/>
      <c r="AU79" s="6"/>
      <c r="AV79" s="6"/>
      <c r="AW79" s="6"/>
      <c r="AX79" s="6">
        <v>7</v>
      </c>
      <c r="AY79" s="6">
        <v>2</v>
      </c>
      <c r="AZ79" s="6">
        <v>7</v>
      </c>
      <c r="BA79" s="6" t="str">
        <f t="shared" si="79"/>
        <v/>
      </c>
      <c r="BB79" s="6"/>
      <c r="BC79" s="48">
        <f t="shared" si="78"/>
        <v>207</v>
      </c>
      <c r="BD79" s="48">
        <f>AZ79*100+AY79</f>
        <v>702</v>
      </c>
      <c r="BE79" s="6" t="e">
        <f t="shared" si="81"/>
        <v>#N/A</v>
      </c>
      <c r="BF79" s="6" t="e">
        <f t="shared" si="81"/>
        <v>#VALUE!</v>
      </c>
      <c r="BG79" s="6" t="e">
        <f>N76*BF79</f>
        <v>#VALUE!</v>
      </c>
      <c r="BH79" s="6" t="e">
        <f>Q76*BE79</f>
        <v>#N/A</v>
      </c>
      <c r="BI79" s="6"/>
      <c r="BJ79" s="6"/>
      <c r="BK79" s="6"/>
      <c r="BL79" s="6"/>
      <c r="BM79" s="6"/>
      <c r="BN79" s="6"/>
      <c r="BO79" s="6"/>
      <c r="BP79" s="6"/>
      <c r="BQ79" s="6"/>
      <c r="BR79" s="6"/>
      <c r="BS79" s="6"/>
      <c r="BT79" s="6"/>
      <c r="BU79" s="6"/>
      <c r="BV79" s="6"/>
      <c r="BW79" s="6"/>
      <c r="BX79" s="6"/>
      <c r="BY79" s="6"/>
      <c r="BZ79" s="6"/>
      <c r="CA79" s="6"/>
      <c r="CB79" s="6"/>
    </row>
    <row r="80" spans="2:80" x14ac:dyDescent="0.25">
      <c r="B80" s="6">
        <v>6</v>
      </c>
      <c r="C80" s="6" t="str">
        <f t="shared" si="76"/>
        <v>C</v>
      </c>
      <c r="D80" s="46" t="s">
        <v>5</v>
      </c>
      <c r="E80" s="90" t="str">
        <f t="shared" si="77"/>
        <v>G</v>
      </c>
      <c r="F80" s="90"/>
      <c r="G80" s="90"/>
      <c r="H80" s="90"/>
      <c r="I80" s="6"/>
      <c r="J80" s="90" t="str">
        <f>IF(X80="","",VLOOKUP(X80,Configuratie!$B$2:$E$11,3,FALSE))</f>
        <v/>
      </c>
      <c r="K80" s="90"/>
      <c r="L80" s="6" t="s">
        <v>5</v>
      </c>
      <c r="M80" s="90" t="str">
        <f>IF(X80="","",VLOOKUP(X80,Configuratie!$B$2:$E$11,4,FALSE))</f>
        <v/>
      </c>
      <c r="N80" s="90"/>
      <c r="O80" s="6"/>
      <c r="P80" s="6"/>
      <c r="Q80" s="6"/>
      <c r="R80" s="6"/>
      <c r="S80" s="6"/>
      <c r="T80" s="6"/>
      <c r="U80" s="6"/>
      <c r="V80" s="6" t="str">
        <f>IF(X80="","",VLOOKUP(X80,Configuratie!$B$2:$E$11,2,FALSE))</f>
        <v/>
      </c>
      <c r="W80" s="61"/>
      <c r="X80" s="5"/>
      <c r="Z80" s="6"/>
      <c r="AA80" s="6"/>
      <c r="AB80" s="6"/>
      <c r="AC80" s="6"/>
      <c r="AD80" s="6"/>
      <c r="AE80" s="6"/>
      <c r="AF80" s="6"/>
      <c r="AG80" s="6"/>
      <c r="AH80" s="6"/>
      <c r="AI80" s="6"/>
      <c r="AJ80" s="6"/>
      <c r="AK80" s="6"/>
      <c r="AL80" s="6"/>
      <c r="AM80" s="6"/>
      <c r="AN80" s="6"/>
      <c r="AO80" s="6"/>
      <c r="AP80" s="6"/>
      <c r="AQ80" s="6"/>
      <c r="AR80" s="6"/>
      <c r="AS80" s="6"/>
      <c r="AT80" s="6"/>
      <c r="AU80" s="6"/>
      <c r="AV80" s="6"/>
      <c r="AW80" s="6"/>
      <c r="AX80" s="6">
        <v>7</v>
      </c>
      <c r="AY80" s="6">
        <v>3</v>
      </c>
      <c r="AZ80" s="6">
        <v>6</v>
      </c>
      <c r="BA80" s="6" t="str">
        <f t="shared" si="79"/>
        <v/>
      </c>
      <c r="BB80" s="6"/>
      <c r="BC80" s="48">
        <f t="shared" si="78"/>
        <v>306</v>
      </c>
      <c r="BD80" s="48">
        <f t="shared" si="80"/>
        <v>603</v>
      </c>
      <c r="BE80" s="6" t="e">
        <f t="shared" si="81"/>
        <v>#N/A</v>
      </c>
      <c r="BF80" s="6" t="e">
        <f t="shared" si="81"/>
        <v>#N/A</v>
      </c>
      <c r="BG80" s="6" t="e">
        <f>N77*BF80</f>
        <v>#N/A</v>
      </c>
      <c r="BH80" s="6" t="e">
        <f>Q77*BE80</f>
        <v>#N/A</v>
      </c>
      <c r="BI80" s="6"/>
      <c r="BJ80" s="6"/>
      <c r="BK80" s="6"/>
      <c r="BL80" s="6"/>
      <c r="BM80" s="6"/>
      <c r="BN80" s="6"/>
      <c r="BO80" s="6"/>
      <c r="BP80" s="6"/>
      <c r="BQ80" s="6"/>
      <c r="BR80" s="6"/>
      <c r="BS80" s="6"/>
      <c r="BT80" s="6"/>
      <c r="BU80" s="6"/>
      <c r="BV80" s="6"/>
      <c r="BW80" s="6"/>
      <c r="BX80" s="6"/>
      <c r="BY80" s="6"/>
      <c r="BZ80" s="6"/>
      <c r="CA80" s="6"/>
      <c r="CB80" s="6"/>
    </row>
    <row r="81" spans="2:80" x14ac:dyDescent="0.25">
      <c r="B81" s="6">
        <v>7</v>
      </c>
      <c r="C81" s="6" t="str">
        <f t="shared" si="76"/>
        <v>D</v>
      </c>
      <c r="D81" s="46" t="s">
        <v>5</v>
      </c>
      <c r="E81" s="90" t="str">
        <f t="shared" si="77"/>
        <v>E</v>
      </c>
      <c r="F81" s="90"/>
      <c r="G81" s="90"/>
      <c r="H81" s="90"/>
      <c r="I81" s="6"/>
      <c r="J81" s="90" t="str">
        <f>IF(X81="","",VLOOKUP(X81,Configuratie!$B$2:$E$11,3,FALSE))</f>
        <v/>
      </c>
      <c r="K81" s="90"/>
      <c r="L81" s="6" t="s">
        <v>5</v>
      </c>
      <c r="M81" s="90" t="str">
        <f>IF(X81="","",VLOOKUP(X81,Configuratie!$B$2:$E$11,4,FALSE))</f>
        <v/>
      </c>
      <c r="N81" s="90"/>
      <c r="O81" s="6"/>
      <c r="P81" s="6"/>
      <c r="Q81" s="6"/>
      <c r="R81" s="6"/>
      <c r="S81" s="6"/>
      <c r="T81" s="6"/>
      <c r="U81" s="6"/>
      <c r="V81" s="6" t="str">
        <f>IF(X81="","",VLOOKUP(X81,Configuratie!$B$2:$E$11,2,FALSE))</f>
        <v/>
      </c>
      <c r="W81" s="61"/>
      <c r="X81" s="5"/>
      <c r="Z81" s="6"/>
      <c r="AA81" s="6"/>
      <c r="AB81" s="6"/>
      <c r="AC81" s="6"/>
      <c r="AD81" s="6"/>
      <c r="AE81" s="6"/>
      <c r="AF81" s="6"/>
      <c r="AG81" s="6"/>
      <c r="AH81" s="6"/>
      <c r="AI81" s="6"/>
      <c r="AJ81" s="6"/>
      <c r="AK81" s="6"/>
      <c r="AL81" s="6"/>
      <c r="AM81" s="6"/>
      <c r="AN81" s="6"/>
      <c r="AO81" s="6"/>
      <c r="AP81" s="6"/>
      <c r="AQ81" s="6"/>
      <c r="AR81" s="6"/>
      <c r="AS81" s="6"/>
      <c r="AT81" s="6"/>
      <c r="AU81" s="6"/>
      <c r="AV81" s="6"/>
      <c r="AW81" s="6"/>
      <c r="AX81" s="6">
        <v>7</v>
      </c>
      <c r="AY81" s="6">
        <v>4</v>
      </c>
      <c r="AZ81" s="6">
        <v>5</v>
      </c>
      <c r="BA81" s="6" t="str">
        <f t="shared" si="79"/>
        <v/>
      </c>
      <c r="BB81" s="6"/>
      <c r="BC81" s="48">
        <f t="shared" si="78"/>
        <v>405</v>
      </c>
      <c r="BD81" s="48">
        <f>AZ81*100+AY81</f>
        <v>504</v>
      </c>
      <c r="BE81" s="6"/>
      <c r="BF81" s="6"/>
      <c r="BG81" s="6"/>
      <c r="BH81" s="6"/>
      <c r="BI81" s="6"/>
      <c r="BJ81" s="6"/>
      <c r="BK81" s="6"/>
      <c r="BL81" s="6"/>
      <c r="BM81" s="6"/>
      <c r="BN81" s="6"/>
      <c r="BO81" s="6"/>
      <c r="BP81" s="6"/>
      <c r="BQ81" s="6"/>
      <c r="BR81" s="6"/>
      <c r="BS81" s="6"/>
      <c r="BT81" s="6"/>
      <c r="BU81" s="6"/>
      <c r="BV81" s="6"/>
      <c r="BW81" s="6"/>
      <c r="BX81" s="6"/>
      <c r="BY81" s="6"/>
      <c r="BZ81" s="6"/>
      <c r="CA81" s="6"/>
      <c r="CB81" s="6"/>
    </row>
    <row r="82" spans="2:80" x14ac:dyDescent="0.25">
      <c r="B82" s="11"/>
      <c r="C82" s="11"/>
      <c r="D82" s="11"/>
      <c r="E82" s="11"/>
      <c r="F82" s="11"/>
      <c r="G82" s="11"/>
      <c r="H82" s="11"/>
      <c r="I82" s="11"/>
      <c r="J82" s="11"/>
      <c r="K82" s="11"/>
      <c r="L82" s="11"/>
      <c r="M82" s="11"/>
      <c r="N82" s="11"/>
      <c r="O82" s="11"/>
      <c r="P82" s="11"/>
      <c r="Q82" s="11"/>
      <c r="R82" s="11"/>
      <c r="S82" s="11"/>
      <c r="T82" s="11"/>
      <c r="U82" s="11"/>
      <c r="V82" s="11"/>
      <c r="W82" s="11"/>
      <c r="X82" s="11"/>
      <c r="Z82" s="6"/>
      <c r="AA82" s="6"/>
      <c r="AB82" s="6"/>
      <c r="AC82" s="6"/>
      <c r="AD82" s="6"/>
      <c r="AE82" s="6"/>
      <c r="AF82" s="6"/>
      <c r="AG82" s="6"/>
      <c r="AH82" s="6"/>
      <c r="AI82" s="6"/>
      <c r="AJ82" s="6"/>
      <c r="AK82" s="6"/>
      <c r="AL82" s="6"/>
      <c r="AM82" s="6"/>
      <c r="AN82" s="6"/>
      <c r="AO82" s="6"/>
      <c r="AP82" s="6"/>
      <c r="AQ82" s="6"/>
      <c r="AR82" s="6"/>
      <c r="AS82" s="6"/>
      <c r="AT82" s="6"/>
      <c r="AU82" s="6"/>
      <c r="AV82" s="6"/>
      <c r="AW82" s="6"/>
      <c r="AX82" s="6"/>
      <c r="AY82" s="6"/>
      <c r="AZ82" s="6"/>
      <c r="BA82" s="6" t="str">
        <f t="shared" ref="BA82" si="82">IF(AND(ISNUMBER(N78),ISNUMBER(Q78)),IF(N78+Q78=1,1,0),"")</f>
        <v/>
      </c>
      <c r="BB82" s="6"/>
      <c r="BC82" s="6"/>
      <c r="BD82" s="6"/>
      <c r="BE82" s="6"/>
      <c r="BF82" s="6"/>
      <c r="BG82" s="6"/>
      <c r="BH82" s="6"/>
      <c r="BI82" s="6"/>
      <c r="BJ82" s="6"/>
      <c r="BK82" s="6"/>
      <c r="BL82" s="6"/>
      <c r="BM82" s="6"/>
      <c r="BN82" s="6"/>
      <c r="BO82" s="6"/>
      <c r="BP82" s="6"/>
      <c r="BQ82" s="6"/>
      <c r="BR82" s="6"/>
      <c r="BS82" s="6"/>
      <c r="BT82" s="6"/>
      <c r="BU82" s="6"/>
      <c r="BV82" s="6"/>
      <c r="BW82" s="6"/>
      <c r="BX82" s="6"/>
      <c r="BY82" s="6"/>
      <c r="BZ82" s="6"/>
      <c r="CA82" s="6"/>
      <c r="CB82" s="6"/>
    </row>
    <row r="83" spans="2:80" x14ac:dyDescent="0.25">
      <c r="B83" s="45" t="s">
        <v>15</v>
      </c>
      <c r="C83" s="6"/>
      <c r="D83" s="6"/>
      <c r="E83" s="6"/>
      <c r="F83" s="6"/>
      <c r="G83" s="6"/>
      <c r="H83" s="6"/>
      <c r="I83" s="6"/>
      <c r="J83" s="6"/>
      <c r="K83" s="6"/>
      <c r="L83" s="6"/>
      <c r="M83" s="6"/>
      <c r="N83" s="6"/>
      <c r="O83" s="6"/>
      <c r="P83" s="6"/>
      <c r="Q83" s="6"/>
      <c r="R83" s="6"/>
      <c r="S83" s="6"/>
      <c r="T83" s="6"/>
      <c r="U83" s="6"/>
      <c r="V83" s="6"/>
      <c r="W83" s="6"/>
      <c r="X83" s="6"/>
      <c r="Z83" s="6"/>
      <c r="AA83" s="6"/>
      <c r="AB83" s="6"/>
      <c r="AC83" s="6"/>
      <c r="AD83" s="6"/>
      <c r="AE83" s="6"/>
      <c r="AF83" s="6"/>
      <c r="AG83" s="6"/>
      <c r="AH83" s="6"/>
      <c r="AI83" s="6"/>
      <c r="AJ83" s="6"/>
      <c r="AK83" s="6"/>
      <c r="AL83" s="6"/>
      <c r="AM83" s="6"/>
      <c r="AN83" s="6"/>
      <c r="AO83" s="6"/>
      <c r="AP83" s="6"/>
      <c r="AQ83" s="6"/>
      <c r="AR83" s="6"/>
      <c r="AS83" s="6"/>
      <c r="AT83" s="6"/>
      <c r="AU83" s="6"/>
      <c r="AV83" s="6"/>
      <c r="AW83" s="6"/>
      <c r="AX83" s="6"/>
      <c r="AY83" s="6"/>
      <c r="AZ83" s="6"/>
      <c r="BA83" s="6"/>
      <c r="BB83" s="6"/>
      <c r="BC83" s="6"/>
      <c r="BD83" s="6"/>
      <c r="BE83" s="6"/>
      <c r="BF83" s="6"/>
      <c r="BG83" s="6"/>
      <c r="BH83" s="6"/>
      <c r="BI83" s="6"/>
      <c r="BJ83" s="6"/>
      <c r="BK83" s="6"/>
      <c r="BL83" s="6"/>
      <c r="BM83" s="6"/>
      <c r="BN83" s="6"/>
      <c r="BO83" s="6"/>
      <c r="BP83" s="6"/>
      <c r="BQ83" s="6"/>
      <c r="BR83" s="6"/>
      <c r="BS83" s="6"/>
      <c r="BT83" s="6"/>
      <c r="BU83" s="6"/>
      <c r="BV83" s="6"/>
      <c r="BW83" s="6"/>
      <c r="BX83" s="6"/>
      <c r="BY83" s="6"/>
      <c r="BZ83" s="6"/>
      <c r="CA83" s="6"/>
      <c r="CB83" s="6"/>
    </row>
    <row r="84" spans="2:80" x14ac:dyDescent="0.25">
      <c r="B84" s="6">
        <v>1</v>
      </c>
      <c r="C84" s="6" t="str">
        <f t="shared" ref="C84:C90" si="83">VLOOKUP(AY84,$B$4:$F$17,2,FALSE)</f>
        <v>K</v>
      </c>
      <c r="D84" s="46" t="s">
        <v>5</v>
      </c>
      <c r="E84" s="90" t="str">
        <f t="shared" ref="E84:E90" si="84">VLOOKUP(AZ84,$B$4:$F$17,2,FALSE)</f>
        <v>L</v>
      </c>
      <c r="F84" s="90"/>
      <c r="G84" s="90"/>
      <c r="H84" s="90"/>
      <c r="I84" s="6"/>
      <c r="J84" s="90" t="str">
        <f>IF(X84="","",VLOOKUP(X84,Configuratie!$B$2:$E$11,3,FALSE))</f>
        <v/>
      </c>
      <c r="K84" s="90"/>
      <c r="L84" s="6" t="s">
        <v>5</v>
      </c>
      <c r="M84" s="90" t="str">
        <f>IF(X84="","",VLOOKUP(X84,Configuratie!$B$2:$E$11,4,FALSE))</f>
        <v/>
      </c>
      <c r="N84" s="90"/>
      <c r="O84" s="6"/>
      <c r="P84" s="6"/>
      <c r="Q84" s="6"/>
      <c r="R84" s="6"/>
      <c r="S84" s="6"/>
      <c r="T84" s="6"/>
      <c r="U84" s="6"/>
      <c r="V84" s="6" t="str">
        <f>IF(X84="","",VLOOKUP(X84,Configuratie!$B$2:$E$11,2,FALSE))</f>
        <v/>
      </c>
      <c r="W84" s="61"/>
      <c r="X84" s="5"/>
      <c r="Z84" s="6"/>
      <c r="AA84" s="6"/>
      <c r="AB84" s="6"/>
      <c r="AC84" s="6"/>
      <c r="AD84" s="6"/>
      <c r="AE84" s="6"/>
      <c r="AF84" s="6"/>
      <c r="AG84" s="6"/>
      <c r="AH84" s="6"/>
      <c r="AI84" s="6"/>
      <c r="AJ84" s="6"/>
      <c r="AK84" s="6"/>
      <c r="AL84" s="6"/>
      <c r="AM84" s="6"/>
      <c r="AN84" s="6"/>
      <c r="AO84" s="6"/>
      <c r="AP84" s="6"/>
      <c r="AQ84" s="6"/>
      <c r="AR84" s="6"/>
      <c r="AS84" s="6"/>
      <c r="AT84" s="6"/>
      <c r="AU84" s="6"/>
      <c r="AV84" s="6"/>
      <c r="AW84" s="6"/>
      <c r="AX84" s="6">
        <v>8</v>
      </c>
      <c r="AY84" s="6">
        <v>10</v>
      </c>
      <c r="AZ84" s="6">
        <v>11</v>
      </c>
      <c r="BA84" s="6" t="str">
        <f>IF(AND(ISNUMBER(J84),ISNUMBER(M84)),IF(J84+M84=1,1,0),"")</f>
        <v/>
      </c>
      <c r="BB84" s="6"/>
      <c r="BC84" s="48">
        <f t="shared" ref="BC84:BC90" si="85">AY84*100+AZ84</f>
        <v>1011</v>
      </c>
      <c r="BD84" s="48">
        <f>AZ84*100+AY84</f>
        <v>1110</v>
      </c>
      <c r="BE84" s="6"/>
      <c r="BF84" s="6"/>
      <c r="BG84" s="6"/>
      <c r="BH84" s="6"/>
      <c r="BI84" s="6"/>
      <c r="BJ84" s="6"/>
      <c r="BK84" s="6"/>
      <c r="BL84" s="6"/>
      <c r="BM84" s="6"/>
      <c r="BN84" s="6"/>
      <c r="BO84" s="6"/>
      <c r="BP84" s="6"/>
      <c r="BQ84" s="6"/>
      <c r="BR84" s="6"/>
      <c r="BS84" s="6"/>
      <c r="BT84" s="6"/>
      <c r="BU84" s="6"/>
      <c r="BV84" s="6"/>
      <c r="BW84" s="6"/>
      <c r="BX84" s="6"/>
      <c r="BY84" s="6"/>
      <c r="BZ84" s="6"/>
      <c r="CA84" s="6"/>
      <c r="CB84" s="6"/>
    </row>
    <row r="85" spans="2:80" x14ac:dyDescent="0.25">
      <c r="B85" s="6">
        <v>2</v>
      </c>
      <c r="C85" s="6" t="str">
        <f t="shared" si="83"/>
        <v>J</v>
      </c>
      <c r="D85" s="46" t="s">
        <v>5</v>
      </c>
      <c r="E85" s="90" t="str">
        <f t="shared" si="84"/>
        <v>M</v>
      </c>
      <c r="F85" s="90"/>
      <c r="G85" s="90"/>
      <c r="H85" s="90"/>
      <c r="I85" s="6"/>
      <c r="J85" s="90" t="str">
        <f>IF(X85="","",VLOOKUP(X85,Configuratie!$B$2:$E$11,3,FALSE))</f>
        <v/>
      </c>
      <c r="K85" s="90"/>
      <c r="L85" s="6" t="s">
        <v>5</v>
      </c>
      <c r="M85" s="90" t="str">
        <f>IF(X85="","",VLOOKUP(X85,Configuratie!$B$2:$E$11,4,FALSE))</f>
        <v/>
      </c>
      <c r="N85" s="90"/>
      <c r="O85" s="6"/>
      <c r="P85" s="6"/>
      <c r="Q85" s="6"/>
      <c r="R85" s="6"/>
      <c r="S85" s="6"/>
      <c r="T85" s="6"/>
      <c r="U85" s="6"/>
      <c r="V85" s="6" t="str">
        <f>IF(X85="","",VLOOKUP(X85,Configuratie!$B$2:$E$11,2,FALSE))</f>
        <v/>
      </c>
      <c r="W85" s="61"/>
      <c r="X85" s="5"/>
      <c r="Z85" s="6"/>
      <c r="AA85" s="6"/>
      <c r="AB85" s="6"/>
      <c r="AC85" s="6"/>
      <c r="AD85" s="6"/>
      <c r="AE85" s="6"/>
      <c r="AF85" s="6"/>
      <c r="AG85" s="6"/>
      <c r="AH85" s="6"/>
      <c r="AI85" s="6"/>
      <c r="AJ85" s="6"/>
      <c r="AK85" s="6"/>
      <c r="AL85" s="6"/>
      <c r="AM85" s="6"/>
      <c r="AN85" s="6"/>
      <c r="AO85" s="6"/>
      <c r="AP85" s="6"/>
      <c r="AQ85" s="6"/>
      <c r="AR85" s="6"/>
      <c r="AS85" s="6"/>
      <c r="AT85" s="6"/>
      <c r="AU85" s="6"/>
      <c r="AV85" s="6"/>
      <c r="AW85" s="6"/>
      <c r="AX85" s="6">
        <v>8</v>
      </c>
      <c r="AY85" s="6">
        <v>9</v>
      </c>
      <c r="AZ85" s="6">
        <v>12</v>
      </c>
      <c r="BA85" s="6" t="str">
        <f t="shared" ref="BA85:BA90" si="86">IF(AND(ISNUMBER(J85),ISNUMBER(M85)),IF(J85+M85=1,1,0),"")</f>
        <v/>
      </c>
      <c r="BB85" s="6"/>
      <c r="BC85" s="48">
        <f t="shared" si="85"/>
        <v>912</v>
      </c>
      <c r="BD85" s="48">
        <f t="shared" ref="BD85:BD89" si="87">AZ85*100+AY85</f>
        <v>1209</v>
      </c>
      <c r="BE85" s="6"/>
      <c r="BF85" s="6"/>
      <c r="BG85" s="6"/>
      <c r="BH85" s="6"/>
      <c r="BI85" s="6"/>
      <c r="BJ85" s="6"/>
      <c r="BK85" s="6"/>
      <c r="BL85" s="6"/>
      <c r="BM85" s="6"/>
      <c r="BN85" s="6"/>
      <c r="BO85" s="6"/>
      <c r="BP85" s="6"/>
      <c r="BQ85" s="6"/>
      <c r="BR85" s="6"/>
      <c r="BS85" s="6"/>
      <c r="BT85" s="6"/>
      <c r="BU85" s="6"/>
      <c r="BV85" s="6"/>
      <c r="BW85" s="6"/>
      <c r="BX85" s="6"/>
      <c r="BY85" s="6"/>
      <c r="BZ85" s="6"/>
      <c r="CA85" s="6"/>
      <c r="CB85" s="6"/>
    </row>
    <row r="86" spans="2:80" x14ac:dyDescent="0.25">
      <c r="B86" s="6">
        <v>3</v>
      </c>
      <c r="C86" s="6" t="str">
        <f t="shared" si="83"/>
        <v>I</v>
      </c>
      <c r="D86" s="46" t="s">
        <v>5</v>
      </c>
      <c r="E86" s="90" t="str">
        <f t="shared" si="84"/>
        <v>N</v>
      </c>
      <c r="F86" s="90"/>
      <c r="G86" s="90"/>
      <c r="H86" s="90"/>
      <c r="I86" s="6"/>
      <c r="J86" s="90" t="str">
        <f>IF(X86="","",VLOOKUP(X86,Configuratie!$B$2:$E$11,3,FALSE))</f>
        <v/>
      </c>
      <c r="K86" s="90"/>
      <c r="L86" s="6" t="s">
        <v>5</v>
      </c>
      <c r="M86" s="90" t="str">
        <f>IF(X86="","",VLOOKUP(X86,Configuratie!$B$2:$E$11,4,FALSE))</f>
        <v/>
      </c>
      <c r="N86" s="90"/>
      <c r="O86" s="6"/>
      <c r="P86" s="6"/>
      <c r="Q86" s="6"/>
      <c r="R86" s="6"/>
      <c r="S86" s="6"/>
      <c r="T86" s="6"/>
      <c r="U86" s="6"/>
      <c r="V86" s="6" t="str">
        <f>IF(X86="","",VLOOKUP(X86,Configuratie!$B$2:$E$11,2,FALSE))</f>
        <v/>
      </c>
      <c r="W86" s="61"/>
      <c r="X86" s="5"/>
      <c r="Z86" s="6"/>
      <c r="AA86" s="6"/>
      <c r="AB86" s="6"/>
      <c r="AC86" s="6"/>
      <c r="AD86" s="6"/>
      <c r="AE86" s="6"/>
      <c r="AF86" s="6"/>
      <c r="AG86" s="6"/>
      <c r="AH86" s="6"/>
      <c r="AI86" s="6"/>
      <c r="AJ86" s="6"/>
      <c r="AK86" s="6"/>
      <c r="AL86" s="6"/>
      <c r="AM86" s="6"/>
      <c r="AN86" s="6"/>
      <c r="AO86" s="6"/>
      <c r="AP86" s="6"/>
      <c r="AQ86" s="6"/>
      <c r="AR86" s="6"/>
      <c r="AS86" s="6"/>
      <c r="AT86" s="6"/>
      <c r="AU86" s="6"/>
      <c r="AV86" s="6"/>
      <c r="AW86" s="6"/>
      <c r="AX86" s="6">
        <v>8</v>
      </c>
      <c r="AY86" s="6">
        <v>8</v>
      </c>
      <c r="AZ86" s="6">
        <v>13</v>
      </c>
      <c r="BA86" s="6" t="str">
        <f t="shared" si="86"/>
        <v/>
      </c>
      <c r="BB86" s="6"/>
      <c r="BC86" s="48">
        <f t="shared" si="85"/>
        <v>813</v>
      </c>
      <c r="BD86" s="48">
        <f t="shared" si="87"/>
        <v>1308</v>
      </c>
      <c r="BE86" s="6"/>
      <c r="BF86" s="6"/>
      <c r="BG86" s="6"/>
      <c r="BH86" s="6"/>
      <c r="BI86" s="6"/>
      <c r="BJ86" s="6"/>
      <c r="BK86" s="6"/>
      <c r="BL86" s="6"/>
      <c r="BM86" s="6"/>
      <c r="BN86" s="6"/>
      <c r="BO86" s="6"/>
      <c r="BP86" s="6"/>
      <c r="BQ86" s="6"/>
      <c r="BR86" s="6"/>
      <c r="BS86" s="6"/>
      <c r="BT86" s="6"/>
      <c r="BU86" s="6"/>
      <c r="BV86" s="6"/>
      <c r="BW86" s="6"/>
      <c r="BX86" s="6"/>
      <c r="BY86" s="6"/>
      <c r="BZ86" s="6"/>
      <c r="CA86" s="6"/>
      <c r="CB86" s="6"/>
    </row>
    <row r="87" spans="2:80" x14ac:dyDescent="0.25">
      <c r="B87" s="6">
        <v>4</v>
      </c>
      <c r="C87" s="6" t="str">
        <f t="shared" si="83"/>
        <v>H</v>
      </c>
      <c r="D87" s="46" t="s">
        <v>5</v>
      </c>
      <c r="E87" s="90" t="str">
        <f t="shared" si="84"/>
        <v>A</v>
      </c>
      <c r="F87" s="90"/>
      <c r="G87" s="90"/>
      <c r="H87" s="90"/>
      <c r="I87" s="6"/>
      <c r="J87" s="90" t="str">
        <f>IF(X87="","",VLOOKUP(X87,Configuratie!$B$2:$E$11,3,FALSE))</f>
        <v/>
      </c>
      <c r="K87" s="90"/>
      <c r="L87" s="6" t="s">
        <v>5</v>
      </c>
      <c r="M87" s="90" t="str">
        <f>IF(X87="","",VLOOKUP(X87,Configuratie!$B$2:$E$11,4,FALSE))</f>
        <v/>
      </c>
      <c r="N87" s="90"/>
      <c r="O87" s="6"/>
      <c r="P87" s="6"/>
      <c r="Q87" s="6"/>
      <c r="R87" s="6"/>
      <c r="S87" s="6"/>
      <c r="T87" s="6"/>
      <c r="U87" s="6"/>
      <c r="V87" s="6" t="str">
        <f>IF(X87="","",VLOOKUP(X87,Configuratie!$B$2:$E$11,2,FALSE))</f>
        <v/>
      </c>
      <c r="W87" s="61"/>
      <c r="X87" s="5"/>
      <c r="Z87" s="6"/>
      <c r="AA87" s="6"/>
      <c r="AB87" s="6"/>
      <c r="AC87" s="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  <c r="AP87" s="6"/>
      <c r="AQ87" s="6"/>
      <c r="AR87" s="6"/>
      <c r="AS87" s="6"/>
      <c r="AT87" s="6"/>
      <c r="AU87" s="6"/>
      <c r="AV87" s="6"/>
      <c r="AW87" s="6"/>
      <c r="AX87" s="6">
        <v>8</v>
      </c>
      <c r="AY87" s="6">
        <v>7</v>
      </c>
      <c r="AZ87" s="6">
        <v>1</v>
      </c>
      <c r="BA87" s="6" t="str">
        <f t="shared" si="86"/>
        <v/>
      </c>
      <c r="BB87" s="6"/>
      <c r="BC87" s="48">
        <f t="shared" si="85"/>
        <v>701</v>
      </c>
      <c r="BD87" s="48">
        <f t="shared" si="87"/>
        <v>107</v>
      </c>
      <c r="BE87" s="6"/>
      <c r="BF87" s="6"/>
      <c r="BG87" s="6"/>
      <c r="BH87" s="6"/>
      <c r="BI87" s="6"/>
      <c r="BJ87" s="6"/>
      <c r="BK87" s="6"/>
      <c r="BL87" s="6"/>
      <c r="BM87" s="6"/>
      <c r="BN87" s="6"/>
      <c r="BO87" s="6"/>
      <c r="BP87" s="6"/>
      <c r="BQ87" s="6"/>
      <c r="BR87" s="6"/>
      <c r="BS87" s="6"/>
      <c r="BT87" s="6"/>
      <c r="BU87" s="6"/>
      <c r="BV87" s="6"/>
      <c r="BW87" s="6"/>
      <c r="BX87" s="6"/>
      <c r="BY87" s="6"/>
      <c r="BZ87" s="6"/>
      <c r="CA87" s="6"/>
      <c r="CB87" s="6"/>
    </row>
    <row r="88" spans="2:80" x14ac:dyDescent="0.25">
      <c r="B88" s="6">
        <v>5</v>
      </c>
      <c r="C88" s="6" t="str">
        <f t="shared" si="83"/>
        <v>G</v>
      </c>
      <c r="D88" s="46" t="s">
        <v>5</v>
      </c>
      <c r="E88" s="90" t="str">
        <f t="shared" si="84"/>
        <v>B</v>
      </c>
      <c r="F88" s="90"/>
      <c r="G88" s="90"/>
      <c r="H88" s="90"/>
      <c r="I88" s="6"/>
      <c r="J88" s="90" t="str">
        <f>IF(X88="","",VLOOKUP(X88,Configuratie!$B$2:$E$11,3,FALSE))</f>
        <v/>
      </c>
      <c r="K88" s="90"/>
      <c r="L88" s="6" t="s">
        <v>5</v>
      </c>
      <c r="M88" s="90" t="str">
        <f>IF(X88="","",VLOOKUP(X88,Configuratie!$B$2:$E$11,4,FALSE))</f>
        <v/>
      </c>
      <c r="N88" s="90"/>
      <c r="O88" s="6"/>
      <c r="P88" s="6"/>
      <c r="Q88" s="6"/>
      <c r="R88" s="6"/>
      <c r="S88" s="6"/>
      <c r="T88" s="6"/>
      <c r="U88" s="6"/>
      <c r="V88" s="6" t="str">
        <f>IF(X88="","",VLOOKUP(X88,Configuratie!$B$2:$E$11,2,FALSE))</f>
        <v/>
      </c>
      <c r="W88" s="61"/>
      <c r="X88" s="5"/>
      <c r="Z88" s="6"/>
      <c r="AA88" s="6"/>
      <c r="AB88" s="6"/>
      <c r="AC88" s="6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6"/>
      <c r="AP88" s="6"/>
      <c r="AQ88" s="6"/>
      <c r="AR88" s="6"/>
      <c r="AS88" s="6"/>
      <c r="AT88" s="6"/>
      <c r="AU88" s="6"/>
      <c r="AV88" s="6"/>
      <c r="AW88" s="6"/>
      <c r="AX88" s="6">
        <v>8</v>
      </c>
      <c r="AY88" s="6">
        <v>6</v>
      </c>
      <c r="AZ88" s="6">
        <v>2</v>
      </c>
      <c r="BA88" s="6" t="str">
        <f t="shared" si="86"/>
        <v/>
      </c>
      <c r="BB88" s="6"/>
      <c r="BC88" s="48">
        <f t="shared" si="85"/>
        <v>602</v>
      </c>
      <c r="BD88" s="48">
        <f>AZ88*100+AY88</f>
        <v>206</v>
      </c>
      <c r="BE88" s="6"/>
      <c r="BF88" s="6"/>
      <c r="BG88" s="6"/>
      <c r="BH88" s="6"/>
      <c r="BI88" s="6"/>
      <c r="BJ88" s="6"/>
      <c r="BK88" s="6"/>
      <c r="BL88" s="6"/>
      <c r="BM88" s="6"/>
      <c r="BN88" s="6"/>
      <c r="BO88" s="6"/>
      <c r="BP88" s="6"/>
      <c r="BQ88" s="6"/>
      <c r="BR88" s="6"/>
      <c r="BS88" s="6"/>
      <c r="BT88" s="6"/>
      <c r="BU88" s="6"/>
      <c r="BV88" s="6"/>
      <c r="BW88" s="6"/>
      <c r="BX88" s="6"/>
      <c r="BY88" s="6"/>
      <c r="BZ88" s="6"/>
      <c r="CA88" s="6"/>
      <c r="CB88" s="6"/>
    </row>
    <row r="89" spans="2:80" x14ac:dyDescent="0.25">
      <c r="B89" s="6">
        <v>6</v>
      </c>
      <c r="C89" s="6" t="str">
        <f t="shared" si="83"/>
        <v>E</v>
      </c>
      <c r="D89" s="46" t="s">
        <v>5</v>
      </c>
      <c r="E89" s="90" t="str">
        <f t="shared" si="84"/>
        <v>C</v>
      </c>
      <c r="F89" s="90"/>
      <c r="G89" s="90"/>
      <c r="H89" s="90"/>
      <c r="I89" s="6"/>
      <c r="J89" s="90" t="str">
        <f>IF(X89="","",VLOOKUP(X89,Configuratie!$B$2:$E$11,3,FALSE))</f>
        <v/>
      </c>
      <c r="K89" s="90"/>
      <c r="L89" s="6" t="s">
        <v>5</v>
      </c>
      <c r="M89" s="90" t="str">
        <f>IF(X89="","",VLOOKUP(X89,Configuratie!$B$2:$E$11,4,FALSE))</f>
        <v/>
      </c>
      <c r="N89" s="90"/>
      <c r="O89" s="6"/>
      <c r="P89" s="6"/>
      <c r="Q89" s="6"/>
      <c r="R89" s="6"/>
      <c r="S89" s="6"/>
      <c r="T89" s="6"/>
      <c r="U89" s="6"/>
      <c r="V89" s="6" t="str">
        <f>IF(X89="","",VLOOKUP(X89,Configuratie!$B$2:$E$11,2,FALSE))</f>
        <v/>
      </c>
      <c r="W89" s="61"/>
      <c r="X89" s="5"/>
      <c r="Z89" s="6"/>
      <c r="AA89" s="6"/>
      <c r="AB89" s="6"/>
      <c r="AC89" s="6"/>
      <c r="AD89" s="6"/>
      <c r="AE89" s="6"/>
      <c r="AF89" s="6"/>
      <c r="AG89" s="6"/>
      <c r="AH89" s="6"/>
      <c r="AI89" s="6"/>
      <c r="AJ89" s="6"/>
      <c r="AK89" s="6"/>
      <c r="AL89" s="6"/>
      <c r="AM89" s="6"/>
      <c r="AN89" s="6"/>
      <c r="AO89" s="6"/>
      <c r="AP89" s="6"/>
      <c r="AQ89" s="6"/>
      <c r="AR89" s="6"/>
      <c r="AS89" s="6"/>
      <c r="AT89" s="6"/>
      <c r="AU89" s="6"/>
      <c r="AV89" s="6"/>
      <c r="AW89" s="6"/>
      <c r="AX89" s="6">
        <v>8</v>
      </c>
      <c r="AY89" s="6">
        <v>5</v>
      </c>
      <c r="AZ89" s="6">
        <v>3</v>
      </c>
      <c r="BA89" s="6" t="str">
        <f t="shared" si="86"/>
        <v/>
      </c>
      <c r="BB89" s="6"/>
      <c r="BC89" s="48">
        <f t="shared" si="85"/>
        <v>503</v>
      </c>
      <c r="BD89" s="48">
        <f t="shared" si="87"/>
        <v>305</v>
      </c>
      <c r="BE89" s="6"/>
      <c r="BF89" s="6"/>
      <c r="BG89" s="6"/>
      <c r="BH89" s="6"/>
      <c r="BI89" s="6"/>
      <c r="BJ89" s="6"/>
      <c r="BK89" s="6"/>
      <c r="BL89" s="6"/>
      <c r="BM89" s="6"/>
      <c r="BN89" s="6"/>
      <c r="BO89" s="6"/>
      <c r="BP89" s="6"/>
      <c r="BQ89" s="6"/>
      <c r="BR89" s="6"/>
      <c r="BS89" s="6"/>
      <c r="BT89" s="6"/>
      <c r="BU89" s="6"/>
      <c r="BV89" s="6"/>
      <c r="BW89" s="6"/>
      <c r="BX89" s="6"/>
      <c r="BY89" s="6"/>
      <c r="BZ89" s="6"/>
      <c r="CA89" s="6"/>
      <c r="CB89" s="6"/>
    </row>
    <row r="90" spans="2:80" x14ac:dyDescent="0.25">
      <c r="B90" s="6">
        <v>7</v>
      </c>
      <c r="C90" s="6" t="str">
        <f t="shared" si="83"/>
        <v>O</v>
      </c>
      <c r="D90" s="46" t="s">
        <v>5</v>
      </c>
      <c r="E90" s="90" t="str">
        <f t="shared" si="84"/>
        <v>D</v>
      </c>
      <c r="F90" s="90"/>
      <c r="G90" s="90"/>
      <c r="H90" s="90"/>
      <c r="I90" s="6"/>
      <c r="J90" s="90" t="str">
        <f>IF(X90="","",VLOOKUP(X90,Configuratie!$B$2:$E$11,3,FALSE))</f>
        <v/>
      </c>
      <c r="K90" s="90"/>
      <c r="L90" s="6" t="s">
        <v>5</v>
      </c>
      <c r="M90" s="90" t="str">
        <f>IF(X90="","",VLOOKUP(X90,Configuratie!$B$2:$E$11,4,FALSE))</f>
        <v/>
      </c>
      <c r="N90" s="90"/>
      <c r="O90" s="6"/>
      <c r="P90" s="6"/>
      <c r="Q90" s="6"/>
      <c r="R90" s="6"/>
      <c r="S90" s="6"/>
      <c r="T90" s="6"/>
      <c r="U90" s="6"/>
      <c r="V90" s="6" t="str">
        <f>IF(X90="","",VLOOKUP(X90,Configuratie!$B$2:$E$11,2,FALSE))</f>
        <v/>
      </c>
      <c r="W90" s="61"/>
      <c r="X90" s="5"/>
      <c r="Z90" s="6"/>
      <c r="AA90" s="6"/>
      <c r="AB90" s="6"/>
      <c r="AC90" s="6"/>
      <c r="AD90" s="6"/>
      <c r="AE90" s="6"/>
      <c r="AF90" s="6"/>
      <c r="AG90" s="6"/>
      <c r="AH90" s="6"/>
      <c r="AI90" s="6"/>
      <c r="AJ90" s="6"/>
      <c r="AK90" s="6"/>
      <c r="AL90" s="6"/>
      <c r="AM90" s="6"/>
      <c r="AN90" s="6"/>
      <c r="AO90" s="6"/>
      <c r="AP90" s="6"/>
      <c r="AQ90" s="6"/>
      <c r="AR90" s="6"/>
      <c r="AS90" s="6"/>
      <c r="AT90" s="6"/>
      <c r="AU90" s="6"/>
      <c r="AV90" s="6"/>
      <c r="AW90" s="6"/>
      <c r="AX90" s="6">
        <v>8</v>
      </c>
      <c r="AY90" s="6">
        <v>14</v>
      </c>
      <c r="AZ90" s="6">
        <v>4</v>
      </c>
      <c r="BA90" s="6" t="str">
        <f t="shared" si="86"/>
        <v/>
      </c>
      <c r="BB90" s="6"/>
      <c r="BC90" s="48">
        <f t="shared" si="85"/>
        <v>1404</v>
      </c>
      <c r="BD90" s="48">
        <f>AZ90*100+AY90</f>
        <v>414</v>
      </c>
      <c r="BE90" s="6"/>
      <c r="BF90" s="6"/>
      <c r="BG90" s="6"/>
      <c r="BH90" s="6"/>
      <c r="BI90" s="6"/>
      <c r="BJ90" s="6"/>
      <c r="BK90" s="6"/>
      <c r="BL90" s="6"/>
      <c r="BM90" s="6"/>
      <c r="BN90" s="6"/>
      <c r="BO90" s="6"/>
      <c r="BP90" s="6"/>
      <c r="BQ90" s="6"/>
      <c r="BR90" s="6"/>
      <c r="BS90" s="6"/>
      <c r="BT90" s="6"/>
      <c r="BU90" s="6"/>
      <c r="BV90" s="6"/>
      <c r="BW90" s="6"/>
      <c r="BX90" s="6"/>
      <c r="BY90" s="6"/>
      <c r="BZ90" s="6"/>
      <c r="CA90" s="6"/>
      <c r="CB90" s="6"/>
    </row>
    <row r="91" spans="2:80" x14ac:dyDescent="0.25">
      <c r="B91" s="11"/>
      <c r="C91" s="11"/>
      <c r="D91" s="11"/>
      <c r="E91" s="11"/>
      <c r="F91" s="11"/>
      <c r="G91" s="11"/>
      <c r="H91" s="11"/>
      <c r="I91" s="11"/>
      <c r="J91" s="11"/>
      <c r="K91" s="11"/>
      <c r="L91" s="11"/>
      <c r="M91" s="11"/>
      <c r="N91" s="11"/>
      <c r="O91" s="11"/>
      <c r="P91" s="11"/>
      <c r="Q91" s="11"/>
      <c r="R91" s="11"/>
      <c r="S91" s="11"/>
      <c r="T91" s="11"/>
      <c r="U91" s="11"/>
      <c r="V91" s="11"/>
      <c r="W91" s="11"/>
      <c r="X91" s="11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6"/>
      <c r="BA91" s="6"/>
      <c r="BB91" s="6"/>
      <c r="BC91" s="6"/>
      <c r="BD91" s="6"/>
      <c r="BE91" s="6"/>
      <c r="BF91" s="6"/>
      <c r="BG91" s="6"/>
      <c r="BH91" s="6"/>
      <c r="BI91" s="6"/>
      <c r="BJ91" s="6"/>
      <c r="BK91" s="6"/>
      <c r="BL91" s="6"/>
      <c r="BM91" s="6"/>
      <c r="BN91" s="6"/>
      <c r="BO91" s="6"/>
      <c r="BP91" s="6"/>
      <c r="BQ91" s="6"/>
      <c r="BR91" s="6"/>
      <c r="BS91" s="6"/>
      <c r="BT91" s="6"/>
      <c r="BU91" s="6"/>
      <c r="BV91" s="6"/>
      <c r="BW91" s="6"/>
      <c r="BX91" s="6"/>
      <c r="BY91" s="6"/>
      <c r="BZ91" s="6"/>
      <c r="CA91" s="6"/>
      <c r="CB91" s="6"/>
    </row>
    <row r="92" spans="2:80" x14ac:dyDescent="0.25">
      <c r="B92" s="45" t="s">
        <v>16</v>
      </c>
      <c r="C92" s="6"/>
      <c r="D92" s="6"/>
      <c r="E92" s="6"/>
      <c r="F92" s="6"/>
      <c r="G92" s="6"/>
      <c r="H92" s="6"/>
      <c r="I92" s="6"/>
      <c r="J92" s="6"/>
      <c r="K92" s="6"/>
      <c r="L92" s="6"/>
      <c r="M92" s="6"/>
      <c r="N92" s="6"/>
      <c r="O92" s="6"/>
      <c r="P92" s="6"/>
      <c r="Q92" s="6"/>
      <c r="R92" s="6"/>
      <c r="S92" s="6"/>
      <c r="T92" s="6"/>
      <c r="U92" s="6"/>
      <c r="V92" s="6"/>
      <c r="W92" s="6"/>
      <c r="X92" s="6"/>
      <c r="Z92" s="6"/>
      <c r="AA92" s="6"/>
      <c r="AB92" s="6"/>
      <c r="AC92" s="6"/>
      <c r="AD92" s="6"/>
      <c r="AE92" s="6"/>
      <c r="AF92" s="6"/>
      <c r="AG92" s="6"/>
      <c r="AH92" s="6"/>
      <c r="AI92" s="6"/>
      <c r="AJ92" s="6"/>
      <c r="AK92" s="6"/>
      <c r="AL92" s="6"/>
      <c r="AM92" s="6"/>
      <c r="AN92" s="6"/>
      <c r="AO92" s="6"/>
      <c r="AP92" s="6"/>
      <c r="AQ92" s="6"/>
      <c r="AR92" s="6"/>
      <c r="AS92" s="6"/>
      <c r="AT92" s="6"/>
      <c r="AU92" s="6"/>
      <c r="AV92" s="6"/>
      <c r="AW92" s="6"/>
      <c r="AX92" s="6"/>
      <c r="AY92" s="6"/>
      <c r="AZ92" s="6"/>
      <c r="BA92" s="6"/>
      <c r="BB92" s="6"/>
      <c r="BC92" s="6"/>
      <c r="BD92" s="6"/>
      <c r="BE92" s="6"/>
      <c r="BF92" s="6"/>
      <c r="BG92" s="6"/>
      <c r="BH92" s="6"/>
      <c r="BI92" s="6"/>
      <c r="BJ92" s="6"/>
      <c r="BK92" s="6"/>
      <c r="BL92" s="6"/>
      <c r="BM92" s="6"/>
      <c r="BN92" s="6"/>
      <c r="BO92" s="6"/>
      <c r="BP92" s="6"/>
      <c r="BQ92" s="6"/>
      <c r="BR92" s="6"/>
      <c r="BS92" s="6"/>
      <c r="BT92" s="6"/>
      <c r="BU92" s="6"/>
      <c r="BV92" s="6"/>
      <c r="BW92" s="6"/>
      <c r="BX92" s="6"/>
      <c r="BY92" s="6"/>
      <c r="BZ92" s="6"/>
      <c r="CA92" s="6"/>
      <c r="CB92" s="6"/>
    </row>
    <row r="93" spans="2:80" x14ac:dyDescent="0.25">
      <c r="B93" s="6">
        <v>1</v>
      </c>
      <c r="C93" s="6" t="str">
        <f t="shared" ref="C93:C99" si="88">VLOOKUP(AY93,$B$4:$F$17,2,FALSE)</f>
        <v>K</v>
      </c>
      <c r="D93" s="46" t="s">
        <v>5</v>
      </c>
      <c r="E93" s="90" t="str">
        <f t="shared" ref="E93:E99" si="89">VLOOKUP(AZ93,$B$4:$F$17,2,FALSE)</f>
        <v>O</v>
      </c>
      <c r="F93" s="90"/>
      <c r="G93" s="90"/>
      <c r="H93" s="90"/>
      <c r="I93" s="6"/>
      <c r="J93" s="90" t="str">
        <f>IF(X93="","",VLOOKUP(X93,Configuratie!$B$2:$E$11,3,FALSE))</f>
        <v/>
      </c>
      <c r="K93" s="90"/>
      <c r="L93" s="6" t="s">
        <v>5</v>
      </c>
      <c r="M93" s="90" t="str">
        <f>IF(X93="","",VLOOKUP(X93,Configuratie!$B$2:$E$11,4,FALSE))</f>
        <v/>
      </c>
      <c r="N93" s="90"/>
      <c r="O93" s="6"/>
      <c r="P93" s="6"/>
      <c r="Q93" s="6"/>
      <c r="R93" s="6"/>
      <c r="S93" s="6"/>
      <c r="T93" s="6"/>
      <c r="U93" s="6"/>
      <c r="V93" s="6" t="str">
        <f>IF(X93="","",VLOOKUP(X93,Configuratie!$B$2:$E$11,2,FALSE))</f>
        <v/>
      </c>
      <c r="W93" s="61"/>
      <c r="X93" s="5"/>
      <c r="Z93" s="6"/>
      <c r="AA93" s="6"/>
      <c r="AB93" s="6"/>
      <c r="AC93" s="6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6"/>
      <c r="AR93" s="6"/>
      <c r="AS93" s="6"/>
      <c r="AT93" s="6"/>
      <c r="AU93" s="6"/>
      <c r="AV93" s="6"/>
      <c r="AW93" s="6"/>
      <c r="AX93" s="6">
        <v>9</v>
      </c>
      <c r="AY93" s="6">
        <v>10</v>
      </c>
      <c r="AZ93" s="6">
        <v>14</v>
      </c>
      <c r="BA93" s="6" t="str">
        <f>IF(AND(ISNUMBER(J93),ISNUMBER(M93)),IF(J93+M93=1,1,0),"")</f>
        <v/>
      </c>
      <c r="BB93" s="6"/>
      <c r="BC93" s="48">
        <f t="shared" ref="BC93:BC99" si="90">AY93*100+AZ93</f>
        <v>1014</v>
      </c>
      <c r="BD93" s="48">
        <f>AZ93*100+AY93</f>
        <v>1410</v>
      </c>
      <c r="BE93" s="6"/>
      <c r="BF93" s="6"/>
      <c r="BG93" s="6"/>
      <c r="BH93" s="6"/>
      <c r="BI93" s="6"/>
      <c r="BJ93" s="6"/>
      <c r="BK93" s="6"/>
      <c r="BL93" s="6"/>
      <c r="BM93" s="6"/>
      <c r="BN93" s="6"/>
      <c r="BO93" s="6"/>
      <c r="BP93" s="6"/>
      <c r="BQ93" s="6"/>
      <c r="BR93" s="6"/>
      <c r="BS93" s="6"/>
      <c r="BT93" s="6"/>
      <c r="BU93" s="6"/>
      <c r="BV93" s="6"/>
      <c r="BW93" s="6"/>
      <c r="BX93" s="6"/>
      <c r="BY93" s="6"/>
      <c r="BZ93" s="6"/>
      <c r="CA93" s="6"/>
      <c r="CB93" s="6"/>
    </row>
    <row r="94" spans="2:80" x14ac:dyDescent="0.25">
      <c r="B94" s="6">
        <v>2</v>
      </c>
      <c r="C94" s="6" t="str">
        <f t="shared" si="88"/>
        <v>L</v>
      </c>
      <c r="D94" s="46" t="s">
        <v>5</v>
      </c>
      <c r="E94" s="90" t="str">
        <f t="shared" si="89"/>
        <v>J</v>
      </c>
      <c r="F94" s="90"/>
      <c r="G94" s="90"/>
      <c r="H94" s="90"/>
      <c r="I94" s="6"/>
      <c r="J94" s="90" t="str">
        <f>IF(X94="","",VLOOKUP(X94,Configuratie!$B$2:$E$11,3,FALSE))</f>
        <v/>
      </c>
      <c r="K94" s="90"/>
      <c r="L94" s="6" t="s">
        <v>5</v>
      </c>
      <c r="M94" s="90" t="str">
        <f>IF(X94="","",VLOOKUP(X94,Configuratie!$B$2:$E$11,4,FALSE))</f>
        <v/>
      </c>
      <c r="N94" s="90"/>
      <c r="O94" s="6"/>
      <c r="P94" s="6"/>
      <c r="Q94" s="6"/>
      <c r="R94" s="6"/>
      <c r="S94" s="6"/>
      <c r="T94" s="6"/>
      <c r="U94" s="6"/>
      <c r="V94" s="6" t="str">
        <f>IF(X94="","",VLOOKUP(X94,Configuratie!$B$2:$E$11,2,FALSE))</f>
        <v/>
      </c>
      <c r="W94" s="61"/>
      <c r="X94" s="5"/>
      <c r="Z94" s="6"/>
      <c r="AA94" s="6"/>
      <c r="AB94" s="6"/>
      <c r="AC94" s="6"/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6"/>
      <c r="AR94" s="6"/>
      <c r="AS94" s="6"/>
      <c r="AT94" s="6"/>
      <c r="AU94" s="6"/>
      <c r="AV94" s="6"/>
      <c r="AW94" s="6"/>
      <c r="AX94" s="6">
        <v>9</v>
      </c>
      <c r="AY94" s="6">
        <v>11</v>
      </c>
      <c r="AZ94" s="6">
        <v>9</v>
      </c>
      <c r="BA94" s="6" t="str">
        <f t="shared" ref="BA94:BA99" si="91">IF(AND(ISNUMBER(J94),ISNUMBER(M94)),IF(J94+M94=1,1,0),"")</f>
        <v/>
      </c>
      <c r="BB94" s="6"/>
      <c r="BC94" s="48">
        <f t="shared" si="90"/>
        <v>1109</v>
      </c>
      <c r="BD94" s="48">
        <f t="shared" ref="BD94:BD98" si="92">AZ94*100+AY94</f>
        <v>911</v>
      </c>
      <c r="BE94" s="6"/>
      <c r="BF94" s="6"/>
      <c r="BG94" s="6"/>
      <c r="BH94" s="6"/>
      <c r="BI94" s="6"/>
      <c r="BJ94" s="6"/>
      <c r="BK94" s="6"/>
      <c r="BL94" s="6"/>
      <c r="BM94" s="6"/>
      <c r="BN94" s="6"/>
      <c r="BO94" s="6"/>
      <c r="BP94" s="6"/>
      <c r="BQ94" s="6"/>
      <c r="BR94" s="6"/>
      <c r="BS94" s="6"/>
      <c r="BT94" s="6"/>
      <c r="BU94" s="6"/>
      <c r="BV94" s="6"/>
      <c r="BW94" s="6"/>
      <c r="BX94" s="6"/>
      <c r="BY94" s="6"/>
      <c r="BZ94" s="6"/>
      <c r="CA94" s="6"/>
      <c r="CB94" s="6"/>
    </row>
    <row r="95" spans="2:80" x14ac:dyDescent="0.25">
      <c r="B95" s="6">
        <v>3</v>
      </c>
      <c r="C95" s="6" t="str">
        <f t="shared" si="88"/>
        <v>M</v>
      </c>
      <c r="D95" s="46" t="s">
        <v>5</v>
      </c>
      <c r="E95" s="90" t="str">
        <f t="shared" si="89"/>
        <v>I</v>
      </c>
      <c r="F95" s="90"/>
      <c r="G95" s="90"/>
      <c r="H95" s="90"/>
      <c r="I95" s="6"/>
      <c r="J95" s="90" t="str">
        <f>IF(X95="","",VLOOKUP(X95,Configuratie!$B$2:$E$11,3,FALSE))</f>
        <v/>
      </c>
      <c r="K95" s="90"/>
      <c r="L95" s="6" t="s">
        <v>5</v>
      </c>
      <c r="M95" s="90" t="str">
        <f>IF(X95="","",VLOOKUP(X95,Configuratie!$B$2:$E$11,4,FALSE))</f>
        <v/>
      </c>
      <c r="N95" s="90"/>
      <c r="O95" s="6"/>
      <c r="P95" s="6"/>
      <c r="Q95" s="6"/>
      <c r="R95" s="6"/>
      <c r="S95" s="6"/>
      <c r="T95" s="6"/>
      <c r="U95" s="6"/>
      <c r="V95" s="6" t="str">
        <f>IF(X95="","",VLOOKUP(X95,Configuratie!$B$2:$E$11,2,FALSE))</f>
        <v/>
      </c>
      <c r="W95" s="61"/>
      <c r="X95" s="5"/>
      <c r="Z95" s="6"/>
      <c r="AA95" s="6"/>
      <c r="AB95" s="6"/>
      <c r="AC95" s="6"/>
      <c r="AD95" s="6"/>
      <c r="AE95" s="6"/>
      <c r="AF95" s="6"/>
      <c r="AG95" s="6"/>
      <c r="AH95" s="6"/>
      <c r="AI95" s="6"/>
      <c r="AJ95" s="6"/>
      <c r="AK95" s="6"/>
      <c r="AL95" s="6"/>
      <c r="AM95" s="6"/>
      <c r="AN95" s="6"/>
      <c r="AO95" s="6"/>
      <c r="AP95" s="6"/>
      <c r="AQ95" s="6"/>
      <c r="AR95" s="6"/>
      <c r="AS95" s="6"/>
      <c r="AT95" s="6"/>
      <c r="AU95" s="6"/>
      <c r="AV95" s="6"/>
      <c r="AW95" s="6"/>
      <c r="AX95" s="6">
        <v>9</v>
      </c>
      <c r="AY95" s="6">
        <v>12</v>
      </c>
      <c r="AZ95" s="6">
        <v>8</v>
      </c>
      <c r="BA95" s="6" t="str">
        <f t="shared" si="91"/>
        <v/>
      </c>
      <c r="BB95" s="6"/>
      <c r="BC95" s="48">
        <f t="shared" si="90"/>
        <v>1208</v>
      </c>
      <c r="BD95" s="48">
        <f t="shared" si="92"/>
        <v>812</v>
      </c>
      <c r="BE95" s="6"/>
      <c r="BF95" s="6"/>
      <c r="BG95" s="6"/>
      <c r="BH95" s="6"/>
      <c r="BI95" s="6"/>
      <c r="BJ95" s="6"/>
      <c r="BK95" s="6"/>
      <c r="BL95" s="6"/>
      <c r="BM95" s="6"/>
      <c r="BN95" s="6"/>
      <c r="BO95" s="6"/>
      <c r="BP95" s="6"/>
      <c r="BQ95" s="6"/>
      <c r="BR95" s="6"/>
      <c r="BS95" s="6"/>
      <c r="BT95" s="6"/>
      <c r="BU95" s="6"/>
      <c r="BV95" s="6"/>
      <c r="BW95" s="6"/>
      <c r="BX95" s="6"/>
      <c r="BY95" s="6"/>
      <c r="BZ95" s="6"/>
      <c r="CA95" s="6"/>
      <c r="CB95" s="6"/>
    </row>
    <row r="96" spans="2:80" x14ac:dyDescent="0.25">
      <c r="B96" s="6">
        <v>4</v>
      </c>
      <c r="C96" s="6" t="str">
        <f t="shared" si="88"/>
        <v>N</v>
      </c>
      <c r="D96" s="46" t="s">
        <v>5</v>
      </c>
      <c r="E96" s="90" t="str">
        <f t="shared" si="89"/>
        <v>H</v>
      </c>
      <c r="F96" s="90"/>
      <c r="G96" s="90"/>
      <c r="H96" s="90"/>
      <c r="I96" s="6"/>
      <c r="J96" s="90" t="str">
        <f>IF(X96="","",VLOOKUP(X96,Configuratie!$B$2:$E$11,3,FALSE))</f>
        <v/>
      </c>
      <c r="K96" s="90"/>
      <c r="L96" s="6" t="s">
        <v>5</v>
      </c>
      <c r="M96" s="90" t="str">
        <f>IF(X96="","",VLOOKUP(X96,Configuratie!$B$2:$E$11,4,FALSE))</f>
        <v/>
      </c>
      <c r="N96" s="90"/>
      <c r="O96" s="6"/>
      <c r="P96" s="6"/>
      <c r="Q96" s="6"/>
      <c r="R96" s="6"/>
      <c r="S96" s="6"/>
      <c r="T96" s="6"/>
      <c r="U96" s="6"/>
      <c r="V96" s="6" t="str">
        <f>IF(X96="","",VLOOKUP(X96,Configuratie!$B$2:$E$11,2,FALSE))</f>
        <v/>
      </c>
      <c r="W96" s="61"/>
      <c r="X96" s="5"/>
      <c r="Z96" s="6"/>
      <c r="AA96" s="6"/>
      <c r="AB96" s="6"/>
      <c r="AC96" s="6"/>
      <c r="AD96" s="6"/>
      <c r="AE96" s="6"/>
      <c r="AF96" s="6"/>
      <c r="AG96" s="6"/>
      <c r="AH96" s="6"/>
      <c r="AI96" s="6"/>
      <c r="AJ96" s="6"/>
      <c r="AK96" s="6"/>
      <c r="AL96" s="6"/>
      <c r="AM96" s="6"/>
      <c r="AN96" s="6"/>
      <c r="AO96" s="6"/>
      <c r="AP96" s="6"/>
      <c r="AQ96" s="6"/>
      <c r="AR96" s="6"/>
      <c r="AS96" s="6"/>
      <c r="AT96" s="6"/>
      <c r="AU96" s="6"/>
      <c r="AV96" s="6"/>
      <c r="AW96" s="6"/>
      <c r="AX96" s="6">
        <v>9</v>
      </c>
      <c r="AY96" s="6">
        <v>13</v>
      </c>
      <c r="AZ96" s="6">
        <v>7</v>
      </c>
      <c r="BA96" s="6" t="str">
        <f t="shared" si="91"/>
        <v/>
      </c>
      <c r="BB96" s="6"/>
      <c r="BC96" s="48">
        <f t="shared" si="90"/>
        <v>1307</v>
      </c>
      <c r="BD96" s="48">
        <f t="shared" si="92"/>
        <v>713</v>
      </c>
      <c r="BE96" s="6"/>
      <c r="BF96" s="6"/>
      <c r="BG96" s="6"/>
      <c r="BH96" s="6"/>
      <c r="BI96" s="6"/>
      <c r="BJ96" s="6"/>
      <c r="BK96" s="6"/>
      <c r="BL96" s="6"/>
      <c r="BM96" s="6"/>
      <c r="BN96" s="6"/>
      <c r="BO96" s="6"/>
      <c r="BP96" s="6"/>
      <c r="BQ96" s="6"/>
      <c r="BR96" s="6"/>
      <c r="BS96" s="6"/>
      <c r="BT96" s="6"/>
      <c r="BU96" s="6"/>
      <c r="BV96" s="6"/>
      <c r="BW96" s="6"/>
      <c r="BX96" s="6"/>
      <c r="BY96" s="6"/>
      <c r="BZ96" s="6"/>
      <c r="CA96" s="6"/>
      <c r="CB96" s="6"/>
    </row>
    <row r="97" spans="2:80" x14ac:dyDescent="0.25">
      <c r="B97" s="6">
        <v>5</v>
      </c>
      <c r="C97" s="6" t="str">
        <f t="shared" si="88"/>
        <v>A</v>
      </c>
      <c r="D97" s="46" t="s">
        <v>5</v>
      </c>
      <c r="E97" s="90" t="str">
        <f t="shared" si="89"/>
        <v>G</v>
      </c>
      <c r="F97" s="90"/>
      <c r="G97" s="90"/>
      <c r="H97" s="90"/>
      <c r="I97" s="6"/>
      <c r="J97" s="90" t="str">
        <f>IF(X97="","",VLOOKUP(X97,Configuratie!$B$2:$E$11,3,FALSE))</f>
        <v/>
      </c>
      <c r="K97" s="90"/>
      <c r="L97" s="6" t="s">
        <v>5</v>
      </c>
      <c r="M97" s="90" t="str">
        <f>IF(X97="","",VLOOKUP(X97,Configuratie!$B$2:$E$11,4,FALSE))</f>
        <v/>
      </c>
      <c r="N97" s="90"/>
      <c r="O97" s="6"/>
      <c r="P97" s="6"/>
      <c r="Q97" s="6"/>
      <c r="R97" s="6"/>
      <c r="S97" s="6"/>
      <c r="T97" s="6"/>
      <c r="U97" s="6"/>
      <c r="V97" s="6" t="str">
        <f>IF(X97="","",VLOOKUP(X97,Configuratie!$B$2:$E$11,2,FALSE))</f>
        <v/>
      </c>
      <c r="W97" s="61"/>
      <c r="X97" s="5"/>
      <c r="Z97" s="6"/>
      <c r="AA97" s="6"/>
      <c r="AB97" s="6"/>
      <c r="AC97" s="6"/>
      <c r="AD97" s="6"/>
      <c r="AE97" s="6"/>
      <c r="AF97" s="6"/>
      <c r="AG97" s="6"/>
      <c r="AH97" s="6"/>
      <c r="AI97" s="6"/>
      <c r="AJ97" s="6"/>
      <c r="AK97" s="6"/>
      <c r="AL97" s="6"/>
      <c r="AM97" s="6"/>
      <c r="AN97" s="6"/>
      <c r="AO97" s="6"/>
      <c r="AP97" s="6"/>
      <c r="AQ97" s="6"/>
      <c r="AR97" s="6"/>
      <c r="AS97" s="6"/>
      <c r="AT97" s="6"/>
      <c r="AU97" s="6"/>
      <c r="AV97" s="6"/>
      <c r="AW97" s="6"/>
      <c r="AX97" s="6">
        <v>9</v>
      </c>
      <c r="AY97" s="6">
        <v>1</v>
      </c>
      <c r="AZ97" s="6">
        <v>6</v>
      </c>
      <c r="BA97" s="6" t="str">
        <f t="shared" si="91"/>
        <v/>
      </c>
      <c r="BB97" s="6"/>
      <c r="BC97" s="48">
        <f t="shared" si="90"/>
        <v>106</v>
      </c>
      <c r="BD97" s="48">
        <f>AZ97*100+AY97</f>
        <v>601</v>
      </c>
      <c r="BE97" s="6"/>
      <c r="BF97" s="6"/>
      <c r="BG97" s="6"/>
      <c r="BH97" s="6"/>
      <c r="BI97" s="6"/>
      <c r="BJ97" s="6"/>
      <c r="BK97" s="6"/>
      <c r="BL97" s="6"/>
      <c r="BM97" s="6"/>
      <c r="BN97" s="6"/>
      <c r="BO97" s="6"/>
      <c r="BP97" s="6"/>
      <c r="BQ97" s="6"/>
      <c r="BR97" s="6"/>
      <c r="BS97" s="6"/>
      <c r="BT97" s="6"/>
      <c r="BU97" s="6"/>
      <c r="BV97" s="6"/>
      <c r="BW97" s="6"/>
      <c r="BX97" s="6"/>
      <c r="BY97" s="6"/>
      <c r="BZ97" s="6"/>
      <c r="CA97" s="6"/>
      <c r="CB97" s="6"/>
    </row>
    <row r="98" spans="2:80" x14ac:dyDescent="0.25">
      <c r="B98" s="6">
        <v>6</v>
      </c>
      <c r="C98" s="6" t="str">
        <f t="shared" si="88"/>
        <v>B</v>
      </c>
      <c r="D98" s="46" t="s">
        <v>5</v>
      </c>
      <c r="E98" s="90" t="str">
        <f t="shared" si="89"/>
        <v>E</v>
      </c>
      <c r="F98" s="90"/>
      <c r="G98" s="90"/>
      <c r="H98" s="90"/>
      <c r="I98" s="6"/>
      <c r="J98" s="90" t="str">
        <f>IF(X98="","",VLOOKUP(X98,Configuratie!$B$2:$E$11,3,FALSE))</f>
        <v/>
      </c>
      <c r="K98" s="90"/>
      <c r="L98" s="6" t="s">
        <v>5</v>
      </c>
      <c r="M98" s="90" t="str">
        <f>IF(X98="","",VLOOKUP(X98,Configuratie!$B$2:$E$11,4,FALSE))</f>
        <v/>
      </c>
      <c r="N98" s="90"/>
      <c r="O98" s="6"/>
      <c r="P98" s="6"/>
      <c r="Q98" s="6"/>
      <c r="R98" s="6"/>
      <c r="S98" s="6"/>
      <c r="T98" s="6"/>
      <c r="U98" s="6"/>
      <c r="V98" s="6" t="str">
        <f>IF(X98="","",VLOOKUP(X98,Configuratie!$B$2:$E$11,2,FALSE))</f>
        <v/>
      </c>
      <c r="W98" s="61"/>
      <c r="X98" s="5"/>
      <c r="Z98" s="6"/>
      <c r="AA98" s="6"/>
      <c r="AB98" s="6"/>
      <c r="AC98" s="6"/>
      <c r="AD98" s="6"/>
      <c r="AE98" s="6"/>
      <c r="AF98" s="6"/>
      <c r="AG98" s="6"/>
      <c r="AH98" s="6"/>
      <c r="AI98" s="6"/>
      <c r="AJ98" s="6"/>
      <c r="AK98" s="6"/>
      <c r="AL98" s="6"/>
      <c r="AM98" s="6"/>
      <c r="AN98" s="6"/>
      <c r="AO98" s="6"/>
      <c r="AP98" s="6"/>
      <c r="AQ98" s="6"/>
      <c r="AR98" s="6"/>
      <c r="AS98" s="6"/>
      <c r="AT98" s="6"/>
      <c r="AU98" s="6"/>
      <c r="AV98" s="6"/>
      <c r="AW98" s="6"/>
      <c r="AX98" s="6">
        <v>9</v>
      </c>
      <c r="AY98" s="6">
        <v>2</v>
      </c>
      <c r="AZ98" s="6">
        <v>5</v>
      </c>
      <c r="BA98" s="6" t="str">
        <f t="shared" si="91"/>
        <v/>
      </c>
      <c r="BB98" s="6"/>
      <c r="BC98" s="48">
        <f t="shared" si="90"/>
        <v>205</v>
      </c>
      <c r="BD98" s="48">
        <f t="shared" si="92"/>
        <v>502</v>
      </c>
      <c r="BE98" s="6"/>
      <c r="BF98" s="6"/>
      <c r="BG98" s="6"/>
      <c r="BH98" s="6"/>
      <c r="BI98" s="6"/>
      <c r="BJ98" s="6"/>
      <c r="BK98" s="6"/>
      <c r="BL98" s="6"/>
      <c r="BM98" s="6"/>
      <c r="BN98" s="6"/>
      <c r="BO98" s="6"/>
      <c r="BP98" s="6"/>
      <c r="BQ98" s="6"/>
      <c r="BR98" s="6"/>
      <c r="BS98" s="6"/>
      <c r="BT98" s="6"/>
      <c r="BU98" s="6"/>
      <c r="BV98" s="6"/>
      <c r="BW98" s="6"/>
      <c r="BX98" s="6"/>
      <c r="BY98" s="6"/>
      <c r="BZ98" s="6"/>
      <c r="CA98" s="6"/>
      <c r="CB98" s="6"/>
    </row>
    <row r="99" spans="2:80" x14ac:dyDescent="0.25">
      <c r="B99" s="6">
        <v>7</v>
      </c>
      <c r="C99" s="6" t="str">
        <f t="shared" si="88"/>
        <v>C</v>
      </c>
      <c r="D99" s="46" t="s">
        <v>5</v>
      </c>
      <c r="E99" s="90" t="str">
        <f t="shared" si="89"/>
        <v>D</v>
      </c>
      <c r="F99" s="90"/>
      <c r="G99" s="90"/>
      <c r="H99" s="90"/>
      <c r="I99" s="6"/>
      <c r="J99" s="90" t="str">
        <f>IF(X99="","",VLOOKUP(X99,Configuratie!$B$2:$E$11,3,FALSE))</f>
        <v/>
      </c>
      <c r="K99" s="90"/>
      <c r="L99" s="6" t="s">
        <v>5</v>
      </c>
      <c r="M99" s="90" t="str">
        <f>IF(X99="","",VLOOKUP(X99,Configuratie!$B$2:$E$11,4,FALSE))</f>
        <v/>
      </c>
      <c r="N99" s="90"/>
      <c r="O99" s="6"/>
      <c r="P99" s="6"/>
      <c r="Q99" s="6"/>
      <c r="R99" s="6"/>
      <c r="S99" s="6"/>
      <c r="T99" s="6"/>
      <c r="U99" s="6"/>
      <c r="V99" s="6" t="str">
        <f>IF(X99="","",VLOOKUP(X99,Configuratie!$B$2:$E$11,2,FALSE))</f>
        <v/>
      </c>
      <c r="W99" s="61"/>
      <c r="X99" s="5"/>
      <c r="Z99" s="6"/>
      <c r="AA99" s="6"/>
      <c r="AB99" s="6"/>
      <c r="AC99" s="6"/>
      <c r="AD99" s="6"/>
      <c r="AE99" s="6"/>
      <c r="AF99" s="6"/>
      <c r="AG99" s="6"/>
      <c r="AH99" s="6"/>
      <c r="AI99" s="6"/>
      <c r="AJ99" s="6"/>
      <c r="AK99" s="6"/>
      <c r="AL99" s="6"/>
      <c r="AM99" s="6"/>
      <c r="AN99" s="6"/>
      <c r="AO99" s="6"/>
      <c r="AP99" s="6"/>
      <c r="AQ99" s="6"/>
      <c r="AR99" s="6"/>
      <c r="AS99" s="6"/>
      <c r="AT99" s="6"/>
      <c r="AU99" s="6"/>
      <c r="AV99" s="6"/>
      <c r="AW99" s="6"/>
      <c r="AX99" s="6">
        <v>9</v>
      </c>
      <c r="AY99" s="6">
        <v>3</v>
      </c>
      <c r="AZ99" s="6">
        <v>4</v>
      </c>
      <c r="BA99" s="6" t="str">
        <f t="shared" si="91"/>
        <v/>
      </c>
      <c r="BB99" s="6"/>
      <c r="BC99" s="48">
        <f t="shared" si="90"/>
        <v>304</v>
      </c>
      <c r="BD99" s="48">
        <f>AZ99*100+AY99</f>
        <v>403</v>
      </c>
      <c r="BE99" s="6"/>
      <c r="BF99" s="6"/>
      <c r="BG99" s="6"/>
      <c r="BH99" s="6"/>
      <c r="BI99" s="6"/>
      <c r="BJ99" s="6"/>
      <c r="BK99" s="6"/>
      <c r="BL99" s="6"/>
      <c r="BM99" s="6"/>
      <c r="BN99" s="6"/>
      <c r="BO99" s="6"/>
      <c r="BP99" s="6"/>
      <c r="BQ99" s="6"/>
      <c r="BR99" s="6"/>
      <c r="BS99" s="6"/>
      <c r="BT99" s="6"/>
      <c r="BU99" s="6"/>
      <c r="BV99" s="6"/>
      <c r="BW99" s="6"/>
      <c r="BX99" s="6"/>
      <c r="BY99" s="6"/>
      <c r="BZ99" s="6"/>
      <c r="CA99" s="6"/>
      <c r="CB99" s="6"/>
    </row>
    <row r="100" spans="2:80" x14ac:dyDescent="0.25">
      <c r="B100" s="11"/>
      <c r="C100" s="11"/>
      <c r="D100" s="11"/>
      <c r="E100" s="11"/>
      <c r="F100" s="11"/>
      <c r="G100" s="11"/>
      <c r="H100" s="11"/>
      <c r="I100" s="11"/>
      <c r="J100" s="11"/>
      <c r="K100" s="11"/>
      <c r="L100" s="11"/>
      <c r="M100" s="11"/>
      <c r="N100" s="11"/>
      <c r="O100" s="11"/>
      <c r="P100" s="11"/>
      <c r="Q100" s="11"/>
      <c r="R100" s="11"/>
      <c r="S100" s="11"/>
      <c r="T100" s="11"/>
      <c r="U100" s="11"/>
      <c r="V100" s="11"/>
      <c r="W100" s="11"/>
      <c r="X100" s="11"/>
      <c r="Z100" s="6"/>
      <c r="AA100" s="6"/>
      <c r="AB100" s="6"/>
      <c r="AC100" s="6"/>
      <c r="AD100" s="6"/>
      <c r="AE100" s="6"/>
      <c r="AF100" s="6"/>
      <c r="AG100" s="6"/>
      <c r="AH100" s="6"/>
      <c r="AI100" s="6"/>
      <c r="AJ100" s="6"/>
      <c r="AK100" s="6"/>
      <c r="AL100" s="6"/>
      <c r="AM100" s="6"/>
      <c r="AN100" s="6"/>
      <c r="AO100" s="6"/>
      <c r="AP100" s="6"/>
      <c r="AQ100" s="6"/>
      <c r="AR100" s="6"/>
      <c r="AS100" s="6"/>
      <c r="AT100" s="6"/>
      <c r="AU100" s="6"/>
      <c r="AV100" s="6"/>
      <c r="AW100" s="6"/>
      <c r="AX100" s="6"/>
      <c r="AY100" s="6"/>
      <c r="AZ100" s="6"/>
      <c r="BA100" s="6"/>
      <c r="BB100" s="6"/>
      <c r="BC100" s="6"/>
      <c r="BD100" s="6"/>
      <c r="BE100" s="6"/>
      <c r="BF100" s="6"/>
      <c r="BG100" s="6"/>
      <c r="BH100" s="6"/>
      <c r="BI100" s="6"/>
      <c r="BJ100" s="6"/>
      <c r="BK100" s="6"/>
      <c r="BL100" s="6"/>
      <c r="BM100" s="6"/>
      <c r="BN100" s="6"/>
      <c r="BO100" s="6"/>
      <c r="BP100" s="6"/>
      <c r="BQ100" s="6"/>
      <c r="BR100" s="6"/>
      <c r="BS100" s="6"/>
      <c r="BT100" s="6"/>
      <c r="BU100" s="6"/>
      <c r="BV100" s="6"/>
      <c r="BW100" s="6"/>
      <c r="BX100" s="6"/>
      <c r="BY100" s="6"/>
      <c r="BZ100" s="6"/>
      <c r="CA100" s="6"/>
      <c r="CB100" s="6"/>
    </row>
    <row r="101" spans="2:80" x14ac:dyDescent="0.25">
      <c r="B101" s="45" t="s">
        <v>80</v>
      </c>
      <c r="C101" s="6"/>
      <c r="D101" s="6"/>
      <c r="E101" s="6"/>
      <c r="F101" s="6"/>
      <c r="G101" s="6"/>
      <c r="H101" s="6"/>
      <c r="I101" s="6"/>
      <c r="J101" s="6"/>
      <c r="K101" s="6"/>
      <c r="L101" s="6"/>
      <c r="M101" s="6"/>
      <c r="N101" s="6"/>
      <c r="O101" s="6"/>
      <c r="P101" s="6"/>
      <c r="Q101" s="6"/>
      <c r="R101" s="6"/>
      <c r="S101" s="6"/>
      <c r="T101" s="6"/>
      <c r="U101" s="6"/>
      <c r="V101" s="6"/>
      <c r="W101" s="6"/>
      <c r="X101" s="6"/>
      <c r="Z101" s="6"/>
      <c r="AA101" s="6"/>
      <c r="AB101" s="6"/>
      <c r="AC101" s="6"/>
      <c r="AD101" s="6"/>
      <c r="AE101" s="6"/>
      <c r="AF101" s="6"/>
      <c r="AG101" s="6"/>
      <c r="AH101" s="6"/>
      <c r="AI101" s="6"/>
      <c r="AJ101" s="6"/>
      <c r="AK101" s="6"/>
      <c r="AL101" s="6"/>
      <c r="AM101" s="6"/>
      <c r="AN101" s="6"/>
      <c r="AO101" s="6"/>
      <c r="AP101" s="6"/>
      <c r="AQ101" s="6"/>
      <c r="AR101" s="6"/>
      <c r="AS101" s="6"/>
      <c r="AT101" s="6"/>
      <c r="AU101" s="6"/>
      <c r="AV101" s="6"/>
      <c r="AW101" s="6"/>
      <c r="AX101" s="6"/>
      <c r="AY101" s="6"/>
      <c r="AZ101" s="6"/>
      <c r="BA101" s="6"/>
      <c r="BB101" s="6"/>
      <c r="BC101" s="6"/>
      <c r="BD101" s="6"/>
      <c r="BE101" s="6"/>
      <c r="BF101" s="6"/>
      <c r="BG101" s="6"/>
      <c r="BH101" s="6"/>
      <c r="BI101" s="6"/>
      <c r="BJ101" s="6"/>
      <c r="BK101" s="6"/>
      <c r="BL101" s="6"/>
      <c r="BM101" s="6"/>
      <c r="BN101" s="6"/>
      <c r="BO101" s="6"/>
      <c r="BP101" s="6"/>
      <c r="BQ101" s="6"/>
      <c r="BR101" s="6"/>
      <c r="BS101" s="6"/>
      <c r="BT101" s="6"/>
      <c r="BU101" s="6"/>
      <c r="BV101" s="6"/>
      <c r="BW101" s="6"/>
      <c r="BX101" s="6"/>
      <c r="BY101" s="6"/>
      <c r="BZ101" s="6"/>
      <c r="CA101" s="6"/>
      <c r="CB101" s="6"/>
    </row>
    <row r="102" spans="2:80" x14ac:dyDescent="0.25">
      <c r="B102" s="6">
        <v>1</v>
      </c>
      <c r="C102" s="6" t="str">
        <f t="shared" ref="C102" si="93">VLOOKUP(AY102,$B$4:$F$17,2,FALSE)</f>
        <v>J</v>
      </c>
      <c r="D102" s="46" t="s">
        <v>5</v>
      </c>
      <c r="E102" s="90" t="str">
        <f t="shared" ref="E102:E108" si="94">VLOOKUP(AZ102,$B$4:$F$17,2,FALSE)</f>
        <v>K</v>
      </c>
      <c r="F102" s="90"/>
      <c r="G102" s="90"/>
      <c r="H102" s="90"/>
      <c r="I102" s="6"/>
      <c r="J102" s="90" t="str">
        <f>IF(X102="","",VLOOKUP(X102,Configuratie!$B$2:$E$11,3,FALSE))</f>
        <v/>
      </c>
      <c r="K102" s="90"/>
      <c r="L102" s="6" t="s">
        <v>5</v>
      </c>
      <c r="M102" s="90" t="str">
        <f>IF(X102="","",VLOOKUP(X102,Configuratie!$B$2:$E$11,4,FALSE))</f>
        <v/>
      </c>
      <c r="N102" s="90"/>
      <c r="O102" s="6"/>
      <c r="P102" s="6"/>
      <c r="Q102" s="6"/>
      <c r="R102" s="6"/>
      <c r="S102" s="6"/>
      <c r="T102" s="6"/>
      <c r="U102" s="6"/>
      <c r="V102" s="6" t="str">
        <f>IF(X102="","",VLOOKUP(X102,Configuratie!$B$2:$E$11,2,FALSE))</f>
        <v/>
      </c>
      <c r="W102" s="61"/>
      <c r="X102" s="5"/>
      <c r="Z102" s="6"/>
      <c r="AA102" s="6"/>
      <c r="AB102" s="6"/>
      <c r="AC102" s="6"/>
      <c r="AD102" s="6"/>
      <c r="AE102" s="6"/>
      <c r="AF102" s="6"/>
      <c r="AG102" s="6"/>
      <c r="AH102" s="6"/>
      <c r="AI102" s="6"/>
      <c r="AJ102" s="6"/>
      <c r="AK102" s="6"/>
      <c r="AL102" s="6"/>
      <c r="AM102" s="6"/>
      <c r="AN102" s="6"/>
      <c r="AO102" s="6"/>
      <c r="AP102" s="6"/>
      <c r="AQ102" s="6"/>
      <c r="AR102" s="6"/>
      <c r="AS102" s="6"/>
      <c r="AT102" s="6"/>
      <c r="AU102" s="6"/>
      <c r="AV102" s="6"/>
      <c r="AW102" s="6"/>
      <c r="AX102" s="6">
        <v>10</v>
      </c>
      <c r="AY102" s="6">
        <v>9</v>
      </c>
      <c r="AZ102" s="6">
        <v>10</v>
      </c>
      <c r="BA102" s="6" t="str">
        <f>IF(AND(ISNUMBER(J102),ISNUMBER(M102)),IF(J102+M102=1,1,0),"")</f>
        <v/>
      </c>
      <c r="BB102" s="6"/>
      <c r="BC102" s="48">
        <f t="shared" ref="BC102:BC108" si="95">AY102*100+AZ102</f>
        <v>910</v>
      </c>
      <c r="BD102" s="48">
        <f>AZ102*100+AY102</f>
        <v>1009</v>
      </c>
      <c r="BE102" s="6"/>
      <c r="BF102" s="6"/>
      <c r="BG102" s="6"/>
      <c r="BH102" s="6"/>
      <c r="BI102" s="6"/>
      <c r="BJ102" s="6"/>
      <c r="BK102" s="6"/>
      <c r="BL102" s="6"/>
      <c r="BM102" s="6"/>
      <c r="BN102" s="6"/>
      <c r="BO102" s="6"/>
      <c r="BP102" s="6"/>
      <c r="BQ102" s="6"/>
      <c r="BR102" s="6"/>
      <c r="BS102" s="6"/>
      <c r="BT102" s="6"/>
      <c r="BU102" s="6"/>
      <c r="BV102" s="6"/>
      <c r="BW102" s="6"/>
      <c r="BX102" s="6"/>
      <c r="BY102" s="6"/>
      <c r="BZ102" s="6"/>
      <c r="CA102" s="6"/>
      <c r="CB102" s="6"/>
    </row>
    <row r="103" spans="2:80" x14ac:dyDescent="0.25">
      <c r="B103" s="6">
        <v>2</v>
      </c>
      <c r="C103" s="6" t="str">
        <f t="shared" ref="C103:C108" si="96">VLOOKUP(AY103,$B$4:$F$17,2,FALSE)</f>
        <v>I</v>
      </c>
      <c r="D103" s="46" t="s">
        <v>5</v>
      </c>
      <c r="E103" s="90" t="str">
        <f t="shared" si="94"/>
        <v>L</v>
      </c>
      <c r="F103" s="90"/>
      <c r="G103" s="90"/>
      <c r="H103" s="90"/>
      <c r="I103" s="6"/>
      <c r="J103" s="90" t="str">
        <f>IF(X103="","",VLOOKUP(X103,Configuratie!$B$2:$E$11,3,FALSE))</f>
        <v/>
      </c>
      <c r="K103" s="90"/>
      <c r="L103" s="6" t="s">
        <v>5</v>
      </c>
      <c r="M103" s="90" t="str">
        <f>IF(X103="","",VLOOKUP(X103,Configuratie!$B$2:$E$11,4,FALSE))</f>
        <v/>
      </c>
      <c r="N103" s="90"/>
      <c r="O103" s="6"/>
      <c r="P103" s="6"/>
      <c r="Q103" s="6"/>
      <c r="R103" s="6"/>
      <c r="S103" s="6"/>
      <c r="T103" s="6"/>
      <c r="U103" s="6"/>
      <c r="V103" s="6" t="str">
        <f>IF(X103="","",VLOOKUP(X103,Configuratie!$B$2:$E$11,2,FALSE))</f>
        <v/>
      </c>
      <c r="W103" s="61"/>
      <c r="X103" s="5"/>
      <c r="Z103" s="6"/>
      <c r="AA103" s="6"/>
      <c r="AB103" s="6"/>
      <c r="AC103" s="6"/>
      <c r="AD103" s="6"/>
      <c r="AE103" s="6"/>
      <c r="AF103" s="6"/>
      <c r="AG103" s="6"/>
      <c r="AH103" s="6"/>
      <c r="AI103" s="6"/>
      <c r="AJ103" s="6"/>
      <c r="AK103" s="6"/>
      <c r="AL103" s="6"/>
      <c r="AM103" s="6"/>
      <c r="AN103" s="6"/>
      <c r="AO103" s="6"/>
      <c r="AP103" s="6"/>
      <c r="AQ103" s="6"/>
      <c r="AR103" s="6"/>
      <c r="AS103" s="6"/>
      <c r="AT103" s="6"/>
      <c r="AU103" s="6"/>
      <c r="AV103" s="6"/>
      <c r="AW103" s="6"/>
      <c r="AX103" s="6">
        <v>10</v>
      </c>
      <c r="AY103" s="6">
        <v>8</v>
      </c>
      <c r="AZ103" s="6">
        <v>11</v>
      </c>
      <c r="BA103" s="6" t="str">
        <f t="shared" ref="BA103:BA108" si="97">IF(AND(ISNUMBER(J103),ISNUMBER(M103)),IF(J103+M103=1,1,0),"")</f>
        <v/>
      </c>
      <c r="BB103" s="6"/>
      <c r="BC103" s="48">
        <f t="shared" si="95"/>
        <v>811</v>
      </c>
      <c r="BD103" s="48">
        <f t="shared" ref="BD103:BD107" si="98">AZ103*100+AY103</f>
        <v>1108</v>
      </c>
      <c r="BE103" s="6"/>
      <c r="BF103" s="6"/>
      <c r="BG103" s="6"/>
      <c r="BH103" s="6"/>
      <c r="BI103" s="6"/>
      <c r="BJ103" s="6"/>
      <c r="BK103" s="6"/>
      <c r="BL103" s="6"/>
      <c r="BM103" s="6"/>
      <c r="BN103" s="6"/>
      <c r="BO103" s="6"/>
      <c r="BP103" s="6"/>
      <c r="BQ103" s="6"/>
      <c r="BR103" s="6"/>
      <c r="BS103" s="6"/>
      <c r="BT103" s="6"/>
      <c r="BU103" s="6"/>
      <c r="BV103" s="6"/>
      <c r="BW103" s="6"/>
      <c r="BX103" s="6"/>
      <c r="BY103" s="6"/>
      <c r="BZ103" s="6"/>
      <c r="CA103" s="6"/>
      <c r="CB103" s="6"/>
    </row>
    <row r="104" spans="2:80" x14ac:dyDescent="0.25">
      <c r="B104" s="6">
        <v>3</v>
      </c>
      <c r="C104" s="6" t="str">
        <f t="shared" si="96"/>
        <v>H</v>
      </c>
      <c r="D104" s="46" t="s">
        <v>5</v>
      </c>
      <c r="E104" s="90" t="str">
        <f t="shared" si="94"/>
        <v>M</v>
      </c>
      <c r="F104" s="90"/>
      <c r="G104" s="90"/>
      <c r="H104" s="90"/>
      <c r="I104" s="6"/>
      <c r="J104" s="90" t="str">
        <f>IF(X104="","",VLOOKUP(X104,Configuratie!$B$2:$E$11,3,FALSE))</f>
        <v/>
      </c>
      <c r="K104" s="90"/>
      <c r="L104" s="6" t="s">
        <v>5</v>
      </c>
      <c r="M104" s="90" t="str">
        <f>IF(X104="","",VLOOKUP(X104,Configuratie!$B$2:$E$11,4,FALSE))</f>
        <v/>
      </c>
      <c r="N104" s="90"/>
      <c r="O104" s="6"/>
      <c r="P104" s="6"/>
      <c r="Q104" s="6"/>
      <c r="R104" s="6"/>
      <c r="S104" s="6"/>
      <c r="T104" s="6"/>
      <c r="U104" s="6"/>
      <c r="V104" s="6" t="str">
        <f>IF(X104="","",VLOOKUP(X104,Configuratie!$B$2:$E$11,2,FALSE))</f>
        <v/>
      </c>
      <c r="W104" s="61"/>
      <c r="X104" s="5"/>
      <c r="Z104" s="6"/>
      <c r="AA104" s="6"/>
      <c r="AB104" s="6"/>
      <c r="AC104" s="6"/>
      <c r="AD104" s="6"/>
      <c r="AE104" s="6"/>
      <c r="AF104" s="6"/>
      <c r="AG104" s="6"/>
      <c r="AH104" s="6"/>
      <c r="AI104" s="6"/>
      <c r="AJ104" s="6"/>
      <c r="AK104" s="6"/>
      <c r="AL104" s="6"/>
      <c r="AM104" s="6"/>
      <c r="AN104" s="6"/>
      <c r="AO104" s="6"/>
      <c r="AP104" s="6"/>
      <c r="AQ104" s="6"/>
      <c r="AR104" s="6"/>
      <c r="AS104" s="6"/>
      <c r="AT104" s="6"/>
      <c r="AU104" s="6"/>
      <c r="AV104" s="6"/>
      <c r="AW104" s="6"/>
      <c r="AX104" s="6">
        <v>10</v>
      </c>
      <c r="AY104" s="6">
        <v>7</v>
      </c>
      <c r="AZ104" s="6">
        <v>12</v>
      </c>
      <c r="BA104" s="6" t="str">
        <f t="shared" si="97"/>
        <v/>
      </c>
      <c r="BB104" s="6"/>
      <c r="BC104" s="48">
        <f t="shared" si="95"/>
        <v>712</v>
      </c>
      <c r="BD104" s="48">
        <f t="shared" si="98"/>
        <v>1207</v>
      </c>
      <c r="BE104" s="6"/>
      <c r="BF104" s="6"/>
      <c r="BG104" s="6"/>
      <c r="BH104" s="6"/>
      <c r="BI104" s="6"/>
      <c r="BJ104" s="6"/>
      <c r="BK104" s="6"/>
      <c r="BL104" s="6"/>
      <c r="BM104" s="6"/>
      <c r="BN104" s="6"/>
      <c r="BO104" s="6"/>
      <c r="BP104" s="6"/>
      <c r="BQ104" s="6"/>
      <c r="BR104" s="6"/>
      <c r="BS104" s="6"/>
      <c r="BT104" s="6"/>
      <c r="BU104" s="6"/>
      <c r="BV104" s="6"/>
      <c r="BW104" s="6"/>
      <c r="BX104" s="6"/>
      <c r="BY104" s="6"/>
      <c r="BZ104" s="6"/>
      <c r="CA104" s="6"/>
      <c r="CB104" s="6"/>
    </row>
    <row r="105" spans="2:80" x14ac:dyDescent="0.25">
      <c r="B105" s="6">
        <v>4</v>
      </c>
      <c r="C105" s="6" t="str">
        <f t="shared" si="96"/>
        <v>G</v>
      </c>
      <c r="D105" s="46" t="s">
        <v>5</v>
      </c>
      <c r="E105" s="90" t="str">
        <f t="shared" si="94"/>
        <v>N</v>
      </c>
      <c r="F105" s="90"/>
      <c r="G105" s="90"/>
      <c r="H105" s="90"/>
      <c r="I105" s="6"/>
      <c r="J105" s="90" t="str">
        <f>IF(X105="","",VLOOKUP(X105,Configuratie!$B$2:$E$11,3,FALSE))</f>
        <v/>
      </c>
      <c r="K105" s="90"/>
      <c r="L105" s="6" t="s">
        <v>5</v>
      </c>
      <c r="M105" s="90" t="str">
        <f>IF(X105="","",VLOOKUP(X105,Configuratie!$B$2:$E$11,4,FALSE))</f>
        <v/>
      </c>
      <c r="N105" s="90"/>
      <c r="O105" s="6"/>
      <c r="P105" s="6"/>
      <c r="Q105" s="6"/>
      <c r="R105" s="6"/>
      <c r="S105" s="6"/>
      <c r="T105" s="6"/>
      <c r="U105" s="6"/>
      <c r="V105" s="6" t="str">
        <f>IF(X105="","",VLOOKUP(X105,Configuratie!$B$2:$E$11,2,FALSE))</f>
        <v/>
      </c>
      <c r="W105" s="61"/>
      <c r="X105" s="5"/>
      <c r="Z105" s="6"/>
      <c r="AA105" s="6"/>
      <c r="AB105" s="6"/>
      <c r="AC105" s="6"/>
      <c r="AD105" s="6"/>
      <c r="AE105" s="6"/>
      <c r="AF105" s="6"/>
      <c r="AG105" s="6"/>
      <c r="AH105" s="6"/>
      <c r="AI105" s="6"/>
      <c r="AJ105" s="6"/>
      <c r="AK105" s="6"/>
      <c r="AL105" s="6"/>
      <c r="AM105" s="6"/>
      <c r="AN105" s="6"/>
      <c r="AO105" s="6"/>
      <c r="AP105" s="6"/>
      <c r="AQ105" s="6"/>
      <c r="AR105" s="6"/>
      <c r="AS105" s="6"/>
      <c r="AT105" s="6"/>
      <c r="AU105" s="6"/>
      <c r="AV105" s="6"/>
      <c r="AW105" s="6"/>
      <c r="AX105" s="6">
        <v>10</v>
      </c>
      <c r="AY105" s="6">
        <v>6</v>
      </c>
      <c r="AZ105" s="6">
        <v>13</v>
      </c>
      <c r="BA105" s="6" t="str">
        <f t="shared" si="97"/>
        <v/>
      </c>
      <c r="BB105" s="6"/>
      <c r="BC105" s="48">
        <f t="shared" si="95"/>
        <v>613</v>
      </c>
      <c r="BD105" s="48">
        <f t="shared" si="98"/>
        <v>1306</v>
      </c>
      <c r="BE105" s="6"/>
      <c r="BF105" s="6"/>
      <c r="BG105" s="6"/>
      <c r="BH105" s="6"/>
      <c r="BI105" s="6"/>
      <c r="BJ105" s="6"/>
      <c r="BK105" s="6"/>
      <c r="BL105" s="6"/>
      <c r="BM105" s="6"/>
      <c r="BN105" s="6"/>
      <c r="BO105" s="6"/>
      <c r="BP105" s="6"/>
      <c r="BQ105" s="6"/>
      <c r="BR105" s="6"/>
      <c r="BS105" s="6"/>
      <c r="BT105" s="6"/>
      <c r="BU105" s="6"/>
      <c r="BV105" s="6"/>
      <c r="BW105" s="6"/>
      <c r="BX105" s="6"/>
      <c r="BY105" s="6"/>
      <c r="BZ105" s="6"/>
      <c r="CA105" s="6"/>
      <c r="CB105" s="6"/>
    </row>
    <row r="106" spans="2:80" x14ac:dyDescent="0.25">
      <c r="B106" s="6">
        <v>5</v>
      </c>
      <c r="C106" s="6" t="str">
        <f t="shared" si="96"/>
        <v>E</v>
      </c>
      <c r="D106" s="46" t="s">
        <v>5</v>
      </c>
      <c r="E106" s="90" t="str">
        <f t="shared" si="94"/>
        <v>A</v>
      </c>
      <c r="F106" s="90"/>
      <c r="G106" s="90"/>
      <c r="H106" s="90"/>
      <c r="I106" s="6"/>
      <c r="J106" s="90" t="str">
        <f>IF(X106="","",VLOOKUP(X106,Configuratie!$B$2:$E$11,3,FALSE))</f>
        <v/>
      </c>
      <c r="K106" s="90"/>
      <c r="L106" s="6" t="s">
        <v>5</v>
      </c>
      <c r="M106" s="90" t="str">
        <f>IF(X106="","",VLOOKUP(X106,Configuratie!$B$2:$E$11,4,FALSE))</f>
        <v/>
      </c>
      <c r="N106" s="90"/>
      <c r="O106" s="6"/>
      <c r="P106" s="6"/>
      <c r="Q106" s="6"/>
      <c r="R106" s="6"/>
      <c r="S106" s="6"/>
      <c r="T106" s="6"/>
      <c r="U106" s="6"/>
      <c r="V106" s="6" t="str">
        <f>IF(X106="","",VLOOKUP(X106,Configuratie!$B$2:$E$11,2,FALSE))</f>
        <v/>
      </c>
      <c r="W106" s="61"/>
      <c r="X106" s="5"/>
      <c r="Z106" s="6"/>
      <c r="AA106" s="6"/>
      <c r="AB106" s="6"/>
      <c r="AC106" s="6"/>
      <c r="AD106" s="6"/>
      <c r="AE106" s="6"/>
      <c r="AF106" s="6"/>
      <c r="AG106" s="6"/>
      <c r="AH106" s="6"/>
      <c r="AI106" s="6"/>
      <c r="AJ106" s="6"/>
      <c r="AK106" s="6"/>
      <c r="AL106" s="6"/>
      <c r="AM106" s="6"/>
      <c r="AN106" s="6"/>
      <c r="AO106" s="6"/>
      <c r="AP106" s="6"/>
      <c r="AQ106" s="6"/>
      <c r="AR106" s="6"/>
      <c r="AS106" s="6"/>
      <c r="AT106" s="6"/>
      <c r="AU106" s="6"/>
      <c r="AV106" s="6"/>
      <c r="AW106" s="6"/>
      <c r="AX106" s="6">
        <v>10</v>
      </c>
      <c r="AY106" s="6">
        <v>5</v>
      </c>
      <c r="AZ106" s="6">
        <v>1</v>
      </c>
      <c r="BA106" s="6" t="str">
        <f t="shared" si="97"/>
        <v/>
      </c>
      <c r="BB106" s="6"/>
      <c r="BC106" s="48">
        <f t="shared" si="95"/>
        <v>501</v>
      </c>
      <c r="BD106" s="48">
        <f>AZ106*100+AY106</f>
        <v>105</v>
      </c>
      <c r="BE106" s="6"/>
      <c r="BF106" s="6"/>
      <c r="BG106" s="6"/>
      <c r="BH106" s="6"/>
      <c r="BI106" s="6"/>
      <c r="BJ106" s="6"/>
      <c r="BK106" s="6"/>
      <c r="BL106" s="6"/>
      <c r="BM106" s="6"/>
      <c r="BN106" s="6"/>
      <c r="BO106" s="6"/>
      <c r="BP106" s="6"/>
      <c r="BQ106" s="6"/>
      <c r="BR106" s="6"/>
      <c r="BS106" s="6"/>
      <c r="BT106" s="6"/>
      <c r="BU106" s="6"/>
      <c r="BV106" s="6"/>
      <c r="BW106" s="6"/>
      <c r="BX106" s="6"/>
      <c r="BY106" s="6"/>
      <c r="BZ106" s="6"/>
      <c r="CA106" s="6"/>
      <c r="CB106" s="6"/>
    </row>
    <row r="107" spans="2:80" x14ac:dyDescent="0.25">
      <c r="B107" s="6">
        <v>6</v>
      </c>
      <c r="C107" s="6" t="str">
        <f t="shared" si="96"/>
        <v>D</v>
      </c>
      <c r="D107" s="46" t="s">
        <v>5</v>
      </c>
      <c r="E107" s="90" t="str">
        <f t="shared" si="94"/>
        <v>B</v>
      </c>
      <c r="F107" s="90"/>
      <c r="G107" s="90"/>
      <c r="H107" s="90"/>
      <c r="I107" s="6"/>
      <c r="J107" s="90" t="str">
        <f>IF(X107="","",VLOOKUP(X107,Configuratie!$B$2:$E$11,3,FALSE))</f>
        <v/>
      </c>
      <c r="K107" s="90"/>
      <c r="L107" s="6" t="s">
        <v>5</v>
      </c>
      <c r="M107" s="90" t="str">
        <f>IF(X107="","",VLOOKUP(X107,Configuratie!$B$2:$E$11,4,FALSE))</f>
        <v/>
      </c>
      <c r="N107" s="90"/>
      <c r="O107" s="6"/>
      <c r="P107" s="6"/>
      <c r="Q107" s="6"/>
      <c r="R107" s="6"/>
      <c r="S107" s="6"/>
      <c r="T107" s="6"/>
      <c r="U107" s="6"/>
      <c r="V107" s="6" t="str">
        <f>IF(X107="","",VLOOKUP(X107,Configuratie!$B$2:$E$11,2,FALSE))</f>
        <v/>
      </c>
      <c r="W107" s="61"/>
      <c r="X107" s="5"/>
      <c r="Z107" s="6"/>
      <c r="AA107" s="6"/>
      <c r="AB107" s="6"/>
      <c r="AC107" s="6"/>
      <c r="AD107" s="6"/>
      <c r="AE107" s="6"/>
      <c r="AF107" s="6"/>
      <c r="AG107" s="6"/>
      <c r="AH107" s="6"/>
      <c r="AI107" s="6"/>
      <c r="AJ107" s="6"/>
      <c r="AK107" s="6"/>
      <c r="AL107" s="6"/>
      <c r="AM107" s="6"/>
      <c r="AN107" s="6"/>
      <c r="AO107" s="6"/>
      <c r="AP107" s="6"/>
      <c r="AQ107" s="6"/>
      <c r="AR107" s="6"/>
      <c r="AS107" s="6"/>
      <c r="AT107" s="6"/>
      <c r="AU107" s="6"/>
      <c r="AV107" s="6"/>
      <c r="AW107" s="6"/>
      <c r="AX107" s="6">
        <v>10</v>
      </c>
      <c r="AY107" s="6">
        <v>4</v>
      </c>
      <c r="AZ107" s="6">
        <v>2</v>
      </c>
      <c r="BA107" s="6" t="str">
        <f t="shared" si="97"/>
        <v/>
      </c>
      <c r="BB107" s="6"/>
      <c r="BC107" s="48">
        <f t="shared" si="95"/>
        <v>402</v>
      </c>
      <c r="BD107" s="48">
        <f t="shared" si="98"/>
        <v>204</v>
      </c>
      <c r="BE107" s="6"/>
      <c r="BF107" s="6"/>
      <c r="BG107" s="6"/>
      <c r="BH107" s="6"/>
      <c r="BI107" s="6"/>
      <c r="BJ107" s="6"/>
      <c r="BK107" s="6"/>
      <c r="BL107" s="6"/>
      <c r="BM107" s="6"/>
      <c r="BN107" s="6"/>
      <c r="BO107" s="6"/>
      <c r="BP107" s="6"/>
      <c r="BQ107" s="6"/>
      <c r="BR107" s="6"/>
      <c r="BS107" s="6"/>
      <c r="BT107" s="6"/>
      <c r="BU107" s="6"/>
      <c r="BV107" s="6"/>
      <c r="BW107" s="6"/>
      <c r="BX107" s="6"/>
      <c r="BY107" s="6"/>
      <c r="BZ107" s="6"/>
      <c r="CA107" s="6"/>
      <c r="CB107" s="6"/>
    </row>
    <row r="108" spans="2:80" x14ac:dyDescent="0.25">
      <c r="B108" s="6">
        <v>7</v>
      </c>
      <c r="C108" s="6" t="str">
        <f t="shared" si="96"/>
        <v>O</v>
      </c>
      <c r="D108" s="46" t="s">
        <v>5</v>
      </c>
      <c r="E108" s="90" t="str">
        <f t="shared" si="94"/>
        <v>C</v>
      </c>
      <c r="F108" s="90"/>
      <c r="G108" s="90"/>
      <c r="H108" s="90"/>
      <c r="I108" s="6"/>
      <c r="J108" s="90" t="str">
        <f>IF(X108="","",VLOOKUP(X108,Configuratie!$B$2:$E$11,3,FALSE))</f>
        <v/>
      </c>
      <c r="K108" s="90"/>
      <c r="L108" s="6" t="s">
        <v>5</v>
      </c>
      <c r="M108" s="90" t="str">
        <f>IF(X108="","",VLOOKUP(X108,Configuratie!$B$2:$E$11,4,FALSE))</f>
        <v/>
      </c>
      <c r="N108" s="90"/>
      <c r="O108" s="6"/>
      <c r="P108" s="6"/>
      <c r="Q108" s="6"/>
      <c r="R108" s="6"/>
      <c r="S108" s="6"/>
      <c r="T108" s="6"/>
      <c r="U108" s="6"/>
      <c r="V108" s="6" t="str">
        <f>IF(X108="","",VLOOKUP(X108,Configuratie!$B$2:$E$11,2,FALSE))</f>
        <v/>
      </c>
      <c r="W108" s="61"/>
      <c r="X108" s="5"/>
      <c r="Z108" s="6"/>
      <c r="AA108" s="6"/>
      <c r="AB108" s="6"/>
      <c r="AC108" s="6"/>
      <c r="AD108" s="6"/>
      <c r="AE108" s="6"/>
      <c r="AF108" s="6"/>
      <c r="AG108" s="6"/>
      <c r="AH108" s="6"/>
      <c r="AI108" s="6"/>
      <c r="AJ108" s="6"/>
      <c r="AK108" s="6"/>
      <c r="AL108" s="6"/>
      <c r="AM108" s="6"/>
      <c r="AN108" s="6"/>
      <c r="AO108" s="6"/>
      <c r="AP108" s="6"/>
      <c r="AQ108" s="6"/>
      <c r="AR108" s="6"/>
      <c r="AS108" s="6"/>
      <c r="AT108" s="6"/>
      <c r="AU108" s="6"/>
      <c r="AV108" s="6"/>
      <c r="AW108" s="6"/>
      <c r="AX108" s="6">
        <v>10</v>
      </c>
      <c r="AY108" s="6">
        <v>14</v>
      </c>
      <c r="AZ108" s="6">
        <v>3</v>
      </c>
      <c r="BA108" s="6" t="str">
        <f t="shared" si="97"/>
        <v/>
      </c>
      <c r="BB108" s="6"/>
      <c r="BC108" s="48">
        <f t="shared" si="95"/>
        <v>1403</v>
      </c>
      <c r="BD108" s="48">
        <f>AZ108*100+AY108</f>
        <v>314</v>
      </c>
      <c r="BE108" s="6"/>
      <c r="BF108" s="6"/>
      <c r="BG108" s="6"/>
      <c r="BH108" s="6"/>
      <c r="BI108" s="6"/>
      <c r="BJ108" s="6"/>
      <c r="BK108" s="6"/>
      <c r="BL108" s="6"/>
      <c r="BM108" s="6"/>
      <c r="BN108" s="6"/>
      <c r="BO108" s="6"/>
      <c r="BP108" s="6"/>
      <c r="BQ108" s="6"/>
      <c r="BR108" s="6"/>
      <c r="BS108" s="6"/>
      <c r="BT108" s="6"/>
      <c r="BU108" s="6"/>
      <c r="BV108" s="6"/>
      <c r="BW108" s="6"/>
      <c r="BX108" s="6"/>
      <c r="BY108" s="6"/>
      <c r="BZ108" s="6"/>
      <c r="CA108" s="6"/>
      <c r="CB108" s="6"/>
    </row>
    <row r="109" spans="2:80" x14ac:dyDescent="0.25">
      <c r="B109" s="11"/>
      <c r="C109" s="11"/>
      <c r="D109" s="11"/>
      <c r="E109" s="11"/>
      <c r="F109" s="11"/>
      <c r="G109" s="11"/>
      <c r="H109" s="11"/>
      <c r="I109" s="11"/>
      <c r="J109" s="11"/>
      <c r="K109" s="11"/>
      <c r="L109" s="11"/>
      <c r="M109" s="11"/>
      <c r="N109" s="11"/>
      <c r="O109" s="11"/>
      <c r="P109" s="11"/>
      <c r="Q109" s="11"/>
      <c r="R109" s="11"/>
      <c r="S109" s="11"/>
      <c r="T109" s="11"/>
      <c r="U109" s="11"/>
      <c r="V109" s="11"/>
      <c r="W109" s="11"/>
      <c r="X109" s="11"/>
      <c r="Z109" s="6"/>
      <c r="AA109" s="6"/>
      <c r="AB109" s="6"/>
      <c r="AC109" s="6"/>
      <c r="AD109" s="6"/>
      <c r="AE109" s="6"/>
      <c r="AF109" s="6"/>
      <c r="AG109" s="6"/>
      <c r="AH109" s="6"/>
      <c r="AI109" s="6"/>
      <c r="AJ109" s="6"/>
      <c r="AK109" s="6"/>
      <c r="AL109" s="6"/>
      <c r="AM109" s="6"/>
      <c r="AN109" s="6"/>
      <c r="AO109" s="6"/>
      <c r="AP109" s="6"/>
      <c r="AQ109" s="6"/>
      <c r="AR109" s="6"/>
      <c r="AS109" s="6"/>
      <c r="AT109" s="6"/>
      <c r="AU109" s="6"/>
      <c r="AV109" s="6"/>
      <c r="AW109" s="6"/>
      <c r="AX109" s="6"/>
      <c r="AY109" s="6"/>
      <c r="AZ109" s="6"/>
      <c r="BA109" s="6"/>
      <c r="BB109" s="6"/>
      <c r="BC109" s="6"/>
      <c r="BD109" s="6"/>
      <c r="BE109" s="6"/>
      <c r="BF109" s="6"/>
      <c r="BG109" s="6"/>
      <c r="BH109" s="6"/>
      <c r="BI109" s="6"/>
      <c r="BJ109" s="6"/>
      <c r="BK109" s="6"/>
      <c r="BL109" s="6"/>
      <c r="BM109" s="6"/>
      <c r="BN109" s="6"/>
      <c r="BO109" s="6"/>
      <c r="BP109" s="6"/>
      <c r="BQ109" s="6"/>
      <c r="BR109" s="6"/>
      <c r="BS109" s="6"/>
      <c r="BT109" s="6"/>
      <c r="BU109" s="6"/>
      <c r="BV109" s="6"/>
      <c r="BW109" s="6"/>
      <c r="BX109" s="6"/>
      <c r="BY109" s="6"/>
      <c r="BZ109" s="6"/>
      <c r="CA109" s="6"/>
      <c r="CB109" s="6"/>
    </row>
    <row r="110" spans="2:80" x14ac:dyDescent="0.25">
      <c r="B110" s="45" t="s">
        <v>81</v>
      </c>
      <c r="C110" s="6"/>
      <c r="D110" s="6"/>
      <c r="E110" s="6"/>
      <c r="F110" s="6"/>
      <c r="G110" s="6"/>
      <c r="H110" s="6"/>
      <c r="I110" s="6"/>
      <c r="J110" s="6"/>
      <c r="K110" s="6"/>
      <c r="L110" s="6"/>
      <c r="M110" s="6"/>
      <c r="N110" s="6"/>
      <c r="O110" s="6"/>
      <c r="P110" s="6"/>
      <c r="Q110" s="6"/>
      <c r="R110" s="6"/>
      <c r="S110" s="6"/>
      <c r="T110" s="6"/>
      <c r="U110" s="6"/>
      <c r="V110" s="6"/>
      <c r="W110" s="6"/>
      <c r="X110" s="6"/>
      <c r="Z110" s="6"/>
      <c r="AA110" s="6"/>
      <c r="AB110" s="6"/>
      <c r="AC110" s="6"/>
      <c r="AD110" s="6"/>
      <c r="AE110" s="6"/>
      <c r="AF110" s="6"/>
      <c r="AG110" s="6"/>
      <c r="AH110" s="6"/>
      <c r="AI110" s="6"/>
      <c r="AJ110" s="6"/>
      <c r="AK110" s="6"/>
      <c r="AL110" s="6"/>
      <c r="AM110" s="6"/>
      <c r="AN110" s="6"/>
      <c r="AO110" s="6"/>
      <c r="AP110" s="6"/>
      <c r="AQ110" s="6"/>
      <c r="AR110" s="6"/>
      <c r="AS110" s="6"/>
      <c r="AT110" s="6"/>
      <c r="AU110" s="6"/>
      <c r="AV110" s="6"/>
      <c r="AW110" s="6"/>
      <c r="AX110" s="6"/>
      <c r="AY110" s="6"/>
      <c r="AZ110" s="6"/>
      <c r="BA110" s="6"/>
      <c r="BB110" s="6"/>
      <c r="BC110" s="6"/>
      <c r="BD110" s="6"/>
      <c r="BE110" s="6"/>
      <c r="BF110" s="6"/>
      <c r="BG110" s="6"/>
      <c r="BH110" s="6"/>
      <c r="BI110" s="6"/>
      <c r="BJ110" s="6"/>
      <c r="BK110" s="6"/>
      <c r="BL110" s="6"/>
      <c r="BM110" s="6"/>
      <c r="BN110" s="6"/>
      <c r="BO110" s="6"/>
      <c r="BP110" s="6"/>
      <c r="BQ110" s="6"/>
      <c r="BR110" s="6"/>
      <c r="BS110" s="6"/>
      <c r="BT110" s="6"/>
      <c r="BU110" s="6"/>
      <c r="BV110" s="6"/>
      <c r="BW110" s="6"/>
      <c r="BX110" s="6"/>
      <c r="BY110" s="6"/>
      <c r="BZ110" s="6"/>
      <c r="CA110" s="6"/>
      <c r="CB110" s="6"/>
    </row>
    <row r="111" spans="2:80" x14ac:dyDescent="0.25">
      <c r="B111" s="6">
        <v>1</v>
      </c>
      <c r="C111" s="6" t="str">
        <f t="shared" ref="C111:C117" si="99">VLOOKUP(AY111,$B$4:$F$17,2,FALSE)</f>
        <v>J</v>
      </c>
      <c r="D111" s="46" t="s">
        <v>5</v>
      </c>
      <c r="E111" s="90" t="str">
        <f t="shared" ref="E111:E117" si="100">VLOOKUP(AZ111,$B$4:$F$17,2,FALSE)</f>
        <v>O</v>
      </c>
      <c r="F111" s="90"/>
      <c r="G111" s="90"/>
      <c r="H111" s="90"/>
      <c r="I111" s="6"/>
      <c r="J111" s="90" t="str">
        <f>IF(X111="","",VLOOKUP(X111,Configuratie!$B$2:$E$11,3,FALSE))</f>
        <v/>
      </c>
      <c r="K111" s="90"/>
      <c r="L111" s="6" t="s">
        <v>5</v>
      </c>
      <c r="M111" s="90" t="str">
        <f>IF(X111="","",VLOOKUP(X111,Configuratie!$B$2:$E$11,4,FALSE))</f>
        <v/>
      </c>
      <c r="N111" s="90"/>
      <c r="O111" s="6"/>
      <c r="P111" s="6"/>
      <c r="Q111" s="6"/>
      <c r="R111" s="6"/>
      <c r="S111" s="6"/>
      <c r="T111" s="6"/>
      <c r="U111" s="6"/>
      <c r="V111" s="6" t="str">
        <f>IF(X111="","",VLOOKUP(X111,Configuratie!$B$2:$E$11,2,FALSE))</f>
        <v/>
      </c>
      <c r="W111" s="61"/>
      <c r="X111" s="5"/>
      <c r="Z111" s="6"/>
      <c r="AA111" s="6"/>
      <c r="AB111" s="6"/>
      <c r="AC111" s="6"/>
      <c r="AD111" s="6"/>
      <c r="AE111" s="6"/>
      <c r="AF111" s="6"/>
      <c r="AG111" s="6"/>
      <c r="AH111" s="6"/>
      <c r="AI111" s="6"/>
      <c r="AJ111" s="6"/>
      <c r="AK111" s="6"/>
      <c r="AL111" s="6"/>
      <c r="AM111" s="6"/>
      <c r="AN111" s="6"/>
      <c r="AO111" s="6"/>
      <c r="AP111" s="6"/>
      <c r="AQ111" s="6"/>
      <c r="AR111" s="6"/>
      <c r="AS111" s="6"/>
      <c r="AT111" s="6"/>
      <c r="AU111" s="6"/>
      <c r="AV111" s="6"/>
      <c r="AW111" s="6"/>
      <c r="AX111" s="6">
        <v>11</v>
      </c>
      <c r="AY111" s="6">
        <v>9</v>
      </c>
      <c r="AZ111" s="6">
        <v>14</v>
      </c>
      <c r="BA111" s="6" t="str">
        <f>IF(AND(ISNUMBER(J111),ISNUMBER(M111)),IF(J111+M111=1,1,0),"")</f>
        <v/>
      </c>
      <c r="BB111" s="6"/>
      <c r="BC111" s="48">
        <f t="shared" ref="BC111:BC117" si="101">AY111*100+AZ111</f>
        <v>914</v>
      </c>
      <c r="BD111" s="48">
        <f>AZ111*100+AY111</f>
        <v>1409</v>
      </c>
      <c r="BE111" s="6"/>
      <c r="BF111" s="6"/>
      <c r="BG111" s="6"/>
      <c r="BH111" s="6"/>
      <c r="BI111" s="6"/>
      <c r="BJ111" s="6"/>
      <c r="BK111" s="6"/>
      <c r="BL111" s="6"/>
      <c r="BM111" s="6"/>
      <c r="BN111" s="6"/>
      <c r="BO111" s="6"/>
      <c r="BP111" s="6"/>
      <c r="BQ111" s="6"/>
      <c r="BR111" s="6"/>
      <c r="BS111" s="6"/>
      <c r="BT111" s="6"/>
      <c r="BU111" s="6"/>
      <c r="BV111" s="6"/>
      <c r="BW111" s="6"/>
      <c r="BX111" s="6"/>
      <c r="BY111" s="6"/>
      <c r="BZ111" s="6"/>
      <c r="CA111" s="6"/>
      <c r="CB111" s="6"/>
    </row>
    <row r="112" spans="2:80" x14ac:dyDescent="0.25">
      <c r="B112" s="6">
        <v>2</v>
      </c>
      <c r="C112" s="6" t="str">
        <f t="shared" si="99"/>
        <v>K</v>
      </c>
      <c r="D112" s="46" t="s">
        <v>5</v>
      </c>
      <c r="E112" s="90" t="str">
        <f t="shared" si="100"/>
        <v>I</v>
      </c>
      <c r="F112" s="90"/>
      <c r="G112" s="90"/>
      <c r="H112" s="90"/>
      <c r="I112" s="6"/>
      <c r="J112" s="90" t="str">
        <f>IF(X112="","",VLOOKUP(X112,Configuratie!$B$2:$E$11,3,FALSE))</f>
        <v/>
      </c>
      <c r="K112" s="90"/>
      <c r="L112" s="6" t="s">
        <v>5</v>
      </c>
      <c r="M112" s="90" t="str">
        <f>IF(X112="","",VLOOKUP(X112,Configuratie!$B$2:$E$11,4,FALSE))</f>
        <v/>
      </c>
      <c r="N112" s="90"/>
      <c r="O112" s="6"/>
      <c r="P112" s="6"/>
      <c r="Q112" s="6"/>
      <c r="R112" s="6"/>
      <c r="S112" s="6"/>
      <c r="T112" s="6"/>
      <c r="U112" s="6"/>
      <c r="V112" s="6" t="str">
        <f>IF(X112="","",VLOOKUP(X112,Configuratie!$B$2:$E$11,2,FALSE))</f>
        <v/>
      </c>
      <c r="W112" s="61"/>
      <c r="X112" s="5"/>
      <c r="Z112" s="6"/>
      <c r="AA112" s="6"/>
      <c r="AB112" s="6"/>
      <c r="AC112" s="6"/>
      <c r="AD112" s="6"/>
      <c r="AE112" s="6"/>
      <c r="AF112" s="6"/>
      <c r="AG112" s="6"/>
      <c r="AH112" s="6"/>
      <c r="AI112" s="6"/>
      <c r="AJ112" s="6"/>
      <c r="AK112" s="6"/>
      <c r="AL112" s="6"/>
      <c r="AM112" s="6"/>
      <c r="AN112" s="6"/>
      <c r="AO112" s="6"/>
      <c r="AP112" s="6"/>
      <c r="AQ112" s="6"/>
      <c r="AR112" s="6"/>
      <c r="AS112" s="6"/>
      <c r="AT112" s="6"/>
      <c r="AU112" s="6"/>
      <c r="AV112" s="6"/>
      <c r="AW112" s="6"/>
      <c r="AX112" s="6">
        <v>11</v>
      </c>
      <c r="AY112" s="6">
        <v>10</v>
      </c>
      <c r="AZ112" s="6">
        <v>8</v>
      </c>
      <c r="BA112" s="6" t="str">
        <f t="shared" ref="BA112:BA117" si="102">IF(AND(ISNUMBER(J112),ISNUMBER(M112)),IF(J112+M112=1,1,0),"")</f>
        <v/>
      </c>
      <c r="BB112" s="6"/>
      <c r="BC112" s="48">
        <f t="shared" si="101"/>
        <v>1008</v>
      </c>
      <c r="BD112" s="48">
        <f t="shared" ref="BD112:BD116" si="103">AZ112*100+AY112</f>
        <v>810</v>
      </c>
      <c r="BE112" s="6"/>
      <c r="BF112" s="6"/>
      <c r="BG112" s="6"/>
      <c r="BH112" s="6"/>
      <c r="BI112" s="6"/>
      <c r="BJ112" s="6"/>
      <c r="BK112" s="6"/>
      <c r="BL112" s="6"/>
      <c r="BM112" s="6"/>
      <c r="BN112" s="6"/>
      <c r="BO112" s="6"/>
      <c r="BP112" s="6"/>
      <c r="BQ112" s="6"/>
      <c r="BR112" s="6"/>
      <c r="BS112" s="6"/>
      <c r="BT112" s="6"/>
      <c r="BU112" s="6"/>
      <c r="BV112" s="6"/>
      <c r="BW112" s="6"/>
      <c r="BX112" s="6"/>
      <c r="BY112" s="6"/>
      <c r="BZ112" s="6"/>
      <c r="CA112" s="6"/>
      <c r="CB112" s="6"/>
    </row>
    <row r="113" spans="2:80" x14ac:dyDescent="0.25">
      <c r="B113" s="6">
        <v>3</v>
      </c>
      <c r="C113" s="6" t="str">
        <f t="shared" si="99"/>
        <v>L</v>
      </c>
      <c r="D113" s="46" t="s">
        <v>5</v>
      </c>
      <c r="E113" s="90" t="str">
        <f t="shared" si="100"/>
        <v>H</v>
      </c>
      <c r="F113" s="90"/>
      <c r="G113" s="90"/>
      <c r="H113" s="90"/>
      <c r="I113" s="6"/>
      <c r="J113" s="90" t="str">
        <f>IF(X113="","",VLOOKUP(X113,Configuratie!$B$2:$E$11,3,FALSE))</f>
        <v/>
      </c>
      <c r="K113" s="90"/>
      <c r="L113" s="6" t="s">
        <v>5</v>
      </c>
      <c r="M113" s="90" t="str">
        <f>IF(X113="","",VLOOKUP(X113,Configuratie!$B$2:$E$11,4,FALSE))</f>
        <v/>
      </c>
      <c r="N113" s="90"/>
      <c r="O113" s="6"/>
      <c r="P113" s="6"/>
      <c r="Q113" s="6"/>
      <c r="R113" s="6"/>
      <c r="S113" s="6"/>
      <c r="T113" s="6"/>
      <c r="U113" s="6"/>
      <c r="V113" s="6" t="str">
        <f>IF(X113="","",VLOOKUP(X113,Configuratie!$B$2:$E$11,2,FALSE))</f>
        <v/>
      </c>
      <c r="W113" s="61"/>
      <c r="X113" s="5"/>
      <c r="Z113" s="6"/>
      <c r="AA113" s="6"/>
      <c r="AB113" s="6"/>
      <c r="AC113" s="6"/>
      <c r="AD113" s="6"/>
      <c r="AE113" s="6"/>
      <c r="AF113" s="6"/>
      <c r="AG113" s="6"/>
      <c r="AH113" s="6"/>
      <c r="AI113" s="6"/>
      <c r="AJ113" s="6"/>
      <c r="AK113" s="6"/>
      <c r="AL113" s="6"/>
      <c r="AM113" s="6"/>
      <c r="AN113" s="6"/>
      <c r="AO113" s="6"/>
      <c r="AP113" s="6"/>
      <c r="AQ113" s="6"/>
      <c r="AR113" s="6"/>
      <c r="AS113" s="6"/>
      <c r="AT113" s="6"/>
      <c r="AU113" s="6"/>
      <c r="AV113" s="6"/>
      <c r="AW113" s="6"/>
      <c r="AX113" s="6">
        <v>11</v>
      </c>
      <c r="AY113" s="6">
        <v>11</v>
      </c>
      <c r="AZ113" s="6">
        <v>7</v>
      </c>
      <c r="BA113" s="6" t="str">
        <f t="shared" si="102"/>
        <v/>
      </c>
      <c r="BB113" s="6"/>
      <c r="BC113" s="48">
        <f t="shared" si="101"/>
        <v>1107</v>
      </c>
      <c r="BD113" s="48">
        <f t="shared" si="103"/>
        <v>711</v>
      </c>
      <c r="BE113" s="6"/>
      <c r="BF113" s="6"/>
      <c r="BG113" s="6"/>
      <c r="BH113" s="6"/>
      <c r="BI113" s="6"/>
      <c r="BJ113" s="6"/>
      <c r="BK113" s="6"/>
      <c r="BL113" s="6"/>
      <c r="BM113" s="6"/>
      <c r="BN113" s="6"/>
      <c r="BO113" s="6"/>
      <c r="BP113" s="6"/>
      <c r="BQ113" s="6"/>
      <c r="BR113" s="6"/>
      <c r="BS113" s="6"/>
      <c r="BT113" s="6"/>
      <c r="BU113" s="6"/>
      <c r="BV113" s="6"/>
      <c r="BW113" s="6"/>
      <c r="BX113" s="6"/>
      <c r="BY113" s="6"/>
      <c r="BZ113" s="6"/>
      <c r="CA113" s="6"/>
      <c r="CB113" s="6"/>
    </row>
    <row r="114" spans="2:80" x14ac:dyDescent="0.25">
      <c r="B114" s="6">
        <v>4</v>
      </c>
      <c r="C114" s="6" t="str">
        <f t="shared" si="99"/>
        <v>M</v>
      </c>
      <c r="D114" s="46" t="s">
        <v>5</v>
      </c>
      <c r="E114" s="90" t="str">
        <f t="shared" si="100"/>
        <v>G</v>
      </c>
      <c r="F114" s="90"/>
      <c r="G114" s="90"/>
      <c r="H114" s="90"/>
      <c r="I114" s="6"/>
      <c r="J114" s="90" t="str">
        <f>IF(X114="","",VLOOKUP(X114,Configuratie!$B$2:$E$11,3,FALSE))</f>
        <v/>
      </c>
      <c r="K114" s="90"/>
      <c r="L114" s="6" t="s">
        <v>5</v>
      </c>
      <c r="M114" s="90" t="str">
        <f>IF(X114="","",VLOOKUP(X114,Configuratie!$B$2:$E$11,4,FALSE))</f>
        <v/>
      </c>
      <c r="N114" s="90"/>
      <c r="O114" s="6"/>
      <c r="P114" s="6"/>
      <c r="Q114" s="6"/>
      <c r="R114" s="6"/>
      <c r="S114" s="6"/>
      <c r="T114" s="6"/>
      <c r="U114" s="6"/>
      <c r="V114" s="6" t="str">
        <f>IF(X114="","",VLOOKUP(X114,Configuratie!$B$2:$E$11,2,FALSE))</f>
        <v/>
      </c>
      <c r="W114" s="61"/>
      <c r="X114" s="5"/>
      <c r="Z114" s="6"/>
      <c r="AA114" s="6"/>
      <c r="AB114" s="6"/>
      <c r="AC114" s="6"/>
      <c r="AD114" s="6"/>
      <c r="AE114" s="6"/>
      <c r="AF114" s="6"/>
      <c r="AG114" s="6"/>
      <c r="AH114" s="6"/>
      <c r="AI114" s="6"/>
      <c r="AJ114" s="6"/>
      <c r="AK114" s="6"/>
      <c r="AL114" s="6"/>
      <c r="AM114" s="6"/>
      <c r="AN114" s="6"/>
      <c r="AO114" s="6"/>
      <c r="AP114" s="6"/>
      <c r="AQ114" s="6"/>
      <c r="AR114" s="6"/>
      <c r="AS114" s="6"/>
      <c r="AT114" s="6"/>
      <c r="AU114" s="6"/>
      <c r="AV114" s="6"/>
      <c r="AW114" s="6"/>
      <c r="AX114" s="6">
        <v>11</v>
      </c>
      <c r="AY114" s="6">
        <v>12</v>
      </c>
      <c r="AZ114" s="6">
        <v>6</v>
      </c>
      <c r="BA114" s="6" t="str">
        <f t="shared" si="102"/>
        <v/>
      </c>
      <c r="BB114" s="6"/>
      <c r="BC114" s="48">
        <f t="shared" si="101"/>
        <v>1206</v>
      </c>
      <c r="BD114" s="48">
        <f t="shared" si="103"/>
        <v>612</v>
      </c>
      <c r="BE114" s="6"/>
      <c r="BF114" s="6"/>
      <c r="BG114" s="6"/>
      <c r="BH114" s="6"/>
      <c r="BI114" s="6"/>
      <c r="BJ114" s="6"/>
      <c r="BK114" s="6"/>
      <c r="BL114" s="6"/>
      <c r="BM114" s="6"/>
      <c r="BN114" s="6"/>
      <c r="BO114" s="6"/>
      <c r="BP114" s="6"/>
      <c r="BQ114" s="6"/>
      <c r="BR114" s="6"/>
      <c r="BS114" s="6"/>
      <c r="BT114" s="6"/>
      <c r="BU114" s="6"/>
      <c r="BV114" s="6"/>
      <c r="BW114" s="6"/>
      <c r="BX114" s="6"/>
      <c r="BY114" s="6"/>
      <c r="BZ114" s="6"/>
      <c r="CA114" s="6"/>
      <c r="CB114" s="6"/>
    </row>
    <row r="115" spans="2:80" x14ac:dyDescent="0.25">
      <c r="B115" s="6">
        <v>5</v>
      </c>
      <c r="C115" s="6" t="str">
        <f t="shared" si="99"/>
        <v>N</v>
      </c>
      <c r="D115" s="46" t="s">
        <v>5</v>
      </c>
      <c r="E115" s="90" t="str">
        <f t="shared" si="100"/>
        <v>E</v>
      </c>
      <c r="F115" s="90"/>
      <c r="G115" s="90"/>
      <c r="H115" s="90"/>
      <c r="I115" s="6"/>
      <c r="J115" s="90" t="str">
        <f>IF(X115="","",VLOOKUP(X115,Configuratie!$B$2:$E$11,3,FALSE))</f>
        <v/>
      </c>
      <c r="K115" s="90"/>
      <c r="L115" s="6" t="s">
        <v>5</v>
      </c>
      <c r="M115" s="90" t="str">
        <f>IF(X115="","",VLOOKUP(X115,Configuratie!$B$2:$E$11,4,FALSE))</f>
        <v/>
      </c>
      <c r="N115" s="90"/>
      <c r="O115" s="6"/>
      <c r="P115" s="6"/>
      <c r="Q115" s="6"/>
      <c r="R115" s="6"/>
      <c r="S115" s="6"/>
      <c r="T115" s="6"/>
      <c r="U115" s="6"/>
      <c r="V115" s="6" t="str">
        <f>IF(X115="","",VLOOKUP(X115,Configuratie!$B$2:$E$11,2,FALSE))</f>
        <v/>
      </c>
      <c r="W115" s="61"/>
      <c r="X115" s="5"/>
      <c r="Z115" s="6"/>
      <c r="AA115" s="6"/>
      <c r="AB115" s="6"/>
      <c r="AC115" s="6"/>
      <c r="AD115" s="6"/>
      <c r="AE115" s="6"/>
      <c r="AF115" s="6"/>
      <c r="AG115" s="6"/>
      <c r="AH115" s="6"/>
      <c r="AI115" s="6"/>
      <c r="AJ115" s="6"/>
      <c r="AK115" s="6"/>
      <c r="AL115" s="6"/>
      <c r="AM115" s="6"/>
      <c r="AN115" s="6"/>
      <c r="AO115" s="6"/>
      <c r="AP115" s="6"/>
      <c r="AQ115" s="6"/>
      <c r="AR115" s="6"/>
      <c r="AS115" s="6"/>
      <c r="AT115" s="6"/>
      <c r="AU115" s="6"/>
      <c r="AV115" s="6"/>
      <c r="AW115" s="6"/>
      <c r="AX115" s="6">
        <v>11</v>
      </c>
      <c r="AY115" s="6">
        <v>13</v>
      </c>
      <c r="AZ115" s="6">
        <v>5</v>
      </c>
      <c r="BA115" s="6" t="str">
        <f t="shared" si="102"/>
        <v/>
      </c>
      <c r="BB115" s="6"/>
      <c r="BC115" s="48">
        <f t="shared" si="101"/>
        <v>1305</v>
      </c>
      <c r="BD115" s="48">
        <f>AZ115*100+AY115</f>
        <v>513</v>
      </c>
      <c r="BE115" s="6"/>
      <c r="BF115" s="6"/>
      <c r="BG115" s="6"/>
      <c r="BH115" s="6"/>
      <c r="BI115" s="6"/>
      <c r="BJ115" s="6"/>
      <c r="BK115" s="6"/>
      <c r="BL115" s="6"/>
      <c r="BM115" s="6"/>
      <c r="BN115" s="6"/>
      <c r="BO115" s="6"/>
      <c r="BP115" s="6"/>
      <c r="BQ115" s="6"/>
      <c r="BR115" s="6"/>
      <c r="BS115" s="6"/>
      <c r="BT115" s="6"/>
      <c r="BU115" s="6"/>
      <c r="BV115" s="6"/>
      <c r="BW115" s="6"/>
      <c r="BX115" s="6"/>
      <c r="BY115" s="6"/>
      <c r="BZ115" s="6"/>
      <c r="CA115" s="6"/>
      <c r="CB115" s="6"/>
    </row>
    <row r="116" spans="2:80" x14ac:dyDescent="0.25">
      <c r="B116" s="6">
        <v>6</v>
      </c>
      <c r="C116" s="6" t="str">
        <f t="shared" si="99"/>
        <v>A</v>
      </c>
      <c r="D116" s="46" t="s">
        <v>5</v>
      </c>
      <c r="E116" s="90" t="str">
        <f t="shared" si="100"/>
        <v>D</v>
      </c>
      <c r="F116" s="90"/>
      <c r="G116" s="90"/>
      <c r="H116" s="90"/>
      <c r="I116" s="6"/>
      <c r="J116" s="90" t="str">
        <f>IF(X116="","",VLOOKUP(X116,Configuratie!$B$2:$E$11,3,FALSE))</f>
        <v/>
      </c>
      <c r="K116" s="90"/>
      <c r="L116" s="6" t="s">
        <v>5</v>
      </c>
      <c r="M116" s="90" t="str">
        <f>IF(X116="","",VLOOKUP(X116,Configuratie!$B$2:$E$11,4,FALSE))</f>
        <v/>
      </c>
      <c r="N116" s="90"/>
      <c r="O116" s="6"/>
      <c r="P116" s="6"/>
      <c r="Q116" s="6"/>
      <c r="R116" s="6"/>
      <c r="S116" s="6"/>
      <c r="T116" s="6"/>
      <c r="U116" s="6"/>
      <c r="V116" s="6" t="str">
        <f>IF(X116="","",VLOOKUP(X116,Configuratie!$B$2:$E$11,2,FALSE))</f>
        <v/>
      </c>
      <c r="W116" s="61"/>
      <c r="X116" s="5"/>
      <c r="Z116" s="6"/>
      <c r="AA116" s="6"/>
      <c r="AB116" s="6"/>
      <c r="AC116" s="6"/>
      <c r="AD116" s="6"/>
      <c r="AE116" s="6"/>
      <c r="AF116" s="6"/>
      <c r="AG116" s="6"/>
      <c r="AH116" s="6"/>
      <c r="AI116" s="6"/>
      <c r="AJ116" s="6"/>
      <c r="AK116" s="6"/>
      <c r="AL116" s="6"/>
      <c r="AM116" s="6"/>
      <c r="AN116" s="6"/>
      <c r="AO116" s="6"/>
      <c r="AP116" s="6"/>
      <c r="AQ116" s="6"/>
      <c r="AR116" s="6"/>
      <c r="AS116" s="6"/>
      <c r="AT116" s="6"/>
      <c r="AU116" s="6"/>
      <c r="AV116" s="6"/>
      <c r="AW116" s="6"/>
      <c r="AX116" s="6">
        <v>11</v>
      </c>
      <c r="AY116" s="6">
        <v>1</v>
      </c>
      <c r="AZ116" s="6">
        <v>4</v>
      </c>
      <c r="BA116" s="6" t="str">
        <f t="shared" si="102"/>
        <v/>
      </c>
      <c r="BB116" s="6"/>
      <c r="BC116" s="48">
        <f t="shared" si="101"/>
        <v>104</v>
      </c>
      <c r="BD116" s="48">
        <f t="shared" si="103"/>
        <v>401</v>
      </c>
      <c r="BE116" s="6"/>
      <c r="BF116" s="6"/>
      <c r="BG116" s="6"/>
      <c r="BH116" s="6"/>
      <c r="BI116" s="6"/>
      <c r="BJ116" s="6"/>
      <c r="BK116" s="6"/>
      <c r="BL116" s="6"/>
      <c r="BM116" s="6"/>
      <c r="BN116" s="6"/>
      <c r="BO116" s="6"/>
      <c r="BP116" s="6"/>
      <c r="BQ116" s="6"/>
      <c r="BR116" s="6"/>
      <c r="BS116" s="6"/>
      <c r="BT116" s="6"/>
      <c r="BU116" s="6"/>
      <c r="BV116" s="6"/>
      <c r="BW116" s="6"/>
      <c r="BX116" s="6"/>
      <c r="BY116" s="6"/>
      <c r="BZ116" s="6"/>
      <c r="CA116" s="6"/>
      <c r="CB116" s="6"/>
    </row>
    <row r="117" spans="2:80" x14ac:dyDescent="0.25">
      <c r="B117" s="6">
        <v>7</v>
      </c>
      <c r="C117" s="6" t="str">
        <f t="shared" si="99"/>
        <v>B</v>
      </c>
      <c r="D117" s="46" t="s">
        <v>5</v>
      </c>
      <c r="E117" s="90" t="str">
        <f t="shared" si="100"/>
        <v>C</v>
      </c>
      <c r="F117" s="90"/>
      <c r="G117" s="90"/>
      <c r="H117" s="90"/>
      <c r="I117" s="6"/>
      <c r="J117" s="90" t="str">
        <f>IF(X117="","",VLOOKUP(X117,Configuratie!$B$2:$E$11,3,FALSE))</f>
        <v/>
      </c>
      <c r="K117" s="90"/>
      <c r="L117" s="6" t="s">
        <v>5</v>
      </c>
      <c r="M117" s="90" t="str">
        <f>IF(X117="","",VLOOKUP(X117,Configuratie!$B$2:$E$11,4,FALSE))</f>
        <v/>
      </c>
      <c r="N117" s="90"/>
      <c r="O117" s="6"/>
      <c r="P117" s="6"/>
      <c r="Q117" s="6"/>
      <c r="R117" s="6"/>
      <c r="S117" s="6"/>
      <c r="T117" s="6"/>
      <c r="U117" s="6"/>
      <c r="V117" s="6" t="str">
        <f>IF(X117="","",VLOOKUP(X117,Configuratie!$B$2:$E$11,2,FALSE))</f>
        <v/>
      </c>
      <c r="W117" s="61"/>
      <c r="X117" s="5"/>
      <c r="Z117" s="6"/>
      <c r="AA117" s="6"/>
      <c r="AB117" s="6"/>
      <c r="AC117" s="6"/>
      <c r="AD117" s="6"/>
      <c r="AE117" s="6"/>
      <c r="AF117" s="6"/>
      <c r="AG117" s="6"/>
      <c r="AH117" s="6"/>
      <c r="AI117" s="6"/>
      <c r="AJ117" s="6"/>
      <c r="AK117" s="6"/>
      <c r="AL117" s="6"/>
      <c r="AM117" s="6"/>
      <c r="AN117" s="6"/>
      <c r="AO117" s="6"/>
      <c r="AP117" s="6"/>
      <c r="AQ117" s="6"/>
      <c r="AR117" s="6"/>
      <c r="AS117" s="6"/>
      <c r="AT117" s="6"/>
      <c r="AU117" s="6"/>
      <c r="AV117" s="6"/>
      <c r="AW117" s="6"/>
      <c r="AX117" s="6">
        <v>11</v>
      </c>
      <c r="AY117" s="6">
        <v>2</v>
      </c>
      <c r="AZ117" s="6">
        <v>3</v>
      </c>
      <c r="BA117" s="6" t="str">
        <f t="shared" si="102"/>
        <v/>
      </c>
      <c r="BB117" s="6"/>
      <c r="BC117" s="48">
        <f t="shared" si="101"/>
        <v>203</v>
      </c>
      <c r="BD117" s="48">
        <f>AZ117*100+AY117</f>
        <v>302</v>
      </c>
      <c r="BE117" s="6"/>
      <c r="BF117" s="6"/>
      <c r="BG117" s="6"/>
      <c r="BH117" s="6"/>
      <c r="BI117" s="6"/>
      <c r="BJ117" s="6"/>
      <c r="BK117" s="6"/>
      <c r="BL117" s="6"/>
      <c r="BM117" s="6"/>
      <c r="BN117" s="6"/>
      <c r="BO117" s="6"/>
      <c r="BP117" s="6"/>
      <c r="BQ117" s="6"/>
      <c r="BR117" s="6"/>
      <c r="BS117" s="6"/>
      <c r="BT117" s="6"/>
      <c r="BU117" s="6"/>
      <c r="BV117" s="6"/>
      <c r="BW117" s="6"/>
      <c r="BX117" s="6"/>
      <c r="BY117" s="6"/>
      <c r="BZ117" s="6"/>
      <c r="CA117" s="6"/>
      <c r="CB117" s="6"/>
    </row>
    <row r="118" spans="2:80" x14ac:dyDescent="0.25">
      <c r="B118" s="11"/>
      <c r="C118" s="11"/>
      <c r="D118" s="11"/>
      <c r="E118" s="11"/>
      <c r="F118" s="11"/>
      <c r="G118" s="11"/>
      <c r="H118" s="11"/>
      <c r="I118" s="11"/>
      <c r="J118" s="11"/>
      <c r="K118" s="11"/>
      <c r="L118" s="11"/>
      <c r="M118" s="11"/>
      <c r="N118" s="11"/>
      <c r="O118" s="11"/>
      <c r="P118" s="11"/>
      <c r="Q118" s="11"/>
      <c r="R118" s="11"/>
      <c r="S118" s="11"/>
      <c r="T118" s="11"/>
      <c r="U118" s="11"/>
      <c r="V118" s="11"/>
      <c r="W118" s="11"/>
      <c r="X118" s="11"/>
      <c r="Z118" s="6"/>
      <c r="AA118" s="6"/>
      <c r="AB118" s="6"/>
      <c r="AC118" s="6"/>
      <c r="AD118" s="6"/>
      <c r="AE118" s="6"/>
      <c r="AF118" s="6"/>
      <c r="AG118" s="6"/>
      <c r="AH118" s="6"/>
      <c r="AI118" s="6"/>
      <c r="AJ118" s="6"/>
      <c r="AK118" s="6"/>
      <c r="AL118" s="6"/>
      <c r="AM118" s="6"/>
      <c r="AN118" s="6"/>
      <c r="AO118" s="6"/>
      <c r="AP118" s="6"/>
      <c r="AQ118" s="6"/>
      <c r="AR118" s="6"/>
      <c r="AS118" s="6"/>
      <c r="AT118" s="6"/>
      <c r="AU118" s="6"/>
      <c r="AV118" s="6"/>
      <c r="AW118" s="6"/>
      <c r="AX118" s="6"/>
      <c r="AY118" s="6"/>
      <c r="AZ118" s="6"/>
      <c r="BA118" s="6"/>
      <c r="BB118" s="6"/>
      <c r="BC118" s="6"/>
      <c r="BD118" s="6"/>
      <c r="BE118" s="6"/>
      <c r="BF118" s="6"/>
      <c r="BG118" s="6"/>
      <c r="BH118" s="6"/>
      <c r="BI118" s="6"/>
      <c r="BJ118" s="6"/>
      <c r="BK118" s="6"/>
      <c r="BL118" s="6"/>
      <c r="BM118" s="6"/>
      <c r="BN118" s="6"/>
      <c r="BO118" s="6"/>
      <c r="BP118" s="6"/>
      <c r="BQ118" s="6"/>
      <c r="BR118" s="6"/>
      <c r="BS118" s="6"/>
      <c r="BT118" s="6"/>
      <c r="BU118" s="6"/>
      <c r="BV118" s="6"/>
      <c r="BW118" s="6"/>
      <c r="BX118" s="6"/>
      <c r="BY118" s="6"/>
      <c r="BZ118" s="6"/>
      <c r="CA118" s="6"/>
      <c r="CB118" s="6"/>
    </row>
    <row r="119" spans="2:80" x14ac:dyDescent="0.25">
      <c r="B119" s="45" t="s">
        <v>82</v>
      </c>
      <c r="C119" s="6"/>
      <c r="D119" s="6"/>
      <c r="E119" s="6"/>
      <c r="F119" s="6"/>
      <c r="G119" s="6"/>
      <c r="H119" s="6"/>
      <c r="I119" s="6"/>
      <c r="J119" s="6"/>
      <c r="K119" s="6"/>
      <c r="L119" s="6"/>
      <c r="M119" s="6"/>
      <c r="N119" s="6"/>
      <c r="O119" s="6"/>
      <c r="P119" s="6"/>
      <c r="Q119" s="6"/>
      <c r="R119" s="6"/>
      <c r="S119" s="6"/>
      <c r="T119" s="6"/>
      <c r="U119" s="6"/>
      <c r="V119" s="6"/>
      <c r="W119" s="6"/>
      <c r="X119" s="6"/>
      <c r="Z119" s="6"/>
      <c r="AA119" s="6"/>
      <c r="AB119" s="6"/>
      <c r="AC119" s="6"/>
      <c r="AD119" s="6"/>
      <c r="AE119" s="6"/>
      <c r="AF119" s="6"/>
      <c r="AG119" s="6"/>
      <c r="AH119" s="6"/>
      <c r="AI119" s="6"/>
      <c r="AJ119" s="6"/>
      <c r="AK119" s="6"/>
      <c r="AL119" s="6"/>
      <c r="AM119" s="6"/>
      <c r="AN119" s="6"/>
      <c r="AO119" s="6"/>
      <c r="AP119" s="6"/>
      <c r="AQ119" s="6"/>
      <c r="AR119" s="6"/>
      <c r="AS119" s="6"/>
      <c r="AT119" s="6"/>
      <c r="AU119" s="6"/>
      <c r="AV119" s="6"/>
      <c r="AW119" s="6"/>
      <c r="AX119" s="6"/>
      <c r="AY119" s="6"/>
      <c r="AZ119" s="6"/>
      <c r="BA119" s="6"/>
      <c r="BB119" s="6"/>
      <c r="BC119" s="6"/>
      <c r="BD119" s="6"/>
      <c r="BE119" s="6"/>
      <c r="BF119" s="6"/>
      <c r="BG119" s="6"/>
      <c r="BH119" s="6"/>
      <c r="BI119" s="6"/>
      <c r="BJ119" s="6"/>
      <c r="BK119" s="6"/>
      <c r="BL119" s="6"/>
      <c r="BM119" s="6"/>
      <c r="BN119" s="6"/>
      <c r="BO119" s="6"/>
      <c r="BP119" s="6"/>
      <c r="BQ119" s="6"/>
      <c r="BR119" s="6"/>
      <c r="BS119" s="6"/>
      <c r="BT119" s="6"/>
      <c r="BU119" s="6"/>
      <c r="BV119" s="6"/>
      <c r="BW119" s="6"/>
      <c r="BX119" s="6"/>
      <c r="BY119" s="6"/>
      <c r="BZ119" s="6"/>
      <c r="CA119" s="6"/>
      <c r="CB119" s="6"/>
    </row>
    <row r="120" spans="2:80" x14ac:dyDescent="0.25">
      <c r="B120" s="6">
        <v>1</v>
      </c>
      <c r="C120" s="6" t="str">
        <f t="shared" ref="C120:C126" si="104">VLOOKUP(AY120,$B$4:$F$17,2,FALSE)</f>
        <v>I</v>
      </c>
      <c r="D120" s="46" t="s">
        <v>5</v>
      </c>
      <c r="E120" s="90" t="str">
        <f t="shared" ref="E120:E126" si="105">VLOOKUP(AZ120,$B$4:$F$17,2,FALSE)</f>
        <v>J</v>
      </c>
      <c r="F120" s="90"/>
      <c r="G120" s="90"/>
      <c r="H120" s="90"/>
      <c r="I120" s="6"/>
      <c r="J120" s="90" t="str">
        <f>IF(X120="","",VLOOKUP(X120,Configuratie!$B$2:$E$11,3,FALSE))</f>
        <v/>
      </c>
      <c r="K120" s="90"/>
      <c r="L120" s="6" t="s">
        <v>5</v>
      </c>
      <c r="M120" s="90" t="str">
        <f>IF(X120="","",VLOOKUP(X120,Configuratie!$B$2:$E$11,4,FALSE))</f>
        <v/>
      </c>
      <c r="N120" s="90"/>
      <c r="O120" s="6"/>
      <c r="P120" s="6"/>
      <c r="Q120" s="6"/>
      <c r="R120" s="6"/>
      <c r="S120" s="6"/>
      <c r="T120" s="6"/>
      <c r="U120" s="6"/>
      <c r="V120" s="6" t="str">
        <f>IF(X120="","",VLOOKUP(X120,Configuratie!$B$2:$E$11,2,FALSE))</f>
        <v/>
      </c>
      <c r="W120" s="61"/>
      <c r="X120" s="5"/>
      <c r="Z120" s="6"/>
      <c r="AA120" s="6"/>
      <c r="AB120" s="6"/>
      <c r="AC120" s="6"/>
      <c r="AD120" s="6"/>
      <c r="AE120" s="6"/>
      <c r="AF120" s="6"/>
      <c r="AG120" s="6"/>
      <c r="AH120" s="6"/>
      <c r="AI120" s="6"/>
      <c r="AJ120" s="6"/>
      <c r="AK120" s="6"/>
      <c r="AL120" s="6"/>
      <c r="AM120" s="6"/>
      <c r="AN120" s="6"/>
      <c r="AO120" s="6"/>
      <c r="AP120" s="6"/>
      <c r="AQ120" s="6"/>
      <c r="AR120" s="6"/>
      <c r="AS120" s="6"/>
      <c r="AT120" s="6"/>
      <c r="AU120" s="6"/>
      <c r="AV120" s="6"/>
      <c r="AW120" s="6"/>
      <c r="AX120" s="6">
        <v>12</v>
      </c>
      <c r="AY120" s="6">
        <v>8</v>
      </c>
      <c r="AZ120" s="6">
        <v>9</v>
      </c>
      <c r="BA120" s="6" t="str">
        <f>IF(AND(ISNUMBER(J120),ISNUMBER(M120)),IF(J120+M120=1,1,0),"")</f>
        <v/>
      </c>
      <c r="BB120" s="6"/>
      <c r="BC120" s="48">
        <f t="shared" ref="BC120:BC126" si="106">AY120*100+AZ120</f>
        <v>809</v>
      </c>
      <c r="BD120" s="48">
        <f>AZ120*100+AY120</f>
        <v>908</v>
      </c>
      <c r="BE120" s="6"/>
      <c r="BF120" s="6"/>
      <c r="BG120" s="6"/>
      <c r="BH120" s="6"/>
      <c r="BI120" s="6"/>
      <c r="BJ120" s="6"/>
      <c r="BK120" s="6"/>
      <c r="BL120" s="6"/>
      <c r="BM120" s="6"/>
      <c r="BN120" s="6"/>
      <c r="BO120" s="6"/>
      <c r="BP120" s="6"/>
      <c r="BQ120" s="6"/>
      <c r="BR120" s="6"/>
      <c r="BS120" s="6"/>
      <c r="BT120" s="6"/>
      <c r="BU120" s="6"/>
      <c r="BV120" s="6"/>
      <c r="BW120" s="6"/>
      <c r="BX120" s="6"/>
      <c r="BY120" s="6"/>
      <c r="BZ120" s="6"/>
      <c r="CA120" s="6"/>
      <c r="CB120" s="6"/>
    </row>
    <row r="121" spans="2:80" x14ac:dyDescent="0.25">
      <c r="B121" s="6">
        <v>2</v>
      </c>
      <c r="C121" s="6" t="str">
        <f t="shared" si="104"/>
        <v>H</v>
      </c>
      <c r="D121" s="46" t="s">
        <v>5</v>
      </c>
      <c r="E121" s="90" t="str">
        <f t="shared" si="105"/>
        <v>K</v>
      </c>
      <c r="F121" s="90"/>
      <c r="G121" s="90"/>
      <c r="H121" s="90"/>
      <c r="I121" s="6"/>
      <c r="J121" s="90" t="str">
        <f>IF(X121="","",VLOOKUP(X121,Configuratie!$B$2:$E$11,3,FALSE))</f>
        <v/>
      </c>
      <c r="K121" s="90"/>
      <c r="L121" s="6" t="s">
        <v>5</v>
      </c>
      <c r="M121" s="90" t="str">
        <f>IF(X121="","",VLOOKUP(X121,Configuratie!$B$2:$E$11,4,FALSE))</f>
        <v/>
      </c>
      <c r="N121" s="90"/>
      <c r="O121" s="6"/>
      <c r="P121" s="6"/>
      <c r="Q121" s="6"/>
      <c r="R121" s="6"/>
      <c r="S121" s="6"/>
      <c r="T121" s="6"/>
      <c r="U121" s="6"/>
      <c r="V121" s="6" t="str">
        <f>IF(X121="","",VLOOKUP(X121,Configuratie!$B$2:$E$11,2,FALSE))</f>
        <v/>
      </c>
      <c r="W121" s="61"/>
      <c r="X121" s="5"/>
      <c r="Z121" s="6"/>
      <c r="AA121" s="6"/>
      <c r="AB121" s="6"/>
      <c r="AC121" s="6"/>
      <c r="AD121" s="6"/>
      <c r="AE121" s="6"/>
      <c r="AF121" s="6"/>
      <c r="AG121" s="6"/>
      <c r="AH121" s="6"/>
      <c r="AI121" s="6"/>
      <c r="AJ121" s="6"/>
      <c r="AK121" s="6"/>
      <c r="AL121" s="6"/>
      <c r="AM121" s="6"/>
      <c r="AN121" s="6"/>
      <c r="AO121" s="6"/>
      <c r="AP121" s="6"/>
      <c r="AQ121" s="6"/>
      <c r="AR121" s="6"/>
      <c r="AS121" s="6"/>
      <c r="AT121" s="6"/>
      <c r="AU121" s="6"/>
      <c r="AV121" s="6"/>
      <c r="AW121" s="6"/>
      <c r="AX121" s="6">
        <v>12</v>
      </c>
      <c r="AY121" s="6">
        <v>7</v>
      </c>
      <c r="AZ121" s="6">
        <v>10</v>
      </c>
      <c r="BA121" s="6" t="str">
        <f t="shared" ref="BA121:BA126" si="107">IF(AND(ISNUMBER(J121),ISNUMBER(M121)),IF(J121+M121=1,1,0),"")</f>
        <v/>
      </c>
      <c r="BB121" s="6"/>
      <c r="BC121" s="48">
        <f t="shared" si="106"/>
        <v>710</v>
      </c>
      <c r="BD121" s="48">
        <f t="shared" ref="BD121:BD125" si="108">AZ121*100+AY121</f>
        <v>1007</v>
      </c>
      <c r="BE121" s="6"/>
      <c r="BF121" s="6"/>
      <c r="BG121" s="6"/>
      <c r="BH121" s="6"/>
      <c r="BI121" s="6"/>
      <c r="BJ121" s="6"/>
      <c r="BK121" s="6"/>
      <c r="BL121" s="6"/>
      <c r="BM121" s="6"/>
      <c r="BN121" s="6"/>
      <c r="BO121" s="6"/>
      <c r="BP121" s="6"/>
      <c r="BQ121" s="6"/>
      <c r="BR121" s="6"/>
      <c r="BS121" s="6"/>
      <c r="BT121" s="6"/>
      <c r="BU121" s="6"/>
      <c r="BV121" s="6"/>
      <c r="BW121" s="6"/>
      <c r="BX121" s="6"/>
      <c r="BY121" s="6"/>
      <c r="BZ121" s="6"/>
      <c r="CA121" s="6"/>
      <c r="CB121" s="6"/>
    </row>
    <row r="122" spans="2:80" x14ac:dyDescent="0.25">
      <c r="B122" s="6">
        <v>3</v>
      </c>
      <c r="C122" s="6" t="str">
        <f t="shared" si="104"/>
        <v>G</v>
      </c>
      <c r="D122" s="46" t="s">
        <v>5</v>
      </c>
      <c r="E122" s="90" t="str">
        <f t="shared" si="105"/>
        <v>L</v>
      </c>
      <c r="F122" s="90"/>
      <c r="G122" s="90"/>
      <c r="H122" s="90"/>
      <c r="I122" s="6"/>
      <c r="J122" s="90" t="str">
        <f>IF(X122="","",VLOOKUP(X122,Configuratie!$B$2:$E$11,3,FALSE))</f>
        <v/>
      </c>
      <c r="K122" s="90"/>
      <c r="L122" s="6" t="s">
        <v>5</v>
      </c>
      <c r="M122" s="90" t="str">
        <f>IF(X122="","",VLOOKUP(X122,Configuratie!$B$2:$E$11,4,FALSE))</f>
        <v/>
      </c>
      <c r="N122" s="90"/>
      <c r="O122" s="6"/>
      <c r="P122" s="6"/>
      <c r="Q122" s="6"/>
      <c r="R122" s="6"/>
      <c r="S122" s="6"/>
      <c r="T122" s="6"/>
      <c r="U122" s="6"/>
      <c r="V122" s="6" t="str">
        <f>IF(X122="","",VLOOKUP(X122,Configuratie!$B$2:$E$11,2,FALSE))</f>
        <v/>
      </c>
      <c r="W122" s="61"/>
      <c r="X122" s="5"/>
      <c r="Z122" s="6"/>
      <c r="AA122" s="6"/>
      <c r="AB122" s="6"/>
      <c r="AC122" s="6"/>
      <c r="AD122" s="6"/>
      <c r="AE122" s="6"/>
      <c r="AF122" s="6"/>
      <c r="AG122" s="6"/>
      <c r="AH122" s="6"/>
      <c r="AI122" s="6"/>
      <c r="AJ122" s="6"/>
      <c r="AK122" s="6"/>
      <c r="AL122" s="6"/>
      <c r="AM122" s="6"/>
      <c r="AN122" s="6"/>
      <c r="AO122" s="6"/>
      <c r="AP122" s="6"/>
      <c r="AQ122" s="6"/>
      <c r="AR122" s="6"/>
      <c r="AS122" s="6"/>
      <c r="AT122" s="6"/>
      <c r="AU122" s="6"/>
      <c r="AV122" s="6"/>
      <c r="AW122" s="6"/>
      <c r="AX122" s="6">
        <v>12</v>
      </c>
      <c r="AY122" s="6">
        <v>6</v>
      </c>
      <c r="AZ122" s="6">
        <v>11</v>
      </c>
      <c r="BA122" s="6" t="str">
        <f t="shared" si="107"/>
        <v/>
      </c>
      <c r="BB122" s="6"/>
      <c r="BC122" s="48">
        <f t="shared" si="106"/>
        <v>611</v>
      </c>
      <c r="BD122" s="48">
        <f t="shared" si="108"/>
        <v>1106</v>
      </c>
      <c r="BE122" s="6"/>
      <c r="BF122" s="6"/>
      <c r="BG122" s="6"/>
      <c r="BH122" s="6"/>
      <c r="BI122" s="6"/>
      <c r="BJ122" s="6"/>
      <c r="BK122" s="6"/>
      <c r="BL122" s="6"/>
      <c r="BM122" s="6"/>
      <c r="BN122" s="6"/>
      <c r="BO122" s="6"/>
      <c r="BP122" s="6"/>
      <c r="BQ122" s="6"/>
      <c r="BR122" s="6"/>
      <c r="BS122" s="6"/>
      <c r="BT122" s="6"/>
      <c r="BU122" s="6"/>
      <c r="BV122" s="6"/>
      <c r="BW122" s="6"/>
      <c r="BX122" s="6"/>
      <c r="BY122" s="6"/>
      <c r="BZ122" s="6"/>
      <c r="CA122" s="6"/>
      <c r="CB122" s="6"/>
    </row>
    <row r="123" spans="2:80" x14ac:dyDescent="0.25">
      <c r="B123" s="6">
        <v>4</v>
      </c>
      <c r="C123" s="6" t="str">
        <f t="shared" si="104"/>
        <v>E</v>
      </c>
      <c r="D123" s="46" t="s">
        <v>5</v>
      </c>
      <c r="E123" s="90" t="str">
        <f t="shared" si="105"/>
        <v>M</v>
      </c>
      <c r="F123" s="90"/>
      <c r="G123" s="90"/>
      <c r="H123" s="90"/>
      <c r="I123" s="6"/>
      <c r="J123" s="90" t="str">
        <f>IF(X123="","",VLOOKUP(X123,Configuratie!$B$2:$E$11,3,FALSE))</f>
        <v/>
      </c>
      <c r="K123" s="90"/>
      <c r="L123" s="6" t="s">
        <v>5</v>
      </c>
      <c r="M123" s="90" t="str">
        <f>IF(X123="","",VLOOKUP(X123,Configuratie!$B$2:$E$11,4,FALSE))</f>
        <v/>
      </c>
      <c r="N123" s="90"/>
      <c r="O123" s="6"/>
      <c r="P123" s="6"/>
      <c r="Q123" s="6"/>
      <c r="R123" s="6"/>
      <c r="S123" s="6"/>
      <c r="T123" s="6"/>
      <c r="U123" s="6"/>
      <c r="V123" s="6" t="str">
        <f>IF(X123="","",VLOOKUP(X123,Configuratie!$B$2:$E$11,2,FALSE))</f>
        <v/>
      </c>
      <c r="W123" s="61"/>
      <c r="X123" s="5"/>
      <c r="Z123" s="6"/>
      <c r="AA123" s="6"/>
      <c r="AB123" s="6"/>
      <c r="AC123" s="6"/>
      <c r="AD123" s="6"/>
      <c r="AE123" s="6"/>
      <c r="AF123" s="6"/>
      <c r="AG123" s="6"/>
      <c r="AH123" s="6"/>
      <c r="AI123" s="6"/>
      <c r="AJ123" s="6"/>
      <c r="AK123" s="6"/>
      <c r="AL123" s="6"/>
      <c r="AM123" s="6"/>
      <c r="AN123" s="6"/>
      <c r="AO123" s="6"/>
      <c r="AP123" s="6"/>
      <c r="AQ123" s="6"/>
      <c r="AR123" s="6"/>
      <c r="AS123" s="6"/>
      <c r="AT123" s="6"/>
      <c r="AU123" s="6"/>
      <c r="AV123" s="6"/>
      <c r="AW123" s="6"/>
      <c r="AX123" s="6">
        <v>12</v>
      </c>
      <c r="AY123" s="6">
        <v>5</v>
      </c>
      <c r="AZ123" s="6">
        <v>12</v>
      </c>
      <c r="BA123" s="6" t="str">
        <f t="shared" si="107"/>
        <v/>
      </c>
      <c r="BB123" s="6"/>
      <c r="BC123" s="48">
        <f t="shared" si="106"/>
        <v>512</v>
      </c>
      <c r="BD123" s="48">
        <f t="shared" si="108"/>
        <v>1205</v>
      </c>
      <c r="BE123" s="6"/>
      <c r="BF123" s="6"/>
      <c r="BG123" s="6"/>
      <c r="BH123" s="6"/>
      <c r="BI123" s="6"/>
      <c r="BJ123" s="6"/>
      <c r="BK123" s="6"/>
      <c r="BL123" s="6"/>
      <c r="BM123" s="6"/>
      <c r="BN123" s="6"/>
      <c r="BO123" s="6"/>
      <c r="BP123" s="6"/>
      <c r="BQ123" s="6"/>
      <c r="BR123" s="6"/>
      <c r="BS123" s="6"/>
      <c r="BT123" s="6"/>
      <c r="BU123" s="6"/>
      <c r="BV123" s="6"/>
      <c r="BW123" s="6"/>
      <c r="BX123" s="6"/>
      <c r="BY123" s="6"/>
      <c r="BZ123" s="6"/>
      <c r="CA123" s="6"/>
      <c r="CB123" s="6"/>
    </row>
    <row r="124" spans="2:80" x14ac:dyDescent="0.25">
      <c r="B124" s="6">
        <v>5</v>
      </c>
      <c r="C124" s="6" t="str">
        <f t="shared" si="104"/>
        <v>D</v>
      </c>
      <c r="D124" s="46" t="s">
        <v>5</v>
      </c>
      <c r="E124" s="90" t="str">
        <f t="shared" si="105"/>
        <v>N</v>
      </c>
      <c r="F124" s="90"/>
      <c r="G124" s="90"/>
      <c r="H124" s="90"/>
      <c r="I124" s="6"/>
      <c r="J124" s="90" t="str">
        <f>IF(X124="","",VLOOKUP(X124,Configuratie!$B$2:$E$11,3,FALSE))</f>
        <v/>
      </c>
      <c r="K124" s="90"/>
      <c r="L124" s="6" t="s">
        <v>5</v>
      </c>
      <c r="M124" s="90" t="str">
        <f>IF(X124="","",VLOOKUP(X124,Configuratie!$B$2:$E$11,4,FALSE))</f>
        <v/>
      </c>
      <c r="N124" s="90"/>
      <c r="O124" s="6"/>
      <c r="P124" s="6"/>
      <c r="Q124" s="6"/>
      <c r="R124" s="6"/>
      <c r="S124" s="6"/>
      <c r="T124" s="6"/>
      <c r="U124" s="6"/>
      <c r="V124" s="6" t="str">
        <f>IF(X124="","",VLOOKUP(X124,Configuratie!$B$2:$E$11,2,FALSE))</f>
        <v/>
      </c>
      <c r="W124" s="61"/>
      <c r="X124" s="5"/>
      <c r="Z124" s="6"/>
      <c r="AA124" s="6"/>
      <c r="AB124" s="6"/>
      <c r="AC124" s="6"/>
      <c r="AD124" s="6"/>
      <c r="AE124" s="6"/>
      <c r="AF124" s="6"/>
      <c r="AG124" s="6"/>
      <c r="AH124" s="6"/>
      <c r="AI124" s="6"/>
      <c r="AJ124" s="6"/>
      <c r="AK124" s="6"/>
      <c r="AL124" s="6"/>
      <c r="AM124" s="6"/>
      <c r="AN124" s="6"/>
      <c r="AO124" s="6"/>
      <c r="AP124" s="6"/>
      <c r="AQ124" s="6"/>
      <c r="AR124" s="6"/>
      <c r="AS124" s="6"/>
      <c r="AT124" s="6"/>
      <c r="AU124" s="6"/>
      <c r="AV124" s="6"/>
      <c r="AW124" s="6"/>
      <c r="AX124" s="6">
        <v>12</v>
      </c>
      <c r="AY124" s="6">
        <v>4</v>
      </c>
      <c r="AZ124" s="6">
        <v>13</v>
      </c>
      <c r="BA124" s="6" t="str">
        <f t="shared" si="107"/>
        <v/>
      </c>
      <c r="BB124" s="6"/>
      <c r="BC124" s="48">
        <f t="shared" si="106"/>
        <v>413</v>
      </c>
      <c r="BD124" s="48">
        <f>AZ124*100+AY124</f>
        <v>1304</v>
      </c>
      <c r="BE124" s="6"/>
      <c r="BF124" s="6"/>
      <c r="BG124" s="6"/>
      <c r="BH124" s="6"/>
      <c r="BI124" s="6"/>
      <c r="BJ124" s="6"/>
      <c r="BK124" s="6"/>
      <c r="BL124" s="6"/>
      <c r="BM124" s="6"/>
      <c r="BN124" s="6"/>
      <c r="BO124" s="6"/>
      <c r="BP124" s="6"/>
      <c r="BQ124" s="6"/>
      <c r="BR124" s="6"/>
      <c r="BS124" s="6"/>
      <c r="BT124" s="6"/>
      <c r="BU124" s="6"/>
      <c r="BV124" s="6"/>
      <c r="BW124" s="6"/>
      <c r="BX124" s="6"/>
      <c r="BY124" s="6"/>
      <c r="BZ124" s="6"/>
      <c r="CA124" s="6"/>
      <c r="CB124" s="6"/>
    </row>
    <row r="125" spans="2:80" x14ac:dyDescent="0.25">
      <c r="B125" s="6">
        <v>6</v>
      </c>
      <c r="C125" s="6" t="str">
        <f t="shared" si="104"/>
        <v>C</v>
      </c>
      <c r="D125" s="46" t="s">
        <v>5</v>
      </c>
      <c r="E125" s="90" t="str">
        <f t="shared" si="105"/>
        <v>A</v>
      </c>
      <c r="F125" s="90"/>
      <c r="G125" s="90"/>
      <c r="H125" s="90"/>
      <c r="I125" s="6"/>
      <c r="J125" s="90" t="str">
        <f>IF(X125="","",VLOOKUP(X125,Configuratie!$B$2:$E$11,3,FALSE))</f>
        <v/>
      </c>
      <c r="K125" s="90"/>
      <c r="L125" s="6" t="s">
        <v>5</v>
      </c>
      <c r="M125" s="90" t="str">
        <f>IF(X125="","",VLOOKUP(X125,Configuratie!$B$2:$E$11,4,FALSE))</f>
        <v/>
      </c>
      <c r="N125" s="90"/>
      <c r="O125" s="6"/>
      <c r="P125" s="6"/>
      <c r="Q125" s="6"/>
      <c r="R125" s="6"/>
      <c r="S125" s="6"/>
      <c r="T125" s="6"/>
      <c r="U125" s="6"/>
      <c r="V125" s="6" t="str">
        <f>IF(X125="","",VLOOKUP(X125,Configuratie!$B$2:$E$11,2,FALSE))</f>
        <v/>
      </c>
      <c r="W125" s="61"/>
      <c r="X125" s="5"/>
      <c r="Z125" s="6"/>
      <c r="AA125" s="6"/>
      <c r="AB125" s="6"/>
      <c r="AC125" s="6"/>
      <c r="AD125" s="6"/>
      <c r="AE125" s="6"/>
      <c r="AF125" s="6"/>
      <c r="AG125" s="6"/>
      <c r="AH125" s="6"/>
      <c r="AI125" s="6"/>
      <c r="AJ125" s="6"/>
      <c r="AK125" s="6"/>
      <c r="AL125" s="6"/>
      <c r="AM125" s="6"/>
      <c r="AN125" s="6"/>
      <c r="AO125" s="6"/>
      <c r="AP125" s="6"/>
      <c r="AQ125" s="6"/>
      <c r="AR125" s="6"/>
      <c r="AS125" s="6"/>
      <c r="AT125" s="6"/>
      <c r="AU125" s="6"/>
      <c r="AV125" s="6"/>
      <c r="AW125" s="6"/>
      <c r="AX125" s="6">
        <v>12</v>
      </c>
      <c r="AY125" s="6">
        <v>3</v>
      </c>
      <c r="AZ125" s="6">
        <v>1</v>
      </c>
      <c r="BA125" s="6" t="str">
        <f t="shared" si="107"/>
        <v/>
      </c>
      <c r="BB125" s="6"/>
      <c r="BC125" s="48">
        <f t="shared" si="106"/>
        <v>301</v>
      </c>
      <c r="BD125" s="48">
        <f t="shared" si="108"/>
        <v>103</v>
      </c>
      <c r="BE125" s="6"/>
      <c r="BF125" s="6"/>
      <c r="BG125" s="6"/>
      <c r="BH125" s="6"/>
      <c r="BI125" s="6"/>
      <c r="BJ125" s="6"/>
      <c r="BK125" s="6"/>
      <c r="BL125" s="6"/>
      <c r="BM125" s="6"/>
      <c r="BN125" s="6"/>
      <c r="BO125" s="6"/>
      <c r="BP125" s="6"/>
      <c r="BQ125" s="6"/>
      <c r="BR125" s="6"/>
      <c r="BS125" s="6"/>
      <c r="BT125" s="6"/>
      <c r="BU125" s="6"/>
      <c r="BV125" s="6"/>
      <c r="BW125" s="6"/>
      <c r="BX125" s="6"/>
      <c r="BY125" s="6"/>
      <c r="BZ125" s="6"/>
      <c r="CA125" s="6"/>
      <c r="CB125" s="6"/>
    </row>
    <row r="126" spans="2:80" x14ac:dyDescent="0.25">
      <c r="B126" s="6">
        <v>7</v>
      </c>
      <c r="C126" s="6" t="str">
        <f t="shared" si="104"/>
        <v>B</v>
      </c>
      <c r="D126" s="46" t="s">
        <v>5</v>
      </c>
      <c r="E126" s="90" t="str">
        <f t="shared" si="105"/>
        <v>O</v>
      </c>
      <c r="F126" s="90"/>
      <c r="G126" s="90"/>
      <c r="H126" s="90"/>
      <c r="I126" s="6"/>
      <c r="J126" s="90" t="str">
        <f>IF(X126="","",VLOOKUP(X126,Configuratie!$B$2:$E$11,3,FALSE))</f>
        <v/>
      </c>
      <c r="K126" s="90"/>
      <c r="L126" s="6" t="s">
        <v>5</v>
      </c>
      <c r="M126" s="90" t="str">
        <f>IF(X126="","",VLOOKUP(X126,Configuratie!$B$2:$E$11,4,FALSE))</f>
        <v/>
      </c>
      <c r="N126" s="90"/>
      <c r="O126" s="6"/>
      <c r="P126" s="6"/>
      <c r="Q126" s="6"/>
      <c r="R126" s="6"/>
      <c r="S126" s="6"/>
      <c r="T126" s="6"/>
      <c r="U126" s="6"/>
      <c r="V126" s="6" t="str">
        <f>IF(X126="","",VLOOKUP(X126,Configuratie!$B$2:$E$11,2,FALSE))</f>
        <v/>
      </c>
      <c r="W126" s="61"/>
      <c r="X126" s="5"/>
      <c r="Z126" s="6"/>
      <c r="AA126" s="6"/>
      <c r="AB126" s="6"/>
      <c r="AC126" s="6"/>
      <c r="AD126" s="6"/>
      <c r="AE126" s="6"/>
      <c r="AF126" s="6"/>
      <c r="AG126" s="6"/>
      <c r="AH126" s="6"/>
      <c r="AI126" s="6"/>
      <c r="AJ126" s="6"/>
      <c r="AK126" s="6"/>
      <c r="AL126" s="6"/>
      <c r="AM126" s="6"/>
      <c r="AN126" s="6"/>
      <c r="AO126" s="6"/>
      <c r="AP126" s="6"/>
      <c r="AQ126" s="6"/>
      <c r="AR126" s="6"/>
      <c r="AS126" s="6"/>
      <c r="AT126" s="6"/>
      <c r="AU126" s="6"/>
      <c r="AV126" s="6"/>
      <c r="AW126" s="6"/>
      <c r="AX126" s="6">
        <v>12</v>
      </c>
      <c r="AY126" s="6">
        <v>2</v>
      </c>
      <c r="AZ126" s="6">
        <v>14</v>
      </c>
      <c r="BA126" s="6" t="str">
        <f t="shared" si="107"/>
        <v/>
      </c>
      <c r="BB126" s="6"/>
      <c r="BC126" s="48">
        <f t="shared" si="106"/>
        <v>214</v>
      </c>
      <c r="BD126" s="48">
        <f>AZ126*100+AY126</f>
        <v>1402</v>
      </c>
      <c r="BE126" s="6"/>
      <c r="BF126" s="6"/>
      <c r="BG126" s="6"/>
      <c r="BH126" s="6"/>
      <c r="BI126" s="6"/>
      <c r="BJ126" s="6"/>
      <c r="BK126" s="6"/>
      <c r="BL126" s="6"/>
      <c r="BM126" s="6"/>
      <c r="BN126" s="6"/>
      <c r="BO126" s="6"/>
      <c r="BP126" s="6"/>
      <c r="BQ126" s="6"/>
      <c r="BR126" s="6"/>
      <c r="BS126" s="6"/>
      <c r="BT126" s="6"/>
      <c r="BU126" s="6"/>
      <c r="BV126" s="6"/>
      <c r="BW126" s="6"/>
      <c r="BX126" s="6"/>
      <c r="BY126" s="6"/>
      <c r="BZ126" s="6"/>
      <c r="CA126" s="6"/>
      <c r="CB126" s="6"/>
    </row>
    <row r="127" spans="2:80" x14ac:dyDescent="0.25">
      <c r="B127" s="11"/>
      <c r="C127" s="11"/>
      <c r="D127" s="11"/>
      <c r="E127" s="11"/>
      <c r="F127" s="11"/>
      <c r="G127" s="11"/>
      <c r="H127" s="11"/>
      <c r="I127" s="11"/>
      <c r="J127" s="11"/>
      <c r="K127" s="11"/>
      <c r="L127" s="11"/>
      <c r="M127" s="11"/>
      <c r="N127" s="11"/>
      <c r="O127" s="11"/>
      <c r="P127" s="11"/>
      <c r="Q127" s="11"/>
      <c r="R127" s="11"/>
      <c r="S127" s="11"/>
      <c r="T127" s="11"/>
      <c r="U127" s="11"/>
      <c r="V127" s="11"/>
      <c r="W127" s="11"/>
      <c r="X127" s="11"/>
      <c r="Z127" s="6"/>
      <c r="AA127" s="6"/>
      <c r="AB127" s="6"/>
      <c r="AC127" s="6"/>
      <c r="AD127" s="6"/>
      <c r="AE127" s="6"/>
      <c r="AF127" s="6"/>
      <c r="AG127" s="6"/>
      <c r="AH127" s="6"/>
      <c r="AI127" s="6"/>
      <c r="AJ127" s="6"/>
      <c r="AK127" s="6"/>
      <c r="AL127" s="6"/>
      <c r="AM127" s="6"/>
      <c r="AN127" s="6"/>
      <c r="AO127" s="6"/>
      <c r="AP127" s="6"/>
      <c r="AQ127" s="6"/>
      <c r="AR127" s="6"/>
      <c r="AS127" s="6"/>
      <c r="AT127" s="6"/>
      <c r="AU127" s="6"/>
      <c r="AV127" s="6"/>
      <c r="AW127" s="6"/>
      <c r="AX127" s="6"/>
      <c r="AY127" s="6"/>
      <c r="AZ127" s="6"/>
      <c r="BA127" s="6"/>
      <c r="BB127" s="6"/>
      <c r="BC127" s="6"/>
      <c r="BD127" s="6"/>
      <c r="BE127" s="6"/>
      <c r="BF127" s="6"/>
      <c r="BG127" s="6"/>
      <c r="BH127" s="6"/>
      <c r="BI127" s="6"/>
      <c r="BJ127" s="6"/>
      <c r="BK127" s="6"/>
      <c r="BL127" s="6"/>
      <c r="BM127" s="6"/>
      <c r="BN127" s="6"/>
      <c r="BO127" s="6"/>
      <c r="BP127" s="6"/>
      <c r="BQ127" s="6"/>
      <c r="BR127" s="6"/>
      <c r="BS127" s="6"/>
      <c r="BT127" s="6"/>
      <c r="BU127" s="6"/>
      <c r="BV127" s="6"/>
      <c r="BW127" s="6"/>
      <c r="BX127" s="6"/>
      <c r="BY127" s="6"/>
      <c r="BZ127" s="6"/>
      <c r="CA127" s="6"/>
      <c r="CB127" s="6"/>
    </row>
    <row r="128" spans="2:80" x14ac:dyDescent="0.25">
      <c r="B128" s="45" t="s">
        <v>83</v>
      </c>
      <c r="C128" s="6"/>
      <c r="D128" s="6"/>
      <c r="E128" s="6"/>
      <c r="F128" s="6"/>
      <c r="G128" s="6"/>
      <c r="H128" s="6"/>
      <c r="I128" s="6"/>
      <c r="J128" s="6"/>
      <c r="K128" s="6"/>
      <c r="L128" s="6"/>
      <c r="M128" s="6"/>
      <c r="N128" s="6"/>
      <c r="O128" s="6"/>
      <c r="P128" s="6"/>
      <c r="Q128" s="6"/>
      <c r="R128" s="6"/>
      <c r="S128" s="6"/>
      <c r="T128" s="6"/>
      <c r="U128" s="6"/>
      <c r="V128" s="6"/>
      <c r="W128" s="6"/>
      <c r="X128" s="6"/>
      <c r="Z128" s="6"/>
      <c r="AA128" s="6"/>
      <c r="AB128" s="6"/>
      <c r="AC128" s="6"/>
      <c r="AD128" s="6"/>
      <c r="AE128" s="6"/>
      <c r="AF128" s="6"/>
      <c r="AG128" s="6"/>
      <c r="AH128" s="6"/>
      <c r="AI128" s="6"/>
      <c r="AJ128" s="6"/>
      <c r="AK128" s="6"/>
      <c r="AL128" s="6"/>
      <c r="AM128" s="6"/>
      <c r="AN128" s="6"/>
      <c r="AO128" s="6"/>
      <c r="AP128" s="6"/>
      <c r="AQ128" s="6"/>
      <c r="AR128" s="6"/>
      <c r="AS128" s="6"/>
      <c r="AT128" s="6"/>
      <c r="AU128" s="6"/>
      <c r="AV128" s="6"/>
      <c r="AW128" s="6"/>
      <c r="AX128" s="6"/>
      <c r="AY128" s="6"/>
      <c r="AZ128" s="6"/>
      <c r="BA128" s="6"/>
      <c r="BB128" s="6"/>
      <c r="BC128" s="6"/>
      <c r="BD128" s="6"/>
      <c r="BE128" s="6"/>
      <c r="BF128" s="6"/>
      <c r="BG128" s="6"/>
      <c r="BH128" s="6"/>
      <c r="BI128" s="6"/>
      <c r="BJ128" s="6"/>
      <c r="BK128" s="6"/>
      <c r="BL128" s="6"/>
      <c r="BM128" s="6"/>
      <c r="BN128" s="6"/>
      <c r="BO128" s="6"/>
      <c r="BP128" s="6"/>
      <c r="BQ128" s="6"/>
      <c r="BR128" s="6"/>
      <c r="BS128" s="6"/>
      <c r="BT128" s="6"/>
      <c r="BU128" s="6"/>
      <c r="BV128" s="6"/>
      <c r="BW128" s="6"/>
      <c r="BX128" s="6"/>
      <c r="BY128" s="6"/>
      <c r="BZ128" s="6"/>
      <c r="CA128" s="6"/>
      <c r="CB128" s="6"/>
    </row>
    <row r="129" spans="2:80" x14ac:dyDescent="0.25">
      <c r="B129" s="6">
        <v>1</v>
      </c>
      <c r="C129" s="6" t="str">
        <f t="shared" ref="C129:C135" si="109">VLOOKUP(AY129,$B$4:$F$17,2,FALSE)</f>
        <v>O</v>
      </c>
      <c r="D129" s="46" t="s">
        <v>5</v>
      </c>
      <c r="E129" s="90" t="str">
        <f t="shared" ref="E129:E135" si="110">VLOOKUP(AZ129,$B$4:$F$17,2,FALSE)</f>
        <v>I</v>
      </c>
      <c r="F129" s="90"/>
      <c r="G129" s="90"/>
      <c r="H129" s="90"/>
      <c r="I129" s="6"/>
      <c r="J129" s="90" t="str">
        <f>IF(X129="","",VLOOKUP(X129,Configuratie!$B$2:$E$11,3,FALSE))</f>
        <v/>
      </c>
      <c r="K129" s="90"/>
      <c r="L129" s="6" t="s">
        <v>5</v>
      </c>
      <c r="M129" s="90" t="str">
        <f>IF(X129="","",VLOOKUP(X129,Configuratie!$B$2:$E$11,4,FALSE))</f>
        <v/>
      </c>
      <c r="N129" s="90"/>
      <c r="O129" s="6"/>
      <c r="P129" s="6"/>
      <c r="Q129" s="6"/>
      <c r="R129" s="6"/>
      <c r="S129" s="6"/>
      <c r="T129" s="6"/>
      <c r="U129" s="6"/>
      <c r="V129" s="6" t="str">
        <f>IF(X129="","",VLOOKUP(X129,Configuratie!$B$2:$E$11,2,FALSE))</f>
        <v/>
      </c>
      <c r="W129" s="61"/>
      <c r="X129" s="5"/>
      <c r="Z129" s="6"/>
      <c r="AA129" s="6"/>
      <c r="AB129" s="6"/>
      <c r="AC129" s="6"/>
      <c r="AD129" s="6"/>
      <c r="AE129" s="6"/>
      <c r="AF129" s="6"/>
      <c r="AG129" s="6"/>
      <c r="AH129" s="6"/>
      <c r="AI129" s="6"/>
      <c r="AJ129" s="6"/>
      <c r="AK129" s="6"/>
      <c r="AL129" s="6"/>
      <c r="AM129" s="6"/>
      <c r="AN129" s="6"/>
      <c r="AO129" s="6"/>
      <c r="AP129" s="6"/>
      <c r="AQ129" s="6"/>
      <c r="AR129" s="6"/>
      <c r="AS129" s="6"/>
      <c r="AT129" s="6"/>
      <c r="AU129" s="6"/>
      <c r="AV129" s="6"/>
      <c r="AW129" s="6"/>
      <c r="AX129" s="6">
        <v>13</v>
      </c>
      <c r="AY129" s="6">
        <v>14</v>
      </c>
      <c r="AZ129" s="6">
        <v>8</v>
      </c>
      <c r="BA129" s="6" t="str">
        <f>IF(AND(ISNUMBER(J129),ISNUMBER(M129)),IF(J129+M129=1,1,0),"")</f>
        <v/>
      </c>
      <c r="BB129" s="6"/>
      <c r="BC129" s="48">
        <f t="shared" ref="BC129:BC135" si="111">AY129*100+AZ129</f>
        <v>1408</v>
      </c>
      <c r="BD129" s="48">
        <f>AZ129*100+AY129</f>
        <v>814</v>
      </c>
      <c r="BE129" s="6"/>
      <c r="BF129" s="6"/>
      <c r="BG129" s="6"/>
      <c r="BH129" s="6"/>
      <c r="BI129" s="6"/>
      <c r="BJ129" s="6"/>
      <c r="BK129" s="6"/>
      <c r="BL129" s="6"/>
      <c r="BM129" s="6"/>
      <c r="BN129" s="6"/>
      <c r="BO129" s="6"/>
      <c r="BP129" s="6"/>
      <c r="BQ129" s="6"/>
      <c r="BR129" s="6"/>
      <c r="BS129" s="6"/>
      <c r="BT129" s="6"/>
      <c r="BU129" s="6"/>
      <c r="BV129" s="6"/>
      <c r="BW129" s="6"/>
      <c r="BX129" s="6"/>
      <c r="BY129" s="6"/>
      <c r="BZ129" s="6"/>
      <c r="CA129" s="6"/>
      <c r="CB129" s="6"/>
    </row>
    <row r="130" spans="2:80" x14ac:dyDescent="0.25">
      <c r="B130" s="6">
        <v>2</v>
      </c>
      <c r="C130" s="6" t="str">
        <f t="shared" si="109"/>
        <v>J</v>
      </c>
      <c r="D130" s="46" t="s">
        <v>5</v>
      </c>
      <c r="E130" s="90" t="str">
        <f t="shared" si="110"/>
        <v>H</v>
      </c>
      <c r="F130" s="90"/>
      <c r="G130" s="90"/>
      <c r="H130" s="90"/>
      <c r="I130" s="6"/>
      <c r="J130" s="90" t="str">
        <f>IF(X130="","",VLOOKUP(X130,Configuratie!$B$2:$E$11,3,FALSE))</f>
        <v/>
      </c>
      <c r="K130" s="90"/>
      <c r="L130" s="6" t="s">
        <v>5</v>
      </c>
      <c r="M130" s="90" t="str">
        <f>IF(X130="","",VLOOKUP(X130,Configuratie!$B$2:$E$11,4,FALSE))</f>
        <v/>
      </c>
      <c r="N130" s="90"/>
      <c r="O130" s="6"/>
      <c r="P130" s="6"/>
      <c r="Q130" s="6"/>
      <c r="R130" s="6"/>
      <c r="S130" s="6"/>
      <c r="T130" s="6"/>
      <c r="U130" s="6"/>
      <c r="V130" s="6" t="str">
        <f>IF(X130="","",VLOOKUP(X130,Configuratie!$B$2:$E$11,2,FALSE))</f>
        <v/>
      </c>
      <c r="W130" s="61"/>
      <c r="X130" s="5"/>
      <c r="Z130" s="6"/>
      <c r="AA130" s="6"/>
      <c r="AB130" s="6"/>
      <c r="AC130" s="6"/>
      <c r="AD130" s="6"/>
      <c r="AE130" s="6"/>
      <c r="AF130" s="6"/>
      <c r="AG130" s="6"/>
      <c r="AH130" s="6"/>
      <c r="AI130" s="6"/>
      <c r="AJ130" s="6"/>
      <c r="AK130" s="6"/>
      <c r="AL130" s="6"/>
      <c r="AM130" s="6"/>
      <c r="AN130" s="6"/>
      <c r="AO130" s="6"/>
      <c r="AP130" s="6"/>
      <c r="AQ130" s="6"/>
      <c r="AR130" s="6"/>
      <c r="AS130" s="6"/>
      <c r="AT130" s="6"/>
      <c r="AU130" s="6"/>
      <c r="AV130" s="6"/>
      <c r="AW130" s="6"/>
      <c r="AX130" s="6">
        <v>13</v>
      </c>
      <c r="AY130" s="6">
        <v>9</v>
      </c>
      <c r="AZ130" s="6">
        <v>7</v>
      </c>
      <c r="BA130" s="6" t="str">
        <f t="shared" ref="BA130:BA135" si="112">IF(AND(ISNUMBER(J130),ISNUMBER(M130)),IF(J130+M130=1,1,0),"")</f>
        <v/>
      </c>
      <c r="BB130" s="6"/>
      <c r="BC130" s="48">
        <f t="shared" si="111"/>
        <v>907</v>
      </c>
      <c r="BD130" s="48">
        <f t="shared" ref="BD130:BD134" si="113">AZ130*100+AY130</f>
        <v>709</v>
      </c>
      <c r="BE130" s="6"/>
      <c r="BF130" s="6"/>
      <c r="BG130" s="6"/>
      <c r="BH130" s="6"/>
      <c r="BI130" s="6"/>
      <c r="BJ130" s="6"/>
      <c r="BK130" s="6"/>
      <c r="BL130" s="6"/>
      <c r="BM130" s="6"/>
      <c r="BN130" s="6"/>
      <c r="BO130" s="6"/>
      <c r="BP130" s="6"/>
      <c r="BQ130" s="6"/>
      <c r="BR130" s="6"/>
      <c r="BS130" s="6"/>
      <c r="BT130" s="6"/>
      <c r="BU130" s="6"/>
      <c r="BV130" s="6"/>
      <c r="BW130" s="6"/>
      <c r="BX130" s="6"/>
      <c r="BY130" s="6"/>
      <c r="BZ130" s="6"/>
      <c r="CA130" s="6"/>
      <c r="CB130" s="6"/>
    </row>
    <row r="131" spans="2:80" x14ac:dyDescent="0.25">
      <c r="B131" s="6">
        <v>3</v>
      </c>
      <c r="C131" s="6" t="str">
        <f t="shared" si="109"/>
        <v>K</v>
      </c>
      <c r="D131" s="46" t="s">
        <v>5</v>
      </c>
      <c r="E131" s="90" t="str">
        <f t="shared" si="110"/>
        <v>G</v>
      </c>
      <c r="F131" s="90"/>
      <c r="G131" s="90"/>
      <c r="H131" s="90"/>
      <c r="I131" s="6"/>
      <c r="J131" s="90" t="str">
        <f>IF(X131="","",VLOOKUP(X131,Configuratie!$B$2:$E$11,3,FALSE))</f>
        <v/>
      </c>
      <c r="K131" s="90"/>
      <c r="L131" s="6" t="s">
        <v>5</v>
      </c>
      <c r="M131" s="90" t="str">
        <f>IF(X131="","",VLOOKUP(X131,Configuratie!$B$2:$E$11,4,FALSE))</f>
        <v/>
      </c>
      <c r="N131" s="90"/>
      <c r="O131" s="6"/>
      <c r="P131" s="6"/>
      <c r="Q131" s="6"/>
      <c r="R131" s="6"/>
      <c r="S131" s="6"/>
      <c r="T131" s="6"/>
      <c r="U131" s="6"/>
      <c r="V131" s="6" t="str">
        <f>IF(X131="","",VLOOKUP(X131,Configuratie!$B$2:$E$11,2,FALSE))</f>
        <v/>
      </c>
      <c r="W131" s="61"/>
      <c r="X131" s="5"/>
      <c r="Z131" s="6"/>
      <c r="AA131" s="6"/>
      <c r="AB131" s="6"/>
      <c r="AC131" s="6"/>
      <c r="AD131" s="6"/>
      <c r="AE131" s="6"/>
      <c r="AF131" s="6"/>
      <c r="AG131" s="6"/>
      <c r="AH131" s="6"/>
      <c r="AI131" s="6"/>
      <c r="AJ131" s="6"/>
      <c r="AK131" s="6"/>
      <c r="AL131" s="6"/>
      <c r="AM131" s="6"/>
      <c r="AN131" s="6"/>
      <c r="AO131" s="6"/>
      <c r="AP131" s="6"/>
      <c r="AQ131" s="6"/>
      <c r="AR131" s="6"/>
      <c r="AS131" s="6"/>
      <c r="AT131" s="6"/>
      <c r="AU131" s="6"/>
      <c r="AV131" s="6"/>
      <c r="AW131" s="6"/>
      <c r="AX131" s="6">
        <v>13</v>
      </c>
      <c r="AY131" s="6">
        <v>10</v>
      </c>
      <c r="AZ131" s="6">
        <v>6</v>
      </c>
      <c r="BA131" s="6" t="str">
        <f t="shared" si="112"/>
        <v/>
      </c>
      <c r="BB131" s="6"/>
      <c r="BC131" s="48">
        <f t="shared" si="111"/>
        <v>1006</v>
      </c>
      <c r="BD131" s="48">
        <f t="shared" si="113"/>
        <v>610</v>
      </c>
      <c r="BE131" s="6"/>
      <c r="BF131" s="6"/>
      <c r="BG131" s="6"/>
      <c r="BH131" s="6"/>
      <c r="BI131" s="6"/>
      <c r="BJ131" s="6"/>
      <c r="BK131" s="6"/>
      <c r="BL131" s="6"/>
      <c r="BM131" s="6"/>
      <c r="BN131" s="6"/>
      <c r="BO131" s="6"/>
      <c r="BP131" s="6"/>
      <c r="BQ131" s="6"/>
      <c r="BR131" s="6"/>
      <c r="BS131" s="6"/>
      <c r="BT131" s="6"/>
      <c r="BU131" s="6"/>
      <c r="BV131" s="6"/>
      <c r="BW131" s="6"/>
      <c r="BX131" s="6"/>
      <c r="BY131" s="6"/>
      <c r="BZ131" s="6"/>
      <c r="CA131" s="6"/>
      <c r="CB131" s="6"/>
    </row>
    <row r="132" spans="2:80" x14ac:dyDescent="0.25">
      <c r="B132" s="6">
        <v>4</v>
      </c>
      <c r="C132" s="6" t="str">
        <f t="shared" si="109"/>
        <v>L</v>
      </c>
      <c r="D132" s="46" t="s">
        <v>5</v>
      </c>
      <c r="E132" s="90" t="str">
        <f t="shared" si="110"/>
        <v>E</v>
      </c>
      <c r="F132" s="90"/>
      <c r="G132" s="90"/>
      <c r="H132" s="90"/>
      <c r="I132" s="6"/>
      <c r="J132" s="90" t="str">
        <f>IF(X132="","",VLOOKUP(X132,Configuratie!$B$2:$E$11,3,FALSE))</f>
        <v/>
      </c>
      <c r="K132" s="90"/>
      <c r="L132" s="6" t="s">
        <v>5</v>
      </c>
      <c r="M132" s="90" t="str">
        <f>IF(X132="","",VLOOKUP(X132,Configuratie!$B$2:$E$11,4,FALSE))</f>
        <v/>
      </c>
      <c r="N132" s="90"/>
      <c r="O132" s="6"/>
      <c r="P132" s="6"/>
      <c r="Q132" s="6"/>
      <c r="R132" s="6"/>
      <c r="S132" s="6"/>
      <c r="T132" s="6"/>
      <c r="U132" s="6"/>
      <c r="V132" s="6" t="str">
        <f>IF(X132="","",VLOOKUP(X132,Configuratie!$B$2:$E$11,2,FALSE))</f>
        <v/>
      </c>
      <c r="W132" s="61"/>
      <c r="X132" s="5"/>
      <c r="Z132" s="6"/>
      <c r="AA132" s="6"/>
      <c r="AB132" s="6"/>
      <c r="AC132" s="6"/>
      <c r="AD132" s="6"/>
      <c r="AE132" s="6"/>
      <c r="AF132" s="6"/>
      <c r="AG132" s="6"/>
      <c r="AH132" s="6"/>
      <c r="AI132" s="6"/>
      <c r="AJ132" s="6"/>
      <c r="AK132" s="6"/>
      <c r="AL132" s="6"/>
      <c r="AM132" s="6"/>
      <c r="AN132" s="6"/>
      <c r="AO132" s="6"/>
      <c r="AP132" s="6"/>
      <c r="AQ132" s="6"/>
      <c r="AR132" s="6"/>
      <c r="AS132" s="6"/>
      <c r="AT132" s="6"/>
      <c r="AU132" s="6"/>
      <c r="AV132" s="6"/>
      <c r="AW132" s="6"/>
      <c r="AX132" s="6">
        <v>13</v>
      </c>
      <c r="AY132" s="6">
        <v>11</v>
      </c>
      <c r="AZ132" s="6">
        <v>5</v>
      </c>
      <c r="BA132" s="6" t="str">
        <f t="shared" si="112"/>
        <v/>
      </c>
      <c r="BB132" s="6"/>
      <c r="BC132" s="48">
        <f t="shared" si="111"/>
        <v>1105</v>
      </c>
      <c r="BD132" s="48">
        <f t="shared" si="113"/>
        <v>511</v>
      </c>
      <c r="BE132" s="6"/>
      <c r="BF132" s="6"/>
      <c r="BG132" s="6"/>
      <c r="BH132" s="6"/>
      <c r="BI132" s="6"/>
      <c r="BJ132" s="6"/>
      <c r="BK132" s="6"/>
      <c r="BL132" s="6"/>
      <c r="BM132" s="6"/>
      <c r="BN132" s="6"/>
      <c r="BO132" s="6"/>
      <c r="BP132" s="6"/>
      <c r="BQ132" s="6"/>
      <c r="BR132" s="6"/>
      <c r="BS132" s="6"/>
      <c r="BT132" s="6"/>
      <c r="BU132" s="6"/>
      <c r="BV132" s="6"/>
      <c r="BW132" s="6"/>
      <c r="BX132" s="6"/>
      <c r="BY132" s="6"/>
      <c r="BZ132" s="6"/>
      <c r="CA132" s="6"/>
      <c r="CB132" s="6"/>
    </row>
    <row r="133" spans="2:80" x14ac:dyDescent="0.25">
      <c r="B133" s="6">
        <v>5</v>
      </c>
      <c r="C133" s="6" t="str">
        <f t="shared" si="109"/>
        <v>M</v>
      </c>
      <c r="D133" s="46" t="s">
        <v>5</v>
      </c>
      <c r="E133" s="90" t="str">
        <f t="shared" si="110"/>
        <v>D</v>
      </c>
      <c r="F133" s="90"/>
      <c r="G133" s="90"/>
      <c r="H133" s="90"/>
      <c r="I133" s="6"/>
      <c r="J133" s="90" t="str">
        <f>IF(X133="","",VLOOKUP(X133,Configuratie!$B$2:$E$11,3,FALSE))</f>
        <v/>
      </c>
      <c r="K133" s="90"/>
      <c r="L133" s="6" t="s">
        <v>5</v>
      </c>
      <c r="M133" s="90" t="str">
        <f>IF(X133="","",VLOOKUP(X133,Configuratie!$B$2:$E$11,4,FALSE))</f>
        <v/>
      </c>
      <c r="N133" s="90"/>
      <c r="O133" s="6"/>
      <c r="P133" s="6"/>
      <c r="Q133" s="6"/>
      <c r="R133" s="6"/>
      <c r="S133" s="6"/>
      <c r="T133" s="6"/>
      <c r="U133" s="6"/>
      <c r="V133" s="6" t="str">
        <f>IF(X133="","",VLOOKUP(X133,Configuratie!$B$2:$E$11,2,FALSE))</f>
        <v/>
      </c>
      <c r="W133" s="61"/>
      <c r="X133" s="5"/>
      <c r="Z133" s="6"/>
      <c r="AA133" s="6"/>
      <c r="AB133" s="6"/>
      <c r="AC133" s="6"/>
      <c r="AD133" s="6"/>
      <c r="AE133" s="6"/>
      <c r="AF133" s="6"/>
      <c r="AG133" s="6"/>
      <c r="AH133" s="6"/>
      <c r="AI133" s="6"/>
      <c r="AJ133" s="6"/>
      <c r="AK133" s="6"/>
      <c r="AL133" s="6"/>
      <c r="AM133" s="6"/>
      <c r="AN133" s="6"/>
      <c r="AO133" s="6"/>
      <c r="AP133" s="6"/>
      <c r="AQ133" s="6"/>
      <c r="AR133" s="6"/>
      <c r="AS133" s="6"/>
      <c r="AT133" s="6"/>
      <c r="AU133" s="6"/>
      <c r="AV133" s="6"/>
      <c r="AW133" s="6"/>
      <c r="AX133" s="6">
        <v>13</v>
      </c>
      <c r="AY133" s="6">
        <v>12</v>
      </c>
      <c r="AZ133" s="6">
        <v>4</v>
      </c>
      <c r="BA133" s="6" t="str">
        <f t="shared" si="112"/>
        <v/>
      </c>
      <c r="BB133" s="6"/>
      <c r="BC133" s="48">
        <f t="shared" si="111"/>
        <v>1204</v>
      </c>
      <c r="BD133" s="48">
        <f>AZ133*100+AY133</f>
        <v>412</v>
      </c>
      <c r="BE133" s="6"/>
      <c r="BF133" s="6"/>
      <c r="BG133" s="6"/>
      <c r="BH133" s="6"/>
      <c r="BI133" s="6"/>
      <c r="BJ133" s="6"/>
      <c r="BK133" s="6"/>
      <c r="BL133" s="6"/>
      <c r="BM133" s="6"/>
      <c r="BN133" s="6"/>
      <c r="BO133" s="6"/>
      <c r="BP133" s="6"/>
      <c r="BQ133" s="6"/>
      <c r="BR133" s="6"/>
      <c r="BS133" s="6"/>
      <c r="BT133" s="6"/>
      <c r="BU133" s="6"/>
      <c r="BV133" s="6"/>
      <c r="BW133" s="6"/>
      <c r="BX133" s="6"/>
      <c r="BY133" s="6"/>
      <c r="BZ133" s="6"/>
      <c r="CA133" s="6"/>
      <c r="CB133" s="6"/>
    </row>
    <row r="134" spans="2:80" x14ac:dyDescent="0.25">
      <c r="B134" s="6">
        <v>6</v>
      </c>
      <c r="C134" s="6" t="str">
        <f t="shared" si="109"/>
        <v>N</v>
      </c>
      <c r="D134" s="46" t="s">
        <v>5</v>
      </c>
      <c r="E134" s="90" t="str">
        <f t="shared" si="110"/>
        <v>C</v>
      </c>
      <c r="F134" s="90"/>
      <c r="G134" s="90"/>
      <c r="H134" s="90"/>
      <c r="I134" s="6"/>
      <c r="J134" s="90" t="str">
        <f>IF(X134="","",VLOOKUP(X134,Configuratie!$B$2:$E$11,3,FALSE))</f>
        <v/>
      </c>
      <c r="K134" s="90"/>
      <c r="L134" s="6" t="s">
        <v>5</v>
      </c>
      <c r="M134" s="90" t="str">
        <f>IF(X134="","",VLOOKUP(X134,Configuratie!$B$2:$E$11,4,FALSE))</f>
        <v/>
      </c>
      <c r="N134" s="90"/>
      <c r="O134" s="6"/>
      <c r="P134" s="6"/>
      <c r="Q134" s="6"/>
      <c r="R134" s="6"/>
      <c r="S134" s="6"/>
      <c r="T134" s="6"/>
      <c r="U134" s="6"/>
      <c r="V134" s="6" t="str">
        <f>IF(X134="","",VLOOKUP(X134,Configuratie!$B$2:$E$11,2,FALSE))</f>
        <v/>
      </c>
      <c r="W134" s="61"/>
      <c r="X134" s="5"/>
      <c r="Z134" s="6"/>
      <c r="AA134" s="6"/>
      <c r="AB134" s="6"/>
      <c r="AC134" s="6"/>
      <c r="AD134" s="6"/>
      <c r="AE134" s="6"/>
      <c r="AF134" s="6"/>
      <c r="AG134" s="6"/>
      <c r="AH134" s="6"/>
      <c r="AI134" s="6"/>
      <c r="AJ134" s="6"/>
      <c r="AK134" s="6"/>
      <c r="AL134" s="6"/>
      <c r="AM134" s="6"/>
      <c r="AN134" s="6"/>
      <c r="AO134" s="6"/>
      <c r="AP134" s="6"/>
      <c r="AQ134" s="6"/>
      <c r="AR134" s="6"/>
      <c r="AS134" s="6"/>
      <c r="AT134" s="6"/>
      <c r="AU134" s="6"/>
      <c r="AV134" s="6"/>
      <c r="AW134" s="6"/>
      <c r="AX134" s="6">
        <v>13</v>
      </c>
      <c r="AY134" s="6">
        <v>13</v>
      </c>
      <c r="AZ134" s="6">
        <v>3</v>
      </c>
      <c r="BA134" s="6" t="str">
        <f t="shared" si="112"/>
        <v/>
      </c>
      <c r="BB134" s="6"/>
      <c r="BC134" s="48">
        <f t="shared" si="111"/>
        <v>1303</v>
      </c>
      <c r="BD134" s="48">
        <f t="shared" si="113"/>
        <v>313</v>
      </c>
      <c r="BE134" s="6"/>
      <c r="BF134" s="6"/>
      <c r="BG134" s="6"/>
      <c r="BH134" s="6"/>
      <c r="BI134" s="6"/>
      <c r="BJ134" s="6"/>
      <c r="BK134" s="6"/>
      <c r="BL134" s="6"/>
      <c r="BM134" s="6"/>
      <c r="BN134" s="6"/>
      <c r="BO134" s="6"/>
      <c r="BP134" s="6"/>
      <c r="BQ134" s="6"/>
      <c r="BR134" s="6"/>
      <c r="BS134" s="6"/>
      <c r="BT134" s="6"/>
      <c r="BU134" s="6"/>
      <c r="BV134" s="6"/>
      <c r="BW134" s="6"/>
      <c r="BX134" s="6"/>
      <c r="BY134" s="6"/>
      <c r="BZ134" s="6"/>
      <c r="CA134" s="6"/>
      <c r="CB134" s="6"/>
    </row>
    <row r="135" spans="2:80" x14ac:dyDescent="0.25">
      <c r="B135" s="6">
        <v>7</v>
      </c>
      <c r="C135" s="6" t="str">
        <f t="shared" si="109"/>
        <v>A</v>
      </c>
      <c r="D135" s="46" t="s">
        <v>5</v>
      </c>
      <c r="E135" s="90" t="str">
        <f t="shared" si="110"/>
        <v>B</v>
      </c>
      <c r="F135" s="90"/>
      <c r="G135" s="90"/>
      <c r="H135" s="90"/>
      <c r="I135" s="6"/>
      <c r="J135" s="90" t="str">
        <f>IF(X135="","",VLOOKUP(X135,Configuratie!$B$2:$E$11,3,FALSE))</f>
        <v/>
      </c>
      <c r="K135" s="90"/>
      <c r="L135" s="6" t="s">
        <v>5</v>
      </c>
      <c r="M135" s="90" t="str">
        <f>IF(X135="","",VLOOKUP(X135,Configuratie!$B$2:$E$11,4,FALSE))</f>
        <v/>
      </c>
      <c r="N135" s="90"/>
      <c r="O135" s="6"/>
      <c r="P135" s="6"/>
      <c r="Q135" s="6"/>
      <c r="R135" s="6"/>
      <c r="S135" s="6"/>
      <c r="T135" s="6"/>
      <c r="U135" s="6"/>
      <c r="V135" s="6" t="str">
        <f>IF(X135="","",VLOOKUP(X135,Configuratie!$B$2:$E$11,2,FALSE))</f>
        <v/>
      </c>
      <c r="W135" s="61"/>
      <c r="X135" s="5"/>
      <c r="Z135" s="6"/>
      <c r="AA135" s="6"/>
      <c r="AB135" s="6"/>
      <c r="AC135" s="6"/>
      <c r="AD135" s="6"/>
      <c r="AE135" s="6"/>
      <c r="AF135" s="6"/>
      <c r="AG135" s="6"/>
      <c r="AH135" s="6"/>
      <c r="AI135" s="6"/>
      <c r="AJ135" s="6"/>
      <c r="AK135" s="6"/>
      <c r="AL135" s="6"/>
      <c r="AM135" s="6"/>
      <c r="AN135" s="6"/>
      <c r="AO135" s="6"/>
      <c r="AP135" s="6"/>
      <c r="AQ135" s="6"/>
      <c r="AR135" s="6"/>
      <c r="AS135" s="6"/>
      <c r="AT135" s="6"/>
      <c r="AU135" s="6"/>
      <c r="AV135" s="6"/>
      <c r="AW135" s="6"/>
      <c r="AX135" s="6">
        <v>13</v>
      </c>
      <c r="AY135" s="6">
        <v>1</v>
      </c>
      <c r="AZ135" s="6">
        <v>2</v>
      </c>
      <c r="BA135" s="6" t="str">
        <f t="shared" si="112"/>
        <v/>
      </c>
      <c r="BB135" s="6"/>
      <c r="BC135" s="48">
        <f t="shared" si="111"/>
        <v>102</v>
      </c>
      <c r="BD135" s="48">
        <f>AZ135*100+AY135</f>
        <v>201</v>
      </c>
      <c r="BE135" s="6"/>
      <c r="BF135" s="6"/>
      <c r="BG135" s="6"/>
      <c r="BH135" s="6"/>
      <c r="BI135" s="6"/>
      <c r="BJ135" s="6"/>
      <c r="BK135" s="6"/>
      <c r="BL135" s="6"/>
      <c r="BM135" s="6"/>
      <c r="BN135" s="6"/>
      <c r="BO135" s="6"/>
      <c r="BP135" s="6"/>
      <c r="BQ135" s="6"/>
      <c r="BR135" s="6"/>
      <c r="BS135" s="6"/>
      <c r="BT135" s="6"/>
      <c r="BU135" s="6"/>
      <c r="BV135" s="6"/>
      <c r="BW135" s="6"/>
      <c r="BX135" s="6"/>
      <c r="BY135" s="6"/>
      <c r="BZ135" s="6"/>
      <c r="CA135" s="6"/>
      <c r="CB135" s="6"/>
    </row>
    <row r="136" spans="2:80" x14ac:dyDescent="0.25">
      <c r="Z136" s="6"/>
      <c r="AA136" s="6"/>
      <c r="AB136" s="6"/>
      <c r="AC136" s="6"/>
      <c r="AD136" s="6"/>
      <c r="AE136" s="6"/>
      <c r="AF136" s="6"/>
      <c r="AG136" s="6"/>
      <c r="AH136" s="6"/>
      <c r="AI136" s="6"/>
      <c r="AJ136" s="6"/>
      <c r="AK136" s="6"/>
      <c r="AL136" s="6"/>
      <c r="AM136" s="6"/>
      <c r="AN136" s="6"/>
      <c r="AO136" s="6"/>
      <c r="AP136" s="6"/>
      <c r="AQ136" s="6"/>
      <c r="AR136" s="6"/>
      <c r="AS136" s="6"/>
      <c r="AT136" s="6"/>
      <c r="AU136" s="6"/>
      <c r="AV136" s="6"/>
      <c r="AW136" s="6"/>
      <c r="AX136" s="6"/>
      <c r="AY136" s="6"/>
      <c r="AZ136" s="6"/>
      <c r="BA136" s="6"/>
      <c r="BB136" s="6"/>
      <c r="BC136" s="6"/>
      <c r="BD136" s="6"/>
      <c r="BE136" s="6"/>
      <c r="BF136" s="6"/>
      <c r="BG136" s="6"/>
      <c r="BH136" s="6"/>
      <c r="BI136" s="6"/>
      <c r="BJ136" s="6"/>
      <c r="BK136" s="6"/>
      <c r="BL136" s="6"/>
      <c r="BM136" s="6"/>
      <c r="BN136" s="6"/>
      <c r="BO136" s="6"/>
      <c r="BP136" s="6"/>
      <c r="BQ136" s="6"/>
      <c r="BR136" s="6"/>
      <c r="BS136" s="6"/>
      <c r="BT136" s="6"/>
      <c r="BU136" s="6"/>
      <c r="BV136" s="6"/>
      <c r="BW136" s="6"/>
      <c r="BX136" s="6"/>
      <c r="BY136" s="6"/>
      <c r="BZ136" s="6"/>
      <c r="CA136" s="6"/>
      <c r="CB136" s="6"/>
    </row>
    <row r="137" spans="2:80" ht="26.25" x14ac:dyDescent="0.4">
      <c r="D137" s="91" t="str">
        <f>"UITSLAG " &amp; G1</f>
        <v>UITSLAG GROEP A</v>
      </c>
      <c r="E137" s="92"/>
      <c r="F137" s="92"/>
      <c r="G137" s="92"/>
      <c r="H137" s="92"/>
      <c r="I137" s="92"/>
      <c r="Z137" s="6"/>
      <c r="AA137" s="6"/>
      <c r="AB137" s="6"/>
      <c r="AC137" s="6"/>
      <c r="AD137" s="6"/>
      <c r="AE137" s="6"/>
      <c r="AF137" s="6"/>
      <c r="AG137" s="6"/>
      <c r="AH137" s="6"/>
      <c r="AI137" s="6"/>
      <c r="AJ137" s="6"/>
      <c r="AK137" s="6"/>
      <c r="AL137" s="6"/>
      <c r="AM137" s="6"/>
      <c r="AN137" s="6"/>
      <c r="AO137" s="6"/>
      <c r="AP137" s="6"/>
      <c r="AQ137" s="6"/>
      <c r="AR137" s="6"/>
      <c r="AS137" s="6"/>
      <c r="AT137" s="6"/>
      <c r="AU137" s="6"/>
      <c r="AV137" s="6"/>
      <c r="AW137" s="6"/>
      <c r="AX137" s="6"/>
      <c r="AY137" s="6"/>
      <c r="AZ137" s="6"/>
      <c r="BA137" s="6"/>
      <c r="BB137" s="6"/>
      <c r="BC137" s="6"/>
      <c r="BD137" s="6"/>
      <c r="BE137" s="6"/>
      <c r="BF137" s="6"/>
      <c r="BG137" s="6"/>
      <c r="BH137" s="6"/>
      <c r="BI137" s="6"/>
      <c r="BJ137" s="6"/>
      <c r="BK137" s="6"/>
      <c r="BL137" s="6"/>
      <c r="BM137" s="6"/>
      <c r="BN137" s="6"/>
      <c r="BO137" s="6"/>
      <c r="BP137" s="6"/>
      <c r="BQ137" s="6"/>
      <c r="BR137" s="6"/>
      <c r="BS137" s="6"/>
      <c r="BT137" s="6"/>
      <c r="BU137" s="6"/>
      <c r="BV137" s="6"/>
      <c r="BW137" s="6"/>
      <c r="BX137" s="6"/>
      <c r="BY137" s="6"/>
      <c r="BZ137" s="6"/>
      <c r="CA137" s="6"/>
      <c r="CB137" s="6"/>
    </row>
    <row r="138" spans="2:80" x14ac:dyDescent="0.25">
      <c r="B138" s="6"/>
      <c r="C138" s="6"/>
      <c r="D138" s="6"/>
      <c r="E138" s="6"/>
      <c r="F138" s="6"/>
      <c r="G138" s="6"/>
      <c r="H138" s="6"/>
      <c r="I138" s="6"/>
      <c r="Z138" s="6"/>
      <c r="AA138" s="6"/>
      <c r="AB138" s="6"/>
      <c r="AC138" s="6"/>
      <c r="AD138" s="6"/>
      <c r="AE138" s="6"/>
      <c r="AF138" s="6"/>
      <c r="AG138" s="6"/>
      <c r="AH138" s="6"/>
      <c r="AI138" s="6"/>
      <c r="AJ138" s="6"/>
      <c r="AK138" s="6"/>
      <c r="AL138" s="6"/>
      <c r="AM138" s="6"/>
      <c r="AN138" s="6"/>
      <c r="AO138" s="6"/>
      <c r="AP138" s="6"/>
      <c r="AQ138" s="6"/>
      <c r="AR138" s="6"/>
      <c r="AS138" s="6"/>
      <c r="AT138" s="6"/>
      <c r="AU138" s="6"/>
      <c r="AV138" s="6"/>
      <c r="AW138" s="6"/>
      <c r="AX138" s="6"/>
      <c r="AY138" s="6"/>
      <c r="AZ138" s="6"/>
      <c r="BA138" s="6"/>
      <c r="BB138" s="6"/>
      <c r="BC138" s="6"/>
      <c r="BD138" s="6"/>
      <c r="BE138" s="6"/>
      <c r="BF138" s="6"/>
      <c r="BG138" s="6"/>
      <c r="BH138" s="6"/>
      <c r="BI138" s="6"/>
      <c r="BJ138" s="6"/>
      <c r="BK138" s="6"/>
      <c r="BL138" s="6"/>
      <c r="BM138" s="6"/>
      <c r="BN138" s="6"/>
      <c r="BO138" s="6"/>
      <c r="BP138" s="6"/>
      <c r="BQ138" s="6"/>
      <c r="BR138" s="6"/>
      <c r="BS138" s="6"/>
      <c r="BT138" s="6"/>
      <c r="BU138" s="6"/>
      <c r="BV138" s="6"/>
      <c r="BW138" s="6"/>
      <c r="BX138" s="6"/>
      <c r="BY138" s="6"/>
      <c r="BZ138" s="6"/>
      <c r="CA138" s="6"/>
      <c r="CB138" s="6"/>
    </row>
    <row r="139" spans="2:80" x14ac:dyDescent="0.25">
      <c r="B139" s="7" t="s">
        <v>33</v>
      </c>
      <c r="C139" s="22" t="s">
        <v>30</v>
      </c>
      <c r="D139" s="7" t="s">
        <v>6</v>
      </c>
      <c r="E139" s="7" t="s">
        <v>29</v>
      </c>
      <c r="F139" s="7" t="s">
        <v>24</v>
      </c>
      <c r="G139" s="7" t="s">
        <v>26</v>
      </c>
      <c r="H139" s="7" t="s">
        <v>34</v>
      </c>
      <c r="I139" s="7" t="s">
        <v>35</v>
      </c>
      <c r="Z139" s="6"/>
      <c r="AA139" s="6"/>
      <c r="AB139" s="6"/>
      <c r="AC139" s="6"/>
      <c r="AD139" s="6"/>
      <c r="AE139" s="6"/>
      <c r="AF139" s="6"/>
      <c r="AG139" s="6"/>
      <c r="AH139" s="6"/>
      <c r="AI139" s="6"/>
      <c r="AJ139" s="6"/>
      <c r="AK139" s="6"/>
      <c r="AL139" s="6"/>
      <c r="AM139" s="6"/>
      <c r="AN139" s="6"/>
      <c r="AO139" s="6"/>
      <c r="AP139" s="6"/>
      <c r="AQ139" s="6"/>
      <c r="AR139" s="6"/>
      <c r="AS139" s="6"/>
      <c r="AT139" s="6"/>
      <c r="AU139" s="6"/>
      <c r="AV139" s="6"/>
      <c r="AW139" s="6"/>
      <c r="AX139" s="6"/>
      <c r="AY139" s="6"/>
      <c r="AZ139" s="6"/>
      <c r="BA139" s="6"/>
      <c r="BB139" s="6"/>
      <c r="BC139" s="6"/>
      <c r="BD139" s="6"/>
      <c r="BE139" s="6"/>
      <c r="BF139" s="6"/>
      <c r="BG139" s="6"/>
      <c r="BH139" s="6"/>
      <c r="BI139" s="6"/>
      <c r="BJ139" s="6"/>
      <c r="BK139" s="6"/>
      <c r="BL139" s="6"/>
      <c r="BM139" s="6"/>
      <c r="BN139" s="6"/>
      <c r="BO139" s="6"/>
      <c r="BP139" s="6"/>
      <c r="BQ139" s="6"/>
      <c r="BR139" s="6"/>
      <c r="BS139" s="6"/>
      <c r="BT139" s="6"/>
      <c r="BU139" s="6"/>
      <c r="BV139" s="6"/>
      <c r="BW139" s="6"/>
      <c r="BX139" s="6"/>
      <c r="BY139" s="6"/>
      <c r="BZ139" s="6"/>
      <c r="CA139" s="6"/>
      <c r="CB139" s="6"/>
    </row>
    <row r="140" spans="2:80" x14ac:dyDescent="0.25">
      <c r="B140" s="31">
        <v>1</v>
      </c>
      <c r="C140" s="32">
        <v>14</v>
      </c>
      <c r="D140" s="33" t="str">
        <f t="shared" ref="D140:D153" si="114">IF(ISNA(VLOOKUP(B140,$A$4:$W$17,3,FALSE)),C4,VLOOKUP(B140,$A$4:$W$17,3,FALSE))</f>
        <v>A</v>
      </c>
      <c r="E140" s="34">
        <f t="shared" ref="E140:E153" si="115">IF(ISNA(VLOOKUP(B4,$A$4:$W$17,22,FALSE)),0,VLOOKUP(B4,$A$4:$W$17,22,FALSE))</f>
        <v>0</v>
      </c>
      <c r="F140" s="34" t="e">
        <f t="shared" ref="F140:F152" si="116">VLOOKUP($W4,$AT$4:$AW$13,2,FALSE)</f>
        <v>#N/A</v>
      </c>
      <c r="G140" s="55">
        <f t="shared" ref="G140:G153" si="117">IF(ISNA(VLOOKUP(B4,$A$4:$WS$17,23,FALSE)),0,VLOOKUP(B4,$A$4:$WS$17,23,FALSE))</f>
        <v>0</v>
      </c>
      <c r="H140" s="34" t="e">
        <f t="shared" ref="H140:H152" si="118">VLOOKUP($W4,$AT$4:$AW$13,4,FALSE)</f>
        <v>#N/A</v>
      </c>
      <c r="I140" s="35" t="e">
        <f t="shared" ref="I140:I152" si="119">VLOOKUP($W4,$B$4:$R$13,5,FALSE)</f>
        <v>#N/A</v>
      </c>
      <c r="Z140" s="6"/>
      <c r="AA140" s="6"/>
      <c r="AB140" s="6"/>
      <c r="AC140" s="6"/>
      <c r="AD140" s="6"/>
      <c r="AE140" s="6"/>
      <c r="AF140" s="6"/>
      <c r="AG140" s="6"/>
      <c r="AH140" s="6"/>
      <c r="AI140" s="6"/>
      <c r="AJ140" s="6"/>
      <c r="AK140" s="6"/>
      <c r="AL140" s="6"/>
      <c r="AM140" s="6"/>
      <c r="AN140" s="6"/>
      <c r="AO140" s="6"/>
      <c r="AP140" s="6"/>
      <c r="AQ140" s="6"/>
      <c r="AR140" s="6"/>
      <c r="AS140" s="6"/>
      <c r="AT140" s="6"/>
      <c r="AU140" s="6"/>
      <c r="AV140" s="6"/>
      <c r="AW140" s="6"/>
      <c r="AX140" s="6"/>
      <c r="AY140" s="6"/>
      <c r="AZ140" s="6"/>
      <c r="BA140" s="6"/>
      <c r="BB140" s="6"/>
      <c r="BC140" s="6"/>
      <c r="BD140" s="6"/>
      <c r="BE140" s="6"/>
      <c r="BF140" s="6"/>
      <c r="BG140" s="6"/>
      <c r="BH140" s="6"/>
      <c r="BI140" s="6"/>
      <c r="BJ140" s="6"/>
      <c r="BK140" s="6"/>
      <c r="BL140" s="6"/>
      <c r="BM140" s="6"/>
      <c r="BN140" s="6"/>
      <c r="BO140" s="6"/>
      <c r="BP140" s="6"/>
      <c r="BQ140" s="6"/>
      <c r="BR140" s="6"/>
      <c r="BS140" s="6"/>
      <c r="BT140" s="6"/>
      <c r="BU140" s="6"/>
      <c r="BV140" s="6"/>
      <c r="BW140" s="6"/>
      <c r="BX140" s="6"/>
      <c r="BY140" s="6"/>
      <c r="BZ140" s="6"/>
      <c r="CA140" s="6"/>
      <c r="CB140" s="6"/>
    </row>
    <row r="141" spans="2:80" x14ac:dyDescent="0.25">
      <c r="B141" s="31">
        <v>2</v>
      </c>
      <c r="C141" s="32">
        <v>13</v>
      </c>
      <c r="D141" s="33" t="str">
        <f t="shared" si="114"/>
        <v>B</v>
      </c>
      <c r="E141" s="34">
        <f t="shared" si="115"/>
        <v>0</v>
      </c>
      <c r="F141" s="34" t="e">
        <f t="shared" si="116"/>
        <v>#N/A</v>
      </c>
      <c r="G141" s="55">
        <f t="shared" si="117"/>
        <v>0</v>
      </c>
      <c r="H141" s="34" t="e">
        <f t="shared" si="118"/>
        <v>#N/A</v>
      </c>
      <c r="I141" s="35" t="e">
        <f t="shared" si="119"/>
        <v>#N/A</v>
      </c>
      <c r="Z141" s="6"/>
      <c r="AA141" s="6"/>
      <c r="AB141" s="6"/>
      <c r="AC141" s="6"/>
      <c r="AD141" s="6"/>
      <c r="AE141" s="6"/>
      <c r="AF141" s="6"/>
      <c r="AG141" s="6"/>
      <c r="AH141" s="6"/>
      <c r="AI141" s="6"/>
      <c r="AJ141" s="6"/>
      <c r="AK141" s="6"/>
      <c r="AL141" s="6"/>
      <c r="AM141" s="6"/>
      <c r="AN141" s="6"/>
      <c r="AO141" s="6"/>
      <c r="AP141" s="6"/>
      <c r="AQ141" s="6"/>
      <c r="AR141" s="6"/>
      <c r="AS141" s="6"/>
      <c r="AT141" s="6"/>
      <c r="AU141" s="6"/>
      <c r="AV141" s="6"/>
      <c r="AW141" s="6"/>
      <c r="AX141" s="6"/>
      <c r="AY141" s="6"/>
      <c r="AZ141" s="6"/>
      <c r="BA141" s="6"/>
      <c r="BB141" s="6"/>
      <c r="BC141" s="6"/>
      <c r="BD141" s="6"/>
      <c r="BE141" s="6"/>
      <c r="BF141" s="6"/>
      <c r="BG141" s="6"/>
      <c r="BH141" s="6"/>
      <c r="BI141" s="6"/>
      <c r="BJ141" s="6"/>
      <c r="BK141" s="6"/>
      <c r="BL141" s="6"/>
      <c r="BM141" s="6"/>
      <c r="BN141" s="6"/>
      <c r="BO141" s="6"/>
      <c r="BP141" s="6"/>
      <c r="BQ141" s="6"/>
      <c r="BR141" s="6"/>
      <c r="BS141" s="6"/>
      <c r="BT141" s="6"/>
      <c r="BU141" s="6"/>
      <c r="BV141" s="6"/>
      <c r="BW141" s="6"/>
      <c r="BX141" s="6"/>
      <c r="BY141" s="6"/>
      <c r="BZ141" s="6"/>
      <c r="CA141" s="6"/>
      <c r="CB141" s="6"/>
    </row>
    <row r="142" spans="2:80" x14ac:dyDescent="0.25">
      <c r="B142" s="31">
        <v>3</v>
      </c>
      <c r="C142" s="32">
        <v>12</v>
      </c>
      <c r="D142" s="33" t="str">
        <f t="shared" si="114"/>
        <v>C</v>
      </c>
      <c r="E142" s="34">
        <f t="shared" si="115"/>
        <v>0</v>
      </c>
      <c r="F142" s="34" t="e">
        <f t="shared" si="116"/>
        <v>#N/A</v>
      </c>
      <c r="G142" s="55">
        <f t="shared" si="117"/>
        <v>0</v>
      </c>
      <c r="H142" s="34" t="e">
        <f t="shared" si="118"/>
        <v>#N/A</v>
      </c>
      <c r="I142" s="35" t="e">
        <f t="shared" si="119"/>
        <v>#N/A</v>
      </c>
      <c r="Z142" s="6"/>
      <c r="AA142" s="6"/>
      <c r="AB142" s="6"/>
      <c r="AC142" s="6"/>
      <c r="AD142" s="6"/>
      <c r="AE142" s="6"/>
      <c r="AF142" s="6"/>
      <c r="AG142" s="6"/>
      <c r="AH142" s="6"/>
      <c r="AI142" s="6"/>
      <c r="AJ142" s="6"/>
      <c r="AK142" s="6"/>
      <c r="AL142" s="6"/>
      <c r="AM142" s="6"/>
      <c r="AN142" s="6"/>
      <c r="AO142" s="6"/>
      <c r="AP142" s="6"/>
      <c r="AQ142" s="6"/>
      <c r="AR142" s="6"/>
      <c r="AS142" s="6"/>
      <c r="AT142" s="6"/>
      <c r="AU142" s="6"/>
      <c r="AV142" s="6"/>
      <c r="AW142" s="6"/>
      <c r="AX142" s="6"/>
      <c r="AY142" s="6"/>
      <c r="AZ142" s="6"/>
      <c r="BA142" s="6"/>
      <c r="BB142" s="6"/>
      <c r="BC142" s="6"/>
      <c r="BD142" s="6"/>
      <c r="BE142" s="6"/>
      <c r="BF142" s="6"/>
      <c r="BG142" s="6"/>
      <c r="BH142" s="6"/>
      <c r="BI142" s="6"/>
      <c r="BJ142" s="6"/>
      <c r="BK142" s="6"/>
      <c r="BL142" s="6"/>
      <c r="BM142" s="6"/>
      <c r="BN142" s="6"/>
      <c r="BO142" s="6"/>
      <c r="BP142" s="6"/>
      <c r="BQ142" s="6"/>
      <c r="BR142" s="6"/>
      <c r="BS142" s="6"/>
      <c r="BT142" s="6"/>
      <c r="BU142" s="6"/>
      <c r="BV142" s="6"/>
      <c r="BW142" s="6"/>
      <c r="BX142" s="6"/>
      <c r="BY142" s="6"/>
      <c r="BZ142" s="6"/>
      <c r="CA142" s="6"/>
      <c r="CB142" s="6"/>
    </row>
    <row r="143" spans="2:80" x14ac:dyDescent="0.25">
      <c r="B143" s="31">
        <v>4</v>
      </c>
      <c r="C143" s="32">
        <v>11</v>
      </c>
      <c r="D143" s="33" t="str">
        <f t="shared" si="114"/>
        <v>D</v>
      </c>
      <c r="E143" s="34">
        <f t="shared" si="115"/>
        <v>0</v>
      </c>
      <c r="F143" s="34" t="e">
        <f t="shared" si="116"/>
        <v>#N/A</v>
      </c>
      <c r="G143" s="55">
        <f t="shared" si="117"/>
        <v>0</v>
      </c>
      <c r="H143" s="34" t="e">
        <f t="shared" si="118"/>
        <v>#N/A</v>
      </c>
      <c r="I143" s="35" t="e">
        <f t="shared" si="119"/>
        <v>#N/A</v>
      </c>
      <c r="Z143" s="6"/>
      <c r="AA143" s="6"/>
      <c r="AB143" s="6"/>
      <c r="AC143" s="6"/>
      <c r="AD143" s="6"/>
      <c r="AE143" s="6"/>
      <c r="AF143" s="6"/>
      <c r="AG143" s="6"/>
      <c r="AH143" s="6"/>
      <c r="AI143" s="6"/>
      <c r="AJ143" s="6"/>
      <c r="AK143" s="6"/>
      <c r="AL143" s="6"/>
      <c r="AM143" s="6"/>
      <c r="AN143" s="6"/>
      <c r="AO143" s="6"/>
      <c r="AP143" s="6"/>
      <c r="AQ143" s="6"/>
      <c r="AR143" s="6"/>
      <c r="AS143" s="6"/>
      <c r="AT143" s="6"/>
      <c r="AU143" s="6"/>
      <c r="AV143" s="6"/>
      <c r="AW143" s="6"/>
      <c r="AX143" s="6"/>
      <c r="AY143" s="6"/>
      <c r="AZ143" s="6"/>
      <c r="BA143" s="6"/>
      <c r="BB143" s="6"/>
      <c r="BC143" s="6"/>
      <c r="BD143" s="6"/>
      <c r="BE143" s="6"/>
      <c r="BF143" s="6"/>
      <c r="BG143" s="6"/>
      <c r="BH143" s="6"/>
      <c r="BI143" s="6"/>
      <c r="BJ143" s="6"/>
      <c r="BK143" s="6"/>
      <c r="BL143" s="6"/>
      <c r="BM143" s="6"/>
      <c r="BN143" s="6"/>
      <c r="BO143" s="6"/>
      <c r="BP143" s="6"/>
      <c r="BQ143" s="6"/>
      <c r="BR143" s="6"/>
      <c r="BS143" s="6"/>
      <c r="BT143" s="6"/>
      <c r="BU143" s="6"/>
      <c r="BV143" s="6"/>
      <c r="BW143" s="6"/>
      <c r="BX143" s="6"/>
      <c r="BY143" s="6"/>
      <c r="BZ143" s="6"/>
      <c r="CA143" s="6"/>
      <c r="CB143" s="6"/>
    </row>
    <row r="144" spans="2:80" x14ac:dyDescent="0.25">
      <c r="B144" s="31">
        <v>5</v>
      </c>
      <c r="C144" s="32">
        <v>10</v>
      </c>
      <c r="D144" s="33" t="str">
        <f t="shared" si="114"/>
        <v>E</v>
      </c>
      <c r="E144" s="34">
        <f t="shared" si="115"/>
        <v>0</v>
      </c>
      <c r="F144" s="34" t="e">
        <f t="shared" si="116"/>
        <v>#N/A</v>
      </c>
      <c r="G144" s="55">
        <f t="shared" si="117"/>
        <v>0</v>
      </c>
      <c r="H144" s="34" t="e">
        <f t="shared" si="118"/>
        <v>#N/A</v>
      </c>
      <c r="I144" s="35" t="e">
        <f t="shared" si="119"/>
        <v>#N/A</v>
      </c>
      <c r="Z144" s="6"/>
      <c r="AA144" s="6"/>
      <c r="AB144" s="6"/>
      <c r="AC144" s="6"/>
      <c r="AD144" s="6"/>
      <c r="AE144" s="6"/>
      <c r="AF144" s="6"/>
      <c r="AG144" s="6"/>
      <c r="AH144" s="6"/>
      <c r="AI144" s="6"/>
      <c r="AJ144" s="6"/>
      <c r="AK144" s="6"/>
      <c r="AL144" s="6"/>
      <c r="AM144" s="6"/>
      <c r="AN144" s="6"/>
      <c r="AO144" s="6"/>
      <c r="AP144" s="6"/>
      <c r="AQ144" s="6"/>
      <c r="AR144" s="6"/>
      <c r="AS144" s="6"/>
      <c r="AT144" s="6"/>
      <c r="AU144" s="6"/>
      <c r="AV144" s="6"/>
      <c r="AW144" s="6"/>
      <c r="AX144" s="6"/>
      <c r="AY144" s="6"/>
      <c r="AZ144" s="6"/>
      <c r="BA144" s="6"/>
      <c r="BB144" s="6"/>
      <c r="BC144" s="6"/>
      <c r="BD144" s="6"/>
      <c r="BE144" s="6"/>
      <c r="BF144" s="6"/>
      <c r="BG144" s="6"/>
      <c r="BH144" s="6"/>
      <c r="BI144" s="6"/>
      <c r="BJ144" s="6"/>
      <c r="BK144" s="6"/>
      <c r="BL144" s="6"/>
      <c r="BM144" s="6"/>
      <c r="BN144" s="6"/>
      <c r="BO144" s="6"/>
      <c r="BP144" s="6"/>
      <c r="BQ144" s="6"/>
      <c r="BR144" s="6"/>
      <c r="BS144" s="6"/>
      <c r="BT144" s="6"/>
      <c r="BU144" s="6"/>
      <c r="BV144" s="6"/>
      <c r="BW144" s="6"/>
      <c r="BX144" s="6"/>
      <c r="BY144" s="6"/>
      <c r="BZ144" s="6"/>
      <c r="CA144" s="6"/>
      <c r="CB144" s="6"/>
    </row>
    <row r="145" spans="2:80" x14ac:dyDescent="0.25">
      <c r="B145" s="31">
        <v>6</v>
      </c>
      <c r="C145" s="32">
        <v>9</v>
      </c>
      <c r="D145" s="33" t="str">
        <f t="shared" si="114"/>
        <v>G</v>
      </c>
      <c r="E145" s="34">
        <f t="shared" si="115"/>
        <v>0</v>
      </c>
      <c r="F145" s="34" t="e">
        <f t="shared" si="116"/>
        <v>#N/A</v>
      </c>
      <c r="G145" s="55">
        <f t="shared" si="117"/>
        <v>0</v>
      </c>
      <c r="H145" s="34" t="e">
        <f t="shared" si="118"/>
        <v>#N/A</v>
      </c>
      <c r="I145" s="35" t="e">
        <f t="shared" si="119"/>
        <v>#N/A</v>
      </c>
      <c r="Z145" s="6"/>
      <c r="AA145" s="6"/>
      <c r="AB145" s="6"/>
      <c r="AC145" s="6"/>
      <c r="AD145" s="6"/>
      <c r="AE145" s="6"/>
      <c r="AF145" s="6"/>
      <c r="AG145" s="6"/>
      <c r="AH145" s="6"/>
      <c r="AI145" s="6"/>
      <c r="AJ145" s="6"/>
      <c r="AK145" s="6"/>
      <c r="AL145" s="6"/>
      <c r="AM145" s="6"/>
      <c r="AN145" s="6"/>
      <c r="AO145" s="6"/>
      <c r="AP145" s="6"/>
      <c r="AQ145" s="6"/>
      <c r="AR145" s="6"/>
      <c r="AS145" s="6"/>
      <c r="AT145" s="6"/>
      <c r="AU145" s="6"/>
      <c r="AV145" s="6"/>
      <c r="AW145" s="6"/>
      <c r="AX145" s="6"/>
      <c r="AY145" s="6"/>
      <c r="AZ145" s="6"/>
      <c r="BA145" s="6"/>
      <c r="BB145" s="6"/>
      <c r="BC145" s="6"/>
      <c r="BD145" s="6"/>
      <c r="BE145" s="6"/>
      <c r="BF145" s="6"/>
      <c r="BG145" s="6"/>
      <c r="BH145" s="6"/>
      <c r="BI145" s="6"/>
      <c r="BJ145" s="6"/>
      <c r="BK145" s="6"/>
      <c r="BL145" s="6"/>
      <c r="BM145" s="6"/>
      <c r="BN145" s="6"/>
      <c r="BO145" s="6"/>
      <c r="BP145" s="6"/>
      <c r="BQ145" s="6"/>
      <c r="BR145" s="6"/>
      <c r="BS145" s="6"/>
      <c r="BT145" s="6"/>
      <c r="BU145" s="6"/>
      <c r="BV145" s="6"/>
      <c r="BW145" s="6"/>
      <c r="BX145" s="6"/>
      <c r="BY145" s="6"/>
      <c r="BZ145" s="6"/>
      <c r="CA145" s="6"/>
      <c r="CB145" s="6"/>
    </row>
    <row r="146" spans="2:80" x14ac:dyDescent="0.25">
      <c r="B146" s="31">
        <v>7</v>
      </c>
      <c r="C146" s="32">
        <v>8</v>
      </c>
      <c r="D146" s="33" t="str">
        <f t="shared" si="114"/>
        <v>H</v>
      </c>
      <c r="E146" s="34">
        <f t="shared" si="115"/>
        <v>0</v>
      </c>
      <c r="F146" s="34" t="e">
        <f t="shared" si="116"/>
        <v>#N/A</v>
      </c>
      <c r="G146" s="55">
        <f t="shared" si="117"/>
        <v>0</v>
      </c>
      <c r="H146" s="34" t="e">
        <f t="shared" si="118"/>
        <v>#N/A</v>
      </c>
      <c r="I146" s="35" t="e">
        <f t="shared" si="119"/>
        <v>#N/A</v>
      </c>
      <c r="Z146" s="6"/>
      <c r="AA146" s="6"/>
      <c r="AB146" s="6"/>
      <c r="AC146" s="6"/>
      <c r="AD146" s="6"/>
      <c r="AE146" s="6"/>
      <c r="AF146" s="6"/>
      <c r="AG146" s="6"/>
      <c r="AH146" s="6"/>
      <c r="AI146" s="6"/>
      <c r="AJ146" s="6"/>
      <c r="AK146" s="6"/>
      <c r="AL146" s="6"/>
      <c r="AM146" s="6"/>
      <c r="AN146" s="6"/>
      <c r="AO146" s="6"/>
      <c r="AP146" s="6"/>
      <c r="AQ146" s="6"/>
      <c r="AR146" s="6"/>
      <c r="AS146" s="6"/>
      <c r="AT146" s="6"/>
      <c r="AU146" s="6"/>
      <c r="AV146" s="6"/>
      <c r="AW146" s="6"/>
      <c r="AX146" s="6"/>
      <c r="AY146" s="6"/>
      <c r="AZ146" s="6"/>
      <c r="BA146" s="6"/>
      <c r="BB146" s="6"/>
      <c r="BC146" s="6"/>
      <c r="BD146" s="6"/>
      <c r="BE146" s="6"/>
      <c r="BF146" s="6"/>
      <c r="BG146" s="6"/>
      <c r="BH146" s="6"/>
      <c r="BI146" s="6"/>
      <c r="BJ146" s="6"/>
      <c r="BK146" s="6"/>
      <c r="BL146" s="6"/>
      <c r="BM146" s="6"/>
      <c r="BN146" s="6"/>
      <c r="BO146" s="6"/>
      <c r="BP146" s="6"/>
      <c r="BQ146" s="6"/>
      <c r="BR146" s="6"/>
      <c r="BS146" s="6"/>
      <c r="BT146" s="6"/>
      <c r="BU146" s="6"/>
      <c r="BV146" s="6"/>
      <c r="BW146" s="6"/>
      <c r="BX146" s="6"/>
      <c r="BY146" s="6"/>
      <c r="BZ146" s="6"/>
      <c r="CA146" s="6"/>
      <c r="CB146" s="6"/>
    </row>
    <row r="147" spans="2:80" x14ac:dyDescent="0.25">
      <c r="B147" s="31">
        <v>8</v>
      </c>
      <c r="C147" s="32">
        <v>7</v>
      </c>
      <c r="D147" s="33" t="str">
        <f t="shared" si="114"/>
        <v>I</v>
      </c>
      <c r="E147" s="34">
        <f t="shared" si="115"/>
        <v>0</v>
      </c>
      <c r="F147" s="34" t="e">
        <f t="shared" si="116"/>
        <v>#N/A</v>
      </c>
      <c r="G147" s="55">
        <f t="shared" si="117"/>
        <v>0</v>
      </c>
      <c r="H147" s="34" t="e">
        <f t="shared" si="118"/>
        <v>#N/A</v>
      </c>
      <c r="I147" s="35" t="e">
        <f t="shared" si="119"/>
        <v>#N/A</v>
      </c>
      <c r="Z147" s="6"/>
      <c r="AA147" s="6"/>
      <c r="AB147" s="6"/>
      <c r="AC147" s="6"/>
      <c r="AD147" s="6"/>
      <c r="AE147" s="6"/>
      <c r="AF147" s="6"/>
      <c r="AG147" s="6"/>
      <c r="AH147" s="6"/>
      <c r="AI147" s="6"/>
      <c r="AJ147" s="6"/>
      <c r="AK147" s="6"/>
      <c r="AL147" s="6"/>
      <c r="AM147" s="6"/>
      <c r="AN147" s="6"/>
      <c r="AO147" s="6"/>
      <c r="AP147" s="6"/>
      <c r="AQ147" s="6"/>
      <c r="AR147" s="6"/>
      <c r="AS147" s="6"/>
      <c r="AT147" s="6"/>
      <c r="AU147" s="6"/>
      <c r="AV147" s="6"/>
      <c r="AW147" s="6"/>
      <c r="AX147" s="6"/>
      <c r="AY147" s="6"/>
      <c r="AZ147" s="6"/>
      <c r="BA147" s="6"/>
      <c r="BB147" s="6"/>
      <c r="BC147" s="6"/>
      <c r="BD147" s="6"/>
      <c r="BE147" s="6"/>
      <c r="BF147" s="6"/>
      <c r="BG147" s="6"/>
      <c r="BH147" s="6"/>
      <c r="BI147" s="6"/>
      <c r="BJ147" s="6"/>
      <c r="BK147" s="6"/>
      <c r="BL147" s="6"/>
      <c r="BM147" s="6"/>
      <c r="BN147" s="6"/>
      <c r="BO147" s="6"/>
      <c r="BP147" s="6"/>
      <c r="BQ147" s="6"/>
      <c r="BR147" s="6"/>
      <c r="BS147" s="6"/>
      <c r="BT147" s="6"/>
      <c r="BU147" s="6"/>
      <c r="BV147" s="6"/>
      <c r="BW147" s="6"/>
      <c r="BX147" s="6"/>
      <c r="BY147" s="6"/>
      <c r="BZ147" s="6"/>
      <c r="CA147" s="6"/>
      <c r="CB147" s="6"/>
    </row>
    <row r="148" spans="2:80" x14ac:dyDescent="0.25">
      <c r="B148" s="31">
        <v>9</v>
      </c>
      <c r="C148" s="32">
        <v>6</v>
      </c>
      <c r="D148" s="33" t="str">
        <f t="shared" si="114"/>
        <v>J</v>
      </c>
      <c r="E148" s="34">
        <f t="shared" si="115"/>
        <v>0</v>
      </c>
      <c r="F148" s="34" t="e">
        <f t="shared" si="116"/>
        <v>#N/A</v>
      </c>
      <c r="G148" s="55">
        <f t="shared" si="117"/>
        <v>0</v>
      </c>
      <c r="H148" s="34" t="e">
        <f t="shared" si="118"/>
        <v>#N/A</v>
      </c>
      <c r="I148" s="35" t="e">
        <f t="shared" si="119"/>
        <v>#N/A</v>
      </c>
      <c r="Z148" s="6"/>
      <c r="AA148" s="6"/>
      <c r="AB148" s="6"/>
      <c r="AC148" s="6"/>
      <c r="AD148" s="6"/>
      <c r="AE148" s="6"/>
      <c r="AF148" s="6"/>
      <c r="AG148" s="6"/>
      <c r="AH148" s="6"/>
      <c r="AI148" s="6"/>
      <c r="AJ148" s="6"/>
      <c r="AK148" s="6"/>
      <c r="AL148" s="6"/>
      <c r="AM148" s="6"/>
      <c r="AN148" s="6"/>
      <c r="AO148" s="6"/>
      <c r="AP148" s="6"/>
      <c r="AQ148" s="6"/>
      <c r="AR148" s="6"/>
      <c r="AS148" s="6"/>
      <c r="AT148" s="6"/>
      <c r="AU148" s="6"/>
      <c r="AV148" s="6"/>
      <c r="AW148" s="6"/>
      <c r="AX148" s="6"/>
      <c r="AY148" s="6"/>
      <c r="AZ148" s="6"/>
      <c r="BA148" s="6"/>
      <c r="BB148" s="6"/>
      <c r="BC148" s="6"/>
      <c r="BD148" s="6"/>
      <c r="BE148" s="6"/>
      <c r="BF148" s="6"/>
      <c r="BG148" s="6"/>
      <c r="BH148" s="6"/>
      <c r="BI148" s="6"/>
      <c r="BJ148" s="6"/>
      <c r="BK148" s="6"/>
      <c r="BL148" s="6"/>
      <c r="BM148" s="6"/>
      <c r="BN148" s="6"/>
      <c r="BO148" s="6"/>
      <c r="BP148" s="6"/>
      <c r="BQ148" s="6"/>
      <c r="BR148" s="6"/>
      <c r="BS148" s="6"/>
      <c r="BT148" s="6"/>
      <c r="BU148" s="6"/>
      <c r="BV148" s="6"/>
      <c r="BW148" s="6"/>
      <c r="BX148" s="6"/>
      <c r="BY148" s="6"/>
      <c r="BZ148" s="6"/>
      <c r="CA148" s="6"/>
      <c r="CB148" s="6"/>
    </row>
    <row r="149" spans="2:80" x14ac:dyDescent="0.25">
      <c r="B149" s="31">
        <v>10</v>
      </c>
      <c r="C149" s="32">
        <v>6</v>
      </c>
      <c r="D149" s="33" t="str">
        <f t="shared" si="114"/>
        <v>K</v>
      </c>
      <c r="E149" s="34">
        <f t="shared" si="115"/>
        <v>0</v>
      </c>
      <c r="F149" s="34" t="e">
        <f t="shared" si="116"/>
        <v>#N/A</v>
      </c>
      <c r="G149" s="55">
        <f t="shared" si="117"/>
        <v>0</v>
      </c>
      <c r="H149" s="34" t="e">
        <f t="shared" si="118"/>
        <v>#N/A</v>
      </c>
      <c r="I149" s="35" t="e">
        <f t="shared" si="119"/>
        <v>#N/A</v>
      </c>
      <c r="Z149" s="6"/>
      <c r="AA149" s="6"/>
      <c r="AB149" s="6"/>
      <c r="AC149" s="6"/>
      <c r="AD149" s="6"/>
      <c r="AE149" s="6"/>
      <c r="AF149" s="6"/>
      <c r="AG149" s="6"/>
      <c r="AH149" s="6"/>
      <c r="AI149" s="6"/>
      <c r="AJ149" s="6"/>
      <c r="AK149" s="6"/>
      <c r="AL149" s="6"/>
      <c r="AM149" s="6"/>
      <c r="AN149" s="6"/>
      <c r="AO149" s="6"/>
      <c r="AP149" s="6"/>
      <c r="AQ149" s="6"/>
      <c r="AR149" s="6"/>
      <c r="AS149" s="6"/>
      <c r="AT149" s="6"/>
      <c r="AU149" s="6"/>
      <c r="AV149" s="6"/>
      <c r="AW149" s="6"/>
      <c r="AX149" s="6"/>
      <c r="AY149" s="6"/>
      <c r="AZ149" s="6"/>
      <c r="BA149" s="6"/>
      <c r="BB149" s="6"/>
      <c r="BC149" s="6"/>
      <c r="BD149" s="6"/>
      <c r="BE149" s="6"/>
      <c r="BF149" s="6"/>
      <c r="BG149" s="6"/>
      <c r="BH149" s="6"/>
      <c r="BI149" s="6"/>
      <c r="BJ149" s="6"/>
      <c r="BK149" s="6"/>
      <c r="BL149" s="6"/>
      <c r="BM149" s="6"/>
      <c r="BN149" s="6"/>
      <c r="BO149" s="6"/>
      <c r="BP149" s="6"/>
      <c r="BQ149" s="6"/>
      <c r="BR149" s="6"/>
      <c r="BS149" s="6"/>
      <c r="BT149" s="6"/>
      <c r="BU149" s="6"/>
      <c r="BV149" s="6"/>
      <c r="BW149" s="6"/>
      <c r="BX149" s="6"/>
      <c r="BY149" s="6"/>
      <c r="BZ149" s="6"/>
      <c r="CA149" s="6"/>
      <c r="CB149" s="6"/>
    </row>
    <row r="150" spans="2:80" x14ac:dyDescent="0.25">
      <c r="B150" s="31">
        <v>11</v>
      </c>
      <c r="C150" s="32">
        <v>5</v>
      </c>
      <c r="D150" s="33" t="str">
        <f t="shared" si="114"/>
        <v>L</v>
      </c>
      <c r="E150" s="34">
        <f t="shared" si="115"/>
        <v>0</v>
      </c>
      <c r="F150" s="34" t="e">
        <f t="shared" si="116"/>
        <v>#N/A</v>
      </c>
      <c r="G150" s="55">
        <f t="shared" si="117"/>
        <v>0</v>
      </c>
      <c r="H150" s="34" t="e">
        <f t="shared" si="118"/>
        <v>#N/A</v>
      </c>
      <c r="I150" s="35" t="e">
        <f t="shared" si="119"/>
        <v>#N/A</v>
      </c>
      <c r="Z150" s="6"/>
      <c r="AA150" s="6"/>
      <c r="AB150" s="6"/>
      <c r="AC150" s="6"/>
      <c r="AD150" s="6"/>
      <c r="AE150" s="6"/>
      <c r="AF150" s="6"/>
      <c r="AG150" s="6"/>
      <c r="AH150" s="6"/>
      <c r="AI150" s="6"/>
      <c r="AJ150" s="6"/>
      <c r="AK150" s="6"/>
      <c r="AL150" s="6"/>
      <c r="AM150" s="6"/>
      <c r="AN150" s="6"/>
      <c r="AO150" s="6"/>
      <c r="AP150" s="6"/>
      <c r="AQ150" s="6"/>
      <c r="AR150" s="6"/>
      <c r="AS150" s="6"/>
      <c r="AT150" s="6"/>
      <c r="AU150" s="6"/>
      <c r="AV150" s="6"/>
      <c r="AW150" s="6"/>
      <c r="AX150" s="6"/>
      <c r="AY150" s="6"/>
      <c r="AZ150" s="6"/>
      <c r="BA150" s="6"/>
      <c r="BB150" s="6"/>
      <c r="BC150" s="6"/>
      <c r="BD150" s="6"/>
      <c r="BE150" s="6"/>
      <c r="BF150" s="6"/>
      <c r="BG150" s="6"/>
      <c r="BH150" s="6"/>
      <c r="BI150" s="6"/>
      <c r="BJ150" s="6"/>
      <c r="BK150" s="6"/>
      <c r="BL150" s="6"/>
      <c r="BM150" s="6"/>
      <c r="BN150" s="6"/>
      <c r="BO150" s="6"/>
      <c r="BP150" s="6"/>
      <c r="BQ150" s="6"/>
      <c r="BR150" s="6"/>
      <c r="BS150" s="6"/>
      <c r="BT150" s="6"/>
      <c r="BU150" s="6"/>
      <c r="BV150" s="6"/>
      <c r="BW150" s="6"/>
      <c r="BX150" s="6"/>
      <c r="BY150" s="6"/>
      <c r="BZ150" s="6"/>
      <c r="CA150" s="6"/>
      <c r="CB150" s="6"/>
    </row>
    <row r="151" spans="2:80" x14ac:dyDescent="0.25">
      <c r="B151" s="31">
        <v>12</v>
      </c>
      <c r="C151" s="32">
        <v>3</v>
      </c>
      <c r="D151" s="33" t="str">
        <f t="shared" si="114"/>
        <v>M</v>
      </c>
      <c r="E151" s="34">
        <f t="shared" si="115"/>
        <v>0</v>
      </c>
      <c r="F151" s="34" t="e">
        <f t="shared" si="116"/>
        <v>#N/A</v>
      </c>
      <c r="G151" s="55">
        <f t="shared" si="117"/>
        <v>0</v>
      </c>
      <c r="H151" s="34" t="e">
        <f t="shared" si="118"/>
        <v>#N/A</v>
      </c>
      <c r="I151" s="35" t="e">
        <f t="shared" si="119"/>
        <v>#N/A</v>
      </c>
      <c r="Z151" s="6"/>
      <c r="AA151" s="6"/>
      <c r="AB151" s="6"/>
      <c r="AC151" s="6"/>
      <c r="AD151" s="6"/>
      <c r="AE151" s="6"/>
      <c r="AF151" s="6"/>
      <c r="AG151" s="6"/>
      <c r="AH151" s="6"/>
      <c r="AI151" s="6"/>
      <c r="AJ151" s="6"/>
      <c r="AK151" s="6"/>
      <c r="AL151" s="6"/>
      <c r="AM151" s="6"/>
      <c r="AN151" s="6"/>
      <c r="AO151" s="6"/>
      <c r="AP151" s="6"/>
      <c r="AQ151" s="6"/>
      <c r="AR151" s="6"/>
      <c r="AS151" s="6"/>
      <c r="AT151" s="6"/>
      <c r="AU151" s="6"/>
      <c r="AV151" s="6"/>
      <c r="AW151" s="6"/>
      <c r="AX151" s="6"/>
      <c r="AY151" s="6"/>
      <c r="AZ151" s="6"/>
      <c r="BA151" s="6"/>
      <c r="BB151" s="6"/>
      <c r="BC151" s="6"/>
      <c r="BD151" s="6"/>
      <c r="BE151" s="6"/>
      <c r="BF151" s="6"/>
      <c r="BG151" s="6"/>
      <c r="BH151" s="6"/>
      <c r="BI151" s="6"/>
      <c r="BJ151" s="6"/>
      <c r="BK151" s="6"/>
      <c r="BL151" s="6"/>
      <c r="BM151" s="6"/>
      <c r="BN151" s="6"/>
      <c r="BO151" s="6"/>
      <c r="BP151" s="6"/>
      <c r="BQ151" s="6"/>
      <c r="BR151" s="6"/>
      <c r="BS151" s="6"/>
      <c r="BT151" s="6"/>
      <c r="BU151" s="6"/>
      <c r="BV151" s="6"/>
      <c r="BW151" s="6"/>
      <c r="BX151" s="6"/>
      <c r="BY151" s="6"/>
      <c r="BZ151" s="6"/>
      <c r="CA151" s="6"/>
      <c r="CB151" s="6"/>
    </row>
    <row r="152" spans="2:80" x14ac:dyDescent="0.25">
      <c r="B152" s="31">
        <v>13</v>
      </c>
      <c r="C152" s="32">
        <v>2</v>
      </c>
      <c r="D152" s="33" t="str">
        <f t="shared" si="114"/>
        <v>N</v>
      </c>
      <c r="E152" s="34">
        <f t="shared" si="115"/>
        <v>0</v>
      </c>
      <c r="F152" s="34" t="e">
        <f t="shared" si="116"/>
        <v>#N/A</v>
      </c>
      <c r="G152" s="55">
        <f t="shared" si="117"/>
        <v>0</v>
      </c>
      <c r="H152" s="34" t="e">
        <f t="shared" si="118"/>
        <v>#N/A</v>
      </c>
      <c r="I152" s="35" t="e">
        <f t="shared" si="119"/>
        <v>#N/A</v>
      </c>
      <c r="Z152" s="6"/>
      <c r="AA152" s="6"/>
      <c r="AB152" s="6"/>
      <c r="AC152" s="6"/>
      <c r="AD152" s="6"/>
      <c r="AE152" s="6"/>
      <c r="AF152" s="6"/>
      <c r="AG152" s="6"/>
      <c r="AH152" s="6"/>
      <c r="AI152" s="6"/>
      <c r="AJ152" s="6"/>
      <c r="AK152" s="6"/>
      <c r="AL152" s="6"/>
      <c r="AM152" s="6"/>
      <c r="AN152" s="6"/>
      <c r="AO152" s="6"/>
      <c r="AP152" s="6"/>
      <c r="AQ152" s="6"/>
      <c r="AR152" s="6"/>
      <c r="AS152" s="6"/>
      <c r="AT152" s="6"/>
      <c r="AU152" s="6"/>
      <c r="AV152" s="6"/>
      <c r="AW152" s="6"/>
      <c r="AX152" s="6"/>
      <c r="AY152" s="6"/>
      <c r="AZ152" s="6"/>
      <c r="BA152" s="6"/>
      <c r="BB152" s="6"/>
      <c r="BC152" s="6"/>
      <c r="BD152" s="6"/>
      <c r="BE152" s="6"/>
      <c r="BF152" s="6"/>
      <c r="BG152" s="6"/>
      <c r="BH152" s="6"/>
      <c r="BI152" s="6"/>
      <c r="BJ152" s="6"/>
      <c r="BK152" s="6"/>
      <c r="BL152" s="6"/>
      <c r="BM152" s="6"/>
      <c r="BN152" s="6"/>
      <c r="BO152" s="6"/>
      <c r="BP152" s="6"/>
      <c r="BQ152" s="6"/>
      <c r="BR152" s="6"/>
      <c r="BS152" s="6"/>
      <c r="BT152" s="6"/>
      <c r="BU152" s="6"/>
      <c r="BV152" s="6"/>
      <c r="BW152" s="6"/>
      <c r="BX152" s="6"/>
      <c r="BY152" s="6"/>
      <c r="BZ152" s="6"/>
      <c r="CA152" s="6"/>
      <c r="CB152" s="6"/>
    </row>
    <row r="153" spans="2:80" x14ac:dyDescent="0.25">
      <c r="B153" s="31">
        <v>14</v>
      </c>
      <c r="C153" s="32">
        <v>1</v>
      </c>
      <c r="D153" s="33" t="str">
        <f t="shared" si="114"/>
        <v>O</v>
      </c>
      <c r="E153" s="34">
        <f t="shared" si="115"/>
        <v>0</v>
      </c>
      <c r="F153" s="34" t="e">
        <f>VLOOKUP($W13,$AT$4:$AW$13,2,FALSE)</f>
        <v>#N/A</v>
      </c>
      <c r="G153" s="55">
        <f t="shared" si="117"/>
        <v>0</v>
      </c>
      <c r="H153" s="34" t="e">
        <f>VLOOKUP($W13,$AT$4:$AW$13,4,FALSE)</f>
        <v>#N/A</v>
      </c>
      <c r="I153" s="35" t="e">
        <f>VLOOKUP($W13,$B$4:$R$13,5,FALSE)</f>
        <v>#N/A</v>
      </c>
      <c r="Z153" s="6"/>
      <c r="AA153" s="6"/>
      <c r="AB153" s="6"/>
      <c r="AC153" s="6"/>
      <c r="AD153" s="6"/>
      <c r="AE153" s="6"/>
      <c r="AF153" s="6"/>
      <c r="AG153" s="6"/>
      <c r="AH153" s="6"/>
      <c r="AI153" s="6"/>
      <c r="AJ153" s="6"/>
      <c r="AK153" s="6"/>
      <c r="AL153" s="6"/>
      <c r="AM153" s="6"/>
      <c r="AN153" s="6"/>
      <c r="AO153" s="6"/>
      <c r="AP153" s="6"/>
      <c r="AQ153" s="6"/>
      <c r="AR153" s="6"/>
      <c r="AS153" s="6"/>
      <c r="AT153" s="6"/>
      <c r="AU153" s="6"/>
      <c r="AV153" s="6"/>
      <c r="AW153" s="6"/>
      <c r="AX153" s="6"/>
      <c r="AY153" s="6"/>
      <c r="AZ153" s="6"/>
      <c r="BA153" s="6"/>
      <c r="BB153" s="6"/>
      <c r="BC153" s="6"/>
      <c r="BD153" s="6"/>
      <c r="BE153" s="6"/>
      <c r="BF153" s="6"/>
      <c r="BG153" s="6"/>
      <c r="BH153" s="6"/>
      <c r="BI153" s="6"/>
      <c r="BJ153" s="6"/>
      <c r="BK153" s="6"/>
      <c r="BL153" s="6"/>
      <c r="BM153" s="6"/>
      <c r="BN153" s="6"/>
      <c r="BO153" s="6"/>
      <c r="BP153" s="6"/>
      <c r="BQ153" s="6"/>
      <c r="BR153" s="6"/>
      <c r="BS153" s="6"/>
      <c r="BT153" s="6"/>
      <c r="BU153" s="6"/>
      <c r="BV153" s="6"/>
      <c r="BW153" s="6"/>
      <c r="BX153" s="6"/>
      <c r="BY153" s="6"/>
      <c r="BZ153" s="6"/>
      <c r="CA153" s="6"/>
      <c r="CB153" s="6"/>
    </row>
    <row r="154" spans="2:80" x14ac:dyDescent="0.25">
      <c r="Z154" s="6"/>
      <c r="AA154" s="6"/>
      <c r="AB154" s="6"/>
      <c r="AC154" s="6"/>
      <c r="AD154" s="6"/>
      <c r="AE154" s="6"/>
      <c r="AF154" s="6"/>
      <c r="AG154" s="6"/>
      <c r="AH154" s="6"/>
      <c r="AI154" s="6"/>
      <c r="AJ154" s="6"/>
      <c r="AK154" s="6"/>
      <c r="AL154" s="6"/>
      <c r="AM154" s="6"/>
      <c r="AN154" s="6"/>
      <c r="AO154" s="6"/>
      <c r="AP154" s="6"/>
      <c r="AQ154" s="6"/>
      <c r="AR154" s="6"/>
      <c r="AS154" s="6"/>
      <c r="AT154" s="6"/>
      <c r="AU154" s="6"/>
      <c r="AV154" s="6"/>
      <c r="AW154" s="6"/>
      <c r="AX154" s="6"/>
      <c r="AY154" s="6"/>
      <c r="AZ154" s="6"/>
      <c r="BA154" s="6"/>
      <c r="BB154" s="6"/>
      <c r="BC154" s="6"/>
      <c r="BD154" s="6"/>
      <c r="BE154" s="6"/>
      <c r="BF154" s="6"/>
      <c r="BG154" s="6"/>
      <c r="BH154" s="6"/>
      <c r="BI154" s="6"/>
      <c r="BJ154" s="6"/>
      <c r="BK154" s="6"/>
      <c r="BL154" s="6"/>
      <c r="BM154" s="6"/>
      <c r="BN154" s="6"/>
      <c r="BO154" s="6"/>
      <c r="BP154" s="6"/>
      <c r="BQ154" s="6"/>
      <c r="BR154" s="6"/>
      <c r="BS154" s="6"/>
      <c r="BT154" s="6"/>
      <c r="BU154" s="6"/>
      <c r="BV154" s="6"/>
      <c r="BW154" s="6"/>
      <c r="BX154" s="6"/>
      <c r="BY154" s="6"/>
      <c r="BZ154" s="6"/>
      <c r="CA154" s="6"/>
      <c r="CB154" s="6"/>
    </row>
    <row r="155" spans="2:80" x14ac:dyDescent="0.25">
      <c r="Z155" s="6"/>
      <c r="AA155" s="6"/>
      <c r="AB155" s="6"/>
      <c r="AC155" s="6"/>
      <c r="AD155" s="6"/>
      <c r="AE155" s="6"/>
      <c r="AF155" s="6"/>
      <c r="AG155" s="6"/>
      <c r="AH155" s="6"/>
      <c r="AI155" s="6"/>
      <c r="AJ155" s="6"/>
      <c r="AK155" s="6"/>
      <c r="AL155" s="6"/>
      <c r="AM155" s="6"/>
      <c r="AN155" s="6"/>
      <c r="AO155" s="6"/>
      <c r="AP155" s="6"/>
      <c r="AQ155" s="6"/>
      <c r="AR155" s="6"/>
      <c r="AS155" s="6"/>
      <c r="AT155" s="6"/>
      <c r="AU155" s="6"/>
      <c r="AV155" s="6"/>
      <c r="AW155" s="6"/>
      <c r="AX155" s="6"/>
      <c r="AY155" s="6"/>
      <c r="AZ155" s="6"/>
      <c r="BA155" s="6"/>
      <c r="BB155" s="6"/>
      <c r="BC155" s="6"/>
      <c r="BD155" s="6"/>
      <c r="BE155" s="6"/>
      <c r="BF155" s="6"/>
      <c r="BG155" s="6"/>
      <c r="BH155" s="6"/>
      <c r="BI155" s="6"/>
      <c r="BJ155" s="6"/>
      <c r="BK155" s="6"/>
      <c r="BL155" s="6"/>
      <c r="BM155" s="6"/>
      <c r="BN155" s="6"/>
      <c r="BO155" s="6"/>
      <c r="BP155" s="6"/>
      <c r="BQ155" s="6"/>
      <c r="BR155" s="6"/>
      <c r="BS155" s="6"/>
      <c r="BT155" s="6"/>
      <c r="BU155" s="6"/>
      <c r="BV155" s="6"/>
      <c r="BW155" s="6"/>
      <c r="BX155" s="6"/>
      <c r="BY155" s="6"/>
      <c r="BZ155" s="6"/>
      <c r="CA155" s="6"/>
      <c r="CB155" s="6"/>
    </row>
    <row r="156" spans="2:80" x14ac:dyDescent="0.25">
      <c r="Z156" s="6"/>
      <c r="AA156" s="6"/>
      <c r="AB156" s="6"/>
      <c r="AC156" s="6"/>
      <c r="AD156" s="6"/>
      <c r="AE156" s="6"/>
      <c r="AF156" s="6"/>
      <c r="AG156" s="6"/>
      <c r="AH156" s="6"/>
      <c r="AI156" s="6"/>
      <c r="AJ156" s="6"/>
      <c r="AK156" s="6"/>
      <c r="AL156" s="6"/>
      <c r="AM156" s="6"/>
      <c r="AN156" s="6"/>
      <c r="AO156" s="6"/>
      <c r="AP156" s="6"/>
      <c r="AQ156" s="6"/>
      <c r="AR156" s="6"/>
      <c r="AS156" s="6"/>
      <c r="AT156" s="6"/>
      <c r="AU156" s="6"/>
      <c r="AV156" s="6"/>
      <c r="AW156" s="6"/>
      <c r="AX156" s="6"/>
      <c r="AY156" s="6"/>
      <c r="AZ156" s="6"/>
      <c r="BA156" s="6"/>
      <c r="BB156" s="6"/>
      <c r="BC156" s="6"/>
      <c r="BD156" s="6"/>
      <c r="BE156" s="6"/>
      <c r="BF156" s="6"/>
      <c r="BG156" s="6"/>
      <c r="BH156" s="6"/>
      <c r="BI156" s="6"/>
      <c r="BJ156" s="6"/>
      <c r="BK156" s="6"/>
      <c r="BL156" s="6"/>
      <c r="BM156" s="6"/>
      <c r="BN156" s="6"/>
      <c r="BO156" s="6"/>
      <c r="BP156" s="6"/>
      <c r="BQ156" s="6"/>
      <c r="BR156" s="6"/>
      <c r="BS156" s="6"/>
      <c r="BT156" s="6"/>
      <c r="BU156" s="6"/>
      <c r="BV156" s="6"/>
      <c r="BW156" s="6"/>
      <c r="BX156" s="6"/>
      <c r="BY156" s="6"/>
      <c r="BZ156" s="6"/>
      <c r="CA156" s="6"/>
      <c r="CB156" s="6"/>
    </row>
    <row r="157" spans="2:80" x14ac:dyDescent="0.25">
      <c r="Z157" s="6"/>
      <c r="AA157" s="6"/>
      <c r="AB157" s="6"/>
      <c r="AC157" s="6"/>
      <c r="AD157" s="6"/>
      <c r="AE157" s="6"/>
      <c r="AF157" s="6"/>
      <c r="AG157" s="6"/>
      <c r="AH157" s="6"/>
      <c r="AI157" s="6"/>
      <c r="AJ157" s="6"/>
      <c r="AK157" s="6"/>
      <c r="AL157" s="6"/>
      <c r="AM157" s="6"/>
      <c r="AN157" s="6"/>
      <c r="AO157" s="6"/>
      <c r="AP157" s="6"/>
      <c r="AQ157" s="6"/>
      <c r="AR157" s="6"/>
      <c r="AS157" s="6"/>
      <c r="AT157" s="6"/>
      <c r="AU157" s="6"/>
      <c r="AV157" s="6"/>
      <c r="AW157" s="6"/>
      <c r="AX157" s="6"/>
      <c r="AY157" s="6"/>
      <c r="AZ157" s="6"/>
      <c r="BA157" s="6"/>
      <c r="BB157" s="6"/>
      <c r="BC157" s="6"/>
      <c r="BD157" s="6"/>
      <c r="BE157" s="6"/>
      <c r="BF157" s="6"/>
      <c r="BG157" s="6"/>
      <c r="BH157" s="6"/>
      <c r="BI157" s="6"/>
      <c r="BJ157" s="6"/>
      <c r="BK157" s="6"/>
      <c r="BL157" s="6"/>
      <c r="BM157" s="6"/>
      <c r="BN157" s="6"/>
      <c r="BO157" s="6"/>
      <c r="BP157" s="6"/>
      <c r="BQ157" s="6"/>
      <c r="BR157" s="6"/>
      <c r="BS157" s="6"/>
      <c r="BT157" s="6"/>
      <c r="BU157" s="6"/>
      <c r="BV157" s="6"/>
      <c r="BW157" s="6"/>
      <c r="BX157" s="6"/>
      <c r="BY157" s="6"/>
      <c r="BZ157" s="6"/>
      <c r="CA157" s="6"/>
      <c r="CB157" s="6"/>
    </row>
    <row r="158" spans="2:80" x14ac:dyDescent="0.25">
      <c r="Z158" s="6"/>
      <c r="AA158" s="6"/>
      <c r="AB158" s="6"/>
      <c r="AC158" s="6"/>
      <c r="AD158" s="6"/>
      <c r="AE158" s="6"/>
      <c r="AF158" s="6"/>
      <c r="AG158" s="6"/>
      <c r="AH158" s="6"/>
      <c r="AI158" s="6"/>
      <c r="AJ158" s="6"/>
      <c r="AK158" s="6"/>
      <c r="AL158" s="6"/>
      <c r="AM158" s="6"/>
      <c r="AN158" s="6"/>
      <c r="AO158" s="6"/>
      <c r="AP158" s="6"/>
      <c r="AQ158" s="6"/>
      <c r="AR158" s="6"/>
      <c r="AS158" s="6"/>
      <c r="AT158" s="6"/>
      <c r="AU158" s="6"/>
      <c r="AV158" s="6"/>
      <c r="AW158" s="6"/>
      <c r="AX158" s="6"/>
      <c r="AY158" s="6"/>
      <c r="AZ158" s="6"/>
      <c r="BA158" s="6"/>
      <c r="BB158" s="6"/>
      <c r="BC158" s="6"/>
      <c r="BD158" s="6"/>
      <c r="BE158" s="6"/>
      <c r="BF158" s="6"/>
      <c r="BG158" s="6"/>
      <c r="BH158" s="6"/>
      <c r="BI158" s="6"/>
      <c r="BJ158" s="6"/>
      <c r="BK158" s="6"/>
      <c r="BL158" s="6"/>
      <c r="BM158" s="6"/>
      <c r="BN158" s="6"/>
      <c r="BO158" s="6"/>
      <c r="BP158" s="6"/>
      <c r="BQ158" s="6"/>
      <c r="BR158" s="6"/>
      <c r="BS158" s="6"/>
      <c r="BT158" s="6"/>
      <c r="BU158" s="6"/>
      <c r="BV158" s="6"/>
      <c r="BW158" s="6"/>
      <c r="BX158" s="6"/>
      <c r="BY158" s="6"/>
      <c r="BZ158" s="6"/>
      <c r="CA158" s="6"/>
      <c r="CB158" s="6"/>
    </row>
    <row r="159" spans="2:80" x14ac:dyDescent="0.25">
      <c r="Z159" s="6"/>
      <c r="AA159" s="6"/>
      <c r="AB159" s="6"/>
      <c r="AC159" s="6"/>
      <c r="AD159" s="6"/>
      <c r="AE159" s="6"/>
      <c r="AF159" s="6"/>
      <c r="AG159" s="6"/>
      <c r="AH159" s="6"/>
      <c r="AI159" s="6"/>
      <c r="AJ159" s="6"/>
      <c r="AK159" s="6"/>
      <c r="AL159" s="6"/>
      <c r="AM159" s="6"/>
      <c r="AN159" s="6"/>
      <c r="AO159" s="6"/>
      <c r="AP159" s="6"/>
      <c r="AQ159" s="6"/>
      <c r="AR159" s="6"/>
      <c r="AS159" s="6"/>
      <c r="AT159" s="6"/>
      <c r="AU159" s="6"/>
      <c r="AV159" s="6"/>
      <c r="AW159" s="6"/>
      <c r="AX159" s="6"/>
      <c r="AY159" s="6"/>
      <c r="AZ159" s="6"/>
      <c r="BA159" s="6"/>
      <c r="BB159" s="6"/>
      <c r="BC159" s="6"/>
      <c r="BD159" s="6"/>
      <c r="BE159" s="6"/>
      <c r="BF159" s="6"/>
      <c r="BG159" s="6"/>
      <c r="BH159" s="6"/>
      <c r="BI159" s="6"/>
      <c r="BJ159" s="6"/>
      <c r="BK159" s="6"/>
      <c r="BL159" s="6"/>
      <c r="BM159" s="6"/>
      <c r="BN159" s="6"/>
      <c r="BO159" s="6"/>
      <c r="BP159" s="6"/>
      <c r="BQ159" s="6"/>
      <c r="BR159" s="6"/>
      <c r="BS159" s="6"/>
      <c r="BT159" s="6"/>
      <c r="BU159" s="6"/>
      <c r="BV159" s="6"/>
      <c r="BW159" s="6"/>
      <c r="BX159" s="6"/>
      <c r="BY159" s="6"/>
      <c r="BZ159" s="6"/>
      <c r="CA159" s="6"/>
      <c r="CB159" s="6"/>
    </row>
    <row r="160" spans="2:80" x14ac:dyDescent="0.25">
      <c r="Z160" s="6"/>
      <c r="AA160" s="6"/>
      <c r="AB160" s="6"/>
      <c r="AC160" s="6"/>
      <c r="AD160" s="6"/>
      <c r="AE160" s="6"/>
      <c r="AF160" s="6"/>
      <c r="AG160" s="6"/>
      <c r="AH160" s="6"/>
      <c r="AI160" s="6"/>
      <c r="AJ160" s="6"/>
      <c r="AK160" s="6"/>
      <c r="AL160" s="6"/>
      <c r="AM160" s="6"/>
      <c r="AN160" s="6"/>
      <c r="AO160" s="6"/>
      <c r="AP160" s="6"/>
      <c r="AQ160" s="6"/>
      <c r="AR160" s="6"/>
      <c r="AS160" s="6"/>
      <c r="AT160" s="6"/>
      <c r="AU160" s="6"/>
      <c r="AV160" s="6"/>
      <c r="AW160" s="6"/>
      <c r="AX160" s="6"/>
      <c r="AY160" s="6"/>
      <c r="AZ160" s="6"/>
      <c r="BA160" s="6"/>
      <c r="BB160" s="6"/>
      <c r="BC160" s="6"/>
      <c r="BD160" s="6"/>
      <c r="BE160" s="6"/>
      <c r="BF160" s="6"/>
      <c r="BG160" s="6"/>
      <c r="BH160" s="6"/>
      <c r="BI160" s="6"/>
      <c r="BJ160" s="6"/>
      <c r="BK160" s="6"/>
      <c r="BL160" s="6"/>
      <c r="BM160" s="6"/>
      <c r="BN160" s="6"/>
      <c r="BO160" s="6"/>
      <c r="BP160" s="6"/>
      <c r="BQ160" s="6"/>
      <c r="BR160" s="6"/>
      <c r="BS160" s="6"/>
      <c r="BT160" s="6"/>
      <c r="BU160" s="6"/>
      <c r="BV160" s="6"/>
      <c r="BW160" s="6"/>
      <c r="BX160" s="6"/>
      <c r="BY160" s="6"/>
      <c r="BZ160" s="6"/>
      <c r="CA160" s="6"/>
      <c r="CB160" s="6"/>
    </row>
    <row r="161" spans="26:80" x14ac:dyDescent="0.25">
      <c r="Z161" s="6"/>
      <c r="AA161" s="6"/>
      <c r="AB161" s="6"/>
      <c r="AC161" s="6"/>
      <c r="AD161" s="6"/>
      <c r="AE161" s="6"/>
      <c r="AF161" s="6"/>
      <c r="AG161" s="6"/>
      <c r="AH161" s="6"/>
      <c r="AI161" s="6"/>
      <c r="AJ161" s="6"/>
      <c r="AK161" s="6"/>
      <c r="AL161" s="6"/>
      <c r="AM161" s="6"/>
      <c r="AN161" s="6"/>
      <c r="AO161" s="6"/>
      <c r="AP161" s="6"/>
      <c r="AQ161" s="6"/>
      <c r="AR161" s="6"/>
      <c r="AS161" s="6"/>
      <c r="AT161" s="6"/>
      <c r="AU161" s="6"/>
      <c r="AV161" s="6"/>
      <c r="AW161" s="6"/>
      <c r="AX161" s="6"/>
      <c r="AY161" s="6"/>
      <c r="AZ161" s="6"/>
      <c r="BA161" s="6"/>
      <c r="BB161" s="6"/>
      <c r="BC161" s="6"/>
      <c r="BD161" s="6"/>
      <c r="BE161" s="6"/>
      <c r="BF161" s="6"/>
      <c r="BG161" s="6"/>
      <c r="BH161" s="6"/>
      <c r="BI161" s="6"/>
      <c r="BJ161" s="6"/>
      <c r="BK161" s="6"/>
      <c r="BL161" s="6"/>
      <c r="BM161" s="6"/>
      <c r="BN161" s="6"/>
      <c r="BO161" s="6"/>
      <c r="BP161" s="6"/>
      <c r="BQ161" s="6"/>
      <c r="BR161" s="6"/>
      <c r="BS161" s="6"/>
      <c r="BT161" s="6"/>
      <c r="BU161" s="6"/>
      <c r="BV161" s="6"/>
      <c r="BW161" s="6"/>
      <c r="BX161" s="6"/>
      <c r="BY161" s="6"/>
      <c r="BZ161" s="6"/>
      <c r="CA161" s="6"/>
      <c r="CB161" s="6"/>
    </row>
    <row r="162" spans="26:80" x14ac:dyDescent="0.25">
      <c r="Z162" s="6"/>
      <c r="AA162" s="6"/>
      <c r="AB162" s="6"/>
      <c r="AC162" s="6"/>
      <c r="AD162" s="6"/>
      <c r="AE162" s="6"/>
      <c r="AF162" s="6"/>
      <c r="AG162" s="6"/>
      <c r="AH162" s="6"/>
      <c r="AI162" s="6"/>
      <c r="AJ162" s="6"/>
      <c r="AK162" s="6"/>
      <c r="AL162" s="6"/>
      <c r="AM162" s="6"/>
      <c r="AN162" s="6"/>
      <c r="AO162" s="6"/>
      <c r="AP162" s="6"/>
      <c r="AQ162" s="6"/>
      <c r="AR162" s="6"/>
      <c r="AS162" s="6"/>
      <c r="AT162" s="6"/>
      <c r="AU162" s="6"/>
      <c r="AV162" s="6"/>
      <c r="AW162" s="6"/>
      <c r="AX162" s="6"/>
      <c r="AY162" s="6"/>
      <c r="AZ162" s="6"/>
      <c r="BA162" s="6"/>
      <c r="BB162" s="6"/>
      <c r="BC162" s="6"/>
      <c r="BD162" s="6"/>
      <c r="BE162" s="6"/>
      <c r="BF162" s="6"/>
      <c r="BG162" s="6"/>
      <c r="BH162" s="6"/>
      <c r="BI162" s="6"/>
      <c r="BJ162" s="6"/>
      <c r="BK162" s="6"/>
      <c r="BL162" s="6"/>
      <c r="BM162" s="6"/>
      <c r="BN162" s="6"/>
      <c r="BO162" s="6"/>
      <c r="BP162" s="6"/>
      <c r="BQ162" s="6"/>
      <c r="BR162" s="6"/>
      <c r="BS162" s="6"/>
      <c r="BT162" s="6"/>
      <c r="BU162" s="6"/>
      <c r="BV162" s="6"/>
      <c r="BW162" s="6"/>
      <c r="BX162" s="6"/>
      <c r="BY162" s="6"/>
      <c r="BZ162" s="6"/>
      <c r="CA162" s="6"/>
      <c r="CB162" s="6"/>
    </row>
    <row r="163" spans="26:80" x14ac:dyDescent="0.25">
      <c r="Z163" s="6"/>
      <c r="AA163" s="6"/>
      <c r="AB163" s="6"/>
      <c r="AC163" s="6"/>
      <c r="AD163" s="6"/>
      <c r="AE163" s="6"/>
      <c r="AF163" s="6"/>
      <c r="AG163" s="6"/>
      <c r="AH163" s="6"/>
      <c r="AI163" s="6"/>
      <c r="AJ163" s="6"/>
      <c r="AK163" s="6"/>
      <c r="AL163" s="6"/>
      <c r="AM163" s="6"/>
      <c r="AN163" s="6"/>
      <c r="AO163" s="6"/>
      <c r="AP163" s="6"/>
      <c r="AQ163" s="6"/>
      <c r="AR163" s="6"/>
      <c r="AS163" s="6"/>
      <c r="AT163" s="6"/>
      <c r="AU163" s="6"/>
      <c r="AV163" s="6"/>
      <c r="AW163" s="6"/>
      <c r="AX163" s="6"/>
      <c r="AY163" s="6"/>
      <c r="AZ163" s="6"/>
      <c r="BA163" s="6"/>
      <c r="BB163" s="6"/>
      <c r="BC163" s="6"/>
      <c r="BD163" s="6"/>
      <c r="BE163" s="6"/>
      <c r="BF163" s="6"/>
      <c r="BG163" s="6"/>
      <c r="BH163" s="6"/>
      <c r="BI163" s="6"/>
      <c r="BJ163" s="6"/>
      <c r="BK163" s="6"/>
      <c r="BL163" s="6"/>
      <c r="BM163" s="6"/>
      <c r="BN163" s="6"/>
      <c r="BO163" s="6"/>
      <c r="BP163" s="6"/>
      <c r="BQ163" s="6"/>
      <c r="BR163" s="6"/>
      <c r="BS163" s="6"/>
      <c r="BT163" s="6"/>
      <c r="BU163" s="6"/>
      <c r="BV163" s="6"/>
      <c r="BW163" s="6"/>
      <c r="BX163" s="6"/>
      <c r="BY163" s="6"/>
      <c r="BZ163" s="6"/>
      <c r="CA163" s="6"/>
      <c r="CB163" s="6"/>
    </row>
    <row r="164" spans="26:80" x14ac:dyDescent="0.25">
      <c r="Z164" s="6"/>
      <c r="AA164" s="6"/>
      <c r="AB164" s="6"/>
      <c r="AC164" s="6"/>
      <c r="AD164" s="6"/>
      <c r="AE164" s="6"/>
      <c r="AF164" s="6"/>
      <c r="AG164" s="6"/>
      <c r="AH164" s="6"/>
      <c r="AI164" s="6"/>
      <c r="AJ164" s="6"/>
      <c r="AK164" s="6"/>
      <c r="AL164" s="6"/>
      <c r="AM164" s="6"/>
      <c r="AN164" s="6"/>
      <c r="AO164" s="6"/>
      <c r="AP164" s="6"/>
      <c r="AQ164" s="6"/>
      <c r="AR164" s="6"/>
      <c r="AS164" s="6"/>
      <c r="AT164" s="6"/>
      <c r="AU164" s="6"/>
      <c r="AV164" s="6"/>
      <c r="AW164" s="6"/>
      <c r="AX164" s="6"/>
      <c r="AY164" s="6"/>
      <c r="AZ164" s="6"/>
      <c r="BA164" s="6"/>
      <c r="BB164" s="6"/>
      <c r="BC164" s="6"/>
      <c r="BD164" s="6"/>
      <c r="BE164" s="6"/>
      <c r="BF164" s="6"/>
      <c r="BG164" s="6"/>
      <c r="BH164" s="6"/>
      <c r="BI164" s="6"/>
      <c r="BJ164" s="6"/>
      <c r="BK164" s="6"/>
      <c r="BL164" s="6"/>
      <c r="BM164" s="6"/>
      <c r="BN164" s="6"/>
      <c r="BO164" s="6"/>
      <c r="BP164" s="6"/>
      <c r="BQ164" s="6"/>
      <c r="BR164" s="6"/>
      <c r="BS164" s="6"/>
      <c r="BT164" s="6"/>
      <c r="BU164" s="6"/>
      <c r="BV164" s="6"/>
      <c r="BW164" s="6"/>
      <c r="BX164" s="6"/>
      <c r="BY164" s="6"/>
      <c r="BZ164" s="6"/>
      <c r="CA164" s="6"/>
      <c r="CB164" s="6"/>
    </row>
    <row r="165" spans="26:80" x14ac:dyDescent="0.25">
      <c r="Z165" s="6"/>
      <c r="AA165" s="6"/>
      <c r="AB165" s="6"/>
      <c r="AC165" s="6"/>
      <c r="AD165" s="6"/>
      <c r="AE165" s="6"/>
      <c r="AF165" s="6"/>
      <c r="AG165" s="6"/>
      <c r="AH165" s="6"/>
      <c r="AI165" s="6"/>
      <c r="AJ165" s="6"/>
      <c r="AK165" s="6"/>
      <c r="AL165" s="6"/>
      <c r="AM165" s="6"/>
      <c r="AN165" s="6"/>
      <c r="AO165" s="6"/>
      <c r="AP165" s="6"/>
      <c r="AQ165" s="6"/>
      <c r="AR165" s="6"/>
      <c r="AS165" s="6"/>
      <c r="AT165" s="6"/>
      <c r="AU165" s="6"/>
      <c r="AV165" s="6"/>
      <c r="AW165" s="6"/>
      <c r="AX165" s="6"/>
      <c r="AY165" s="6"/>
      <c r="AZ165" s="6"/>
      <c r="BA165" s="6"/>
      <c r="BB165" s="6"/>
      <c r="BC165" s="6"/>
      <c r="BD165" s="6"/>
      <c r="BE165" s="6"/>
      <c r="BF165" s="6"/>
      <c r="BG165" s="6"/>
      <c r="BH165" s="6"/>
      <c r="BI165" s="6"/>
      <c r="BJ165" s="6"/>
      <c r="BK165" s="6"/>
      <c r="BL165" s="6"/>
      <c r="BM165" s="6"/>
      <c r="BN165" s="6"/>
      <c r="BO165" s="6"/>
      <c r="BP165" s="6"/>
      <c r="BQ165" s="6"/>
      <c r="BR165" s="6"/>
      <c r="BS165" s="6"/>
      <c r="BT165" s="6"/>
      <c r="BU165" s="6"/>
      <c r="BV165" s="6"/>
      <c r="BW165" s="6"/>
      <c r="BX165" s="6"/>
      <c r="BY165" s="6"/>
      <c r="BZ165" s="6"/>
      <c r="CA165" s="6"/>
      <c r="CB165" s="6"/>
    </row>
    <row r="166" spans="26:80" x14ac:dyDescent="0.25">
      <c r="Z166" s="6"/>
      <c r="AA166" s="6"/>
      <c r="AB166" s="6"/>
      <c r="AC166" s="6"/>
      <c r="AD166" s="6"/>
      <c r="AE166" s="6"/>
      <c r="AF166" s="6"/>
      <c r="AG166" s="6"/>
      <c r="AH166" s="6"/>
      <c r="AI166" s="6"/>
      <c r="AJ166" s="6"/>
      <c r="AK166" s="6"/>
      <c r="AL166" s="6"/>
      <c r="AM166" s="6"/>
      <c r="AN166" s="6"/>
      <c r="AO166" s="6"/>
      <c r="AP166" s="6"/>
      <c r="AQ166" s="6"/>
      <c r="AR166" s="6"/>
      <c r="AS166" s="6"/>
      <c r="AT166" s="6"/>
      <c r="AU166" s="6"/>
      <c r="AV166" s="6"/>
      <c r="AW166" s="6"/>
      <c r="AX166" s="6"/>
      <c r="AY166" s="6"/>
      <c r="AZ166" s="6"/>
      <c r="BA166" s="6"/>
      <c r="BB166" s="6"/>
      <c r="BC166" s="6"/>
      <c r="BD166" s="6"/>
      <c r="BE166" s="6"/>
      <c r="BF166" s="6"/>
      <c r="BG166" s="6"/>
      <c r="BH166" s="6"/>
      <c r="BI166" s="6"/>
      <c r="BJ166" s="6"/>
      <c r="BK166" s="6"/>
      <c r="BL166" s="6"/>
      <c r="BM166" s="6"/>
      <c r="BN166" s="6"/>
      <c r="BO166" s="6"/>
      <c r="BP166" s="6"/>
      <c r="BQ166" s="6"/>
      <c r="BR166" s="6"/>
      <c r="BS166" s="6"/>
      <c r="BT166" s="6"/>
      <c r="BU166" s="6"/>
      <c r="BV166" s="6"/>
      <c r="BW166" s="6"/>
      <c r="BX166" s="6"/>
      <c r="BY166" s="6"/>
      <c r="BZ166" s="6"/>
      <c r="CA166" s="6"/>
      <c r="CB166" s="6"/>
    </row>
    <row r="167" spans="26:80" x14ac:dyDescent="0.25">
      <c r="Z167" s="6"/>
      <c r="AA167" s="6"/>
      <c r="AB167" s="6"/>
      <c r="AC167" s="6"/>
      <c r="AD167" s="6"/>
      <c r="AE167" s="6"/>
      <c r="AF167" s="6"/>
      <c r="AG167" s="6"/>
      <c r="AH167" s="6"/>
      <c r="AI167" s="6"/>
      <c r="AJ167" s="6"/>
      <c r="AK167" s="6"/>
      <c r="AL167" s="6"/>
      <c r="AM167" s="6"/>
      <c r="AN167" s="6"/>
      <c r="AO167" s="6"/>
      <c r="AP167" s="6"/>
      <c r="AQ167" s="6"/>
      <c r="AR167" s="6"/>
      <c r="AS167" s="6"/>
      <c r="AT167" s="6"/>
      <c r="AU167" s="6"/>
      <c r="AV167" s="6"/>
      <c r="AW167" s="6"/>
      <c r="AX167" s="6"/>
      <c r="AY167" s="6"/>
      <c r="AZ167" s="6"/>
      <c r="BA167" s="6"/>
      <c r="BB167" s="6"/>
      <c r="BC167" s="6"/>
      <c r="BD167" s="6"/>
      <c r="BE167" s="6"/>
      <c r="BF167" s="6"/>
      <c r="BG167" s="6"/>
      <c r="BH167" s="6"/>
      <c r="BI167" s="6"/>
      <c r="BJ167" s="6"/>
      <c r="BK167" s="6"/>
      <c r="BL167" s="6"/>
      <c r="BM167" s="6"/>
      <c r="BN167" s="6"/>
      <c r="BO167" s="6"/>
      <c r="BP167" s="6"/>
      <c r="BQ167" s="6"/>
      <c r="BR167" s="6"/>
      <c r="BS167" s="6"/>
      <c r="BT167" s="6"/>
      <c r="BU167" s="6"/>
      <c r="BV167" s="6"/>
      <c r="BW167" s="6"/>
      <c r="BX167" s="6"/>
      <c r="BY167" s="6"/>
      <c r="BZ167" s="6"/>
      <c r="CA167" s="6"/>
      <c r="CB167" s="6"/>
    </row>
    <row r="168" spans="26:80" x14ac:dyDescent="0.25">
      <c r="Z168" s="6"/>
      <c r="AA168" s="6"/>
      <c r="AB168" s="6"/>
      <c r="AC168" s="6"/>
      <c r="AD168" s="6"/>
      <c r="AE168" s="6"/>
      <c r="AF168" s="6"/>
      <c r="AG168" s="6"/>
      <c r="AH168" s="6"/>
      <c r="AI168" s="6"/>
      <c r="AJ168" s="6"/>
      <c r="AK168" s="6"/>
      <c r="AL168" s="6"/>
      <c r="AM168" s="6"/>
      <c r="AN168" s="6"/>
      <c r="AO168" s="6"/>
      <c r="AP168" s="6"/>
      <c r="AQ168" s="6"/>
      <c r="AR168" s="6"/>
      <c r="AS168" s="6"/>
      <c r="AT168" s="6"/>
      <c r="AU168" s="6"/>
      <c r="AV168" s="6"/>
      <c r="AW168" s="6"/>
      <c r="AX168" s="6"/>
      <c r="AY168" s="6"/>
      <c r="AZ168" s="6"/>
      <c r="BA168" s="6"/>
      <c r="BB168" s="6"/>
      <c r="BC168" s="6"/>
      <c r="BD168" s="6"/>
      <c r="BE168" s="6"/>
      <c r="BF168" s="6"/>
      <c r="BG168" s="6"/>
      <c r="BH168" s="6"/>
      <c r="BI168" s="6"/>
      <c r="BJ168" s="6"/>
      <c r="BK168" s="6"/>
      <c r="BL168" s="6"/>
      <c r="BM168" s="6"/>
      <c r="BN168" s="6"/>
      <c r="BO168" s="6"/>
      <c r="BP168" s="6"/>
      <c r="BQ168" s="6"/>
      <c r="BR168" s="6"/>
      <c r="BS168" s="6"/>
      <c r="BT168" s="6"/>
      <c r="BU168" s="6"/>
      <c r="BV168" s="6"/>
      <c r="BW168" s="6"/>
      <c r="BX168" s="6"/>
      <c r="BY168" s="6"/>
      <c r="BZ168" s="6"/>
      <c r="CA168" s="6"/>
      <c r="CB168" s="6"/>
    </row>
    <row r="169" spans="26:80" x14ac:dyDescent="0.25">
      <c r="Z169" s="6"/>
      <c r="AA169" s="6"/>
      <c r="AB169" s="6"/>
      <c r="AC169" s="6"/>
      <c r="AD169" s="6"/>
      <c r="AE169" s="6"/>
      <c r="AF169" s="6"/>
      <c r="AG169" s="6"/>
      <c r="AH169" s="6"/>
      <c r="AI169" s="6"/>
      <c r="AJ169" s="6"/>
      <c r="AK169" s="6"/>
      <c r="AL169" s="6"/>
      <c r="AM169" s="6"/>
      <c r="AN169" s="6"/>
      <c r="AO169" s="6"/>
      <c r="AP169" s="6"/>
      <c r="AQ169" s="6"/>
      <c r="AR169" s="6"/>
      <c r="AS169" s="6"/>
      <c r="AT169" s="6"/>
      <c r="AU169" s="6"/>
      <c r="AV169" s="6"/>
      <c r="AW169" s="6"/>
      <c r="AX169" s="6"/>
      <c r="AY169" s="6"/>
      <c r="AZ169" s="6"/>
      <c r="BA169" s="6"/>
      <c r="BB169" s="6"/>
      <c r="BC169" s="6"/>
      <c r="BD169" s="6"/>
      <c r="BE169" s="6"/>
      <c r="BF169" s="6"/>
      <c r="BG169" s="6"/>
      <c r="BH169" s="6"/>
      <c r="BI169" s="6"/>
      <c r="BJ169" s="6"/>
      <c r="BK169" s="6"/>
      <c r="BL169" s="6"/>
      <c r="BM169" s="6"/>
      <c r="BN169" s="6"/>
      <c r="BO169" s="6"/>
      <c r="BP169" s="6"/>
      <c r="BQ169" s="6"/>
      <c r="BR169" s="6"/>
      <c r="BS169" s="6"/>
      <c r="BT169" s="6"/>
      <c r="BU169" s="6"/>
      <c r="BV169" s="6"/>
      <c r="BW169" s="6"/>
      <c r="BX169" s="6"/>
      <c r="BY169" s="6"/>
      <c r="BZ169" s="6"/>
      <c r="CA169" s="6"/>
      <c r="CB169" s="6"/>
    </row>
    <row r="170" spans="26:80" x14ac:dyDescent="0.25">
      <c r="Z170" s="6"/>
      <c r="AA170" s="6"/>
      <c r="AB170" s="6"/>
      <c r="AC170" s="6"/>
      <c r="AD170" s="6"/>
      <c r="AE170" s="6"/>
      <c r="AF170" s="6"/>
      <c r="AG170" s="6"/>
      <c r="AH170" s="6"/>
      <c r="AI170" s="6"/>
      <c r="AJ170" s="6"/>
      <c r="AK170" s="6"/>
      <c r="AL170" s="6"/>
      <c r="AM170" s="6"/>
      <c r="AN170" s="6"/>
      <c r="AO170" s="6"/>
      <c r="AP170" s="6"/>
      <c r="AQ170" s="6"/>
      <c r="AR170" s="6"/>
      <c r="AS170" s="6"/>
      <c r="AT170" s="6"/>
      <c r="AU170" s="6"/>
      <c r="AV170" s="6"/>
      <c r="AW170" s="6"/>
      <c r="AX170" s="6"/>
      <c r="AY170" s="6"/>
      <c r="AZ170" s="6"/>
      <c r="BA170" s="6"/>
      <c r="BB170" s="6"/>
      <c r="BC170" s="6"/>
      <c r="BD170" s="6"/>
      <c r="BE170" s="6"/>
      <c r="BF170" s="6"/>
      <c r="BG170" s="6"/>
      <c r="BH170" s="6"/>
      <c r="BI170" s="6"/>
      <c r="BJ170" s="6"/>
      <c r="BK170" s="6"/>
      <c r="BL170" s="6"/>
      <c r="BM170" s="6"/>
      <c r="BN170" s="6"/>
      <c r="BO170" s="6"/>
      <c r="BP170" s="6"/>
      <c r="BQ170" s="6"/>
      <c r="BR170" s="6"/>
      <c r="BS170" s="6"/>
      <c r="BT170" s="6"/>
      <c r="BU170" s="6"/>
      <c r="BV170" s="6"/>
      <c r="BW170" s="6"/>
      <c r="BX170" s="6"/>
      <c r="BY170" s="6"/>
      <c r="BZ170" s="6"/>
      <c r="CA170" s="6"/>
      <c r="CB170" s="6"/>
    </row>
    <row r="171" spans="26:80" x14ac:dyDescent="0.25">
      <c r="Z171" s="6"/>
      <c r="AA171" s="6"/>
      <c r="AB171" s="6"/>
      <c r="AC171" s="6"/>
      <c r="AD171" s="6"/>
      <c r="AE171" s="6"/>
      <c r="AF171" s="6"/>
      <c r="AG171" s="6"/>
      <c r="AH171" s="6"/>
      <c r="AI171" s="6"/>
      <c r="AJ171" s="6"/>
      <c r="AK171" s="6"/>
      <c r="AL171" s="6"/>
      <c r="AM171" s="6"/>
      <c r="AN171" s="6"/>
      <c r="AO171" s="6"/>
      <c r="AP171" s="6"/>
      <c r="AQ171" s="6"/>
      <c r="AR171" s="6"/>
      <c r="AS171" s="6"/>
      <c r="AT171" s="6"/>
      <c r="AU171" s="6"/>
      <c r="AV171" s="6"/>
      <c r="AW171" s="6"/>
      <c r="AX171" s="6"/>
      <c r="AY171" s="6"/>
      <c r="AZ171" s="6"/>
      <c r="BA171" s="6"/>
      <c r="BB171" s="6"/>
      <c r="BC171" s="6"/>
      <c r="BD171" s="6"/>
      <c r="BE171" s="6"/>
      <c r="BF171" s="6"/>
      <c r="BG171" s="6"/>
      <c r="BH171" s="6"/>
      <c r="BI171" s="6"/>
      <c r="BJ171" s="6"/>
      <c r="BK171" s="6"/>
      <c r="BL171" s="6"/>
      <c r="BM171" s="6"/>
      <c r="BN171" s="6"/>
      <c r="BO171" s="6"/>
      <c r="BP171" s="6"/>
      <c r="BQ171" s="6"/>
      <c r="BR171" s="6"/>
      <c r="BS171" s="6"/>
      <c r="BT171" s="6"/>
      <c r="BU171" s="6"/>
      <c r="BV171" s="6"/>
      <c r="BW171" s="6"/>
      <c r="BX171" s="6"/>
      <c r="BY171" s="6"/>
      <c r="BZ171" s="6"/>
      <c r="CA171" s="6"/>
      <c r="CB171" s="6"/>
    </row>
    <row r="172" spans="26:80" x14ac:dyDescent="0.25">
      <c r="Z172" s="6"/>
      <c r="AA172" s="6"/>
      <c r="AB172" s="6"/>
      <c r="AC172" s="6"/>
      <c r="AD172" s="6"/>
      <c r="AE172" s="6"/>
      <c r="AF172" s="6"/>
      <c r="AG172" s="6"/>
      <c r="AH172" s="6"/>
      <c r="AI172" s="6"/>
      <c r="AJ172" s="6"/>
      <c r="AK172" s="6"/>
      <c r="AL172" s="6"/>
      <c r="AM172" s="6"/>
      <c r="AN172" s="6"/>
      <c r="AO172" s="6"/>
      <c r="AP172" s="6"/>
      <c r="AQ172" s="6"/>
      <c r="AR172" s="6"/>
      <c r="AS172" s="6"/>
      <c r="AT172" s="6"/>
      <c r="AU172" s="6"/>
      <c r="AV172" s="6"/>
      <c r="AW172" s="6"/>
      <c r="AX172" s="6"/>
      <c r="AY172" s="6"/>
      <c r="AZ172" s="6"/>
      <c r="BA172" s="6"/>
      <c r="BB172" s="6"/>
      <c r="BC172" s="6"/>
      <c r="BD172" s="6"/>
      <c r="BE172" s="6"/>
      <c r="BF172" s="6"/>
      <c r="BG172" s="6"/>
      <c r="BH172" s="6"/>
      <c r="BI172" s="6"/>
      <c r="BJ172" s="6"/>
      <c r="BK172" s="6"/>
      <c r="BL172" s="6"/>
      <c r="BM172" s="6"/>
      <c r="BN172" s="6"/>
      <c r="BO172" s="6"/>
      <c r="BP172" s="6"/>
      <c r="BQ172" s="6"/>
      <c r="BR172" s="6"/>
      <c r="BS172" s="6"/>
      <c r="BT172" s="6"/>
      <c r="BU172" s="6"/>
      <c r="BV172" s="6"/>
      <c r="BW172" s="6"/>
      <c r="BX172" s="6"/>
      <c r="BY172" s="6"/>
      <c r="BZ172" s="6"/>
      <c r="CA172" s="6"/>
      <c r="CB172" s="6"/>
    </row>
    <row r="173" spans="26:80" x14ac:dyDescent="0.25">
      <c r="Z173" s="6"/>
      <c r="AA173" s="6"/>
      <c r="AB173" s="6"/>
      <c r="AC173" s="6"/>
      <c r="AD173" s="6"/>
      <c r="AE173" s="6"/>
      <c r="AF173" s="6"/>
      <c r="AG173" s="6"/>
      <c r="AH173" s="6"/>
      <c r="AI173" s="6"/>
      <c r="AJ173" s="6"/>
      <c r="AK173" s="6"/>
      <c r="AL173" s="6"/>
      <c r="AM173" s="6"/>
      <c r="AN173" s="6"/>
      <c r="AO173" s="6"/>
      <c r="AP173" s="6"/>
      <c r="AQ173" s="6"/>
      <c r="AR173" s="6"/>
      <c r="AS173" s="6"/>
      <c r="AT173" s="6"/>
      <c r="AU173" s="6"/>
      <c r="AV173" s="6"/>
      <c r="AW173" s="6"/>
      <c r="AX173" s="6"/>
      <c r="AY173" s="6"/>
      <c r="AZ173" s="6"/>
      <c r="BA173" s="6"/>
      <c r="BB173" s="6"/>
      <c r="BC173" s="6"/>
      <c r="BD173" s="6"/>
      <c r="BE173" s="6"/>
      <c r="BF173" s="6"/>
      <c r="BG173" s="6"/>
      <c r="BH173" s="6"/>
      <c r="BI173" s="6"/>
      <c r="BJ173" s="6"/>
      <c r="BK173" s="6"/>
      <c r="BL173" s="6"/>
      <c r="BM173" s="6"/>
      <c r="BN173" s="6"/>
      <c r="BO173" s="6"/>
      <c r="BP173" s="6"/>
      <c r="BQ173" s="6"/>
      <c r="BR173" s="6"/>
      <c r="BS173" s="6"/>
      <c r="BT173" s="6"/>
      <c r="BU173" s="6"/>
      <c r="BV173" s="6"/>
      <c r="BW173" s="6"/>
      <c r="BX173" s="6"/>
      <c r="BY173" s="6"/>
      <c r="BZ173" s="6"/>
      <c r="CA173" s="6"/>
      <c r="CB173" s="6"/>
    </row>
    <row r="174" spans="26:80" x14ac:dyDescent="0.25">
      <c r="Z174" s="6"/>
      <c r="AA174" s="6"/>
      <c r="AB174" s="6"/>
      <c r="AC174" s="6"/>
      <c r="AD174" s="6"/>
      <c r="AE174" s="6"/>
      <c r="AF174" s="6"/>
      <c r="AG174" s="6"/>
      <c r="AH174" s="6"/>
      <c r="AI174" s="6"/>
      <c r="AJ174" s="6"/>
      <c r="AK174" s="6"/>
      <c r="AL174" s="6"/>
      <c r="AM174" s="6"/>
      <c r="AN174" s="6"/>
      <c r="AO174" s="6"/>
      <c r="AP174" s="6"/>
      <c r="AQ174" s="6"/>
      <c r="AR174" s="6"/>
      <c r="AS174" s="6"/>
      <c r="AT174" s="6"/>
      <c r="AU174" s="6"/>
      <c r="AV174" s="6"/>
      <c r="AW174" s="6"/>
      <c r="AX174" s="6"/>
      <c r="AY174" s="6"/>
      <c r="AZ174" s="6"/>
      <c r="BA174" s="6"/>
      <c r="BB174" s="6"/>
      <c r="BC174" s="6"/>
      <c r="BD174" s="6"/>
      <c r="BE174" s="6"/>
      <c r="BF174" s="6"/>
      <c r="BG174" s="6"/>
      <c r="BH174" s="6"/>
      <c r="BI174" s="6"/>
      <c r="BJ174" s="6"/>
      <c r="BK174" s="6"/>
      <c r="BL174" s="6"/>
      <c r="BM174" s="6"/>
      <c r="BN174" s="6"/>
      <c r="BO174" s="6"/>
      <c r="BP174" s="6"/>
      <c r="BQ174" s="6"/>
      <c r="BR174" s="6"/>
      <c r="BS174" s="6"/>
      <c r="BT174" s="6"/>
      <c r="BU174" s="6"/>
      <c r="BV174" s="6"/>
      <c r="BW174" s="6"/>
      <c r="BX174" s="6"/>
      <c r="BY174" s="6"/>
      <c r="BZ174" s="6"/>
      <c r="CA174" s="6"/>
      <c r="CB174" s="6"/>
    </row>
    <row r="175" spans="26:80" x14ac:dyDescent="0.25">
      <c r="Z175" s="6"/>
      <c r="AA175" s="6"/>
      <c r="AB175" s="6"/>
      <c r="AC175" s="6"/>
      <c r="AD175" s="6"/>
      <c r="AE175" s="6"/>
      <c r="AF175" s="6"/>
      <c r="AG175" s="6"/>
      <c r="AH175" s="6"/>
      <c r="AI175" s="6"/>
      <c r="AJ175" s="6"/>
      <c r="AK175" s="6"/>
      <c r="AL175" s="6"/>
      <c r="AM175" s="6"/>
      <c r="AN175" s="6"/>
      <c r="AO175" s="6"/>
      <c r="AP175" s="6"/>
      <c r="AQ175" s="6"/>
      <c r="AR175" s="6"/>
      <c r="AS175" s="6"/>
      <c r="AT175" s="6"/>
      <c r="AU175" s="6"/>
      <c r="AV175" s="6"/>
      <c r="AW175" s="6"/>
      <c r="AX175" s="6"/>
      <c r="AY175" s="6"/>
      <c r="AZ175" s="6"/>
      <c r="BA175" s="6"/>
      <c r="BB175" s="6"/>
      <c r="BC175" s="6"/>
      <c r="BD175" s="6"/>
      <c r="BE175" s="6"/>
      <c r="BF175" s="6"/>
      <c r="BG175" s="6"/>
      <c r="BH175" s="6"/>
      <c r="BI175" s="6"/>
      <c r="BJ175" s="6"/>
      <c r="BK175" s="6"/>
      <c r="BL175" s="6"/>
      <c r="BM175" s="6"/>
      <c r="BN175" s="6"/>
      <c r="BO175" s="6"/>
      <c r="BP175" s="6"/>
      <c r="BQ175" s="6"/>
      <c r="BR175" s="6"/>
      <c r="BS175" s="6"/>
      <c r="BT175" s="6"/>
      <c r="BU175" s="6"/>
      <c r="BV175" s="6"/>
      <c r="BW175" s="6"/>
      <c r="BX175" s="6"/>
      <c r="BY175" s="6"/>
      <c r="BZ175" s="6"/>
      <c r="CA175" s="6"/>
      <c r="CB175" s="6"/>
    </row>
    <row r="176" spans="26:80" x14ac:dyDescent="0.25">
      <c r="Z176" s="6"/>
      <c r="AA176" s="6"/>
      <c r="AB176" s="6"/>
      <c r="AC176" s="6"/>
      <c r="AD176" s="6"/>
      <c r="AE176" s="6"/>
      <c r="AF176" s="6"/>
      <c r="AG176" s="6"/>
      <c r="AH176" s="6"/>
      <c r="AI176" s="6"/>
      <c r="AJ176" s="6"/>
      <c r="AK176" s="6"/>
      <c r="AL176" s="6"/>
      <c r="AM176" s="6"/>
      <c r="AN176" s="6"/>
      <c r="AO176" s="6"/>
      <c r="AP176" s="6"/>
      <c r="AQ176" s="6"/>
      <c r="AR176" s="6"/>
      <c r="AS176" s="6"/>
      <c r="AT176" s="6"/>
      <c r="AU176" s="6"/>
      <c r="AV176" s="6"/>
      <c r="AW176" s="6"/>
      <c r="AX176" s="6"/>
      <c r="AY176" s="6"/>
      <c r="AZ176" s="6"/>
      <c r="BA176" s="6"/>
      <c r="BB176" s="6"/>
      <c r="BC176" s="6"/>
      <c r="BD176" s="6"/>
      <c r="BE176" s="6"/>
      <c r="BF176" s="6"/>
      <c r="BG176" s="6"/>
      <c r="BH176" s="6"/>
      <c r="BR176" s="6"/>
      <c r="BS176" s="6"/>
      <c r="BT176" s="6"/>
      <c r="BU176" s="6"/>
      <c r="BV176" s="6"/>
      <c r="BW176" s="6"/>
      <c r="BX176" s="6"/>
      <c r="BY176" s="6"/>
      <c r="BZ176" s="6"/>
      <c r="CA176" s="6"/>
      <c r="CB176" s="6"/>
    </row>
    <row r="177" spans="26:60" x14ac:dyDescent="0.25">
      <c r="Z177" s="6"/>
      <c r="AA177" s="6"/>
      <c r="AB177" s="6"/>
      <c r="AC177" s="6"/>
      <c r="AD177" s="6"/>
      <c r="AE177" s="6"/>
      <c r="AF177" s="6"/>
      <c r="AG177" s="6"/>
      <c r="AH177" s="6"/>
      <c r="AI177" s="6"/>
      <c r="AJ177" s="6"/>
      <c r="AK177" s="6"/>
      <c r="AL177" s="6"/>
      <c r="AM177" s="6"/>
      <c r="AN177" s="6"/>
      <c r="AO177" s="6"/>
      <c r="AP177" s="6"/>
      <c r="AQ177" s="6"/>
      <c r="AR177" s="6"/>
      <c r="AS177" s="6"/>
      <c r="AX177" s="6"/>
      <c r="AY177" s="6"/>
      <c r="AZ177" s="6"/>
      <c r="BA177" s="6"/>
      <c r="BC177" s="6"/>
      <c r="BD177" s="6"/>
      <c r="BE177" s="6"/>
      <c r="BF177" s="6"/>
      <c r="BG177" s="6"/>
      <c r="BH177" s="6"/>
    </row>
    <row r="178" spans="26:60" x14ac:dyDescent="0.25">
      <c r="Z178" s="6"/>
      <c r="AA178" s="6"/>
      <c r="AB178" s="6"/>
      <c r="AC178" s="6"/>
      <c r="AD178" s="6"/>
      <c r="AE178" s="6"/>
      <c r="AF178" s="6"/>
      <c r="AG178" s="6"/>
      <c r="AH178" s="6"/>
      <c r="AI178" s="6"/>
      <c r="AJ178" s="6"/>
      <c r="AK178" s="6"/>
      <c r="AL178" s="6"/>
      <c r="AM178" s="6"/>
      <c r="AN178" s="6"/>
      <c r="AO178" s="6"/>
      <c r="AP178" s="6"/>
      <c r="AQ178" s="6"/>
      <c r="AR178" s="6"/>
      <c r="AS178" s="6"/>
      <c r="AX178" s="6"/>
      <c r="AY178" s="6"/>
      <c r="AZ178" s="6"/>
      <c r="BA178" s="6"/>
      <c r="BC178" s="6"/>
      <c r="BD178" s="6"/>
      <c r="BE178" s="6"/>
      <c r="BF178" s="6"/>
      <c r="BG178" s="6"/>
      <c r="BH178" s="6"/>
    </row>
    <row r="179" spans="26:60" x14ac:dyDescent="0.25">
      <c r="Z179" s="6"/>
      <c r="AA179" s="6"/>
      <c r="AB179" s="6"/>
      <c r="AC179" s="6"/>
      <c r="AD179" s="6"/>
      <c r="AE179" s="6"/>
      <c r="AF179" s="6"/>
      <c r="AG179" s="6"/>
      <c r="AH179" s="6"/>
      <c r="AI179" s="6"/>
      <c r="AJ179" s="6"/>
      <c r="AK179" s="6"/>
      <c r="AL179" s="6"/>
      <c r="AM179" s="6"/>
      <c r="AN179" s="6"/>
      <c r="AO179" s="6"/>
      <c r="AP179" s="6"/>
      <c r="AQ179" s="6"/>
      <c r="AR179" s="6"/>
      <c r="AS179" s="6"/>
      <c r="AX179" s="6"/>
      <c r="AY179" s="6"/>
      <c r="AZ179" s="6"/>
      <c r="BA179" s="6"/>
      <c r="BC179" s="6"/>
      <c r="BD179" s="6"/>
      <c r="BE179" s="6"/>
      <c r="BF179" s="6"/>
      <c r="BG179" s="6"/>
      <c r="BH179" s="6"/>
    </row>
    <row r="180" spans="26:60" x14ac:dyDescent="0.25">
      <c r="Z180" s="6"/>
      <c r="AA180" s="6"/>
      <c r="AB180" s="6"/>
      <c r="AC180" s="6"/>
      <c r="AD180" s="6"/>
      <c r="AE180" s="6"/>
      <c r="AF180" s="6"/>
      <c r="AG180" s="6"/>
      <c r="AH180" s="6"/>
      <c r="AI180" s="6"/>
      <c r="AJ180" s="6"/>
      <c r="AK180" s="6"/>
      <c r="AL180" s="6"/>
      <c r="AM180" s="6"/>
      <c r="AN180" s="6"/>
      <c r="AO180" s="6"/>
      <c r="AP180" s="6"/>
      <c r="AQ180" s="6"/>
      <c r="AR180" s="6"/>
      <c r="AS180" s="6"/>
      <c r="AX180" s="6"/>
      <c r="AY180" s="6"/>
      <c r="AZ180" s="6"/>
      <c r="BA180" s="6"/>
    </row>
    <row r="181" spans="26:60" x14ac:dyDescent="0.25">
      <c r="AX181" s="6"/>
      <c r="AY181" s="6"/>
      <c r="AZ181" s="6"/>
    </row>
    <row r="182" spans="26:60" x14ac:dyDescent="0.25">
      <c r="AX182" s="6"/>
      <c r="AY182" s="6"/>
      <c r="AZ182" s="6"/>
    </row>
    <row r="183" spans="26:60" x14ac:dyDescent="0.25">
      <c r="AX183" s="6"/>
      <c r="AY183" s="6"/>
      <c r="AZ183" s="6"/>
    </row>
    <row r="184" spans="26:60" x14ac:dyDescent="0.25">
      <c r="AX184" s="6"/>
      <c r="AY184" s="6"/>
      <c r="AZ184" s="6"/>
    </row>
    <row r="185" spans="26:60" x14ac:dyDescent="0.25">
      <c r="AX185" s="6"/>
      <c r="AY185" s="6"/>
      <c r="AZ185" s="6"/>
    </row>
    <row r="186" spans="26:60" x14ac:dyDescent="0.25">
      <c r="AX186" s="6"/>
      <c r="AY186" s="6"/>
      <c r="AZ186" s="6"/>
    </row>
    <row r="187" spans="26:60" x14ac:dyDescent="0.25">
      <c r="AX187" s="6"/>
      <c r="AY187" s="6"/>
      <c r="AZ187" s="6"/>
    </row>
    <row r="188" spans="26:60" x14ac:dyDescent="0.25">
      <c r="AX188" s="6"/>
      <c r="AY188" s="6"/>
      <c r="AZ188" s="6"/>
    </row>
    <row r="189" spans="26:60" x14ac:dyDescent="0.25">
      <c r="AX189" s="6"/>
      <c r="AY189" s="6"/>
      <c r="AZ189" s="6"/>
    </row>
    <row r="190" spans="26:60" x14ac:dyDescent="0.25">
      <c r="AX190" s="6"/>
      <c r="AY190" s="6"/>
      <c r="AZ190" s="6"/>
    </row>
    <row r="191" spans="26:60" x14ac:dyDescent="0.25">
      <c r="AX191" s="6"/>
      <c r="AY191" s="6"/>
      <c r="AZ191" s="6"/>
    </row>
    <row r="192" spans="26:60" x14ac:dyDescent="0.25">
      <c r="AX192" s="6"/>
      <c r="AY192" s="6"/>
      <c r="AZ192" s="6"/>
    </row>
    <row r="193" spans="50:52" x14ac:dyDescent="0.25">
      <c r="AX193" s="6"/>
      <c r="AY193" s="6"/>
      <c r="AZ193" s="6"/>
    </row>
    <row r="194" spans="50:52" x14ac:dyDescent="0.25">
      <c r="AX194" s="6"/>
      <c r="AY194" s="6"/>
      <c r="AZ194" s="6"/>
    </row>
    <row r="195" spans="50:52" x14ac:dyDescent="0.25">
      <c r="AX195" s="6"/>
      <c r="AY195" s="6"/>
      <c r="AZ195" s="6"/>
    </row>
    <row r="196" spans="50:52" x14ac:dyDescent="0.25">
      <c r="AX196" s="6"/>
      <c r="AY196" s="6"/>
      <c r="AZ196" s="6"/>
    </row>
  </sheetData>
  <sheetProtection algorithmName="SHA-512" hashValue="VfWYSY21jPKbNFLnGknNW08WcBmVNGjvFVfzkhe0aB6TRJNTE811nYih96cGiwwAaAAHRl9ziKZPaI0NKCGVsQ==" saltValue="4k4+mKo4AkD5+H/NG3ADBA==" spinCount="100000" sheet="1" selectLockedCells="1"/>
  <mergeCells count="292">
    <mergeCell ref="C1:F1"/>
    <mergeCell ref="E135:H135"/>
    <mergeCell ref="J135:K135"/>
    <mergeCell ref="M135:N135"/>
    <mergeCell ref="E132:H132"/>
    <mergeCell ref="J132:K132"/>
    <mergeCell ref="M132:N132"/>
    <mergeCell ref="E133:H133"/>
    <mergeCell ref="J133:K133"/>
    <mergeCell ref="M133:N133"/>
    <mergeCell ref="E134:H134"/>
    <mergeCell ref="J134:K134"/>
    <mergeCell ref="M134:N134"/>
    <mergeCell ref="E129:H129"/>
    <mergeCell ref="J129:K129"/>
    <mergeCell ref="M129:N129"/>
    <mergeCell ref="E130:H130"/>
    <mergeCell ref="J130:K130"/>
    <mergeCell ref="M130:N130"/>
    <mergeCell ref="E131:H131"/>
    <mergeCell ref="J131:K131"/>
    <mergeCell ref="M131:N131"/>
    <mergeCell ref="E124:H124"/>
    <mergeCell ref="J124:K124"/>
    <mergeCell ref="M124:N124"/>
    <mergeCell ref="E125:H125"/>
    <mergeCell ref="J125:K125"/>
    <mergeCell ref="M125:N125"/>
    <mergeCell ref="E126:H126"/>
    <mergeCell ref="J126:K126"/>
    <mergeCell ref="M126:N126"/>
    <mergeCell ref="E121:H121"/>
    <mergeCell ref="J121:K121"/>
    <mergeCell ref="M121:N121"/>
    <mergeCell ref="E122:H122"/>
    <mergeCell ref="J122:K122"/>
    <mergeCell ref="M122:N122"/>
    <mergeCell ref="E123:H123"/>
    <mergeCell ref="J123:K123"/>
    <mergeCell ref="M123:N123"/>
    <mergeCell ref="E116:H116"/>
    <mergeCell ref="J116:K116"/>
    <mergeCell ref="M116:N116"/>
    <mergeCell ref="E117:H117"/>
    <mergeCell ref="J117:K117"/>
    <mergeCell ref="M117:N117"/>
    <mergeCell ref="E120:H120"/>
    <mergeCell ref="J120:K120"/>
    <mergeCell ref="M120:N120"/>
    <mergeCell ref="E113:H113"/>
    <mergeCell ref="J113:K113"/>
    <mergeCell ref="M113:N113"/>
    <mergeCell ref="E114:H114"/>
    <mergeCell ref="J114:K114"/>
    <mergeCell ref="M114:N114"/>
    <mergeCell ref="E115:H115"/>
    <mergeCell ref="J115:K115"/>
    <mergeCell ref="M115:N115"/>
    <mergeCell ref="E108:H108"/>
    <mergeCell ref="J108:K108"/>
    <mergeCell ref="M108:N108"/>
    <mergeCell ref="E111:H111"/>
    <mergeCell ref="J111:K111"/>
    <mergeCell ref="M111:N111"/>
    <mergeCell ref="E112:H112"/>
    <mergeCell ref="J112:K112"/>
    <mergeCell ref="M112:N112"/>
    <mergeCell ref="E105:H105"/>
    <mergeCell ref="J105:K105"/>
    <mergeCell ref="M105:N105"/>
    <mergeCell ref="E106:H106"/>
    <mergeCell ref="J106:K106"/>
    <mergeCell ref="M106:N106"/>
    <mergeCell ref="E107:H107"/>
    <mergeCell ref="J107:K107"/>
    <mergeCell ref="M107:N107"/>
    <mergeCell ref="D15:E15"/>
    <mergeCell ref="J22:K22"/>
    <mergeCell ref="E102:H102"/>
    <mergeCell ref="J102:K102"/>
    <mergeCell ref="M102:N102"/>
    <mergeCell ref="E103:H103"/>
    <mergeCell ref="J103:K103"/>
    <mergeCell ref="M103:N103"/>
    <mergeCell ref="E104:H104"/>
    <mergeCell ref="J104:K104"/>
    <mergeCell ref="M104:N104"/>
    <mergeCell ref="J26:K26"/>
    <mergeCell ref="M26:N26"/>
    <mergeCell ref="J58:K58"/>
    <mergeCell ref="M58:N58"/>
    <mergeCell ref="E57:H57"/>
    <mergeCell ref="J57:K57"/>
    <mergeCell ref="M25:N25"/>
    <mergeCell ref="E27:H27"/>
    <mergeCell ref="J30:K30"/>
    <mergeCell ref="M30:N30"/>
    <mergeCell ref="E43:H43"/>
    <mergeCell ref="J43:K43"/>
    <mergeCell ref="M43:N43"/>
    <mergeCell ref="D137:I137"/>
    <mergeCell ref="D3:E3"/>
    <mergeCell ref="D4:E4"/>
    <mergeCell ref="D5:E5"/>
    <mergeCell ref="BD2:BL2"/>
    <mergeCell ref="BT2:CB2"/>
    <mergeCell ref="E26:H26"/>
    <mergeCell ref="E21:H21"/>
    <mergeCell ref="J21:K21"/>
    <mergeCell ref="M21:N21"/>
    <mergeCell ref="E22:H22"/>
    <mergeCell ref="D16:E16"/>
    <mergeCell ref="D17:E17"/>
    <mergeCell ref="D6:E6"/>
    <mergeCell ref="D7:E7"/>
    <mergeCell ref="D8:E8"/>
    <mergeCell ref="D9:E9"/>
    <mergeCell ref="D10:E10"/>
    <mergeCell ref="D11:E11"/>
    <mergeCell ref="D12:E12"/>
    <mergeCell ref="D13:E13"/>
    <mergeCell ref="D14:E14"/>
    <mergeCell ref="E25:H25"/>
    <mergeCell ref="J25:K25"/>
    <mergeCell ref="E49:H49"/>
    <mergeCell ref="J49:K49"/>
    <mergeCell ref="M49:N49"/>
    <mergeCell ref="E39:H39"/>
    <mergeCell ref="J39:K39"/>
    <mergeCell ref="M39:N39"/>
    <mergeCell ref="E40:H40"/>
    <mergeCell ref="J36:K36"/>
    <mergeCell ref="M36:N36"/>
    <mergeCell ref="E36:H36"/>
    <mergeCell ref="E41:H41"/>
    <mergeCell ref="J41:K41"/>
    <mergeCell ref="M41:N41"/>
    <mergeCell ref="M54:N54"/>
    <mergeCell ref="E50:H50"/>
    <mergeCell ref="J50:K50"/>
    <mergeCell ref="M50:N50"/>
    <mergeCell ref="E51:H51"/>
    <mergeCell ref="E52:H52"/>
    <mergeCell ref="J51:K51"/>
    <mergeCell ref="M51:N51"/>
    <mergeCell ref="J52:K52"/>
    <mergeCell ref="M52:N52"/>
    <mergeCell ref="E53:H53"/>
    <mergeCell ref="J53:K53"/>
    <mergeCell ref="M53:N53"/>
    <mergeCell ref="M77:N77"/>
    <mergeCell ref="J67:K67"/>
    <mergeCell ref="M67:N67"/>
    <mergeCell ref="J61:K61"/>
    <mergeCell ref="M61:N61"/>
    <mergeCell ref="J62:K62"/>
    <mergeCell ref="E61:H61"/>
    <mergeCell ref="E62:H62"/>
    <mergeCell ref="M62:N62"/>
    <mergeCell ref="E63:H63"/>
    <mergeCell ref="J63:K63"/>
    <mergeCell ref="M63:N63"/>
    <mergeCell ref="E66:H66"/>
    <mergeCell ref="J66:K66"/>
    <mergeCell ref="M66:N66"/>
    <mergeCell ref="J71:K71"/>
    <mergeCell ref="M71:N71"/>
    <mergeCell ref="E70:H70"/>
    <mergeCell ref="E71:H71"/>
    <mergeCell ref="E68:H68"/>
    <mergeCell ref="J68:K68"/>
    <mergeCell ref="M68:N68"/>
    <mergeCell ref="E69:H69"/>
    <mergeCell ref="E67:H67"/>
    <mergeCell ref="E93:H93"/>
    <mergeCell ref="J93:K93"/>
    <mergeCell ref="M93:N93"/>
    <mergeCell ref="E94:H94"/>
    <mergeCell ref="E90:H90"/>
    <mergeCell ref="J90:K90"/>
    <mergeCell ref="M90:N90"/>
    <mergeCell ref="M98:N98"/>
    <mergeCell ref="M79:N79"/>
    <mergeCell ref="J80:K80"/>
    <mergeCell ref="E79:H79"/>
    <mergeCell ref="E80:H80"/>
    <mergeCell ref="J79:K79"/>
    <mergeCell ref="J88:K88"/>
    <mergeCell ref="M88:N88"/>
    <mergeCell ref="J89:K89"/>
    <mergeCell ref="M89:N89"/>
    <mergeCell ref="E88:H88"/>
    <mergeCell ref="E89:H89"/>
    <mergeCell ref="J87:K87"/>
    <mergeCell ref="M87:N87"/>
    <mergeCell ref="M80:N80"/>
    <mergeCell ref="E81:H81"/>
    <mergeCell ref="J81:K81"/>
    <mergeCell ref="J27:K27"/>
    <mergeCell ref="M27:N27"/>
    <mergeCell ref="E30:H30"/>
    <mergeCell ref="J44:K44"/>
    <mergeCell ref="M44:N44"/>
    <mergeCell ref="J45:K45"/>
    <mergeCell ref="M45:N45"/>
    <mergeCell ref="E48:H48"/>
    <mergeCell ref="J48:K48"/>
    <mergeCell ref="M48:N48"/>
    <mergeCell ref="J42:K42"/>
    <mergeCell ref="M42:N42"/>
    <mergeCell ref="E35:H35"/>
    <mergeCell ref="E32:H32"/>
    <mergeCell ref="J32:K32"/>
    <mergeCell ref="M32:N32"/>
    <mergeCell ref="E33:H33"/>
    <mergeCell ref="E31:H31"/>
    <mergeCell ref="J31:K31"/>
    <mergeCell ref="M31:N31"/>
    <mergeCell ref="E44:H44"/>
    <mergeCell ref="E42:H42"/>
    <mergeCell ref="E75:H75"/>
    <mergeCell ref="J75:K75"/>
    <mergeCell ref="M75:N75"/>
    <mergeCell ref="E76:H76"/>
    <mergeCell ref="E72:H72"/>
    <mergeCell ref="J72:K72"/>
    <mergeCell ref="M72:N72"/>
    <mergeCell ref="E45:H45"/>
    <mergeCell ref="E59:H59"/>
    <mergeCell ref="J59:K59"/>
    <mergeCell ref="M59:N59"/>
    <mergeCell ref="E60:H60"/>
    <mergeCell ref="J60:K60"/>
    <mergeCell ref="M60:N60"/>
    <mergeCell ref="J76:K76"/>
    <mergeCell ref="M76:N76"/>
    <mergeCell ref="J69:K69"/>
    <mergeCell ref="M69:N69"/>
    <mergeCell ref="J70:K70"/>
    <mergeCell ref="M70:N70"/>
    <mergeCell ref="M57:N57"/>
    <mergeCell ref="E58:H58"/>
    <mergeCell ref="E54:H54"/>
    <mergeCell ref="J54:K54"/>
    <mergeCell ref="M84:N84"/>
    <mergeCell ref="E86:H86"/>
    <mergeCell ref="J86:K86"/>
    <mergeCell ref="M86:N86"/>
    <mergeCell ref="E87:H87"/>
    <mergeCell ref="E85:H85"/>
    <mergeCell ref="J85:K85"/>
    <mergeCell ref="M85:N85"/>
    <mergeCell ref="M22:N22"/>
    <mergeCell ref="E23:H23"/>
    <mergeCell ref="J23:K23"/>
    <mergeCell ref="M23:N23"/>
    <mergeCell ref="E24:H24"/>
    <mergeCell ref="J24:K24"/>
    <mergeCell ref="M24:N24"/>
    <mergeCell ref="J40:K40"/>
    <mergeCell ref="M40:N40"/>
    <mergeCell ref="J33:K33"/>
    <mergeCell ref="M33:N33"/>
    <mergeCell ref="E34:H34"/>
    <mergeCell ref="J34:K34"/>
    <mergeCell ref="M34:N34"/>
    <mergeCell ref="J35:K35"/>
    <mergeCell ref="M35:N35"/>
    <mergeCell ref="E78:H78"/>
    <mergeCell ref="J78:K78"/>
    <mergeCell ref="M78:N78"/>
    <mergeCell ref="E77:H77"/>
    <mergeCell ref="J77:K77"/>
    <mergeCell ref="E99:H99"/>
    <mergeCell ref="J99:K99"/>
    <mergeCell ref="M99:N99"/>
    <mergeCell ref="J94:K94"/>
    <mergeCell ref="M94:N94"/>
    <mergeCell ref="E95:H95"/>
    <mergeCell ref="J95:K95"/>
    <mergeCell ref="M95:N95"/>
    <mergeCell ref="E96:H96"/>
    <mergeCell ref="J96:K96"/>
    <mergeCell ref="M96:N96"/>
    <mergeCell ref="E97:H97"/>
    <mergeCell ref="E98:H98"/>
    <mergeCell ref="J97:K97"/>
    <mergeCell ref="M97:N97"/>
    <mergeCell ref="J98:K98"/>
    <mergeCell ref="M81:N81"/>
    <mergeCell ref="E84:H84"/>
    <mergeCell ref="J84:K84"/>
  </mergeCells>
  <conditionalFormatting sqref="H4 I5:U5 J6:U6 K7:U7 L8:U8 M9:U9 N10:U10 O11:U11 P12:U12 Q13:U13 R14:U14 S15:U15 T16:U16 U16:U17">
    <cfRule type="cellIs" dxfId="52" priority="18" stopIfTrue="1" operator="between">
      <formula>0</formula>
      <formula>1</formula>
    </cfRule>
  </conditionalFormatting>
  <conditionalFormatting sqref="I4:U4">
    <cfRule type="cellIs" dxfId="51" priority="17" stopIfTrue="1" operator="between">
      <formula>0</formula>
      <formula>1</formula>
    </cfRule>
  </conditionalFormatting>
  <conditionalFormatting sqref="H5:H17">
    <cfRule type="cellIs" dxfId="50" priority="16" stopIfTrue="1" operator="between">
      <formula>0</formula>
      <formula>1</formula>
    </cfRule>
  </conditionalFormatting>
  <conditionalFormatting sqref="I6:I17">
    <cfRule type="cellIs" dxfId="49" priority="15" stopIfTrue="1" operator="between">
      <formula>0</formula>
      <formula>1</formula>
    </cfRule>
  </conditionalFormatting>
  <conditionalFormatting sqref="J7:J17">
    <cfRule type="cellIs" dxfId="48" priority="14" stopIfTrue="1" operator="between">
      <formula>0</formula>
      <formula>1</formula>
    </cfRule>
  </conditionalFormatting>
  <conditionalFormatting sqref="K8:K17">
    <cfRule type="cellIs" dxfId="47" priority="13" stopIfTrue="1" operator="between">
      <formula>0</formula>
      <formula>1</formula>
    </cfRule>
  </conditionalFormatting>
  <conditionalFormatting sqref="L9:L17">
    <cfRule type="cellIs" dxfId="46" priority="12" stopIfTrue="1" operator="between">
      <formula>0</formula>
      <formula>1</formula>
    </cfRule>
  </conditionalFormatting>
  <conditionalFormatting sqref="M10:M17">
    <cfRule type="cellIs" dxfId="45" priority="11" stopIfTrue="1" operator="between">
      <formula>0</formula>
      <formula>1</formula>
    </cfRule>
  </conditionalFormatting>
  <conditionalFormatting sqref="N11:N17">
    <cfRule type="cellIs" dxfId="44" priority="10" stopIfTrue="1" operator="between">
      <formula>0</formula>
      <formula>1</formula>
    </cfRule>
  </conditionalFormatting>
  <conditionalFormatting sqref="O12:O17">
    <cfRule type="cellIs" dxfId="43" priority="9" stopIfTrue="1" operator="between">
      <formula>0</formula>
      <formula>1</formula>
    </cfRule>
  </conditionalFormatting>
  <conditionalFormatting sqref="P13:P17">
    <cfRule type="cellIs" dxfId="42" priority="8" stopIfTrue="1" operator="between">
      <formula>0</formula>
      <formula>1</formula>
    </cfRule>
  </conditionalFormatting>
  <conditionalFormatting sqref="Q14:Q17">
    <cfRule type="cellIs" dxfId="41" priority="7" stopIfTrue="1" operator="between">
      <formula>0</formula>
      <formula>1</formula>
    </cfRule>
  </conditionalFormatting>
  <conditionalFormatting sqref="R15:R17">
    <cfRule type="cellIs" dxfId="40" priority="6" stopIfTrue="1" operator="between">
      <formula>0</formula>
      <formula>1</formula>
    </cfRule>
  </conditionalFormatting>
  <conditionalFormatting sqref="S16:S17">
    <cfRule type="cellIs" dxfId="39" priority="5" stopIfTrue="1" operator="between">
      <formula>0</formula>
      <formula>1</formula>
    </cfRule>
  </conditionalFormatting>
  <conditionalFormatting sqref="T17">
    <cfRule type="cellIs" dxfId="38" priority="4" stopIfTrue="1" operator="between">
      <formula>0</formula>
      <formula>1</formula>
    </cfRule>
  </conditionalFormatting>
  <conditionalFormatting sqref="X4:X17">
    <cfRule type="cellIs" dxfId="37" priority="1" operator="equal">
      <formula>3</formula>
    </cfRule>
    <cfRule type="cellIs" dxfId="36" priority="2" operator="equal">
      <formula>2</formula>
    </cfRule>
    <cfRule type="cellIs" dxfId="35" priority="3" operator="equal">
      <formula>1</formula>
    </cfRule>
  </conditionalFormatting>
  <pageMargins left="0.7" right="0.7" top="0.75" bottom="0.75" header="0.3" footer="0.3"/>
  <pageSetup paperSize="9" scale="88" fitToHeight="0" orientation="landscape" horizontalDpi="4294967293" r:id="rId1"/>
  <rowBreaks count="1" manualBreakCount="1">
    <brk id="36" min="1" max="23" man="1"/>
  </row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BD120"/>
  <sheetViews>
    <sheetView zoomScale="55" zoomScaleNormal="55" workbookViewId="0">
      <selection activeCell="V19" sqref="V19"/>
    </sheetView>
  </sheetViews>
  <sheetFormatPr defaultRowHeight="15" x14ac:dyDescent="0.25"/>
  <cols>
    <col min="1" max="23" width="9.140625" style="6"/>
    <col min="24" max="57" width="0" style="6" hidden="1" customWidth="1"/>
    <col min="58" max="16384" width="9.140625" style="6"/>
  </cols>
  <sheetData>
    <row r="1" spans="1:52" ht="26.25" x14ac:dyDescent="0.4">
      <c r="A1" s="88">
        <v>12</v>
      </c>
      <c r="B1" s="98" t="s">
        <v>31</v>
      </c>
      <c r="C1" s="100"/>
      <c r="D1" s="100"/>
      <c r="E1" s="100"/>
      <c r="F1" s="100"/>
      <c r="G1" s="100"/>
      <c r="H1" s="100"/>
      <c r="I1" s="100"/>
      <c r="J1" s="100"/>
      <c r="K1" s="100"/>
      <c r="L1" s="100"/>
      <c r="M1" s="99" t="s">
        <v>32</v>
      </c>
      <c r="N1" s="90"/>
      <c r="O1" s="90"/>
      <c r="P1" s="90"/>
      <c r="Q1" s="90"/>
      <c r="R1" s="90"/>
      <c r="S1" s="90"/>
      <c r="T1" s="90"/>
      <c r="V1" s="86" t="str">
        <f>"versie " &amp; Configuratie!B1</f>
        <v>versie 0.3.0</v>
      </c>
      <c r="W1" s="85"/>
      <c r="X1" s="85"/>
      <c r="Y1" s="85"/>
      <c r="Z1" s="85"/>
    </row>
    <row r="3" spans="1:52" x14ac:dyDescent="0.25">
      <c r="B3" s="19" t="s">
        <v>4</v>
      </c>
      <c r="C3" s="19" t="s">
        <v>6</v>
      </c>
      <c r="D3" s="93" t="s">
        <v>7</v>
      </c>
      <c r="E3" s="93"/>
      <c r="F3" s="19" t="s">
        <v>8</v>
      </c>
      <c r="H3" s="74">
        <v>1</v>
      </c>
      <c r="I3" s="74">
        <v>2</v>
      </c>
      <c r="J3" s="74">
        <v>3</v>
      </c>
      <c r="K3" s="74">
        <v>4</v>
      </c>
      <c r="L3" s="74">
        <v>5</v>
      </c>
      <c r="M3" s="74">
        <v>6</v>
      </c>
      <c r="N3" s="74">
        <v>7</v>
      </c>
      <c r="O3" s="74">
        <v>8</v>
      </c>
      <c r="P3" s="74">
        <v>9</v>
      </c>
      <c r="Q3" s="74">
        <v>10</v>
      </c>
      <c r="R3" s="74">
        <v>11</v>
      </c>
      <c r="S3" s="74">
        <v>12</v>
      </c>
      <c r="T3" s="7" t="s">
        <v>17</v>
      </c>
      <c r="U3" s="7" t="s">
        <v>26</v>
      </c>
      <c r="V3" s="7" t="s">
        <v>69</v>
      </c>
      <c r="Z3" s="7" t="s">
        <v>60</v>
      </c>
      <c r="AA3" s="7" t="s">
        <v>61</v>
      </c>
      <c r="AB3" s="7" t="s">
        <v>62</v>
      </c>
      <c r="AC3" s="7" t="s">
        <v>63</v>
      </c>
      <c r="AD3" s="7" t="s">
        <v>64</v>
      </c>
      <c r="AE3" s="7" t="s">
        <v>65</v>
      </c>
      <c r="AF3" s="7"/>
      <c r="AG3" s="7" t="s">
        <v>66</v>
      </c>
      <c r="AH3" s="7" t="s">
        <v>67</v>
      </c>
      <c r="AI3" s="7" t="s">
        <v>68</v>
      </c>
      <c r="AJ3" s="7" t="s">
        <v>69</v>
      </c>
      <c r="AK3" s="7"/>
      <c r="AL3" s="7" t="s">
        <v>69</v>
      </c>
      <c r="AM3" s="7" t="s">
        <v>70</v>
      </c>
    </row>
    <row r="4" spans="1:52" x14ac:dyDescent="0.25">
      <c r="A4" s="87">
        <f>V4</f>
        <v>1</v>
      </c>
      <c r="B4" s="25">
        <v>1</v>
      </c>
      <c r="C4" s="25" t="s">
        <v>40</v>
      </c>
      <c r="D4" s="94"/>
      <c r="E4" s="95"/>
      <c r="F4" s="25">
        <v>1000</v>
      </c>
      <c r="H4" s="75" t="str">
        <f>IF((SUMIF($AY$18:$AY$104,$B4*100+H$3,$AW$18:$AW$104)+SUMIF($AZ$18:$AZ$104,$B4*100+H$3,$AW$18:$AW$104))=1,(SUMIF($AY$18:$AY$104,$B4*100+H$3,$J$18:$J$104)+SUMIF($AZ$18:$AZ$104,$B4*100+H$3,$M$18:$M$104)),"")</f>
        <v/>
      </c>
      <c r="I4" s="76" t="str">
        <f t="shared" ref="H4:S15" si="0">IF((SUMIF($AY$18:$AY$104,$B4*100+I$3,$AW$18:$AW$104)+SUMIF($AZ$18:$AZ$104,$B4*100+I$3,$AW$18:$AW$104))=1,(SUMIF($AY$18:$AY$104,$B4*100+I$3,$J$18:$J$104)+SUMIF($AZ$18:$AZ$104,$B4*100+I$3,$M$18:$M$104)),"")</f>
        <v/>
      </c>
      <c r="J4" s="76" t="str">
        <f t="shared" si="0"/>
        <v/>
      </c>
      <c r="K4" s="76" t="str">
        <f t="shared" si="0"/>
        <v/>
      </c>
      <c r="L4" s="76" t="str">
        <f t="shared" si="0"/>
        <v/>
      </c>
      <c r="M4" s="76" t="str">
        <f t="shared" si="0"/>
        <v/>
      </c>
      <c r="N4" s="76" t="str">
        <f t="shared" si="0"/>
        <v/>
      </c>
      <c r="O4" s="76" t="str">
        <f t="shared" si="0"/>
        <v/>
      </c>
      <c r="P4" s="76" t="str">
        <f t="shared" si="0"/>
        <v/>
      </c>
      <c r="Q4" s="76" t="str">
        <f t="shared" si="0"/>
        <v/>
      </c>
      <c r="R4" s="76" t="str">
        <f t="shared" si="0"/>
        <v/>
      </c>
      <c r="S4" s="76" t="str">
        <f t="shared" si="0"/>
        <v/>
      </c>
      <c r="T4" s="8">
        <f>SUM(H4:S4)</f>
        <v>0</v>
      </c>
      <c r="U4" s="8">
        <f>IF(H4="",0,H4)*$T$4+IF(I4="",0,I4)*$T$5+IF(J4="",0,J4)*$T$6+IF(K4="",0,K4)*$T$7+IF(L4="",0,L4)*$T$8+IF(M4="",0,M4)*$T$9+IF(N4="",0,N4)*$T$10+IF(O4="",0,O4)*$T$11+IF(P4="",0,PO4)*$T$12+IF(Q4="",0,Q4)*$T$13+IF(R4="",0,R4)*$T$14+IF(S4="",0,S4)*$T$15</f>
        <v>0</v>
      </c>
      <c r="V4" s="9">
        <f>AJ4</f>
        <v>1</v>
      </c>
      <c r="Z4" s="64">
        <f>IF(T4=$T$4,IF(H4="",0,H4))+IF(T4=$T$5,IF(I4="",0,I4))+IF(T4=$T$6,IF(J4="",0,J4))+IF(T4=$T$7,IF(K4="",0,K4))+IF(T4=$T$8,IF(L4="",0,L4))+IF(T4=$T$9,IF(M4="",0,M4))+IF(T4=$T$10,IF(N4="",0,N4))+IF(T4=$T$11,IF(O4="",0,O4))+IF(T4=$T$12,IF(P4="",0,P4))+IF(T4=$T$13,IF(Q4="",0,Q4))+IF(T4=$T$14,IF(R4="",0,R4))+IF(T4=$T$15,IF(S4="",0,S4))</f>
        <v>0</v>
      </c>
      <c r="AA4" s="65">
        <f>$Z$16*T4+Z4</f>
        <v>0</v>
      </c>
      <c r="AB4" s="64">
        <f>IF(AA4=$AA$4,IF(H4="",0,H4))+IF(AA4=$AA$5,IF(I4="",0,I4))+IF(AA4=$AA$6,IF(J4="",0,J4))+IF(AA4=$AA$7,IF(K4="",0,K4))+IF(AA4=$AA$8,IF(L4="",0,L4))+IF(AA4=$AA$9,IF(M4="",0,M4))+IF(AA4=$AA$10,IF(N4="",0,N4))+IF(AA4=$AA$11,IF(O4="",0,O4))+IF(AA4=$AA$12,IF(P4="",0,P4))+IF(AA4=$AA$13,IF(Q4="",0,Q4))+IF(AA4=$AA$14,IF(R4="",0,R4))+IF(AA4=$AA$15,IF(S4="",0,S4))</f>
        <v>0</v>
      </c>
      <c r="AC4" s="65">
        <f>$AB$16*AA4+AB4</f>
        <v>0</v>
      </c>
      <c r="AD4" s="64">
        <f>IF(AC4=$AC$4,IF(H4="",0,H4))+IF(AC4=$AC$5,IF(I4="",0,I4))+IF(AC4=$AC$6,IF(J4="",0,J4))+IF(AC4=$AC$7,IF(K4="",0,K4))+IF(AC4=$AC$8,IF(L4="",0,L4))+IF(AC4=$AC$9,IF(M4="",0,M4))+IF(AC4=$AC$10,IF(N4="",0,N4))+IF(AC4=$AC$11,IF(O4="",0,O4))+IF(AC4=$AC$12,IF(P4="",0,P4))+IF(AC4=$AC$13,IF(Q4="",0,Q4))+IF(AC4=$AC$14,IF(R4="",0,R4))+IF(AC4=$AC$15,IF(S4="",0,S4))</f>
        <v>0</v>
      </c>
      <c r="AE4" s="56">
        <f>$AD$16*AC4+AD4</f>
        <v>0</v>
      </c>
      <c r="AF4" s="56"/>
      <c r="AG4" s="56">
        <f>RANK(AE4,$AE$4:$AE$15,1)-1</f>
        <v>0</v>
      </c>
      <c r="AH4" s="56">
        <f>RANK(U4,$U$4:$U$15,1)-1</f>
        <v>0</v>
      </c>
      <c r="AI4" s="56">
        <f>12*AG4+AH4</f>
        <v>0</v>
      </c>
      <c r="AJ4" s="56">
        <f>RANK(AI4,$AI$4:$AI$15)</f>
        <v>1</v>
      </c>
      <c r="AK4" s="56"/>
      <c r="AL4" s="56"/>
      <c r="AM4" s="56"/>
    </row>
    <row r="5" spans="1:52" x14ac:dyDescent="0.25">
      <c r="A5" s="87">
        <f t="shared" ref="A5:A15" si="1">V5</f>
        <v>1</v>
      </c>
      <c r="B5" s="25">
        <v>2</v>
      </c>
      <c r="C5" s="25" t="s">
        <v>41</v>
      </c>
      <c r="D5" s="94"/>
      <c r="E5" s="95"/>
      <c r="F5" s="25">
        <v>1000</v>
      </c>
      <c r="H5" s="76" t="str">
        <f t="shared" si="0"/>
        <v/>
      </c>
      <c r="I5" s="75" t="str">
        <f t="shared" si="0"/>
        <v/>
      </c>
      <c r="J5" s="76" t="str">
        <f t="shared" si="0"/>
        <v/>
      </c>
      <c r="K5" s="76" t="str">
        <f t="shared" si="0"/>
        <v/>
      </c>
      <c r="L5" s="76" t="str">
        <f t="shared" si="0"/>
        <v/>
      </c>
      <c r="M5" s="76" t="str">
        <f t="shared" si="0"/>
        <v/>
      </c>
      <c r="N5" s="76" t="str">
        <f t="shared" si="0"/>
        <v/>
      </c>
      <c r="O5" s="76" t="str">
        <f t="shared" si="0"/>
        <v/>
      </c>
      <c r="P5" s="76" t="str">
        <f t="shared" si="0"/>
        <v/>
      </c>
      <c r="Q5" s="76" t="str">
        <f t="shared" si="0"/>
        <v/>
      </c>
      <c r="R5" s="76" t="str">
        <f t="shared" si="0"/>
        <v/>
      </c>
      <c r="S5" s="76" t="str">
        <f t="shared" si="0"/>
        <v/>
      </c>
      <c r="T5" s="8">
        <f t="shared" ref="T5:T15" si="2">SUM(H5:S5)</f>
        <v>0</v>
      </c>
      <c r="U5" s="8">
        <f t="shared" ref="U5:U15" si="3">IF(H5="",0,H5)*$T$4+IF(I5="",0,I5)*$T$5+IF(J5="",0,J5)*$T$6+IF(K5="",0,K5)*$T$7+IF(L5="",0,L5)*$T$8+IF(M5="",0,M5)*$T$9+IF(N5="",0,N5)*$T$10+IF(O5="",0,O5)*$T$11+IF(P5="",0,PO5)*$T$12+IF(Q5="",0,Q5)*$T$13+IF(R5="",0,R5)*$T$14+IF(S5="",0,S5)*$T$15</f>
        <v>0</v>
      </c>
      <c r="V5" s="9">
        <f t="shared" ref="V5:V15" si="4">AJ5</f>
        <v>1</v>
      </c>
      <c r="Z5" s="64">
        <f t="shared" ref="Z5:Z15" si="5">IF(T5=$T$4,IF(H5="",0,H5))+IF(T5=$T$5,IF(I5="",0,I5))+IF(T5=$T$6,IF(J5="",0,J5))+IF(T5=$T$7,IF(K5="",0,K5))+IF(T5=$T$8,IF(L5="",0,L5))+IF(T5=$T$9,IF(M5="",0,M5))+IF(T5=$T$10,IF(N5="",0,N5))+IF(T5=$T$11,IF(O5="",0,O5))+IF(T5=$T$12,IF(P5="",0,P5))+IF(T5=$T$13,IF(Q5="",0,Q5))+IF(T5=$T$14,IF(R5="",0,R5))+IF(T5=$T$15,IF(S5="",0,S5))</f>
        <v>0</v>
      </c>
      <c r="AA5" s="65">
        <f t="shared" ref="AA5:AA15" si="6">$Z$16*T5+Z5</f>
        <v>0</v>
      </c>
      <c r="AB5" s="64">
        <f t="shared" ref="AB5:AB15" si="7">IF(AA5=$AA$4,IF(H5="",0,H5))+IF(AA5=$AA$5,IF(I5="",0,I5))+IF(AA5=$AA$6,IF(J5="",0,J5))+IF(AA5=$AA$7,IF(K5="",0,K5))+IF(AA5=$AA$8,IF(L5="",0,L5))+IF(AA5=$AA$9,IF(M5="",0,M5))+IF(AA5=$AA$10,IF(N5="",0,N5))+IF(AA5=$AA$11,IF(O5="",0,O5))+IF(AA5=$AA$12,IF(P5="",0,P5))+IF(AA5=$AA$13,IF(Q5="",0,Q5))+IF(AA5=$AA$14,IF(R5="",0,R5))+IF(AA5=$AA$15,IF(S5="",0,S5))</f>
        <v>0</v>
      </c>
      <c r="AC5" s="65">
        <f t="shared" ref="AC5:AC15" si="8">$AB$16*AA5+AB5</f>
        <v>0</v>
      </c>
      <c r="AD5" s="64">
        <f t="shared" ref="AD5:AD15" si="9">IF(AC5=$AC$4,IF(H5="",0,H5))+IF(AC5=$AC$5,IF(I5="",0,I5))+IF(AC5=$AC$6,IF(J5="",0,J5))+IF(AC5=$AC$7,IF(K5="",0,K5))+IF(AC5=$AC$8,IF(L5="",0,L5))+IF(AC5=$AC$9,IF(M5="",0,M5))+IF(AC5=$AC$10,IF(N5="",0,N5))+IF(AC5=$AC$11,IF(O5="",0,O5))+IF(AC5=$AC$12,IF(P5="",0,P5))+IF(AC5=$AC$13,IF(Q5="",0,Q5))+IF(AC5=$AC$14,IF(R5="",0,R5))+IF(AC5=$AC$15,IF(S5="",0,S5))</f>
        <v>0</v>
      </c>
      <c r="AE5" s="56">
        <f t="shared" ref="AE5:AE15" si="10">$AD$16*AC5+AD5</f>
        <v>0</v>
      </c>
      <c r="AF5" s="56"/>
      <c r="AG5" s="56">
        <f t="shared" ref="AG5:AG15" si="11">RANK(AE5,$AE$4:$AE$15,1)-1</f>
        <v>0</v>
      </c>
      <c r="AH5" s="56">
        <f t="shared" ref="AH5:AH15" si="12">RANK(U5,$U$4:$U$15,1)-1</f>
        <v>0</v>
      </c>
      <c r="AI5" s="56">
        <f t="shared" ref="AI5:AI15" si="13">12*AG5+AH5</f>
        <v>0</v>
      </c>
      <c r="AJ5" s="56">
        <f t="shared" ref="AJ5:AJ15" si="14">RANK(AI5,$AI$4:$AI$15)</f>
        <v>1</v>
      </c>
      <c r="AK5" s="56"/>
      <c r="AL5" s="56"/>
      <c r="AM5" s="56"/>
    </row>
    <row r="6" spans="1:52" x14ac:dyDescent="0.25">
      <c r="A6" s="87">
        <f t="shared" si="1"/>
        <v>1</v>
      </c>
      <c r="B6" s="25">
        <v>3</v>
      </c>
      <c r="C6" s="25" t="s">
        <v>42</v>
      </c>
      <c r="D6" s="94"/>
      <c r="E6" s="95"/>
      <c r="F6" s="25">
        <v>1000</v>
      </c>
      <c r="H6" s="76" t="str">
        <f t="shared" si="0"/>
        <v/>
      </c>
      <c r="I6" s="76" t="str">
        <f t="shared" si="0"/>
        <v/>
      </c>
      <c r="J6" s="75" t="str">
        <f t="shared" si="0"/>
        <v/>
      </c>
      <c r="K6" s="76" t="str">
        <f t="shared" si="0"/>
        <v/>
      </c>
      <c r="L6" s="76" t="str">
        <f t="shared" si="0"/>
        <v/>
      </c>
      <c r="M6" s="76" t="str">
        <f t="shared" si="0"/>
        <v/>
      </c>
      <c r="N6" s="76" t="str">
        <f t="shared" si="0"/>
        <v/>
      </c>
      <c r="O6" s="76" t="str">
        <f t="shared" si="0"/>
        <v/>
      </c>
      <c r="P6" s="76" t="str">
        <f t="shared" si="0"/>
        <v/>
      </c>
      <c r="Q6" s="76" t="str">
        <f t="shared" si="0"/>
        <v/>
      </c>
      <c r="R6" s="76" t="str">
        <f t="shared" si="0"/>
        <v/>
      </c>
      <c r="S6" s="76" t="str">
        <f t="shared" si="0"/>
        <v/>
      </c>
      <c r="T6" s="8">
        <f t="shared" si="2"/>
        <v>0</v>
      </c>
      <c r="U6" s="8">
        <f t="shared" si="3"/>
        <v>0</v>
      </c>
      <c r="V6" s="9">
        <f t="shared" si="4"/>
        <v>1</v>
      </c>
      <c r="Z6" s="64">
        <f t="shared" si="5"/>
        <v>0</v>
      </c>
      <c r="AA6" s="65">
        <f t="shared" si="6"/>
        <v>0</v>
      </c>
      <c r="AB6" s="64">
        <f t="shared" si="7"/>
        <v>0</v>
      </c>
      <c r="AC6" s="65">
        <f t="shared" si="8"/>
        <v>0</v>
      </c>
      <c r="AD6" s="64">
        <f t="shared" si="9"/>
        <v>0</v>
      </c>
      <c r="AE6" s="56">
        <f t="shared" si="10"/>
        <v>0</v>
      </c>
      <c r="AF6" s="56"/>
      <c r="AG6" s="56">
        <f t="shared" si="11"/>
        <v>0</v>
      </c>
      <c r="AH6" s="56">
        <f t="shared" si="12"/>
        <v>0</v>
      </c>
      <c r="AI6" s="56">
        <f t="shared" si="13"/>
        <v>0</v>
      </c>
      <c r="AJ6" s="56">
        <f t="shared" si="14"/>
        <v>1</v>
      </c>
      <c r="AK6" s="56"/>
      <c r="AL6" s="56"/>
      <c r="AM6" s="56"/>
    </row>
    <row r="7" spans="1:52" x14ac:dyDescent="0.25">
      <c r="A7" s="87">
        <f t="shared" si="1"/>
        <v>1</v>
      </c>
      <c r="B7" s="25">
        <v>4</v>
      </c>
      <c r="C7" s="25" t="s">
        <v>43</v>
      </c>
      <c r="D7" s="94"/>
      <c r="E7" s="95"/>
      <c r="F7" s="25">
        <v>1000</v>
      </c>
      <c r="H7" s="76" t="str">
        <f t="shared" si="0"/>
        <v/>
      </c>
      <c r="I7" s="76" t="str">
        <f t="shared" si="0"/>
        <v/>
      </c>
      <c r="J7" s="76" t="str">
        <f t="shared" si="0"/>
        <v/>
      </c>
      <c r="K7" s="75" t="str">
        <f t="shared" si="0"/>
        <v/>
      </c>
      <c r="L7" s="76" t="str">
        <f t="shared" si="0"/>
        <v/>
      </c>
      <c r="M7" s="76" t="str">
        <f t="shared" si="0"/>
        <v/>
      </c>
      <c r="N7" s="76" t="str">
        <f t="shared" si="0"/>
        <v/>
      </c>
      <c r="O7" s="76" t="str">
        <f t="shared" si="0"/>
        <v/>
      </c>
      <c r="P7" s="76" t="str">
        <f t="shared" si="0"/>
        <v/>
      </c>
      <c r="Q7" s="76" t="str">
        <f t="shared" si="0"/>
        <v/>
      </c>
      <c r="R7" s="76" t="str">
        <f t="shared" si="0"/>
        <v/>
      </c>
      <c r="S7" s="76" t="str">
        <f t="shared" si="0"/>
        <v/>
      </c>
      <c r="T7" s="8">
        <f t="shared" si="2"/>
        <v>0</v>
      </c>
      <c r="U7" s="8">
        <f t="shared" si="3"/>
        <v>0</v>
      </c>
      <c r="V7" s="9">
        <f t="shared" si="4"/>
        <v>1</v>
      </c>
      <c r="Z7" s="64">
        <f t="shared" si="5"/>
        <v>0</v>
      </c>
      <c r="AA7" s="65">
        <f t="shared" si="6"/>
        <v>0</v>
      </c>
      <c r="AB7" s="64">
        <f t="shared" si="7"/>
        <v>0</v>
      </c>
      <c r="AC7" s="65">
        <f t="shared" si="8"/>
        <v>0</v>
      </c>
      <c r="AD7" s="64">
        <f t="shared" si="9"/>
        <v>0</v>
      </c>
      <c r="AE7" s="56">
        <f t="shared" si="10"/>
        <v>0</v>
      </c>
      <c r="AF7" s="56"/>
      <c r="AG7" s="56">
        <f t="shared" si="11"/>
        <v>0</v>
      </c>
      <c r="AH7" s="56">
        <f t="shared" si="12"/>
        <v>0</v>
      </c>
      <c r="AI7" s="56">
        <f t="shared" si="13"/>
        <v>0</v>
      </c>
      <c r="AJ7" s="56">
        <f t="shared" si="14"/>
        <v>1</v>
      </c>
      <c r="AK7" s="56"/>
      <c r="AL7" s="56"/>
      <c r="AM7" s="56"/>
    </row>
    <row r="8" spans="1:52" x14ac:dyDescent="0.25">
      <c r="A8" s="87">
        <f t="shared" si="1"/>
        <v>1</v>
      </c>
      <c r="B8" s="25">
        <v>5</v>
      </c>
      <c r="C8" s="25" t="s">
        <v>47</v>
      </c>
      <c r="D8" s="94"/>
      <c r="E8" s="95"/>
      <c r="F8" s="25">
        <v>1000</v>
      </c>
      <c r="H8" s="76" t="str">
        <f t="shared" si="0"/>
        <v/>
      </c>
      <c r="I8" s="76" t="str">
        <f t="shared" si="0"/>
        <v/>
      </c>
      <c r="J8" s="76" t="str">
        <f t="shared" si="0"/>
        <v/>
      </c>
      <c r="K8" s="76" t="str">
        <f t="shared" si="0"/>
        <v/>
      </c>
      <c r="L8" s="75" t="str">
        <f t="shared" si="0"/>
        <v/>
      </c>
      <c r="M8" s="76" t="str">
        <f t="shared" si="0"/>
        <v/>
      </c>
      <c r="N8" s="76" t="str">
        <f t="shared" si="0"/>
        <v/>
      </c>
      <c r="O8" s="76" t="str">
        <f t="shared" si="0"/>
        <v/>
      </c>
      <c r="P8" s="76" t="str">
        <f t="shared" si="0"/>
        <v/>
      </c>
      <c r="Q8" s="76" t="str">
        <f t="shared" si="0"/>
        <v/>
      </c>
      <c r="R8" s="76" t="str">
        <f t="shared" si="0"/>
        <v/>
      </c>
      <c r="S8" s="76" t="str">
        <f t="shared" si="0"/>
        <v/>
      </c>
      <c r="T8" s="8">
        <f t="shared" si="2"/>
        <v>0</v>
      </c>
      <c r="U8" s="8">
        <f t="shared" si="3"/>
        <v>0</v>
      </c>
      <c r="V8" s="9">
        <f t="shared" si="4"/>
        <v>1</v>
      </c>
      <c r="Z8" s="64">
        <f t="shared" si="5"/>
        <v>0</v>
      </c>
      <c r="AA8" s="65">
        <f t="shared" si="6"/>
        <v>0</v>
      </c>
      <c r="AB8" s="64">
        <f t="shared" si="7"/>
        <v>0</v>
      </c>
      <c r="AC8" s="65">
        <f t="shared" si="8"/>
        <v>0</v>
      </c>
      <c r="AD8" s="64">
        <f t="shared" si="9"/>
        <v>0</v>
      </c>
      <c r="AE8" s="56">
        <f t="shared" si="10"/>
        <v>0</v>
      </c>
      <c r="AF8" s="56"/>
      <c r="AG8" s="56">
        <f t="shared" si="11"/>
        <v>0</v>
      </c>
      <c r="AH8" s="56">
        <f t="shared" si="12"/>
        <v>0</v>
      </c>
      <c r="AI8" s="56">
        <f t="shared" si="13"/>
        <v>0</v>
      </c>
      <c r="AJ8" s="56">
        <f t="shared" si="14"/>
        <v>1</v>
      </c>
      <c r="AK8" s="56"/>
      <c r="AL8" s="7"/>
      <c r="AM8" s="56"/>
    </row>
    <row r="9" spans="1:52" x14ac:dyDescent="0.25">
      <c r="A9" s="87">
        <f t="shared" si="1"/>
        <v>1</v>
      </c>
      <c r="B9" s="25">
        <v>6</v>
      </c>
      <c r="C9" s="25" t="s">
        <v>45</v>
      </c>
      <c r="D9" s="94"/>
      <c r="E9" s="95"/>
      <c r="F9" s="25">
        <v>1000</v>
      </c>
      <c r="H9" s="76" t="str">
        <f t="shared" si="0"/>
        <v/>
      </c>
      <c r="I9" s="76" t="str">
        <f t="shared" si="0"/>
        <v/>
      </c>
      <c r="J9" s="76" t="str">
        <f t="shared" si="0"/>
        <v/>
      </c>
      <c r="K9" s="76" t="str">
        <f t="shared" si="0"/>
        <v/>
      </c>
      <c r="L9" s="76" t="str">
        <f t="shared" si="0"/>
        <v/>
      </c>
      <c r="M9" s="75" t="str">
        <f t="shared" si="0"/>
        <v/>
      </c>
      <c r="N9" s="76" t="str">
        <f t="shared" si="0"/>
        <v/>
      </c>
      <c r="O9" s="76" t="str">
        <f t="shared" si="0"/>
        <v/>
      </c>
      <c r="P9" s="76" t="str">
        <f t="shared" si="0"/>
        <v/>
      </c>
      <c r="Q9" s="76" t="str">
        <f t="shared" si="0"/>
        <v/>
      </c>
      <c r="R9" s="76" t="str">
        <f t="shared" si="0"/>
        <v/>
      </c>
      <c r="S9" s="76" t="str">
        <f t="shared" si="0"/>
        <v/>
      </c>
      <c r="T9" s="8">
        <f t="shared" si="2"/>
        <v>0</v>
      </c>
      <c r="U9" s="8">
        <f t="shared" si="3"/>
        <v>0</v>
      </c>
      <c r="V9" s="9">
        <f t="shared" si="4"/>
        <v>1</v>
      </c>
      <c r="Z9" s="64">
        <f t="shared" si="5"/>
        <v>0</v>
      </c>
      <c r="AA9" s="65">
        <f t="shared" si="6"/>
        <v>0</v>
      </c>
      <c r="AB9" s="64">
        <f t="shared" si="7"/>
        <v>0</v>
      </c>
      <c r="AC9" s="65">
        <f t="shared" si="8"/>
        <v>0</v>
      </c>
      <c r="AD9" s="64">
        <f t="shared" si="9"/>
        <v>0</v>
      </c>
      <c r="AE9" s="56">
        <f t="shared" si="10"/>
        <v>0</v>
      </c>
      <c r="AF9" s="56"/>
      <c r="AG9" s="56">
        <f t="shared" si="11"/>
        <v>0</v>
      </c>
      <c r="AH9" s="56">
        <f t="shared" si="12"/>
        <v>0</v>
      </c>
      <c r="AI9" s="56">
        <f t="shared" si="13"/>
        <v>0</v>
      </c>
      <c r="AJ9" s="56">
        <f t="shared" si="14"/>
        <v>1</v>
      </c>
      <c r="AK9" s="56"/>
      <c r="AL9" s="56"/>
      <c r="AM9" s="56"/>
    </row>
    <row r="10" spans="1:52" x14ac:dyDescent="0.25">
      <c r="A10" s="87">
        <f t="shared" si="1"/>
        <v>1</v>
      </c>
      <c r="B10" s="25">
        <v>7</v>
      </c>
      <c r="C10" s="25" t="s">
        <v>46</v>
      </c>
      <c r="D10" s="94"/>
      <c r="E10" s="95"/>
      <c r="F10" s="25">
        <v>1000</v>
      </c>
      <c r="H10" s="76" t="str">
        <f t="shared" si="0"/>
        <v/>
      </c>
      <c r="I10" s="76" t="str">
        <f t="shared" si="0"/>
        <v/>
      </c>
      <c r="J10" s="76" t="str">
        <f t="shared" si="0"/>
        <v/>
      </c>
      <c r="K10" s="76" t="str">
        <f t="shared" si="0"/>
        <v/>
      </c>
      <c r="L10" s="76" t="str">
        <f t="shared" si="0"/>
        <v/>
      </c>
      <c r="M10" s="76" t="str">
        <f t="shared" si="0"/>
        <v/>
      </c>
      <c r="N10" s="75" t="str">
        <f t="shared" si="0"/>
        <v/>
      </c>
      <c r="O10" s="76" t="str">
        <f t="shared" si="0"/>
        <v/>
      </c>
      <c r="P10" s="76" t="str">
        <f t="shared" si="0"/>
        <v/>
      </c>
      <c r="Q10" s="76" t="str">
        <f t="shared" si="0"/>
        <v/>
      </c>
      <c r="R10" s="76" t="str">
        <f t="shared" si="0"/>
        <v/>
      </c>
      <c r="S10" s="76" t="str">
        <f t="shared" si="0"/>
        <v/>
      </c>
      <c r="T10" s="8">
        <f t="shared" si="2"/>
        <v>0</v>
      </c>
      <c r="U10" s="8">
        <f t="shared" si="3"/>
        <v>0</v>
      </c>
      <c r="V10" s="9">
        <f t="shared" si="4"/>
        <v>1</v>
      </c>
      <c r="Z10" s="64">
        <f t="shared" si="5"/>
        <v>0</v>
      </c>
      <c r="AA10" s="65">
        <f t="shared" si="6"/>
        <v>0</v>
      </c>
      <c r="AB10" s="64">
        <f t="shared" si="7"/>
        <v>0</v>
      </c>
      <c r="AC10" s="65">
        <f t="shared" si="8"/>
        <v>0</v>
      </c>
      <c r="AD10" s="64">
        <f t="shared" si="9"/>
        <v>0</v>
      </c>
      <c r="AE10" s="56">
        <f t="shared" si="10"/>
        <v>0</v>
      </c>
      <c r="AF10" s="56"/>
      <c r="AG10" s="56">
        <f t="shared" si="11"/>
        <v>0</v>
      </c>
      <c r="AH10" s="56">
        <f t="shared" si="12"/>
        <v>0</v>
      </c>
      <c r="AI10" s="56">
        <f t="shared" si="13"/>
        <v>0</v>
      </c>
      <c r="AJ10" s="56">
        <f t="shared" si="14"/>
        <v>1</v>
      </c>
      <c r="AK10" s="56"/>
      <c r="AL10" s="56"/>
      <c r="AM10" s="56"/>
    </row>
    <row r="11" spans="1:52" x14ac:dyDescent="0.25">
      <c r="A11" s="87">
        <f t="shared" si="1"/>
        <v>1</v>
      </c>
      <c r="B11" s="25">
        <v>8</v>
      </c>
      <c r="C11" s="25" t="s">
        <v>48</v>
      </c>
      <c r="D11" s="94"/>
      <c r="E11" s="95"/>
      <c r="F11" s="25">
        <v>1000</v>
      </c>
      <c r="H11" s="76" t="str">
        <f t="shared" si="0"/>
        <v/>
      </c>
      <c r="I11" s="76" t="str">
        <f t="shared" si="0"/>
        <v/>
      </c>
      <c r="J11" s="76" t="str">
        <f t="shared" si="0"/>
        <v/>
      </c>
      <c r="K11" s="76" t="str">
        <f t="shared" si="0"/>
        <v/>
      </c>
      <c r="L11" s="76" t="str">
        <f t="shared" si="0"/>
        <v/>
      </c>
      <c r="M11" s="76" t="str">
        <f t="shared" si="0"/>
        <v/>
      </c>
      <c r="N11" s="76" t="str">
        <f t="shared" si="0"/>
        <v/>
      </c>
      <c r="O11" s="75" t="str">
        <f t="shared" si="0"/>
        <v/>
      </c>
      <c r="P11" s="76" t="str">
        <f t="shared" si="0"/>
        <v/>
      </c>
      <c r="Q11" s="76" t="str">
        <f t="shared" si="0"/>
        <v/>
      </c>
      <c r="R11" s="76" t="str">
        <f t="shared" si="0"/>
        <v/>
      </c>
      <c r="S11" s="76" t="str">
        <f t="shared" si="0"/>
        <v/>
      </c>
      <c r="T11" s="8">
        <f t="shared" si="2"/>
        <v>0</v>
      </c>
      <c r="U11" s="8">
        <f t="shared" si="3"/>
        <v>0</v>
      </c>
      <c r="V11" s="9">
        <f t="shared" si="4"/>
        <v>1</v>
      </c>
      <c r="Z11" s="64">
        <f t="shared" si="5"/>
        <v>0</v>
      </c>
      <c r="AA11" s="65">
        <f t="shared" si="6"/>
        <v>0</v>
      </c>
      <c r="AB11" s="64">
        <f t="shared" si="7"/>
        <v>0</v>
      </c>
      <c r="AC11" s="65">
        <f t="shared" si="8"/>
        <v>0</v>
      </c>
      <c r="AD11" s="64">
        <f t="shared" si="9"/>
        <v>0</v>
      </c>
      <c r="AE11" s="56">
        <f t="shared" si="10"/>
        <v>0</v>
      </c>
      <c r="AF11" s="56"/>
      <c r="AG11" s="56">
        <f t="shared" si="11"/>
        <v>0</v>
      </c>
      <c r="AH11" s="56">
        <f t="shared" si="12"/>
        <v>0</v>
      </c>
      <c r="AI11" s="56">
        <f t="shared" si="13"/>
        <v>0</v>
      </c>
      <c r="AJ11" s="56">
        <f t="shared" si="14"/>
        <v>1</v>
      </c>
      <c r="AK11" s="56"/>
      <c r="AL11" s="56"/>
      <c r="AM11" s="56"/>
    </row>
    <row r="12" spans="1:52" x14ac:dyDescent="0.25">
      <c r="A12" s="87">
        <f t="shared" si="1"/>
        <v>1</v>
      </c>
      <c r="B12" s="25">
        <v>9</v>
      </c>
      <c r="C12" s="25" t="s">
        <v>49</v>
      </c>
      <c r="D12" s="94"/>
      <c r="E12" s="95"/>
      <c r="F12" s="25">
        <v>1000</v>
      </c>
      <c r="H12" s="76" t="str">
        <f t="shared" si="0"/>
        <v/>
      </c>
      <c r="I12" s="76" t="str">
        <f t="shared" si="0"/>
        <v/>
      </c>
      <c r="J12" s="76" t="str">
        <f t="shared" si="0"/>
        <v/>
      </c>
      <c r="K12" s="76" t="str">
        <f t="shared" si="0"/>
        <v/>
      </c>
      <c r="L12" s="76" t="str">
        <f t="shared" si="0"/>
        <v/>
      </c>
      <c r="M12" s="76" t="str">
        <f t="shared" si="0"/>
        <v/>
      </c>
      <c r="N12" s="76" t="str">
        <f t="shared" si="0"/>
        <v/>
      </c>
      <c r="O12" s="76" t="str">
        <f t="shared" si="0"/>
        <v/>
      </c>
      <c r="P12" s="75" t="str">
        <f t="shared" si="0"/>
        <v/>
      </c>
      <c r="Q12" s="76" t="str">
        <f t="shared" si="0"/>
        <v/>
      </c>
      <c r="R12" s="76" t="str">
        <f t="shared" si="0"/>
        <v/>
      </c>
      <c r="S12" s="76" t="str">
        <f t="shared" si="0"/>
        <v/>
      </c>
      <c r="T12" s="8">
        <f t="shared" si="2"/>
        <v>0</v>
      </c>
      <c r="U12" s="8">
        <f t="shared" si="3"/>
        <v>0</v>
      </c>
      <c r="V12" s="9">
        <f t="shared" si="4"/>
        <v>1</v>
      </c>
      <c r="Z12" s="64">
        <f t="shared" si="5"/>
        <v>0</v>
      </c>
      <c r="AA12" s="65">
        <f t="shared" si="6"/>
        <v>0</v>
      </c>
      <c r="AB12" s="64">
        <f t="shared" si="7"/>
        <v>0</v>
      </c>
      <c r="AC12" s="65">
        <f t="shared" si="8"/>
        <v>0</v>
      </c>
      <c r="AD12" s="64">
        <f t="shared" si="9"/>
        <v>0</v>
      </c>
      <c r="AE12" s="56">
        <f t="shared" si="10"/>
        <v>0</v>
      </c>
      <c r="AG12" s="56">
        <f t="shared" si="11"/>
        <v>0</v>
      </c>
      <c r="AH12" s="56">
        <f t="shared" si="12"/>
        <v>0</v>
      </c>
      <c r="AI12" s="56">
        <f t="shared" si="13"/>
        <v>0</v>
      </c>
      <c r="AJ12" s="56">
        <f t="shared" si="14"/>
        <v>1</v>
      </c>
    </row>
    <row r="13" spans="1:52" x14ac:dyDescent="0.25">
      <c r="A13" s="87">
        <f t="shared" si="1"/>
        <v>1</v>
      </c>
      <c r="B13" s="25">
        <v>10</v>
      </c>
      <c r="C13" s="25" t="s">
        <v>75</v>
      </c>
      <c r="D13" s="96"/>
      <c r="E13" s="97"/>
      <c r="F13" s="25">
        <v>1000</v>
      </c>
      <c r="H13" s="76" t="str">
        <f t="shared" si="0"/>
        <v/>
      </c>
      <c r="I13" s="76" t="str">
        <f t="shared" si="0"/>
        <v/>
      </c>
      <c r="J13" s="76" t="str">
        <f t="shared" si="0"/>
        <v/>
      </c>
      <c r="K13" s="76" t="str">
        <f t="shared" si="0"/>
        <v/>
      </c>
      <c r="L13" s="76" t="str">
        <f t="shared" si="0"/>
        <v/>
      </c>
      <c r="M13" s="76" t="str">
        <f t="shared" si="0"/>
        <v/>
      </c>
      <c r="N13" s="76" t="str">
        <f t="shared" si="0"/>
        <v/>
      </c>
      <c r="O13" s="76" t="str">
        <f t="shared" si="0"/>
        <v/>
      </c>
      <c r="P13" s="76" t="str">
        <f t="shared" si="0"/>
        <v/>
      </c>
      <c r="Q13" s="75" t="str">
        <f t="shared" si="0"/>
        <v/>
      </c>
      <c r="R13" s="76" t="str">
        <f t="shared" si="0"/>
        <v/>
      </c>
      <c r="S13" s="76" t="str">
        <f t="shared" si="0"/>
        <v/>
      </c>
      <c r="T13" s="8">
        <f t="shared" si="2"/>
        <v>0</v>
      </c>
      <c r="U13" s="8">
        <f t="shared" si="3"/>
        <v>0</v>
      </c>
      <c r="V13" s="9">
        <f t="shared" si="4"/>
        <v>1</v>
      </c>
      <c r="Z13" s="64">
        <f t="shared" si="5"/>
        <v>0</v>
      </c>
      <c r="AA13" s="65">
        <f t="shared" si="6"/>
        <v>0</v>
      </c>
      <c r="AB13" s="64">
        <f t="shared" si="7"/>
        <v>0</v>
      </c>
      <c r="AC13" s="65">
        <f t="shared" si="8"/>
        <v>0</v>
      </c>
      <c r="AD13" s="64">
        <f t="shared" si="9"/>
        <v>0</v>
      </c>
      <c r="AE13" s="56">
        <f t="shared" si="10"/>
        <v>0</v>
      </c>
      <c r="AG13" s="56">
        <f t="shared" si="11"/>
        <v>0</v>
      </c>
      <c r="AH13" s="56">
        <f t="shared" si="12"/>
        <v>0</v>
      </c>
      <c r="AI13" s="56">
        <f t="shared" si="13"/>
        <v>0</v>
      </c>
      <c r="AJ13" s="56">
        <f t="shared" si="14"/>
        <v>1</v>
      </c>
    </row>
    <row r="14" spans="1:52" x14ac:dyDescent="0.25">
      <c r="A14" s="87">
        <f t="shared" si="1"/>
        <v>1</v>
      </c>
      <c r="B14" s="25">
        <v>11</v>
      </c>
      <c r="C14" s="68" t="s">
        <v>76</v>
      </c>
      <c r="D14" s="96"/>
      <c r="E14" s="97"/>
      <c r="F14" s="25">
        <v>1000</v>
      </c>
      <c r="H14" s="76" t="str">
        <f t="shared" si="0"/>
        <v/>
      </c>
      <c r="I14" s="76" t="str">
        <f t="shared" si="0"/>
        <v/>
      </c>
      <c r="J14" s="76" t="str">
        <f t="shared" si="0"/>
        <v/>
      </c>
      <c r="K14" s="76" t="str">
        <f t="shared" si="0"/>
        <v/>
      </c>
      <c r="L14" s="76" t="str">
        <f t="shared" si="0"/>
        <v/>
      </c>
      <c r="M14" s="76" t="str">
        <f t="shared" si="0"/>
        <v/>
      </c>
      <c r="N14" s="76" t="str">
        <f t="shared" si="0"/>
        <v/>
      </c>
      <c r="O14" s="76" t="str">
        <f t="shared" si="0"/>
        <v/>
      </c>
      <c r="P14" s="76" t="str">
        <f t="shared" si="0"/>
        <v/>
      </c>
      <c r="Q14" s="76" t="str">
        <f t="shared" si="0"/>
        <v/>
      </c>
      <c r="R14" s="75" t="str">
        <f t="shared" si="0"/>
        <v/>
      </c>
      <c r="S14" s="76" t="str">
        <f t="shared" si="0"/>
        <v/>
      </c>
      <c r="T14" s="8">
        <f t="shared" si="2"/>
        <v>0</v>
      </c>
      <c r="U14" s="8">
        <f t="shared" si="3"/>
        <v>0</v>
      </c>
      <c r="V14" s="9">
        <f t="shared" si="4"/>
        <v>1</v>
      </c>
      <c r="Z14" s="64">
        <f t="shared" si="5"/>
        <v>0</v>
      </c>
      <c r="AA14" s="65">
        <f t="shared" si="6"/>
        <v>0</v>
      </c>
      <c r="AB14" s="64">
        <f t="shared" si="7"/>
        <v>0</v>
      </c>
      <c r="AC14" s="65">
        <f t="shared" si="8"/>
        <v>0</v>
      </c>
      <c r="AD14" s="64">
        <f t="shared" si="9"/>
        <v>0</v>
      </c>
      <c r="AE14" s="56">
        <f t="shared" si="10"/>
        <v>0</v>
      </c>
      <c r="AG14" s="56">
        <f t="shared" si="11"/>
        <v>0</v>
      </c>
      <c r="AH14" s="56">
        <f t="shared" si="12"/>
        <v>0</v>
      </c>
      <c r="AI14" s="56">
        <f t="shared" si="13"/>
        <v>0</v>
      </c>
      <c r="AJ14" s="56">
        <f t="shared" si="14"/>
        <v>1</v>
      </c>
    </row>
    <row r="15" spans="1:52" x14ac:dyDescent="0.25">
      <c r="A15" s="87">
        <f t="shared" si="1"/>
        <v>1</v>
      </c>
      <c r="B15" s="25">
        <v>12</v>
      </c>
      <c r="C15" s="25" t="s">
        <v>77</v>
      </c>
      <c r="D15" s="94"/>
      <c r="E15" s="95"/>
      <c r="F15" s="25">
        <v>1000</v>
      </c>
      <c r="H15" s="76" t="str">
        <f t="shared" si="0"/>
        <v/>
      </c>
      <c r="I15" s="76" t="str">
        <f t="shared" si="0"/>
        <v/>
      </c>
      <c r="J15" s="76" t="str">
        <f t="shared" si="0"/>
        <v/>
      </c>
      <c r="K15" s="76" t="str">
        <f t="shared" si="0"/>
        <v/>
      </c>
      <c r="L15" s="76" t="str">
        <f t="shared" si="0"/>
        <v/>
      </c>
      <c r="M15" s="76" t="str">
        <f t="shared" si="0"/>
        <v/>
      </c>
      <c r="N15" s="76" t="str">
        <f t="shared" si="0"/>
        <v/>
      </c>
      <c r="O15" s="76" t="str">
        <f t="shared" si="0"/>
        <v/>
      </c>
      <c r="P15" s="76" t="str">
        <f t="shared" si="0"/>
        <v/>
      </c>
      <c r="Q15" s="76" t="str">
        <f t="shared" si="0"/>
        <v/>
      </c>
      <c r="R15" s="76" t="str">
        <f t="shared" si="0"/>
        <v/>
      </c>
      <c r="S15" s="75" t="str">
        <f t="shared" si="0"/>
        <v/>
      </c>
      <c r="T15" s="8">
        <f t="shared" si="2"/>
        <v>0</v>
      </c>
      <c r="U15" s="8">
        <f t="shared" si="3"/>
        <v>0</v>
      </c>
      <c r="V15" s="9">
        <f t="shared" si="4"/>
        <v>1</v>
      </c>
      <c r="Z15" s="64">
        <f t="shared" si="5"/>
        <v>0</v>
      </c>
      <c r="AA15" s="65">
        <f t="shared" si="6"/>
        <v>0</v>
      </c>
      <c r="AB15" s="64">
        <f t="shared" si="7"/>
        <v>0</v>
      </c>
      <c r="AC15" s="65">
        <f t="shared" si="8"/>
        <v>0</v>
      </c>
      <c r="AD15" s="64">
        <f t="shared" si="9"/>
        <v>0</v>
      </c>
      <c r="AE15" s="56">
        <f t="shared" si="10"/>
        <v>0</v>
      </c>
      <c r="AG15" s="56">
        <f t="shared" si="11"/>
        <v>0</v>
      </c>
      <c r="AH15" s="56">
        <f t="shared" si="12"/>
        <v>0</v>
      </c>
      <c r="AI15" s="56">
        <f t="shared" si="13"/>
        <v>0</v>
      </c>
      <c r="AJ15" s="56">
        <f t="shared" si="14"/>
        <v>1</v>
      </c>
    </row>
    <row r="16" spans="1:52" x14ac:dyDescent="0.25">
      <c r="Z16" s="57">
        <f>2*MAX(Z4:Z15)+1</f>
        <v>1</v>
      </c>
      <c r="AB16" s="57">
        <f>2*MAX(AB4:AB15)+1</f>
        <v>1</v>
      </c>
      <c r="AD16" s="57">
        <f>2*MAX(AD4:AD15)+1</f>
        <v>1</v>
      </c>
      <c r="AE16" s="57"/>
      <c r="AG16" s="58"/>
      <c r="AI16" s="58"/>
      <c r="AT16" s="41" t="s">
        <v>39</v>
      </c>
      <c r="AU16" s="41" t="s">
        <v>0</v>
      </c>
      <c r="AV16" s="41" t="s">
        <v>1</v>
      </c>
      <c r="AW16" s="41" t="s">
        <v>2</v>
      </c>
      <c r="AY16" s="42" t="s">
        <v>37</v>
      </c>
      <c r="AZ16" s="42" t="s">
        <v>38</v>
      </c>
    </row>
    <row r="17" spans="2:56" ht="3" customHeight="1" x14ac:dyDescent="0.25">
      <c r="B17" s="11"/>
      <c r="C17" s="11"/>
      <c r="D17" s="11"/>
      <c r="E17" s="11"/>
      <c r="F17" s="11"/>
      <c r="G17" s="11"/>
      <c r="H17" s="11"/>
      <c r="I17" s="11"/>
      <c r="J17" s="11"/>
      <c r="K17" s="11"/>
      <c r="L17" s="11"/>
      <c r="M17" s="11"/>
      <c r="N17" s="11"/>
      <c r="O17" s="11"/>
      <c r="P17" s="11"/>
      <c r="Q17" s="11"/>
      <c r="R17" s="11"/>
      <c r="S17" s="11"/>
      <c r="T17" s="11"/>
      <c r="U17" s="11"/>
      <c r="V17" s="11"/>
      <c r="AY17" s="43"/>
      <c r="AZ17" s="43"/>
      <c r="BA17" s="44"/>
      <c r="BB17" s="44"/>
      <c r="BC17" s="44"/>
      <c r="BD17" s="44"/>
    </row>
    <row r="18" spans="2:56" x14ac:dyDescent="0.25">
      <c r="B18" s="45" t="s">
        <v>3</v>
      </c>
      <c r="AY18" s="42"/>
      <c r="AZ18" s="42"/>
    </row>
    <row r="19" spans="2:56" x14ac:dyDescent="0.25">
      <c r="B19" s="6">
        <v>1</v>
      </c>
      <c r="C19" s="6" t="str">
        <f>VLOOKUP(AU19,$B$4:$F$15,2,FALSE)</f>
        <v>A</v>
      </c>
      <c r="D19" s="46" t="s">
        <v>5</v>
      </c>
      <c r="E19" s="90" t="str">
        <f t="shared" ref="E19:E23" si="15">VLOOKUP(AV19,$B$4:$F$15,2,FALSE)</f>
        <v>M</v>
      </c>
      <c r="F19" s="90"/>
      <c r="G19" s="90"/>
      <c r="H19" s="90"/>
      <c r="J19" s="90" t="str">
        <f>IF(V19="","",VLOOKUP(V19,Configuratie!$B$2:$E$11,3,FALSE))</f>
        <v/>
      </c>
      <c r="K19" s="90"/>
      <c r="L19" s="6" t="s">
        <v>5</v>
      </c>
      <c r="M19" s="90" t="str">
        <f>IF(V19="","",VLOOKUP(V19,Configuratie!$B$2:$E$11,4,FALSE))</f>
        <v/>
      </c>
      <c r="N19" s="90"/>
      <c r="R19" s="6" t="str">
        <f>IF(T19="","",VLOOKUP(T19,Configuratie!$B$2:$E$11,2,FALSE))</f>
        <v/>
      </c>
      <c r="S19" s="61"/>
      <c r="T19" s="61"/>
      <c r="V19" s="5"/>
      <c r="AT19" s="6">
        <v>1</v>
      </c>
      <c r="AU19" s="6">
        <v>1</v>
      </c>
      <c r="AV19" s="6">
        <v>12</v>
      </c>
      <c r="AW19" s="6" t="str">
        <f>IF(AND(ISNUMBER(J19),ISNUMBER(M19)),IF(J19+M19=1,1,0),"")</f>
        <v/>
      </c>
      <c r="AY19" s="48">
        <f t="shared" ref="AY19:AY24" si="16">AU19*100+AV19</f>
        <v>112</v>
      </c>
      <c r="AZ19" s="48">
        <f t="shared" ref="AZ19:AZ24" si="17">AV19*100+AU19</f>
        <v>1201</v>
      </c>
      <c r="BA19" s="48"/>
    </row>
    <row r="20" spans="2:56" x14ac:dyDescent="0.25">
      <c r="B20" s="6">
        <v>2</v>
      </c>
      <c r="C20" s="6" t="str">
        <f t="shared" ref="C20:C24" si="18">VLOOKUP(AU20,$B$4:$F$15,2,FALSE)</f>
        <v>B</v>
      </c>
      <c r="D20" s="46" t="s">
        <v>5</v>
      </c>
      <c r="E20" s="90" t="str">
        <f t="shared" si="15"/>
        <v>L</v>
      </c>
      <c r="F20" s="90"/>
      <c r="G20" s="90"/>
      <c r="H20" s="90"/>
      <c r="J20" s="90" t="str">
        <f>IF(V20="","",VLOOKUP(V20,Configuratie!$B$2:$E$11,3,FALSE))</f>
        <v/>
      </c>
      <c r="K20" s="90"/>
      <c r="L20" s="6" t="s">
        <v>5</v>
      </c>
      <c r="M20" s="90" t="str">
        <f>IF(V20="","",VLOOKUP(V20,Configuratie!$B$2:$E$11,4,FALSE))</f>
        <v/>
      </c>
      <c r="N20" s="90"/>
      <c r="R20" s="6" t="str">
        <f>IF(T20="","",VLOOKUP(T20,Configuratie!$B$2:$E$11,2,FALSE))</f>
        <v/>
      </c>
      <c r="S20" s="61"/>
      <c r="T20" s="61"/>
      <c r="V20" s="5"/>
      <c r="AT20" s="6">
        <v>1</v>
      </c>
      <c r="AU20" s="6">
        <v>2</v>
      </c>
      <c r="AV20" s="6">
        <v>11</v>
      </c>
      <c r="AW20" s="6" t="str">
        <f t="shared" ref="AW20:AW24" si="19">IF(AND(ISNUMBER(J20),ISNUMBER(M20)),IF(J20+M20=1,1,0),"")</f>
        <v/>
      </c>
      <c r="AY20" s="48">
        <f t="shared" si="16"/>
        <v>211</v>
      </c>
      <c r="AZ20" s="48">
        <f t="shared" si="17"/>
        <v>1102</v>
      </c>
    </row>
    <row r="21" spans="2:56" x14ac:dyDescent="0.25">
      <c r="B21" s="6">
        <v>3</v>
      </c>
      <c r="C21" s="6" t="str">
        <f t="shared" si="18"/>
        <v>C</v>
      </c>
      <c r="D21" s="46" t="s">
        <v>5</v>
      </c>
      <c r="E21" s="90" t="str">
        <f t="shared" si="15"/>
        <v>K</v>
      </c>
      <c r="F21" s="90"/>
      <c r="G21" s="90"/>
      <c r="H21" s="90"/>
      <c r="J21" s="90" t="str">
        <f>IF(V21="","",VLOOKUP(V21,Configuratie!$B$2:$E$11,3,FALSE))</f>
        <v/>
      </c>
      <c r="K21" s="90"/>
      <c r="L21" s="6" t="s">
        <v>5</v>
      </c>
      <c r="M21" s="90" t="str">
        <f>IF(V21="","",VLOOKUP(V21,Configuratie!$B$2:$E$11,4,FALSE))</f>
        <v/>
      </c>
      <c r="N21" s="90"/>
      <c r="R21" s="6" t="str">
        <f>IF(T21="","",VLOOKUP(T21,Configuratie!$B$2:$E$11,2,FALSE))</f>
        <v/>
      </c>
      <c r="S21" s="61"/>
      <c r="T21" s="61"/>
      <c r="V21" s="5"/>
      <c r="AT21" s="6">
        <v>1</v>
      </c>
      <c r="AU21" s="6">
        <v>3</v>
      </c>
      <c r="AV21" s="6">
        <v>10</v>
      </c>
      <c r="AW21" s="6" t="str">
        <f t="shared" si="19"/>
        <v/>
      </c>
      <c r="AY21" s="48">
        <f t="shared" si="16"/>
        <v>310</v>
      </c>
      <c r="AZ21" s="48">
        <f t="shared" si="17"/>
        <v>1003</v>
      </c>
    </row>
    <row r="22" spans="2:56" x14ac:dyDescent="0.25">
      <c r="B22" s="6">
        <v>4</v>
      </c>
      <c r="C22" s="6" t="str">
        <f t="shared" si="18"/>
        <v>D</v>
      </c>
      <c r="D22" s="46" t="s">
        <v>5</v>
      </c>
      <c r="E22" s="90" t="str">
        <f t="shared" si="15"/>
        <v>J</v>
      </c>
      <c r="F22" s="90"/>
      <c r="G22" s="90"/>
      <c r="H22" s="90"/>
      <c r="J22" s="90" t="str">
        <f>IF(V22="","",VLOOKUP(V22,Configuratie!$B$2:$E$11,3,FALSE))</f>
        <v/>
      </c>
      <c r="K22" s="90"/>
      <c r="L22" s="6" t="s">
        <v>5</v>
      </c>
      <c r="M22" s="90" t="str">
        <f>IF(V22="","",VLOOKUP(V22,Configuratie!$B$2:$E$11,4,FALSE))</f>
        <v/>
      </c>
      <c r="N22" s="90"/>
      <c r="R22" s="6" t="str">
        <f>IF(T22="","",VLOOKUP(T22,Configuratie!$B$2:$E$11,2,FALSE))</f>
        <v/>
      </c>
      <c r="S22" s="61"/>
      <c r="T22" s="61"/>
      <c r="V22" s="5"/>
      <c r="AT22" s="6">
        <v>1</v>
      </c>
      <c r="AU22" s="6">
        <v>4</v>
      </c>
      <c r="AV22" s="6">
        <v>9</v>
      </c>
      <c r="AW22" s="6" t="str">
        <f t="shared" si="19"/>
        <v/>
      </c>
      <c r="AY22" s="48">
        <f t="shared" si="16"/>
        <v>409</v>
      </c>
      <c r="AZ22" s="48">
        <f t="shared" si="17"/>
        <v>904</v>
      </c>
    </row>
    <row r="23" spans="2:56" x14ac:dyDescent="0.25">
      <c r="B23" s="6">
        <v>5</v>
      </c>
      <c r="C23" s="6" t="str">
        <f t="shared" si="18"/>
        <v>E</v>
      </c>
      <c r="D23" s="46" t="s">
        <v>5</v>
      </c>
      <c r="E23" s="90" t="str">
        <f t="shared" si="15"/>
        <v>I</v>
      </c>
      <c r="F23" s="90"/>
      <c r="G23" s="90"/>
      <c r="H23" s="90"/>
      <c r="J23" s="90" t="str">
        <f>IF(V23="","",VLOOKUP(V23,Configuratie!$B$2:$E$11,3,FALSE))</f>
        <v/>
      </c>
      <c r="K23" s="90"/>
      <c r="L23" s="6" t="s">
        <v>5</v>
      </c>
      <c r="M23" s="90" t="str">
        <f>IF(V23="","",VLOOKUP(V23,Configuratie!$B$2:$E$11,4,FALSE))</f>
        <v/>
      </c>
      <c r="N23" s="90"/>
      <c r="R23" s="6" t="str">
        <f>IF(T23="","",VLOOKUP(T23,Configuratie!$B$2:$E$11,2,FALSE))</f>
        <v/>
      </c>
      <c r="S23" s="61"/>
      <c r="T23" s="61"/>
      <c r="V23" s="5"/>
      <c r="AT23" s="6">
        <v>1</v>
      </c>
      <c r="AU23" s="6">
        <v>5</v>
      </c>
      <c r="AV23" s="6">
        <v>8</v>
      </c>
      <c r="AW23" s="6" t="str">
        <f t="shared" si="19"/>
        <v/>
      </c>
      <c r="AY23" s="48">
        <f t="shared" si="16"/>
        <v>508</v>
      </c>
      <c r="AZ23" s="48">
        <f t="shared" si="17"/>
        <v>805</v>
      </c>
    </row>
    <row r="24" spans="2:56" x14ac:dyDescent="0.25">
      <c r="B24" s="6">
        <v>6</v>
      </c>
      <c r="C24" s="6" t="str">
        <f t="shared" si="18"/>
        <v>G</v>
      </c>
      <c r="D24" s="46" t="s">
        <v>5</v>
      </c>
      <c r="E24" s="90" t="str">
        <f>VLOOKUP(AV24,$B$4:$F$15,2,FALSE)</f>
        <v>H</v>
      </c>
      <c r="F24" s="90"/>
      <c r="G24" s="90"/>
      <c r="H24" s="90"/>
      <c r="J24" s="90" t="str">
        <f>IF(V24="","",VLOOKUP(V24,Configuratie!$B$2:$E$11,3,FALSE))</f>
        <v/>
      </c>
      <c r="K24" s="90"/>
      <c r="L24" s="6" t="s">
        <v>5</v>
      </c>
      <c r="M24" s="90" t="str">
        <f>IF(V24="","",VLOOKUP(V24,Configuratie!$B$2:$E$11,4,FALSE))</f>
        <v/>
      </c>
      <c r="N24" s="90"/>
      <c r="T24" s="61"/>
      <c r="V24" s="5"/>
      <c r="AT24" s="6">
        <v>1</v>
      </c>
      <c r="AU24" s="6">
        <v>6</v>
      </c>
      <c r="AV24" s="6">
        <v>7</v>
      </c>
      <c r="AW24" s="6" t="str">
        <f t="shared" si="19"/>
        <v/>
      </c>
      <c r="AY24" s="48">
        <f t="shared" si="16"/>
        <v>607</v>
      </c>
      <c r="AZ24" s="48">
        <f t="shared" si="17"/>
        <v>706</v>
      </c>
    </row>
    <row r="25" spans="2:56" ht="3" customHeight="1" x14ac:dyDescent="0.25">
      <c r="B25" s="11"/>
      <c r="C25" s="11"/>
      <c r="D25" s="11"/>
      <c r="E25" s="11"/>
      <c r="F25" s="11"/>
      <c r="G25" s="11"/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11"/>
      <c r="S25" s="11"/>
      <c r="T25" s="11"/>
      <c r="U25" s="11"/>
      <c r="V25" s="11"/>
    </row>
    <row r="26" spans="2:56" x14ac:dyDescent="0.25">
      <c r="B26" s="45" t="s">
        <v>9</v>
      </c>
    </row>
    <row r="27" spans="2:56" x14ac:dyDescent="0.25">
      <c r="B27" s="6">
        <v>1</v>
      </c>
      <c r="C27" s="6" t="str">
        <f>VLOOKUP(AU27,$B$4:$F$15,2,FALSE)</f>
        <v>M</v>
      </c>
      <c r="D27" s="46" t="s">
        <v>5</v>
      </c>
      <c r="E27" s="90" t="str">
        <f t="shared" ref="E27:E31" si="20">VLOOKUP(AV27,$B$4:$F$15,2,FALSE)</f>
        <v>H</v>
      </c>
      <c r="F27" s="90"/>
      <c r="G27" s="90"/>
      <c r="H27" s="90"/>
      <c r="J27" s="90" t="str">
        <f>IF(V27="","",VLOOKUP(V27,Configuratie!$B$2:$E$11,3,FALSE))</f>
        <v/>
      </c>
      <c r="K27" s="90"/>
      <c r="L27" s="6" t="s">
        <v>5</v>
      </c>
      <c r="M27" s="90" t="str">
        <f>IF(V27="","",VLOOKUP(V27,Configuratie!$B$2:$E$11,4,FALSE))</f>
        <v/>
      </c>
      <c r="N27" s="90"/>
      <c r="R27" s="6" t="str">
        <f>IF(T27="","",VLOOKUP(T27,Configuratie!$B$2:$E$11,2,FALSE))</f>
        <v/>
      </c>
      <c r="S27" s="61"/>
      <c r="T27" s="61"/>
      <c r="V27" s="5"/>
      <c r="AT27" s="6">
        <v>2</v>
      </c>
      <c r="AU27" s="6">
        <v>12</v>
      </c>
      <c r="AV27" s="6">
        <v>7</v>
      </c>
      <c r="AW27" s="6" t="str">
        <f>IF(AND(ISNUMBER(J27),ISNUMBER(M27)),IF(J27+M27=1,1,0),"")</f>
        <v/>
      </c>
      <c r="AY27" s="48">
        <f>AU27*100+AV27</f>
        <v>1207</v>
      </c>
      <c r="AZ27" s="48">
        <f>AV27*100+AU27</f>
        <v>712</v>
      </c>
      <c r="BA27" s="48"/>
    </row>
    <row r="28" spans="2:56" x14ac:dyDescent="0.25">
      <c r="B28" s="6">
        <v>2</v>
      </c>
      <c r="C28" s="6" t="str">
        <f t="shared" ref="C28:C32" si="21">VLOOKUP(AU28,$B$4:$F$15,2,FALSE)</f>
        <v>I</v>
      </c>
      <c r="D28" s="46" t="s">
        <v>5</v>
      </c>
      <c r="E28" s="90" t="str">
        <f t="shared" si="20"/>
        <v>G</v>
      </c>
      <c r="F28" s="90"/>
      <c r="G28" s="90"/>
      <c r="H28" s="90"/>
      <c r="J28" s="90" t="str">
        <f>IF(V28="","",VLOOKUP(V28,Configuratie!$B$2:$E$11,3,FALSE))</f>
        <v/>
      </c>
      <c r="K28" s="90"/>
      <c r="L28" s="6" t="s">
        <v>5</v>
      </c>
      <c r="M28" s="90" t="str">
        <f>IF(V28="","",VLOOKUP(V28,Configuratie!$B$2:$E$11,4,FALSE))</f>
        <v/>
      </c>
      <c r="N28" s="90"/>
      <c r="R28" s="6" t="str">
        <f>IF(T28="","",VLOOKUP(T28,Configuratie!$B$2:$E$11,2,FALSE))</f>
        <v/>
      </c>
      <c r="S28" s="61"/>
      <c r="T28" s="61"/>
      <c r="V28" s="5"/>
      <c r="AT28" s="6">
        <v>2</v>
      </c>
      <c r="AU28" s="6">
        <v>8</v>
      </c>
      <c r="AV28" s="6">
        <v>6</v>
      </c>
      <c r="AW28" s="6" t="str">
        <f t="shared" ref="AW28:AW32" si="22">IF(AND(ISNUMBER(J28),ISNUMBER(M28)),IF(J28+M28=1,1,0),"")</f>
        <v/>
      </c>
      <c r="AY28" s="48">
        <f t="shared" ref="AY28:AY32" si="23">AU28*100+AV28</f>
        <v>806</v>
      </c>
      <c r="AZ28" s="48">
        <f t="shared" ref="AZ28:AZ32" si="24">AV28*100+AU28</f>
        <v>608</v>
      </c>
    </row>
    <row r="29" spans="2:56" x14ac:dyDescent="0.25">
      <c r="B29" s="6">
        <v>3</v>
      </c>
      <c r="C29" s="6" t="str">
        <f t="shared" si="21"/>
        <v>J</v>
      </c>
      <c r="D29" s="46" t="s">
        <v>5</v>
      </c>
      <c r="E29" s="90" t="str">
        <f t="shared" si="20"/>
        <v>E</v>
      </c>
      <c r="F29" s="90"/>
      <c r="G29" s="90"/>
      <c r="H29" s="90"/>
      <c r="J29" s="90" t="str">
        <f>IF(V29="","",VLOOKUP(V29,Configuratie!$B$2:$E$11,3,FALSE))</f>
        <v/>
      </c>
      <c r="K29" s="90"/>
      <c r="L29" s="6" t="s">
        <v>5</v>
      </c>
      <c r="M29" s="90" t="str">
        <f>IF(V29="","",VLOOKUP(V29,Configuratie!$B$2:$E$11,4,FALSE))</f>
        <v/>
      </c>
      <c r="N29" s="90"/>
      <c r="R29" s="6" t="str">
        <f>IF(T29="","",VLOOKUP(T29,Configuratie!$B$2:$E$11,2,FALSE))</f>
        <v/>
      </c>
      <c r="S29" s="61"/>
      <c r="T29" s="61"/>
      <c r="V29" s="5"/>
      <c r="AT29" s="6">
        <v>2</v>
      </c>
      <c r="AU29" s="6">
        <v>9</v>
      </c>
      <c r="AV29" s="6">
        <v>5</v>
      </c>
      <c r="AW29" s="6" t="str">
        <f t="shared" si="22"/>
        <v/>
      </c>
      <c r="AY29" s="48">
        <f t="shared" si="23"/>
        <v>905</v>
      </c>
      <c r="AZ29" s="48">
        <f t="shared" si="24"/>
        <v>509</v>
      </c>
    </row>
    <row r="30" spans="2:56" x14ac:dyDescent="0.25">
      <c r="B30" s="6">
        <v>4</v>
      </c>
      <c r="C30" s="6" t="str">
        <f t="shared" si="21"/>
        <v>K</v>
      </c>
      <c r="D30" s="46" t="s">
        <v>5</v>
      </c>
      <c r="E30" s="90" t="str">
        <f t="shared" si="20"/>
        <v>D</v>
      </c>
      <c r="F30" s="90"/>
      <c r="G30" s="90"/>
      <c r="H30" s="90"/>
      <c r="J30" s="90" t="str">
        <f>IF(V30="","",VLOOKUP(V30,Configuratie!$B$2:$E$11,3,FALSE))</f>
        <v/>
      </c>
      <c r="K30" s="90"/>
      <c r="L30" s="6" t="s">
        <v>5</v>
      </c>
      <c r="M30" s="90" t="str">
        <f>IF(V30="","",VLOOKUP(V30,Configuratie!$B$2:$E$11,4,FALSE))</f>
        <v/>
      </c>
      <c r="N30" s="90"/>
      <c r="R30" s="6" t="str">
        <f>IF(T30="","",VLOOKUP(T30,Configuratie!$B$2:$E$11,2,FALSE))</f>
        <v/>
      </c>
      <c r="S30" s="61"/>
      <c r="T30" s="61"/>
      <c r="V30" s="5"/>
      <c r="AT30" s="6">
        <v>2</v>
      </c>
      <c r="AU30" s="6">
        <v>10</v>
      </c>
      <c r="AV30" s="6">
        <v>4</v>
      </c>
      <c r="AW30" s="6" t="str">
        <f t="shared" si="22"/>
        <v/>
      </c>
      <c r="AY30" s="48">
        <f t="shared" si="23"/>
        <v>1004</v>
      </c>
      <c r="AZ30" s="48">
        <f t="shared" si="24"/>
        <v>410</v>
      </c>
    </row>
    <row r="31" spans="2:56" x14ac:dyDescent="0.25">
      <c r="B31" s="6">
        <v>5</v>
      </c>
      <c r="C31" s="6" t="str">
        <f t="shared" si="21"/>
        <v>L</v>
      </c>
      <c r="D31" s="46" t="s">
        <v>5</v>
      </c>
      <c r="E31" s="90" t="str">
        <f t="shared" si="20"/>
        <v>C</v>
      </c>
      <c r="F31" s="90"/>
      <c r="G31" s="90"/>
      <c r="H31" s="90"/>
      <c r="J31" s="90" t="str">
        <f>IF(V31="","",VLOOKUP(V31,Configuratie!$B$2:$E$11,3,FALSE))</f>
        <v/>
      </c>
      <c r="K31" s="90"/>
      <c r="L31" s="6" t="s">
        <v>5</v>
      </c>
      <c r="M31" s="90" t="str">
        <f>IF(V31="","",VLOOKUP(V31,Configuratie!$B$2:$E$11,4,FALSE))</f>
        <v/>
      </c>
      <c r="N31" s="90"/>
      <c r="R31" s="6" t="str">
        <f>IF(T31="","",VLOOKUP(T31,Configuratie!$B$2:$E$11,2,FALSE))</f>
        <v/>
      </c>
      <c r="S31" s="61"/>
      <c r="T31" s="61"/>
      <c r="V31" s="5"/>
      <c r="AT31" s="6">
        <v>2</v>
      </c>
      <c r="AU31" s="6">
        <v>11</v>
      </c>
      <c r="AV31" s="6">
        <v>3</v>
      </c>
      <c r="AW31" s="6" t="str">
        <f t="shared" si="22"/>
        <v/>
      </c>
      <c r="AY31" s="48">
        <f t="shared" si="23"/>
        <v>1103</v>
      </c>
      <c r="AZ31" s="48">
        <f t="shared" si="24"/>
        <v>311</v>
      </c>
    </row>
    <row r="32" spans="2:56" x14ac:dyDescent="0.25">
      <c r="B32" s="6">
        <v>6</v>
      </c>
      <c r="C32" s="6" t="str">
        <f t="shared" si="21"/>
        <v>A</v>
      </c>
      <c r="D32" s="46" t="s">
        <v>5</v>
      </c>
      <c r="E32" s="90" t="str">
        <f>VLOOKUP(AV32,$B$4:$F$15,2,FALSE)</f>
        <v>B</v>
      </c>
      <c r="F32" s="90"/>
      <c r="G32" s="90"/>
      <c r="H32" s="90"/>
      <c r="J32" s="90" t="str">
        <f>IF(V32="","",VLOOKUP(V32,Configuratie!$B$2:$E$11,3,FALSE))</f>
        <v/>
      </c>
      <c r="K32" s="90"/>
      <c r="L32" s="6" t="s">
        <v>5</v>
      </c>
      <c r="M32" s="90" t="str">
        <f>IF(V32="","",VLOOKUP(V32,Configuratie!$B$2:$E$11,4,FALSE))</f>
        <v/>
      </c>
      <c r="N32" s="90"/>
      <c r="T32" s="61"/>
      <c r="V32" s="5"/>
      <c r="AT32" s="6">
        <v>2</v>
      </c>
      <c r="AU32" s="6">
        <v>1</v>
      </c>
      <c r="AV32" s="6">
        <v>2</v>
      </c>
      <c r="AW32" s="6" t="str">
        <f t="shared" si="22"/>
        <v/>
      </c>
      <c r="AY32" s="48">
        <f t="shared" si="23"/>
        <v>102</v>
      </c>
      <c r="AZ32" s="48">
        <f t="shared" si="24"/>
        <v>201</v>
      </c>
    </row>
    <row r="33" spans="2:52" ht="3" customHeight="1" x14ac:dyDescent="0.25">
      <c r="B33" s="11"/>
      <c r="C33" s="11"/>
      <c r="D33" s="11"/>
      <c r="E33" s="11"/>
      <c r="F33" s="11"/>
      <c r="G33" s="11"/>
      <c r="H33" s="11"/>
      <c r="I33" s="11"/>
      <c r="J33" s="11"/>
      <c r="K33" s="11"/>
      <c r="L33" s="11"/>
      <c r="M33" s="11"/>
      <c r="N33" s="11"/>
      <c r="O33" s="11"/>
      <c r="P33" s="11"/>
      <c r="Q33" s="11"/>
      <c r="R33" s="11"/>
      <c r="S33" s="11"/>
      <c r="T33" s="11"/>
      <c r="U33" s="11"/>
      <c r="V33" s="11"/>
    </row>
    <row r="34" spans="2:52" x14ac:dyDescent="0.25">
      <c r="B34" s="45" t="s">
        <v>10</v>
      </c>
    </row>
    <row r="35" spans="2:52" x14ac:dyDescent="0.25">
      <c r="B35" s="6">
        <v>1</v>
      </c>
      <c r="C35" s="6" t="str">
        <f>VLOOKUP(AU35,$B$4:$F$15,2,FALSE)</f>
        <v>B</v>
      </c>
      <c r="D35" s="46" t="s">
        <v>5</v>
      </c>
      <c r="E35" s="90" t="str">
        <f t="shared" ref="E35:E39" si="25">VLOOKUP(AV35,$B$4:$F$15,2,FALSE)</f>
        <v>M</v>
      </c>
      <c r="F35" s="90"/>
      <c r="G35" s="90"/>
      <c r="H35" s="90"/>
      <c r="J35" s="90" t="str">
        <f>IF(V35="","",VLOOKUP(V35,Configuratie!$B$2:$E$11,3,FALSE))</f>
        <v/>
      </c>
      <c r="K35" s="90"/>
      <c r="L35" s="6" t="s">
        <v>5</v>
      </c>
      <c r="M35" s="90" t="str">
        <f>IF(V35="","",VLOOKUP(V35,Configuratie!$B$2:$E$11,4,FALSE))</f>
        <v/>
      </c>
      <c r="N35" s="90"/>
      <c r="R35" s="6" t="str">
        <f>IF(T35="","",VLOOKUP(T35,Configuratie!$B$2:$E$11,2,FALSE))</f>
        <v/>
      </c>
      <c r="S35" s="61"/>
      <c r="T35" s="61"/>
      <c r="V35" s="5"/>
      <c r="AT35" s="6">
        <v>3</v>
      </c>
      <c r="AU35" s="6">
        <v>2</v>
      </c>
      <c r="AV35" s="6">
        <v>12</v>
      </c>
      <c r="AW35" s="6" t="str">
        <f>IF(AND(ISNUMBER(J35),ISNUMBER(M35)),IF(J35+M35=1,1,0),"")</f>
        <v/>
      </c>
      <c r="AY35" s="48">
        <f>AU35*100+AV35</f>
        <v>212</v>
      </c>
      <c r="AZ35" s="48">
        <f>AV35*100+AU35</f>
        <v>1202</v>
      </c>
    </row>
    <row r="36" spans="2:52" x14ac:dyDescent="0.25">
      <c r="B36" s="6">
        <v>2</v>
      </c>
      <c r="C36" s="6" t="str">
        <f t="shared" ref="C36:C40" si="26">VLOOKUP(AU36,$B$4:$F$15,2,FALSE)</f>
        <v>C</v>
      </c>
      <c r="D36" s="46" t="s">
        <v>5</v>
      </c>
      <c r="E36" s="90" t="str">
        <f t="shared" si="25"/>
        <v>A</v>
      </c>
      <c r="F36" s="90"/>
      <c r="G36" s="90"/>
      <c r="H36" s="90"/>
      <c r="J36" s="90" t="str">
        <f>IF(V36="","",VLOOKUP(V36,Configuratie!$B$2:$E$11,3,FALSE))</f>
        <v/>
      </c>
      <c r="K36" s="90"/>
      <c r="L36" s="6" t="s">
        <v>5</v>
      </c>
      <c r="M36" s="90" t="str">
        <f>IF(V36="","",VLOOKUP(V36,Configuratie!$B$2:$E$11,4,FALSE))</f>
        <v/>
      </c>
      <c r="N36" s="90"/>
      <c r="R36" s="6" t="str">
        <f>IF(T36="","",VLOOKUP(T36,Configuratie!$B$2:$E$11,2,FALSE))</f>
        <v/>
      </c>
      <c r="S36" s="61"/>
      <c r="T36" s="61"/>
      <c r="V36" s="5"/>
      <c r="AT36" s="6">
        <v>3</v>
      </c>
      <c r="AU36" s="6">
        <v>3</v>
      </c>
      <c r="AV36" s="6">
        <v>1</v>
      </c>
      <c r="AW36" s="6" t="str">
        <f t="shared" ref="AW36:AW40" si="27">IF(AND(ISNUMBER(J36),ISNUMBER(M36)),IF(J36+M36=1,1,0),"")</f>
        <v/>
      </c>
      <c r="AY36" s="48">
        <f t="shared" ref="AY36:AY40" si="28">AU36*100+AV36</f>
        <v>301</v>
      </c>
      <c r="AZ36" s="48">
        <f t="shared" ref="AZ36:AZ40" si="29">AV36*100+AU36</f>
        <v>103</v>
      </c>
    </row>
    <row r="37" spans="2:52" x14ac:dyDescent="0.25">
      <c r="B37" s="6">
        <v>3</v>
      </c>
      <c r="C37" s="6" t="str">
        <f t="shared" si="26"/>
        <v>D</v>
      </c>
      <c r="D37" s="46" t="s">
        <v>5</v>
      </c>
      <c r="E37" s="90" t="str">
        <f t="shared" si="25"/>
        <v>L</v>
      </c>
      <c r="F37" s="90"/>
      <c r="G37" s="90"/>
      <c r="H37" s="90"/>
      <c r="J37" s="90" t="str">
        <f>IF(V37="","",VLOOKUP(V37,Configuratie!$B$2:$E$11,3,FALSE))</f>
        <v/>
      </c>
      <c r="K37" s="90"/>
      <c r="L37" s="6" t="s">
        <v>5</v>
      </c>
      <c r="M37" s="90" t="str">
        <f>IF(V37="","",VLOOKUP(V37,Configuratie!$B$2:$E$11,4,FALSE))</f>
        <v/>
      </c>
      <c r="N37" s="90"/>
      <c r="R37" s="6" t="str">
        <f>IF(T37="","",VLOOKUP(T37,Configuratie!$B$2:$E$11,2,FALSE))</f>
        <v/>
      </c>
      <c r="S37" s="61"/>
      <c r="T37" s="61"/>
      <c r="V37" s="5"/>
      <c r="AT37" s="6">
        <v>3</v>
      </c>
      <c r="AU37" s="6">
        <v>4</v>
      </c>
      <c r="AV37" s="6">
        <v>11</v>
      </c>
      <c r="AW37" s="6" t="str">
        <f t="shared" si="27"/>
        <v/>
      </c>
      <c r="AY37" s="48">
        <f t="shared" si="28"/>
        <v>411</v>
      </c>
      <c r="AZ37" s="48">
        <f t="shared" si="29"/>
        <v>1104</v>
      </c>
    </row>
    <row r="38" spans="2:52" x14ac:dyDescent="0.25">
      <c r="B38" s="6">
        <v>4</v>
      </c>
      <c r="C38" s="6" t="str">
        <f t="shared" si="26"/>
        <v>E</v>
      </c>
      <c r="D38" s="46" t="s">
        <v>5</v>
      </c>
      <c r="E38" s="90" t="str">
        <f t="shared" si="25"/>
        <v>K</v>
      </c>
      <c r="F38" s="90"/>
      <c r="G38" s="90"/>
      <c r="H38" s="90"/>
      <c r="J38" s="90" t="str">
        <f>IF(V38="","",VLOOKUP(V38,Configuratie!$B$2:$E$11,3,FALSE))</f>
        <v/>
      </c>
      <c r="K38" s="90"/>
      <c r="L38" s="6" t="s">
        <v>5</v>
      </c>
      <c r="M38" s="90" t="str">
        <f>IF(V38="","",VLOOKUP(V38,Configuratie!$B$2:$E$11,4,FALSE))</f>
        <v/>
      </c>
      <c r="N38" s="90"/>
      <c r="R38" s="6" t="str">
        <f>IF(T38="","",VLOOKUP(T38,Configuratie!$B$2:$E$11,2,FALSE))</f>
        <v/>
      </c>
      <c r="S38" s="61"/>
      <c r="T38" s="61"/>
      <c r="V38" s="5"/>
      <c r="AT38" s="6">
        <v>3</v>
      </c>
      <c r="AU38" s="6">
        <v>5</v>
      </c>
      <c r="AV38" s="6">
        <v>10</v>
      </c>
      <c r="AW38" s="6" t="str">
        <f t="shared" si="27"/>
        <v/>
      </c>
      <c r="AY38" s="48">
        <f t="shared" si="28"/>
        <v>510</v>
      </c>
      <c r="AZ38" s="48">
        <f t="shared" si="29"/>
        <v>1005</v>
      </c>
    </row>
    <row r="39" spans="2:52" x14ac:dyDescent="0.25">
      <c r="B39" s="6">
        <v>5</v>
      </c>
      <c r="C39" s="6" t="str">
        <f t="shared" si="26"/>
        <v>G</v>
      </c>
      <c r="D39" s="46" t="s">
        <v>5</v>
      </c>
      <c r="E39" s="90" t="str">
        <f t="shared" si="25"/>
        <v>J</v>
      </c>
      <c r="F39" s="90"/>
      <c r="G39" s="90"/>
      <c r="H39" s="90"/>
      <c r="J39" s="90" t="str">
        <f>IF(V39="","",VLOOKUP(V39,Configuratie!$B$2:$E$11,3,FALSE))</f>
        <v/>
      </c>
      <c r="K39" s="90"/>
      <c r="L39" s="6" t="s">
        <v>5</v>
      </c>
      <c r="M39" s="90" t="str">
        <f>IF(V39="","",VLOOKUP(V39,Configuratie!$B$2:$E$11,4,FALSE))</f>
        <v/>
      </c>
      <c r="N39" s="90"/>
      <c r="R39" s="6" t="str">
        <f>IF(T39="","",VLOOKUP(T39,Configuratie!$B$2:$E$11,2,FALSE))</f>
        <v/>
      </c>
      <c r="S39" s="61"/>
      <c r="T39" s="61"/>
      <c r="V39" s="5"/>
      <c r="AT39" s="6">
        <v>3</v>
      </c>
      <c r="AU39" s="6">
        <v>6</v>
      </c>
      <c r="AV39" s="6">
        <v>9</v>
      </c>
      <c r="AW39" s="6" t="str">
        <f t="shared" si="27"/>
        <v/>
      </c>
      <c r="AY39" s="48">
        <f t="shared" si="28"/>
        <v>609</v>
      </c>
      <c r="AZ39" s="48">
        <f t="shared" si="29"/>
        <v>906</v>
      </c>
    </row>
    <row r="40" spans="2:52" x14ac:dyDescent="0.25">
      <c r="B40" s="6">
        <v>6</v>
      </c>
      <c r="C40" s="6" t="str">
        <f t="shared" si="26"/>
        <v>H</v>
      </c>
      <c r="D40" s="46" t="s">
        <v>5</v>
      </c>
      <c r="E40" s="90" t="str">
        <f>VLOOKUP(AV40,$B$4:$F$15,2,FALSE)</f>
        <v>I</v>
      </c>
      <c r="F40" s="90"/>
      <c r="G40" s="90"/>
      <c r="H40" s="90"/>
      <c r="J40" s="90" t="str">
        <f>IF(V40="","",VLOOKUP(V40,Configuratie!$B$2:$E$11,3,FALSE))</f>
        <v/>
      </c>
      <c r="K40" s="90"/>
      <c r="L40" s="6" t="s">
        <v>5</v>
      </c>
      <c r="M40" s="90" t="str">
        <f>IF(V40="","",VLOOKUP(V40,Configuratie!$B$2:$E$11,4,FALSE))</f>
        <v/>
      </c>
      <c r="N40" s="90"/>
      <c r="T40" s="61"/>
      <c r="V40" s="5"/>
      <c r="AT40" s="6">
        <v>3</v>
      </c>
      <c r="AU40" s="6">
        <v>7</v>
      </c>
      <c r="AV40" s="6">
        <v>8</v>
      </c>
      <c r="AW40" s="6" t="str">
        <f t="shared" si="27"/>
        <v/>
      </c>
      <c r="AY40" s="48">
        <f t="shared" si="28"/>
        <v>708</v>
      </c>
      <c r="AZ40" s="48">
        <f t="shared" si="29"/>
        <v>807</v>
      </c>
    </row>
    <row r="41" spans="2:52" ht="3" customHeight="1" x14ac:dyDescent="0.25">
      <c r="B41" s="11"/>
      <c r="C41" s="11"/>
      <c r="D41" s="11"/>
      <c r="E41" s="11"/>
      <c r="F41" s="11"/>
      <c r="G41" s="11"/>
      <c r="H41" s="11"/>
      <c r="I41" s="11"/>
      <c r="J41" s="11"/>
      <c r="K41" s="11"/>
      <c r="L41" s="11"/>
      <c r="M41" s="11"/>
      <c r="N41" s="11"/>
      <c r="O41" s="11"/>
      <c r="P41" s="11"/>
      <c r="Q41" s="11"/>
      <c r="R41" s="11"/>
      <c r="S41" s="11"/>
      <c r="T41" s="11"/>
      <c r="U41" s="11"/>
      <c r="V41" s="11"/>
    </row>
    <row r="42" spans="2:52" x14ac:dyDescent="0.25">
      <c r="B42" s="45" t="s">
        <v>11</v>
      </c>
    </row>
    <row r="43" spans="2:52" x14ac:dyDescent="0.25">
      <c r="B43" s="6">
        <v>1</v>
      </c>
      <c r="C43" s="6" t="str">
        <f>VLOOKUP(AU43,$B$4:$F$15,2,FALSE)</f>
        <v>M</v>
      </c>
      <c r="D43" s="46" t="s">
        <v>5</v>
      </c>
      <c r="E43" s="90" t="str">
        <f t="shared" ref="E43:E47" si="30">VLOOKUP(AV43,$B$4:$F$15,2,FALSE)</f>
        <v>I</v>
      </c>
      <c r="F43" s="90"/>
      <c r="G43" s="90"/>
      <c r="H43" s="90"/>
      <c r="J43" s="90" t="str">
        <f>IF(V43="","",VLOOKUP(V43,Configuratie!$B$2:$E$11,3,FALSE))</f>
        <v/>
      </c>
      <c r="K43" s="90"/>
      <c r="L43" s="6" t="s">
        <v>5</v>
      </c>
      <c r="M43" s="90" t="str">
        <f>IF(V43="","",VLOOKUP(V43,Configuratie!$B$2:$E$11,4,FALSE))</f>
        <v/>
      </c>
      <c r="N43" s="90"/>
      <c r="R43" s="6" t="str">
        <f>IF(T43="","",VLOOKUP(T43,Configuratie!$B$2:$E$11,2,FALSE))</f>
        <v/>
      </c>
      <c r="S43" s="61"/>
      <c r="T43" s="61"/>
      <c r="V43" s="5"/>
      <c r="AT43" s="6">
        <v>4</v>
      </c>
      <c r="AU43" s="6">
        <v>12</v>
      </c>
      <c r="AV43" s="6">
        <v>8</v>
      </c>
      <c r="AW43" s="6" t="str">
        <f>IF(AND(ISNUMBER(J43),ISNUMBER(M43)),IF(J43+M43=1,1,0),"")</f>
        <v/>
      </c>
      <c r="AY43" s="48">
        <f>AU43*100+AV43</f>
        <v>1208</v>
      </c>
      <c r="AZ43" s="48">
        <f>AV43*100+AU43</f>
        <v>812</v>
      </c>
    </row>
    <row r="44" spans="2:52" x14ac:dyDescent="0.25">
      <c r="B44" s="6">
        <v>2</v>
      </c>
      <c r="C44" s="6" t="str">
        <f t="shared" ref="C44:C48" si="31">VLOOKUP(AU44,$B$4:$F$15,2,FALSE)</f>
        <v>J</v>
      </c>
      <c r="D44" s="46" t="s">
        <v>5</v>
      </c>
      <c r="E44" s="90" t="str">
        <f t="shared" si="30"/>
        <v>H</v>
      </c>
      <c r="F44" s="90"/>
      <c r="G44" s="90"/>
      <c r="H44" s="90"/>
      <c r="J44" s="90" t="str">
        <f>IF(V44="","",VLOOKUP(V44,Configuratie!$B$2:$E$11,3,FALSE))</f>
        <v/>
      </c>
      <c r="K44" s="90"/>
      <c r="L44" s="6" t="s">
        <v>5</v>
      </c>
      <c r="M44" s="90" t="str">
        <f>IF(V44="","",VLOOKUP(V44,Configuratie!$B$2:$E$11,4,FALSE))</f>
        <v/>
      </c>
      <c r="N44" s="90"/>
      <c r="R44" s="6" t="str">
        <f>IF(T44="","",VLOOKUP(T44,Configuratie!$B$2:$E$11,2,FALSE))</f>
        <v/>
      </c>
      <c r="S44" s="61"/>
      <c r="T44" s="61"/>
      <c r="V44" s="5"/>
      <c r="AT44" s="6">
        <v>4</v>
      </c>
      <c r="AU44" s="6">
        <v>9</v>
      </c>
      <c r="AV44" s="6">
        <v>7</v>
      </c>
      <c r="AW44" s="6" t="str">
        <f t="shared" ref="AW44:AW48" si="32">IF(AND(ISNUMBER(J44),ISNUMBER(M44)),IF(J44+M44=1,1,0),"")</f>
        <v/>
      </c>
      <c r="AY44" s="48">
        <f t="shared" ref="AY44:AY48" si="33">AU44*100+AV44</f>
        <v>907</v>
      </c>
      <c r="AZ44" s="48">
        <f t="shared" ref="AZ44:AZ48" si="34">AV44*100+AU44</f>
        <v>709</v>
      </c>
    </row>
    <row r="45" spans="2:52" x14ac:dyDescent="0.25">
      <c r="B45" s="6">
        <v>3</v>
      </c>
      <c r="C45" s="6" t="str">
        <f t="shared" si="31"/>
        <v>K</v>
      </c>
      <c r="D45" s="46" t="s">
        <v>5</v>
      </c>
      <c r="E45" s="90" t="str">
        <f t="shared" si="30"/>
        <v>G</v>
      </c>
      <c r="F45" s="90"/>
      <c r="G45" s="90"/>
      <c r="H45" s="90"/>
      <c r="J45" s="90" t="str">
        <f>IF(V45="","",VLOOKUP(V45,Configuratie!$B$2:$E$11,3,FALSE))</f>
        <v/>
      </c>
      <c r="K45" s="90"/>
      <c r="L45" s="6" t="s">
        <v>5</v>
      </c>
      <c r="M45" s="90" t="str">
        <f>IF(V45="","",VLOOKUP(V45,Configuratie!$B$2:$E$11,4,FALSE))</f>
        <v/>
      </c>
      <c r="N45" s="90"/>
      <c r="R45" s="6" t="str">
        <f>IF(T45="","",VLOOKUP(T45,Configuratie!$B$2:$E$11,2,FALSE))</f>
        <v/>
      </c>
      <c r="S45" s="61"/>
      <c r="T45" s="61"/>
      <c r="V45" s="5"/>
      <c r="AT45" s="6">
        <v>4</v>
      </c>
      <c r="AU45" s="6">
        <v>10</v>
      </c>
      <c r="AV45" s="6">
        <v>6</v>
      </c>
      <c r="AW45" s="6" t="str">
        <f t="shared" si="32"/>
        <v/>
      </c>
      <c r="AY45" s="48">
        <f t="shared" si="33"/>
        <v>1006</v>
      </c>
      <c r="AZ45" s="48">
        <f t="shared" si="34"/>
        <v>610</v>
      </c>
    </row>
    <row r="46" spans="2:52" x14ac:dyDescent="0.25">
      <c r="B46" s="6">
        <v>4</v>
      </c>
      <c r="C46" s="6" t="str">
        <f t="shared" si="31"/>
        <v>L</v>
      </c>
      <c r="D46" s="46" t="s">
        <v>5</v>
      </c>
      <c r="E46" s="90" t="str">
        <f t="shared" si="30"/>
        <v>E</v>
      </c>
      <c r="F46" s="90"/>
      <c r="G46" s="90"/>
      <c r="H46" s="90"/>
      <c r="J46" s="90" t="str">
        <f>IF(V46="","",VLOOKUP(V46,Configuratie!$B$2:$E$11,3,FALSE))</f>
        <v/>
      </c>
      <c r="K46" s="90"/>
      <c r="L46" s="6" t="s">
        <v>5</v>
      </c>
      <c r="M46" s="90" t="str">
        <f>IF(V46="","",VLOOKUP(V46,Configuratie!$B$2:$E$11,4,FALSE))</f>
        <v/>
      </c>
      <c r="N46" s="90"/>
      <c r="R46" s="6" t="str">
        <f>IF(T46="","",VLOOKUP(T46,Configuratie!$B$2:$E$11,2,FALSE))</f>
        <v/>
      </c>
      <c r="S46" s="61"/>
      <c r="T46" s="61"/>
      <c r="V46" s="5"/>
      <c r="AT46" s="6">
        <v>4</v>
      </c>
      <c r="AU46" s="6">
        <v>11</v>
      </c>
      <c r="AV46" s="6">
        <v>5</v>
      </c>
      <c r="AW46" s="6" t="str">
        <f t="shared" si="32"/>
        <v/>
      </c>
      <c r="AY46" s="48">
        <f t="shared" si="33"/>
        <v>1105</v>
      </c>
      <c r="AZ46" s="48">
        <f t="shared" si="34"/>
        <v>511</v>
      </c>
    </row>
    <row r="47" spans="2:52" x14ac:dyDescent="0.25">
      <c r="B47" s="6">
        <v>5</v>
      </c>
      <c r="C47" s="6" t="str">
        <f t="shared" si="31"/>
        <v>A</v>
      </c>
      <c r="D47" s="46" t="s">
        <v>5</v>
      </c>
      <c r="E47" s="90" t="str">
        <f t="shared" si="30"/>
        <v>D</v>
      </c>
      <c r="F47" s="90"/>
      <c r="G47" s="90"/>
      <c r="H47" s="90"/>
      <c r="J47" s="90" t="str">
        <f>IF(V47="","",VLOOKUP(V47,Configuratie!$B$2:$E$11,3,FALSE))</f>
        <v/>
      </c>
      <c r="K47" s="90"/>
      <c r="L47" s="6" t="s">
        <v>5</v>
      </c>
      <c r="M47" s="90" t="str">
        <f>IF(V47="","",VLOOKUP(V47,Configuratie!$B$2:$E$11,4,FALSE))</f>
        <v/>
      </c>
      <c r="N47" s="90"/>
      <c r="R47" s="6" t="str">
        <f>IF(T47="","",VLOOKUP(T47,Configuratie!$B$2:$E$11,2,FALSE))</f>
        <v/>
      </c>
      <c r="S47" s="61"/>
      <c r="T47" s="61"/>
      <c r="V47" s="5"/>
      <c r="AT47" s="6">
        <v>4</v>
      </c>
      <c r="AU47" s="6">
        <v>1</v>
      </c>
      <c r="AV47" s="6">
        <v>4</v>
      </c>
      <c r="AW47" s="6" t="str">
        <f t="shared" si="32"/>
        <v/>
      </c>
      <c r="AY47" s="48">
        <f t="shared" si="33"/>
        <v>104</v>
      </c>
      <c r="AZ47" s="48">
        <f t="shared" si="34"/>
        <v>401</v>
      </c>
    </row>
    <row r="48" spans="2:52" x14ac:dyDescent="0.25">
      <c r="B48" s="6">
        <v>6</v>
      </c>
      <c r="C48" s="6" t="str">
        <f t="shared" si="31"/>
        <v>B</v>
      </c>
      <c r="D48" s="46" t="s">
        <v>5</v>
      </c>
      <c r="E48" s="90" t="str">
        <f>VLOOKUP(AV48,$B$4:$F$15,2,FALSE)</f>
        <v>C</v>
      </c>
      <c r="F48" s="90"/>
      <c r="G48" s="90"/>
      <c r="H48" s="90"/>
      <c r="J48" s="90" t="str">
        <f>IF(V48="","",VLOOKUP(V48,Configuratie!$B$2:$E$11,3,FALSE))</f>
        <v/>
      </c>
      <c r="K48" s="90"/>
      <c r="L48" s="6" t="s">
        <v>5</v>
      </c>
      <c r="M48" s="90" t="str">
        <f>IF(V48="","",VLOOKUP(V48,Configuratie!$B$2:$E$11,4,FALSE))</f>
        <v/>
      </c>
      <c r="N48" s="90"/>
      <c r="T48" s="61"/>
      <c r="V48" s="5"/>
      <c r="AT48" s="6">
        <v>4</v>
      </c>
      <c r="AU48" s="6">
        <v>2</v>
      </c>
      <c r="AV48" s="6">
        <v>3</v>
      </c>
      <c r="AW48" s="6" t="str">
        <f t="shared" si="32"/>
        <v/>
      </c>
      <c r="AY48" s="48">
        <f t="shared" si="33"/>
        <v>203</v>
      </c>
      <c r="AZ48" s="48">
        <f t="shared" si="34"/>
        <v>302</v>
      </c>
    </row>
    <row r="49" spans="2:52" ht="3" customHeight="1" x14ac:dyDescent="0.25">
      <c r="B49" s="11"/>
      <c r="C49" s="11"/>
      <c r="D49" s="11"/>
      <c r="E49" s="11"/>
      <c r="F49" s="11"/>
      <c r="G49" s="11"/>
      <c r="H49" s="11"/>
      <c r="I49" s="11"/>
      <c r="J49" s="11"/>
      <c r="K49" s="11"/>
      <c r="L49" s="11"/>
      <c r="M49" s="11"/>
      <c r="N49" s="11"/>
      <c r="O49" s="11"/>
      <c r="P49" s="11"/>
      <c r="Q49" s="11"/>
      <c r="R49" s="11"/>
      <c r="S49" s="11"/>
      <c r="T49" s="11"/>
      <c r="U49" s="11"/>
      <c r="V49" s="11">
        <v>1</v>
      </c>
    </row>
    <row r="50" spans="2:52" x14ac:dyDescent="0.25">
      <c r="B50" s="45" t="s">
        <v>12</v>
      </c>
    </row>
    <row r="51" spans="2:52" x14ac:dyDescent="0.25">
      <c r="B51" s="6">
        <v>1</v>
      </c>
      <c r="C51" s="6" t="str">
        <f>VLOOKUP(AU51,$B$4:$F$15,2,FALSE)</f>
        <v>C</v>
      </c>
      <c r="D51" s="46" t="s">
        <v>5</v>
      </c>
      <c r="E51" s="90" t="str">
        <f t="shared" ref="E51:E55" si="35">VLOOKUP(AV51,$B$4:$F$15,2,FALSE)</f>
        <v>M</v>
      </c>
      <c r="F51" s="90"/>
      <c r="G51" s="90"/>
      <c r="H51" s="90"/>
      <c r="J51" s="90" t="str">
        <f>IF(V51="","",VLOOKUP(V51,Configuratie!$B$2:$E$11,3,FALSE))</f>
        <v/>
      </c>
      <c r="K51" s="90"/>
      <c r="L51" s="6" t="s">
        <v>5</v>
      </c>
      <c r="M51" s="90" t="str">
        <f>IF(V51="","",VLOOKUP(V51,Configuratie!$B$2:$E$11,4,FALSE))</f>
        <v/>
      </c>
      <c r="N51" s="90"/>
      <c r="R51" s="6" t="str">
        <f>IF(T51="","",VLOOKUP(T51,Configuratie!$B$2:$E$11,2,FALSE))</f>
        <v/>
      </c>
      <c r="S51" s="61"/>
      <c r="T51" s="61"/>
      <c r="V51" s="5"/>
      <c r="AT51" s="6">
        <v>5</v>
      </c>
      <c r="AU51" s="6">
        <v>3</v>
      </c>
      <c r="AV51" s="6">
        <v>12</v>
      </c>
      <c r="AW51" s="6" t="str">
        <f>IF(AND(ISNUMBER(J51),ISNUMBER(M51)),IF(J51+M51=1,1,0),"")</f>
        <v/>
      </c>
      <c r="AY51" s="48">
        <f>AU51*100+AV51</f>
        <v>312</v>
      </c>
      <c r="AZ51" s="48">
        <f>AV51*100+AU51</f>
        <v>1203</v>
      </c>
    </row>
    <row r="52" spans="2:52" x14ac:dyDescent="0.25">
      <c r="B52" s="6">
        <v>2</v>
      </c>
      <c r="C52" s="6" t="str">
        <f t="shared" ref="C52:C56" si="36">VLOOKUP(AU52,$B$4:$F$15,2,FALSE)</f>
        <v>D</v>
      </c>
      <c r="D52" s="46" t="s">
        <v>5</v>
      </c>
      <c r="E52" s="90" t="str">
        <f t="shared" si="35"/>
        <v>B</v>
      </c>
      <c r="F52" s="90"/>
      <c r="G52" s="90"/>
      <c r="H52" s="90"/>
      <c r="J52" s="90" t="str">
        <f>IF(V52="","",VLOOKUP(V52,Configuratie!$B$2:$E$11,3,FALSE))</f>
        <v/>
      </c>
      <c r="K52" s="90"/>
      <c r="L52" s="6" t="s">
        <v>5</v>
      </c>
      <c r="M52" s="90" t="str">
        <f>IF(V52="","",VLOOKUP(V52,Configuratie!$B$2:$E$11,4,FALSE))</f>
        <v/>
      </c>
      <c r="N52" s="90"/>
      <c r="R52" s="6" t="str">
        <f>IF(T52="","",VLOOKUP(T52,Configuratie!$B$2:$E$11,2,FALSE))</f>
        <v/>
      </c>
      <c r="S52" s="61"/>
      <c r="T52" s="61"/>
      <c r="V52" s="5"/>
      <c r="AT52" s="6">
        <v>5</v>
      </c>
      <c r="AU52" s="6">
        <v>4</v>
      </c>
      <c r="AV52" s="6">
        <v>2</v>
      </c>
      <c r="AW52" s="6" t="str">
        <f t="shared" ref="AW52:AW56" si="37">IF(AND(ISNUMBER(J52),ISNUMBER(M52)),IF(J52+M52=1,1,0),"")</f>
        <v/>
      </c>
      <c r="AY52" s="48">
        <f t="shared" ref="AY52:AY56" si="38">AU52*100+AV52</f>
        <v>402</v>
      </c>
      <c r="AZ52" s="48">
        <f t="shared" ref="AZ52:AZ56" si="39">AV52*100+AU52</f>
        <v>204</v>
      </c>
    </row>
    <row r="53" spans="2:52" x14ac:dyDescent="0.25">
      <c r="B53" s="6">
        <v>3</v>
      </c>
      <c r="C53" s="6" t="str">
        <f t="shared" si="36"/>
        <v>E</v>
      </c>
      <c r="D53" s="46" t="s">
        <v>5</v>
      </c>
      <c r="E53" s="90" t="str">
        <f t="shared" si="35"/>
        <v>A</v>
      </c>
      <c r="F53" s="90"/>
      <c r="G53" s="90"/>
      <c r="H53" s="90"/>
      <c r="J53" s="90" t="str">
        <f>IF(V53="","",VLOOKUP(V53,Configuratie!$B$2:$E$11,3,FALSE))</f>
        <v/>
      </c>
      <c r="K53" s="90"/>
      <c r="L53" s="6" t="s">
        <v>5</v>
      </c>
      <c r="M53" s="90" t="str">
        <f>IF(V53="","",VLOOKUP(V53,Configuratie!$B$2:$E$11,4,FALSE))</f>
        <v/>
      </c>
      <c r="N53" s="90"/>
      <c r="R53" s="6" t="str">
        <f>IF(T53="","",VLOOKUP(T53,Configuratie!$B$2:$E$11,2,FALSE))</f>
        <v/>
      </c>
      <c r="S53" s="61"/>
      <c r="T53" s="61"/>
      <c r="V53" s="5"/>
      <c r="AT53" s="6">
        <v>5</v>
      </c>
      <c r="AU53" s="6">
        <v>5</v>
      </c>
      <c r="AV53" s="6">
        <v>1</v>
      </c>
      <c r="AW53" s="6" t="str">
        <f t="shared" si="37"/>
        <v/>
      </c>
      <c r="AY53" s="48">
        <f t="shared" si="38"/>
        <v>501</v>
      </c>
      <c r="AZ53" s="48">
        <f t="shared" si="39"/>
        <v>105</v>
      </c>
    </row>
    <row r="54" spans="2:52" x14ac:dyDescent="0.25">
      <c r="B54" s="6">
        <v>4</v>
      </c>
      <c r="C54" s="6" t="str">
        <f t="shared" si="36"/>
        <v>G</v>
      </c>
      <c r="D54" s="46" t="s">
        <v>5</v>
      </c>
      <c r="E54" s="90" t="str">
        <f t="shared" si="35"/>
        <v>L</v>
      </c>
      <c r="F54" s="90"/>
      <c r="G54" s="90"/>
      <c r="H54" s="90"/>
      <c r="J54" s="90" t="str">
        <f>IF(V54="","",VLOOKUP(V54,Configuratie!$B$2:$E$11,3,FALSE))</f>
        <v/>
      </c>
      <c r="K54" s="90"/>
      <c r="L54" s="6" t="s">
        <v>5</v>
      </c>
      <c r="M54" s="90" t="str">
        <f>IF(V54="","",VLOOKUP(V54,Configuratie!$B$2:$E$11,4,FALSE))</f>
        <v/>
      </c>
      <c r="N54" s="90"/>
      <c r="R54" s="6" t="str">
        <f>IF(T54="","",VLOOKUP(T54,Configuratie!$B$2:$E$11,2,FALSE))</f>
        <v/>
      </c>
      <c r="S54" s="61"/>
      <c r="T54" s="61"/>
      <c r="V54" s="5"/>
      <c r="AT54" s="6">
        <v>5</v>
      </c>
      <c r="AU54" s="6">
        <v>6</v>
      </c>
      <c r="AV54" s="6">
        <v>11</v>
      </c>
      <c r="AW54" s="6" t="str">
        <f t="shared" si="37"/>
        <v/>
      </c>
      <c r="AY54" s="48">
        <f t="shared" si="38"/>
        <v>611</v>
      </c>
      <c r="AZ54" s="48">
        <f t="shared" si="39"/>
        <v>1106</v>
      </c>
    </row>
    <row r="55" spans="2:52" x14ac:dyDescent="0.25">
      <c r="B55" s="6">
        <v>5</v>
      </c>
      <c r="C55" s="6" t="str">
        <f t="shared" si="36"/>
        <v>H</v>
      </c>
      <c r="D55" s="46" t="s">
        <v>5</v>
      </c>
      <c r="E55" s="90" t="str">
        <f t="shared" si="35"/>
        <v>K</v>
      </c>
      <c r="F55" s="90"/>
      <c r="G55" s="90"/>
      <c r="H55" s="90"/>
      <c r="J55" s="90" t="str">
        <f>IF(V55="","",VLOOKUP(V55,Configuratie!$B$2:$E$11,3,FALSE))</f>
        <v/>
      </c>
      <c r="K55" s="90"/>
      <c r="L55" s="6" t="s">
        <v>5</v>
      </c>
      <c r="M55" s="90" t="str">
        <f>IF(V55="","",VLOOKUP(V55,Configuratie!$B$2:$E$11,4,FALSE))</f>
        <v/>
      </c>
      <c r="N55" s="90"/>
      <c r="R55" s="6" t="str">
        <f>IF(T55="","",VLOOKUP(T55,Configuratie!$B$2:$E$11,2,FALSE))</f>
        <v/>
      </c>
      <c r="S55" s="61"/>
      <c r="T55" s="61"/>
      <c r="V55" s="5"/>
      <c r="AT55" s="6">
        <v>5</v>
      </c>
      <c r="AU55" s="6">
        <v>7</v>
      </c>
      <c r="AV55" s="6">
        <v>10</v>
      </c>
      <c r="AW55" s="6" t="str">
        <f t="shared" si="37"/>
        <v/>
      </c>
      <c r="AY55" s="48">
        <f t="shared" si="38"/>
        <v>710</v>
      </c>
      <c r="AZ55" s="48">
        <f t="shared" si="39"/>
        <v>1007</v>
      </c>
    </row>
    <row r="56" spans="2:52" x14ac:dyDescent="0.25">
      <c r="B56" s="6">
        <v>6</v>
      </c>
      <c r="C56" s="6" t="str">
        <f t="shared" si="36"/>
        <v>I</v>
      </c>
      <c r="D56" s="46" t="s">
        <v>5</v>
      </c>
      <c r="E56" s="90" t="str">
        <f>VLOOKUP(AV56,$B$4:$F$15,2,FALSE)</f>
        <v>J</v>
      </c>
      <c r="F56" s="90"/>
      <c r="G56" s="90"/>
      <c r="H56" s="90"/>
      <c r="J56" s="90" t="str">
        <f>IF(V56="","",VLOOKUP(V56,Configuratie!$B$2:$E$11,3,FALSE))</f>
        <v/>
      </c>
      <c r="K56" s="90"/>
      <c r="L56" s="6" t="s">
        <v>5</v>
      </c>
      <c r="M56" s="90" t="str">
        <f>IF(V56="","",VLOOKUP(V56,Configuratie!$B$2:$E$11,4,FALSE))</f>
        <v/>
      </c>
      <c r="N56" s="90"/>
      <c r="T56" s="61"/>
      <c r="V56" s="5"/>
      <c r="AT56" s="6">
        <v>5</v>
      </c>
      <c r="AU56" s="6">
        <v>8</v>
      </c>
      <c r="AV56" s="6">
        <v>9</v>
      </c>
      <c r="AW56" s="6" t="str">
        <f t="shared" si="37"/>
        <v/>
      </c>
      <c r="AY56" s="48">
        <f t="shared" si="38"/>
        <v>809</v>
      </c>
      <c r="AZ56" s="48">
        <f t="shared" si="39"/>
        <v>908</v>
      </c>
    </row>
    <row r="57" spans="2:52" ht="3" customHeight="1" x14ac:dyDescent="0.25">
      <c r="B57" s="11"/>
      <c r="C57" s="11"/>
      <c r="D57" s="11"/>
      <c r="E57" s="11"/>
      <c r="F57" s="11"/>
      <c r="G57" s="11"/>
      <c r="H57" s="11"/>
      <c r="I57" s="11"/>
      <c r="J57" s="11"/>
      <c r="K57" s="11"/>
      <c r="L57" s="11"/>
      <c r="M57" s="11"/>
      <c r="N57" s="11"/>
      <c r="O57" s="11"/>
      <c r="P57" s="11"/>
      <c r="Q57" s="11"/>
      <c r="R57" s="11"/>
      <c r="S57" s="11"/>
      <c r="T57" s="11"/>
      <c r="U57" s="11"/>
      <c r="V57" s="11"/>
    </row>
    <row r="58" spans="2:52" x14ac:dyDescent="0.25">
      <c r="B58" s="45" t="s">
        <v>13</v>
      </c>
    </row>
    <row r="59" spans="2:52" x14ac:dyDescent="0.25">
      <c r="B59" s="6">
        <v>1</v>
      </c>
      <c r="C59" s="6" t="str">
        <f>VLOOKUP(AU59,$B$4:$F$15,2,FALSE)</f>
        <v>M</v>
      </c>
      <c r="D59" s="46" t="s">
        <v>5</v>
      </c>
      <c r="E59" s="90" t="str">
        <f t="shared" ref="E59:E63" si="40">VLOOKUP(AV59,$B$4:$F$15,2,FALSE)</f>
        <v>J</v>
      </c>
      <c r="F59" s="90"/>
      <c r="G59" s="90"/>
      <c r="H59" s="90"/>
      <c r="J59" s="90" t="str">
        <f>IF(V59="","",VLOOKUP(V59,Configuratie!$B$2:$E$11,3,FALSE))</f>
        <v/>
      </c>
      <c r="K59" s="90"/>
      <c r="L59" s="6" t="s">
        <v>5</v>
      </c>
      <c r="M59" s="90" t="str">
        <f>IF(V59="","",VLOOKUP(V59,Configuratie!$B$2:$E$11,4,FALSE))</f>
        <v/>
      </c>
      <c r="N59" s="90"/>
      <c r="R59" s="6" t="str">
        <f>IF(T59="","",VLOOKUP(T59,Configuratie!$B$2:$E$11,2,FALSE))</f>
        <v/>
      </c>
      <c r="S59" s="61"/>
      <c r="T59" s="61"/>
      <c r="V59" s="5"/>
      <c r="AT59" s="6">
        <v>6</v>
      </c>
      <c r="AU59" s="6">
        <v>12</v>
      </c>
      <c r="AV59" s="6">
        <v>9</v>
      </c>
      <c r="AW59" s="6" t="str">
        <f>IF(AND(ISNUMBER(J59),ISNUMBER(M59)),IF(J59+M59=1,1,0),"")</f>
        <v/>
      </c>
      <c r="AY59" s="48">
        <f>AU59*100+AV59</f>
        <v>1209</v>
      </c>
      <c r="AZ59" s="48">
        <f>AV59*100+AU59</f>
        <v>912</v>
      </c>
    </row>
    <row r="60" spans="2:52" x14ac:dyDescent="0.25">
      <c r="B60" s="6">
        <v>2</v>
      </c>
      <c r="C60" s="6" t="str">
        <f t="shared" ref="C60:C64" si="41">VLOOKUP(AU60,$B$4:$F$15,2,FALSE)</f>
        <v>K</v>
      </c>
      <c r="D60" s="46" t="s">
        <v>5</v>
      </c>
      <c r="E60" s="90" t="str">
        <f t="shared" si="40"/>
        <v>I</v>
      </c>
      <c r="F60" s="90"/>
      <c r="G60" s="90"/>
      <c r="H60" s="90"/>
      <c r="J60" s="90" t="str">
        <f>IF(V60="","",VLOOKUP(V60,Configuratie!$B$2:$E$11,3,FALSE))</f>
        <v/>
      </c>
      <c r="K60" s="90"/>
      <c r="L60" s="6" t="s">
        <v>5</v>
      </c>
      <c r="M60" s="90" t="str">
        <f>IF(V60="","",VLOOKUP(V60,Configuratie!$B$2:$E$11,4,FALSE))</f>
        <v/>
      </c>
      <c r="N60" s="90"/>
      <c r="R60" s="6" t="str">
        <f>IF(T60="","",VLOOKUP(T60,Configuratie!$B$2:$E$11,2,FALSE))</f>
        <v/>
      </c>
      <c r="S60" s="61"/>
      <c r="T60" s="61"/>
      <c r="V60" s="5"/>
      <c r="AT60" s="6">
        <v>6</v>
      </c>
      <c r="AU60" s="6">
        <v>10</v>
      </c>
      <c r="AV60" s="6">
        <v>8</v>
      </c>
      <c r="AW60" s="6" t="str">
        <f t="shared" ref="AW60:AW64" si="42">IF(AND(ISNUMBER(J60),ISNUMBER(M60)),IF(J60+M60=1,1,0),"")</f>
        <v/>
      </c>
      <c r="AY60" s="48">
        <f t="shared" ref="AY60:AY64" si="43">AU60*100+AV60</f>
        <v>1008</v>
      </c>
      <c r="AZ60" s="48">
        <f t="shared" ref="AZ60:AZ64" si="44">AV60*100+AU60</f>
        <v>810</v>
      </c>
    </row>
    <row r="61" spans="2:52" x14ac:dyDescent="0.25">
      <c r="B61" s="6">
        <v>3</v>
      </c>
      <c r="C61" s="6" t="str">
        <f t="shared" si="41"/>
        <v>L</v>
      </c>
      <c r="D61" s="46" t="s">
        <v>5</v>
      </c>
      <c r="E61" s="90" t="str">
        <f t="shared" si="40"/>
        <v>H</v>
      </c>
      <c r="F61" s="90"/>
      <c r="G61" s="90"/>
      <c r="H61" s="90"/>
      <c r="J61" s="90" t="str">
        <f>IF(V61="","",VLOOKUP(V61,Configuratie!$B$2:$E$11,3,FALSE))</f>
        <v/>
      </c>
      <c r="K61" s="90"/>
      <c r="L61" s="6" t="s">
        <v>5</v>
      </c>
      <c r="M61" s="90" t="str">
        <f>IF(V61="","",VLOOKUP(V61,Configuratie!$B$2:$E$11,4,FALSE))</f>
        <v/>
      </c>
      <c r="N61" s="90"/>
      <c r="R61" s="6" t="str">
        <f>IF(T61="","",VLOOKUP(T61,Configuratie!$B$2:$E$11,2,FALSE))</f>
        <v/>
      </c>
      <c r="S61" s="61"/>
      <c r="T61" s="61"/>
      <c r="V61" s="5"/>
      <c r="AT61" s="6">
        <v>6</v>
      </c>
      <c r="AU61" s="6">
        <v>11</v>
      </c>
      <c r="AV61" s="6">
        <v>7</v>
      </c>
      <c r="AW61" s="6" t="str">
        <f t="shared" si="42"/>
        <v/>
      </c>
      <c r="AY61" s="48">
        <f t="shared" si="43"/>
        <v>1107</v>
      </c>
      <c r="AZ61" s="48">
        <f t="shared" si="44"/>
        <v>711</v>
      </c>
    </row>
    <row r="62" spans="2:52" x14ac:dyDescent="0.25">
      <c r="B62" s="6">
        <v>4</v>
      </c>
      <c r="C62" s="6" t="str">
        <f t="shared" si="41"/>
        <v>A</v>
      </c>
      <c r="D62" s="46" t="s">
        <v>5</v>
      </c>
      <c r="E62" s="90" t="str">
        <f t="shared" si="40"/>
        <v>G</v>
      </c>
      <c r="F62" s="90"/>
      <c r="G62" s="90"/>
      <c r="H62" s="90"/>
      <c r="J62" s="90" t="str">
        <f>IF(V62="","",VLOOKUP(V62,Configuratie!$B$2:$E$11,3,FALSE))</f>
        <v/>
      </c>
      <c r="K62" s="90"/>
      <c r="L62" s="6" t="s">
        <v>5</v>
      </c>
      <c r="M62" s="90" t="str">
        <f>IF(V62="","",VLOOKUP(V62,Configuratie!$B$2:$E$11,4,FALSE))</f>
        <v/>
      </c>
      <c r="N62" s="90"/>
      <c r="R62" s="6" t="str">
        <f>IF(T62="","",VLOOKUP(T62,Configuratie!$B$2:$E$11,2,FALSE))</f>
        <v/>
      </c>
      <c r="S62" s="61"/>
      <c r="T62" s="61"/>
      <c r="V62" s="5"/>
      <c r="AT62" s="6">
        <v>6</v>
      </c>
      <c r="AU62" s="6">
        <v>1</v>
      </c>
      <c r="AV62" s="6">
        <v>6</v>
      </c>
      <c r="AW62" s="6" t="str">
        <f t="shared" si="42"/>
        <v/>
      </c>
      <c r="AY62" s="48">
        <f t="shared" si="43"/>
        <v>106</v>
      </c>
      <c r="AZ62" s="48">
        <f t="shared" si="44"/>
        <v>601</v>
      </c>
    </row>
    <row r="63" spans="2:52" x14ac:dyDescent="0.25">
      <c r="B63" s="6">
        <v>5</v>
      </c>
      <c r="C63" s="6" t="str">
        <f t="shared" si="41"/>
        <v>B</v>
      </c>
      <c r="D63" s="46" t="s">
        <v>5</v>
      </c>
      <c r="E63" s="90" t="str">
        <f t="shared" si="40"/>
        <v>E</v>
      </c>
      <c r="F63" s="90"/>
      <c r="G63" s="90"/>
      <c r="H63" s="90"/>
      <c r="J63" s="90" t="str">
        <f>IF(V63="","",VLOOKUP(V63,Configuratie!$B$2:$E$11,3,FALSE))</f>
        <v/>
      </c>
      <c r="K63" s="90"/>
      <c r="L63" s="6" t="s">
        <v>5</v>
      </c>
      <c r="M63" s="90" t="str">
        <f>IF(V63="","",VLOOKUP(V63,Configuratie!$B$2:$E$11,4,FALSE))</f>
        <v/>
      </c>
      <c r="N63" s="90"/>
      <c r="R63" s="6" t="str">
        <f>IF(T63="","",VLOOKUP(T63,Configuratie!$B$2:$E$11,2,FALSE))</f>
        <v/>
      </c>
      <c r="S63" s="61"/>
      <c r="T63" s="61"/>
      <c r="V63" s="5"/>
      <c r="AT63" s="6">
        <v>6</v>
      </c>
      <c r="AU63" s="6">
        <v>2</v>
      </c>
      <c r="AV63" s="6">
        <v>5</v>
      </c>
      <c r="AW63" s="6" t="str">
        <f t="shared" si="42"/>
        <v/>
      </c>
      <c r="AY63" s="48">
        <f t="shared" si="43"/>
        <v>205</v>
      </c>
      <c r="AZ63" s="48">
        <f t="shared" si="44"/>
        <v>502</v>
      </c>
    </row>
    <row r="64" spans="2:52" x14ac:dyDescent="0.25">
      <c r="B64" s="6">
        <v>6</v>
      </c>
      <c r="C64" s="6" t="str">
        <f t="shared" si="41"/>
        <v>C</v>
      </c>
      <c r="D64" s="46" t="s">
        <v>5</v>
      </c>
      <c r="E64" s="90" t="str">
        <f>VLOOKUP(AV64,$B$4:$F$15,2,FALSE)</f>
        <v>D</v>
      </c>
      <c r="F64" s="90"/>
      <c r="G64" s="90"/>
      <c r="H64" s="90"/>
      <c r="J64" s="90" t="str">
        <f>IF(V64="","",VLOOKUP(V64,Configuratie!$B$2:$E$11,3,FALSE))</f>
        <v/>
      </c>
      <c r="K64" s="90"/>
      <c r="L64" s="6" t="s">
        <v>5</v>
      </c>
      <c r="M64" s="90" t="str">
        <f>IF(V64="","",VLOOKUP(V64,Configuratie!$B$2:$E$11,4,FALSE))</f>
        <v/>
      </c>
      <c r="N64" s="90"/>
      <c r="T64" s="61"/>
      <c r="V64" s="5"/>
      <c r="AT64" s="6">
        <v>6</v>
      </c>
      <c r="AU64" s="6">
        <v>3</v>
      </c>
      <c r="AV64" s="6">
        <v>4</v>
      </c>
      <c r="AW64" s="6" t="str">
        <f t="shared" si="42"/>
        <v/>
      </c>
      <c r="AY64" s="48">
        <f t="shared" si="43"/>
        <v>304</v>
      </c>
      <c r="AZ64" s="48">
        <f t="shared" si="44"/>
        <v>403</v>
      </c>
    </row>
    <row r="65" spans="2:52" ht="3" customHeight="1" x14ac:dyDescent="0.25">
      <c r="B65" s="11"/>
      <c r="C65" s="11"/>
      <c r="D65" s="11"/>
      <c r="E65" s="11"/>
      <c r="F65" s="11"/>
      <c r="G65" s="11"/>
      <c r="H65" s="11"/>
      <c r="I65" s="11"/>
      <c r="J65" s="11"/>
      <c r="K65" s="11"/>
      <c r="L65" s="11"/>
      <c r="M65" s="11"/>
      <c r="N65" s="11"/>
      <c r="O65" s="11"/>
      <c r="P65" s="11"/>
      <c r="Q65" s="11"/>
      <c r="R65" s="11"/>
      <c r="S65" s="11"/>
      <c r="T65" s="11"/>
      <c r="U65" s="11"/>
      <c r="V65" s="11"/>
    </row>
    <row r="66" spans="2:52" x14ac:dyDescent="0.25">
      <c r="B66" s="45" t="s">
        <v>14</v>
      </c>
    </row>
    <row r="67" spans="2:52" x14ac:dyDescent="0.25">
      <c r="B67" s="6">
        <v>1</v>
      </c>
      <c r="C67" s="6" t="str">
        <f>VLOOKUP(AU67,$B$4:$F$15,2,FALSE)</f>
        <v>D</v>
      </c>
      <c r="D67" s="46" t="s">
        <v>5</v>
      </c>
      <c r="E67" s="90" t="str">
        <f t="shared" ref="E67:E71" si="45">VLOOKUP(AV67,$B$4:$F$15,2,FALSE)</f>
        <v>M</v>
      </c>
      <c r="F67" s="90"/>
      <c r="G67" s="90"/>
      <c r="H67" s="90"/>
      <c r="J67" s="90" t="str">
        <f>IF(V67="","",VLOOKUP(V67,Configuratie!$B$2:$E$11,3,FALSE))</f>
        <v/>
      </c>
      <c r="K67" s="90"/>
      <c r="L67" s="6" t="s">
        <v>5</v>
      </c>
      <c r="M67" s="90" t="str">
        <f>IF(V67="","",VLOOKUP(V67,Configuratie!$B$2:$E$11,4,FALSE))</f>
        <v/>
      </c>
      <c r="N67" s="90"/>
      <c r="R67" s="6" t="str">
        <f>IF(T67="","",VLOOKUP(T67,Configuratie!$B$2:$E$11,2,FALSE))</f>
        <v/>
      </c>
      <c r="S67" s="61"/>
      <c r="T67" s="61"/>
      <c r="V67" s="5"/>
      <c r="AT67" s="6">
        <v>7</v>
      </c>
      <c r="AU67" s="6">
        <v>4</v>
      </c>
      <c r="AV67" s="6">
        <v>12</v>
      </c>
      <c r="AW67" s="6" t="str">
        <f>IF(AND(ISNUMBER(J67),ISNUMBER(M67)),IF(J67+M67=1,1,0),"")</f>
        <v/>
      </c>
      <c r="AY67" s="48">
        <f>AU67*100+AV67</f>
        <v>412</v>
      </c>
      <c r="AZ67" s="48">
        <f>AV67*100+AU67</f>
        <v>1204</v>
      </c>
    </row>
    <row r="68" spans="2:52" x14ac:dyDescent="0.25">
      <c r="B68" s="6">
        <v>2</v>
      </c>
      <c r="C68" s="6" t="str">
        <f t="shared" ref="C68:C72" si="46">VLOOKUP(AU68,$B$4:$F$15,2,FALSE)</f>
        <v>E</v>
      </c>
      <c r="D68" s="46" t="s">
        <v>5</v>
      </c>
      <c r="E68" s="90" t="str">
        <f t="shared" si="45"/>
        <v>C</v>
      </c>
      <c r="F68" s="90"/>
      <c r="G68" s="90"/>
      <c r="H68" s="90"/>
      <c r="J68" s="90" t="str">
        <f>IF(V68="","",VLOOKUP(V68,Configuratie!$B$2:$E$11,3,FALSE))</f>
        <v/>
      </c>
      <c r="K68" s="90"/>
      <c r="L68" s="6" t="s">
        <v>5</v>
      </c>
      <c r="M68" s="90" t="str">
        <f>IF(V68="","",VLOOKUP(V68,Configuratie!$B$2:$E$11,4,FALSE))</f>
        <v/>
      </c>
      <c r="N68" s="90"/>
      <c r="R68" s="6" t="str">
        <f>IF(T68="","",VLOOKUP(T68,Configuratie!$B$2:$E$11,2,FALSE))</f>
        <v/>
      </c>
      <c r="S68" s="61"/>
      <c r="T68" s="61"/>
      <c r="V68" s="5"/>
      <c r="AT68" s="6">
        <v>7</v>
      </c>
      <c r="AU68" s="6">
        <v>5</v>
      </c>
      <c r="AV68" s="6">
        <v>3</v>
      </c>
      <c r="AW68" s="6" t="str">
        <f t="shared" ref="AW68:AW72" si="47">IF(AND(ISNUMBER(J68),ISNUMBER(M68)),IF(J68+M68=1,1,0),"")</f>
        <v/>
      </c>
      <c r="AY68" s="48">
        <f t="shared" ref="AY68:AY72" si="48">AU68*100+AV68</f>
        <v>503</v>
      </c>
      <c r="AZ68" s="48">
        <f t="shared" ref="AZ68:AZ72" si="49">AV68*100+AU68</f>
        <v>305</v>
      </c>
    </row>
    <row r="69" spans="2:52" x14ac:dyDescent="0.25">
      <c r="B69" s="6">
        <v>3</v>
      </c>
      <c r="C69" s="6" t="str">
        <f t="shared" si="46"/>
        <v>G</v>
      </c>
      <c r="D69" s="46" t="s">
        <v>5</v>
      </c>
      <c r="E69" s="90" t="str">
        <f t="shared" si="45"/>
        <v>B</v>
      </c>
      <c r="F69" s="90"/>
      <c r="G69" s="90"/>
      <c r="H69" s="90"/>
      <c r="J69" s="90" t="str">
        <f>IF(V69="","",VLOOKUP(V69,Configuratie!$B$2:$E$11,3,FALSE))</f>
        <v/>
      </c>
      <c r="K69" s="90"/>
      <c r="L69" s="6" t="s">
        <v>5</v>
      </c>
      <c r="M69" s="90" t="str">
        <f>IF(V69="","",VLOOKUP(V69,Configuratie!$B$2:$E$11,4,FALSE))</f>
        <v/>
      </c>
      <c r="N69" s="90"/>
      <c r="R69" s="6" t="str">
        <f>IF(T69="","",VLOOKUP(T69,Configuratie!$B$2:$E$11,2,FALSE))</f>
        <v/>
      </c>
      <c r="S69" s="61"/>
      <c r="T69" s="61"/>
      <c r="V69" s="5"/>
      <c r="AT69" s="6">
        <v>7</v>
      </c>
      <c r="AU69" s="6">
        <v>6</v>
      </c>
      <c r="AV69" s="6">
        <v>2</v>
      </c>
      <c r="AW69" s="6" t="str">
        <f t="shared" si="47"/>
        <v/>
      </c>
      <c r="AY69" s="48">
        <f t="shared" si="48"/>
        <v>602</v>
      </c>
      <c r="AZ69" s="48">
        <f t="shared" si="49"/>
        <v>206</v>
      </c>
    </row>
    <row r="70" spans="2:52" x14ac:dyDescent="0.25">
      <c r="B70" s="6">
        <v>4</v>
      </c>
      <c r="C70" s="6" t="str">
        <f t="shared" si="46"/>
        <v>H</v>
      </c>
      <c r="D70" s="46" t="s">
        <v>5</v>
      </c>
      <c r="E70" s="90" t="str">
        <f t="shared" si="45"/>
        <v>A</v>
      </c>
      <c r="F70" s="90"/>
      <c r="G70" s="90"/>
      <c r="H70" s="90"/>
      <c r="J70" s="90" t="str">
        <f>IF(V70="","",VLOOKUP(V70,Configuratie!$B$2:$E$11,3,FALSE))</f>
        <v/>
      </c>
      <c r="K70" s="90"/>
      <c r="L70" s="6" t="s">
        <v>5</v>
      </c>
      <c r="M70" s="90" t="str">
        <f>IF(V70="","",VLOOKUP(V70,Configuratie!$B$2:$E$11,4,FALSE))</f>
        <v/>
      </c>
      <c r="N70" s="90"/>
      <c r="R70" s="6" t="str">
        <f>IF(T70="","",VLOOKUP(T70,Configuratie!$B$2:$E$11,2,FALSE))</f>
        <v/>
      </c>
      <c r="S70" s="61"/>
      <c r="T70" s="61"/>
      <c r="V70" s="5"/>
      <c r="AT70" s="6">
        <v>7</v>
      </c>
      <c r="AU70" s="6">
        <v>7</v>
      </c>
      <c r="AV70" s="6">
        <v>1</v>
      </c>
      <c r="AW70" s="6" t="str">
        <f t="shared" si="47"/>
        <v/>
      </c>
      <c r="AY70" s="48">
        <f t="shared" si="48"/>
        <v>701</v>
      </c>
      <c r="AZ70" s="48">
        <f t="shared" si="49"/>
        <v>107</v>
      </c>
    </row>
    <row r="71" spans="2:52" x14ac:dyDescent="0.25">
      <c r="B71" s="6">
        <v>5</v>
      </c>
      <c r="C71" s="6" t="str">
        <f t="shared" si="46"/>
        <v>I</v>
      </c>
      <c r="D71" s="46" t="s">
        <v>5</v>
      </c>
      <c r="E71" s="90" t="str">
        <f t="shared" si="45"/>
        <v>L</v>
      </c>
      <c r="F71" s="90"/>
      <c r="G71" s="90"/>
      <c r="H71" s="90"/>
      <c r="J71" s="90" t="str">
        <f>IF(V71="","",VLOOKUP(V71,Configuratie!$B$2:$E$11,3,FALSE))</f>
        <v/>
      </c>
      <c r="K71" s="90"/>
      <c r="L71" s="6" t="s">
        <v>5</v>
      </c>
      <c r="M71" s="90" t="str">
        <f>IF(V71="","",VLOOKUP(V71,Configuratie!$B$2:$E$11,4,FALSE))</f>
        <v/>
      </c>
      <c r="N71" s="90"/>
      <c r="R71" s="6" t="str">
        <f>IF(T71="","",VLOOKUP(T71,Configuratie!$B$2:$E$11,2,FALSE))</f>
        <v/>
      </c>
      <c r="S71" s="61"/>
      <c r="T71" s="61"/>
      <c r="V71" s="5"/>
      <c r="AT71" s="6">
        <v>7</v>
      </c>
      <c r="AU71" s="6">
        <v>8</v>
      </c>
      <c r="AV71" s="6">
        <v>11</v>
      </c>
      <c r="AW71" s="6" t="str">
        <f t="shared" si="47"/>
        <v/>
      </c>
      <c r="AY71" s="48">
        <f t="shared" si="48"/>
        <v>811</v>
      </c>
      <c r="AZ71" s="48">
        <f t="shared" si="49"/>
        <v>1108</v>
      </c>
    </row>
    <row r="72" spans="2:52" x14ac:dyDescent="0.25">
      <c r="B72" s="6">
        <v>6</v>
      </c>
      <c r="C72" s="6" t="str">
        <f t="shared" si="46"/>
        <v>J</v>
      </c>
      <c r="D72" s="46" t="s">
        <v>5</v>
      </c>
      <c r="E72" s="90" t="str">
        <f>VLOOKUP(AV72,$B$4:$F$15,2,FALSE)</f>
        <v>K</v>
      </c>
      <c r="F72" s="90"/>
      <c r="G72" s="90"/>
      <c r="H72" s="90"/>
      <c r="J72" s="90" t="str">
        <f>IF(V72="","",VLOOKUP(V72,Configuratie!$B$2:$E$11,3,FALSE))</f>
        <v/>
      </c>
      <c r="K72" s="90"/>
      <c r="L72" s="6" t="s">
        <v>5</v>
      </c>
      <c r="M72" s="90" t="str">
        <f>IF(V72="","",VLOOKUP(V72,Configuratie!$B$2:$E$11,4,FALSE))</f>
        <v/>
      </c>
      <c r="N72" s="90"/>
      <c r="T72" s="61"/>
      <c r="V72" s="5"/>
      <c r="AT72" s="6">
        <v>7</v>
      </c>
      <c r="AU72" s="6">
        <v>9</v>
      </c>
      <c r="AV72" s="6">
        <v>10</v>
      </c>
      <c r="AW72" s="6" t="str">
        <f t="shared" si="47"/>
        <v/>
      </c>
      <c r="AY72" s="48">
        <f t="shared" si="48"/>
        <v>910</v>
      </c>
      <c r="AZ72" s="48">
        <f t="shared" si="49"/>
        <v>1009</v>
      </c>
    </row>
    <row r="73" spans="2:52" ht="3" customHeight="1" x14ac:dyDescent="0.25">
      <c r="B73" s="11"/>
      <c r="C73" s="11"/>
      <c r="D73" s="11"/>
      <c r="E73" s="11"/>
      <c r="F73" s="11"/>
      <c r="G73" s="11"/>
      <c r="H73" s="11"/>
      <c r="I73" s="11"/>
      <c r="J73" s="11"/>
      <c r="K73" s="11"/>
      <c r="L73" s="11"/>
      <c r="M73" s="11"/>
      <c r="N73" s="11"/>
      <c r="O73" s="11"/>
      <c r="P73" s="11"/>
      <c r="Q73" s="11"/>
      <c r="R73" s="11"/>
      <c r="S73" s="11"/>
      <c r="T73" s="11"/>
      <c r="U73" s="11"/>
      <c r="V73" s="11"/>
    </row>
    <row r="74" spans="2:52" x14ac:dyDescent="0.25">
      <c r="B74" s="45" t="s">
        <v>15</v>
      </c>
    </row>
    <row r="75" spans="2:52" x14ac:dyDescent="0.25">
      <c r="B75" s="6">
        <v>1</v>
      </c>
      <c r="C75" s="6" t="str">
        <f>VLOOKUP(AU75,$B$4:$F$15,2,FALSE)</f>
        <v>M</v>
      </c>
      <c r="D75" s="46" t="s">
        <v>5</v>
      </c>
      <c r="E75" s="90" t="str">
        <f t="shared" ref="E75:E79" si="50">VLOOKUP(AV75,$B$4:$F$15,2,FALSE)</f>
        <v>K</v>
      </c>
      <c r="F75" s="90"/>
      <c r="G75" s="90"/>
      <c r="H75" s="90"/>
      <c r="J75" s="90" t="str">
        <f>IF(V75="","",VLOOKUP(V75,Configuratie!$B$2:$E$11,3,FALSE))</f>
        <v/>
      </c>
      <c r="K75" s="90"/>
      <c r="L75" s="6" t="s">
        <v>5</v>
      </c>
      <c r="M75" s="90" t="str">
        <f>IF(V75="","",VLOOKUP(V75,Configuratie!$B$2:$E$11,4,FALSE))</f>
        <v/>
      </c>
      <c r="N75" s="90"/>
      <c r="R75" s="6" t="str">
        <f>IF(T75="","",VLOOKUP(T75,Configuratie!$B$2:$E$11,2,FALSE))</f>
        <v/>
      </c>
      <c r="S75" s="61"/>
      <c r="T75" s="61"/>
      <c r="V75" s="5"/>
      <c r="AT75" s="6">
        <v>8</v>
      </c>
      <c r="AU75" s="6">
        <v>12</v>
      </c>
      <c r="AV75" s="6">
        <v>10</v>
      </c>
      <c r="AW75" s="6" t="str">
        <f>IF(AND(ISNUMBER(J75),ISNUMBER(M75)),IF(J75+M75=1,1,0),"")</f>
        <v/>
      </c>
      <c r="AY75" s="48">
        <f>AU75*100+AV75</f>
        <v>1210</v>
      </c>
      <c r="AZ75" s="48">
        <f>AV75*100+AU75</f>
        <v>1012</v>
      </c>
    </row>
    <row r="76" spans="2:52" x14ac:dyDescent="0.25">
      <c r="B76" s="6">
        <v>2</v>
      </c>
      <c r="C76" s="6" t="str">
        <f t="shared" ref="C76:C80" si="51">VLOOKUP(AU76,$B$4:$F$15,2,FALSE)</f>
        <v>L</v>
      </c>
      <c r="D76" s="46" t="s">
        <v>5</v>
      </c>
      <c r="E76" s="90" t="str">
        <f t="shared" si="50"/>
        <v>J</v>
      </c>
      <c r="F76" s="90"/>
      <c r="G76" s="90"/>
      <c r="H76" s="90"/>
      <c r="J76" s="90" t="str">
        <f>IF(V76="","",VLOOKUP(V76,Configuratie!$B$2:$E$11,3,FALSE))</f>
        <v/>
      </c>
      <c r="K76" s="90"/>
      <c r="L76" s="6" t="s">
        <v>5</v>
      </c>
      <c r="M76" s="90" t="str">
        <f>IF(V76="","",VLOOKUP(V76,Configuratie!$B$2:$E$11,4,FALSE))</f>
        <v/>
      </c>
      <c r="N76" s="90"/>
      <c r="R76" s="6" t="str">
        <f>IF(T76="","",VLOOKUP(T76,Configuratie!$B$2:$E$11,2,FALSE))</f>
        <v/>
      </c>
      <c r="S76" s="61"/>
      <c r="T76" s="61"/>
      <c r="V76" s="5"/>
      <c r="AT76" s="6">
        <v>8</v>
      </c>
      <c r="AU76" s="6">
        <v>11</v>
      </c>
      <c r="AV76" s="6">
        <v>9</v>
      </c>
      <c r="AW76" s="6" t="str">
        <f t="shared" ref="AW76:AW80" si="52">IF(AND(ISNUMBER(J76),ISNUMBER(M76)),IF(J76+M76=1,1,0),"")</f>
        <v/>
      </c>
      <c r="AY76" s="48">
        <f t="shared" ref="AY76:AY80" si="53">AU76*100+AV76</f>
        <v>1109</v>
      </c>
      <c r="AZ76" s="48">
        <f t="shared" ref="AZ76:AZ80" si="54">AV76*100+AU76</f>
        <v>911</v>
      </c>
    </row>
    <row r="77" spans="2:52" x14ac:dyDescent="0.25">
      <c r="B77" s="6">
        <v>3</v>
      </c>
      <c r="C77" s="6" t="str">
        <f t="shared" si="51"/>
        <v>A</v>
      </c>
      <c r="D77" s="46" t="s">
        <v>5</v>
      </c>
      <c r="E77" s="90" t="str">
        <f t="shared" si="50"/>
        <v>I</v>
      </c>
      <c r="F77" s="90"/>
      <c r="G77" s="90"/>
      <c r="H77" s="90"/>
      <c r="J77" s="90" t="str">
        <f>IF(V77="","",VLOOKUP(V77,Configuratie!$B$2:$E$11,3,FALSE))</f>
        <v/>
      </c>
      <c r="K77" s="90"/>
      <c r="L77" s="6" t="s">
        <v>5</v>
      </c>
      <c r="M77" s="90" t="str">
        <f>IF(V77="","",VLOOKUP(V77,Configuratie!$B$2:$E$11,4,FALSE))</f>
        <v/>
      </c>
      <c r="N77" s="90"/>
      <c r="R77" s="6" t="str">
        <f>IF(T77="","",VLOOKUP(T77,Configuratie!$B$2:$E$11,2,FALSE))</f>
        <v/>
      </c>
      <c r="S77" s="61"/>
      <c r="T77" s="61"/>
      <c r="V77" s="5"/>
      <c r="AT77" s="6">
        <v>8</v>
      </c>
      <c r="AU77" s="6">
        <v>1</v>
      </c>
      <c r="AV77" s="6">
        <v>8</v>
      </c>
      <c r="AW77" s="6" t="str">
        <f t="shared" si="52"/>
        <v/>
      </c>
      <c r="AY77" s="48">
        <f t="shared" si="53"/>
        <v>108</v>
      </c>
      <c r="AZ77" s="48">
        <f t="shared" si="54"/>
        <v>801</v>
      </c>
    </row>
    <row r="78" spans="2:52" x14ac:dyDescent="0.25">
      <c r="B78" s="6">
        <v>4</v>
      </c>
      <c r="C78" s="6" t="str">
        <f t="shared" si="51"/>
        <v>B</v>
      </c>
      <c r="D78" s="46" t="s">
        <v>5</v>
      </c>
      <c r="E78" s="90" t="str">
        <f t="shared" si="50"/>
        <v>H</v>
      </c>
      <c r="F78" s="90"/>
      <c r="G78" s="90"/>
      <c r="H78" s="90"/>
      <c r="J78" s="90" t="str">
        <f>IF(V78="","",VLOOKUP(V78,Configuratie!$B$2:$E$11,3,FALSE))</f>
        <v/>
      </c>
      <c r="K78" s="90"/>
      <c r="L78" s="6" t="s">
        <v>5</v>
      </c>
      <c r="M78" s="90" t="str">
        <f>IF(V78="","",VLOOKUP(V78,Configuratie!$B$2:$E$11,4,FALSE))</f>
        <v/>
      </c>
      <c r="N78" s="90"/>
      <c r="R78" s="6" t="str">
        <f>IF(T78="","",VLOOKUP(T78,Configuratie!$B$2:$E$11,2,FALSE))</f>
        <v/>
      </c>
      <c r="S78" s="61"/>
      <c r="T78" s="61"/>
      <c r="V78" s="5"/>
      <c r="AT78" s="6">
        <v>8</v>
      </c>
      <c r="AU78" s="6">
        <v>2</v>
      </c>
      <c r="AV78" s="6">
        <v>7</v>
      </c>
      <c r="AW78" s="6" t="str">
        <f t="shared" si="52"/>
        <v/>
      </c>
      <c r="AY78" s="48">
        <f t="shared" si="53"/>
        <v>207</v>
      </c>
      <c r="AZ78" s="48">
        <f t="shared" si="54"/>
        <v>702</v>
      </c>
    </row>
    <row r="79" spans="2:52" x14ac:dyDescent="0.25">
      <c r="B79" s="6">
        <v>5</v>
      </c>
      <c r="C79" s="6" t="str">
        <f t="shared" si="51"/>
        <v>C</v>
      </c>
      <c r="D79" s="46" t="s">
        <v>5</v>
      </c>
      <c r="E79" s="90" t="str">
        <f t="shared" si="50"/>
        <v>G</v>
      </c>
      <c r="F79" s="90"/>
      <c r="G79" s="90"/>
      <c r="H79" s="90"/>
      <c r="J79" s="90" t="str">
        <f>IF(V79="","",VLOOKUP(V79,Configuratie!$B$2:$E$11,3,FALSE))</f>
        <v/>
      </c>
      <c r="K79" s="90"/>
      <c r="L79" s="6" t="s">
        <v>5</v>
      </c>
      <c r="M79" s="90" t="str">
        <f>IF(V79="","",VLOOKUP(V79,Configuratie!$B$2:$E$11,4,FALSE))</f>
        <v/>
      </c>
      <c r="N79" s="90"/>
      <c r="R79" s="6" t="str">
        <f>IF(T79="","",VLOOKUP(T79,Configuratie!$B$2:$E$11,2,FALSE))</f>
        <v/>
      </c>
      <c r="S79" s="61"/>
      <c r="T79" s="61"/>
      <c r="V79" s="5"/>
      <c r="AT79" s="6">
        <v>8</v>
      </c>
      <c r="AU79" s="6">
        <v>3</v>
      </c>
      <c r="AV79" s="6">
        <v>6</v>
      </c>
      <c r="AW79" s="6" t="str">
        <f t="shared" si="52"/>
        <v/>
      </c>
      <c r="AY79" s="48">
        <f t="shared" si="53"/>
        <v>306</v>
      </c>
      <c r="AZ79" s="48">
        <f t="shared" si="54"/>
        <v>603</v>
      </c>
    </row>
    <row r="80" spans="2:52" x14ac:dyDescent="0.25">
      <c r="B80" s="6">
        <v>6</v>
      </c>
      <c r="C80" s="6" t="str">
        <f t="shared" si="51"/>
        <v>D</v>
      </c>
      <c r="D80" s="46" t="s">
        <v>5</v>
      </c>
      <c r="E80" s="90" t="str">
        <f>VLOOKUP(AV80,$B$4:$F$15,2,FALSE)</f>
        <v>E</v>
      </c>
      <c r="F80" s="90"/>
      <c r="G80" s="90"/>
      <c r="H80" s="90"/>
      <c r="J80" s="90" t="str">
        <f>IF(V80="","",VLOOKUP(V80,Configuratie!$B$2:$E$11,3,FALSE))</f>
        <v/>
      </c>
      <c r="K80" s="90"/>
      <c r="L80" s="6" t="s">
        <v>5</v>
      </c>
      <c r="M80" s="90" t="str">
        <f>IF(V80="","",VLOOKUP(V80,Configuratie!$B$2:$E$11,4,FALSE))</f>
        <v/>
      </c>
      <c r="N80" s="90"/>
      <c r="T80" s="61"/>
      <c r="V80" s="5"/>
      <c r="AT80" s="6">
        <v>8</v>
      </c>
      <c r="AU80" s="6">
        <v>4</v>
      </c>
      <c r="AV80" s="6">
        <v>5</v>
      </c>
      <c r="AW80" s="6" t="str">
        <f t="shared" si="52"/>
        <v/>
      </c>
      <c r="AY80" s="48">
        <f t="shared" si="53"/>
        <v>405</v>
      </c>
      <c r="AZ80" s="48">
        <f t="shared" si="54"/>
        <v>504</v>
      </c>
    </row>
    <row r="81" spans="2:52" ht="3" customHeight="1" x14ac:dyDescent="0.25">
      <c r="B81" s="11"/>
      <c r="C81" s="11"/>
      <c r="D81" s="11"/>
      <c r="E81" s="11"/>
      <c r="F81" s="11"/>
      <c r="G81" s="11"/>
      <c r="H81" s="11"/>
      <c r="I81" s="11"/>
      <c r="J81" s="11"/>
      <c r="K81" s="11"/>
      <c r="L81" s="11"/>
      <c r="M81" s="11"/>
      <c r="N81" s="11"/>
      <c r="O81" s="11"/>
      <c r="P81" s="11"/>
      <c r="Q81" s="11"/>
      <c r="R81" s="11"/>
      <c r="S81" s="11"/>
      <c r="T81" s="11"/>
      <c r="U81" s="11"/>
      <c r="V81" s="11"/>
    </row>
    <row r="82" spans="2:52" x14ac:dyDescent="0.25">
      <c r="B82" s="45" t="s">
        <v>16</v>
      </c>
    </row>
    <row r="83" spans="2:52" x14ac:dyDescent="0.25">
      <c r="B83" s="6">
        <v>1</v>
      </c>
      <c r="C83" s="6" t="str">
        <f>VLOOKUP(AU83,$B$4:$F$15,2,FALSE)</f>
        <v>E</v>
      </c>
      <c r="D83" s="46" t="s">
        <v>5</v>
      </c>
      <c r="E83" s="90" t="str">
        <f t="shared" ref="E83:E87" si="55">VLOOKUP(AV83,$B$4:$F$15,2,FALSE)</f>
        <v>M</v>
      </c>
      <c r="F83" s="90"/>
      <c r="G83" s="90"/>
      <c r="H83" s="90"/>
      <c r="J83" s="90" t="str">
        <f>IF(V83="","",VLOOKUP(V83,Configuratie!$B$2:$E$11,3,FALSE))</f>
        <v/>
      </c>
      <c r="K83" s="90"/>
      <c r="L83" s="6" t="s">
        <v>5</v>
      </c>
      <c r="M83" s="90" t="str">
        <f>IF(V83="","",VLOOKUP(V83,Configuratie!$B$2:$E$11,4,FALSE))</f>
        <v/>
      </c>
      <c r="N83" s="90"/>
      <c r="R83" s="6" t="str">
        <f>IF(T83="","",VLOOKUP(T83,Configuratie!$B$2:$E$11,2,FALSE))</f>
        <v/>
      </c>
      <c r="S83" s="61"/>
      <c r="T83" s="61"/>
      <c r="V83" s="5"/>
      <c r="AT83" s="6">
        <v>9</v>
      </c>
      <c r="AU83" s="6">
        <v>5</v>
      </c>
      <c r="AV83" s="6">
        <v>12</v>
      </c>
      <c r="AW83" s="6" t="str">
        <f>IF(AND(ISNUMBER(J83),ISNUMBER(M83)),IF(J83+M83=1,1,0),"")</f>
        <v/>
      </c>
      <c r="AY83" s="48">
        <f>AU83*100+AV83</f>
        <v>512</v>
      </c>
      <c r="AZ83" s="48">
        <f>AV83*100+AU83</f>
        <v>1205</v>
      </c>
    </row>
    <row r="84" spans="2:52" x14ac:dyDescent="0.25">
      <c r="B84" s="6">
        <v>2</v>
      </c>
      <c r="C84" s="6" t="str">
        <f t="shared" ref="C84:C88" si="56">VLOOKUP(AU84,$B$4:$F$15,2,FALSE)</f>
        <v>G</v>
      </c>
      <c r="D84" s="46" t="s">
        <v>5</v>
      </c>
      <c r="E84" s="90" t="str">
        <f t="shared" si="55"/>
        <v>D</v>
      </c>
      <c r="F84" s="90"/>
      <c r="G84" s="90"/>
      <c r="H84" s="90"/>
      <c r="J84" s="90" t="str">
        <f>IF(V84="","",VLOOKUP(V84,Configuratie!$B$2:$E$11,3,FALSE))</f>
        <v/>
      </c>
      <c r="K84" s="90"/>
      <c r="L84" s="6" t="s">
        <v>5</v>
      </c>
      <c r="M84" s="90" t="str">
        <f>IF(V84="","",VLOOKUP(V84,Configuratie!$B$2:$E$11,4,FALSE))</f>
        <v/>
      </c>
      <c r="N84" s="90"/>
      <c r="R84" s="6" t="str">
        <f>IF(T84="","",VLOOKUP(T84,Configuratie!$B$2:$E$11,2,FALSE))</f>
        <v/>
      </c>
      <c r="S84" s="61"/>
      <c r="T84" s="61"/>
      <c r="V84" s="5"/>
      <c r="AT84" s="6">
        <v>9</v>
      </c>
      <c r="AU84" s="6">
        <v>6</v>
      </c>
      <c r="AV84" s="6">
        <v>4</v>
      </c>
      <c r="AW84" s="6" t="str">
        <f t="shared" ref="AW84:AW88" si="57">IF(AND(ISNUMBER(J84),ISNUMBER(M84)),IF(J84+M84=1,1,0),"")</f>
        <v/>
      </c>
      <c r="AY84" s="48">
        <f t="shared" ref="AY84:AY88" si="58">AU84*100+AV84</f>
        <v>604</v>
      </c>
      <c r="AZ84" s="48">
        <f t="shared" ref="AZ84:AZ88" si="59">AV84*100+AU84</f>
        <v>406</v>
      </c>
    </row>
    <row r="85" spans="2:52" x14ac:dyDescent="0.25">
      <c r="B85" s="6">
        <v>3</v>
      </c>
      <c r="C85" s="6" t="str">
        <f t="shared" si="56"/>
        <v>H</v>
      </c>
      <c r="D85" s="46" t="s">
        <v>5</v>
      </c>
      <c r="E85" s="90" t="str">
        <f t="shared" si="55"/>
        <v>C</v>
      </c>
      <c r="F85" s="90"/>
      <c r="G85" s="90"/>
      <c r="H85" s="90"/>
      <c r="J85" s="90" t="str">
        <f>IF(V85="","",VLOOKUP(V85,Configuratie!$B$2:$E$11,3,FALSE))</f>
        <v/>
      </c>
      <c r="K85" s="90"/>
      <c r="L85" s="6" t="s">
        <v>5</v>
      </c>
      <c r="M85" s="90" t="str">
        <f>IF(V85="","",VLOOKUP(V85,Configuratie!$B$2:$E$11,4,FALSE))</f>
        <v/>
      </c>
      <c r="N85" s="90"/>
      <c r="R85" s="6" t="str">
        <f>IF(T85="","",VLOOKUP(T85,Configuratie!$B$2:$E$11,2,FALSE))</f>
        <v/>
      </c>
      <c r="S85" s="61"/>
      <c r="T85" s="61"/>
      <c r="V85" s="5"/>
      <c r="AT85" s="6">
        <v>9</v>
      </c>
      <c r="AU85" s="6">
        <v>7</v>
      </c>
      <c r="AV85" s="6">
        <v>3</v>
      </c>
      <c r="AW85" s="6" t="str">
        <f t="shared" si="57"/>
        <v/>
      </c>
      <c r="AY85" s="48">
        <f t="shared" si="58"/>
        <v>703</v>
      </c>
      <c r="AZ85" s="48">
        <f t="shared" si="59"/>
        <v>307</v>
      </c>
    </row>
    <row r="86" spans="2:52" x14ac:dyDescent="0.25">
      <c r="B86" s="6">
        <v>4</v>
      </c>
      <c r="C86" s="6" t="str">
        <f t="shared" si="56"/>
        <v>I</v>
      </c>
      <c r="D86" s="46" t="s">
        <v>5</v>
      </c>
      <c r="E86" s="90" t="str">
        <f t="shared" si="55"/>
        <v>B</v>
      </c>
      <c r="F86" s="90"/>
      <c r="G86" s="90"/>
      <c r="H86" s="90"/>
      <c r="J86" s="90" t="str">
        <f>IF(V86="","",VLOOKUP(V86,Configuratie!$B$2:$E$11,3,FALSE))</f>
        <v/>
      </c>
      <c r="K86" s="90"/>
      <c r="L86" s="6" t="s">
        <v>5</v>
      </c>
      <c r="M86" s="90" t="str">
        <f>IF(V86="","",VLOOKUP(V86,Configuratie!$B$2:$E$11,4,FALSE))</f>
        <v/>
      </c>
      <c r="N86" s="90"/>
      <c r="R86" s="6" t="str">
        <f>IF(T86="","",VLOOKUP(T86,Configuratie!$B$2:$E$11,2,FALSE))</f>
        <v/>
      </c>
      <c r="S86" s="61"/>
      <c r="T86" s="61"/>
      <c r="V86" s="5"/>
      <c r="AT86" s="6">
        <v>9</v>
      </c>
      <c r="AU86" s="6">
        <v>8</v>
      </c>
      <c r="AV86" s="6">
        <v>2</v>
      </c>
      <c r="AW86" s="6" t="str">
        <f t="shared" si="57"/>
        <v/>
      </c>
      <c r="AY86" s="48">
        <f t="shared" si="58"/>
        <v>802</v>
      </c>
      <c r="AZ86" s="48">
        <f t="shared" si="59"/>
        <v>208</v>
      </c>
    </row>
    <row r="87" spans="2:52" x14ac:dyDescent="0.25">
      <c r="B87" s="6">
        <v>5</v>
      </c>
      <c r="C87" s="6" t="str">
        <f t="shared" si="56"/>
        <v>J</v>
      </c>
      <c r="D87" s="46" t="s">
        <v>5</v>
      </c>
      <c r="E87" s="90" t="str">
        <f t="shared" si="55"/>
        <v>A</v>
      </c>
      <c r="F87" s="90"/>
      <c r="G87" s="90"/>
      <c r="H87" s="90"/>
      <c r="J87" s="90" t="str">
        <f>IF(V87="","",VLOOKUP(V87,Configuratie!$B$2:$E$11,3,FALSE))</f>
        <v/>
      </c>
      <c r="K87" s="90"/>
      <c r="L87" s="6" t="s">
        <v>5</v>
      </c>
      <c r="M87" s="90" t="str">
        <f>IF(V87="","",VLOOKUP(V87,Configuratie!$B$2:$E$11,4,FALSE))</f>
        <v/>
      </c>
      <c r="N87" s="90"/>
      <c r="R87" s="6" t="str">
        <f>IF(T87="","",VLOOKUP(T87,Configuratie!$B$2:$E$11,2,FALSE))</f>
        <v/>
      </c>
      <c r="S87" s="61"/>
      <c r="T87" s="61"/>
      <c r="V87" s="5"/>
      <c r="AT87" s="6">
        <v>9</v>
      </c>
      <c r="AU87" s="6">
        <v>9</v>
      </c>
      <c r="AV87" s="6">
        <v>1</v>
      </c>
      <c r="AW87" s="6" t="str">
        <f t="shared" si="57"/>
        <v/>
      </c>
      <c r="AY87" s="48">
        <f t="shared" si="58"/>
        <v>901</v>
      </c>
      <c r="AZ87" s="48">
        <f t="shared" si="59"/>
        <v>109</v>
      </c>
    </row>
    <row r="88" spans="2:52" x14ac:dyDescent="0.25">
      <c r="B88" s="6">
        <v>6</v>
      </c>
      <c r="C88" s="6" t="str">
        <f t="shared" si="56"/>
        <v>K</v>
      </c>
      <c r="D88" s="46" t="s">
        <v>5</v>
      </c>
      <c r="E88" s="90" t="str">
        <f>VLOOKUP(AV88,$B$4:$F$15,2,FALSE)</f>
        <v>L</v>
      </c>
      <c r="F88" s="90"/>
      <c r="G88" s="90"/>
      <c r="H88" s="90"/>
      <c r="J88" s="90" t="str">
        <f>IF(V88="","",VLOOKUP(V88,Configuratie!$B$2:$E$11,3,FALSE))</f>
        <v/>
      </c>
      <c r="K88" s="90"/>
      <c r="L88" s="6" t="s">
        <v>5</v>
      </c>
      <c r="M88" s="90" t="str">
        <f>IF(V88="","",VLOOKUP(V88,Configuratie!$B$2:$E$11,4,FALSE))</f>
        <v/>
      </c>
      <c r="N88" s="90"/>
      <c r="T88" s="61"/>
      <c r="V88" s="5"/>
      <c r="AT88" s="6">
        <v>9</v>
      </c>
      <c r="AU88" s="6">
        <v>10</v>
      </c>
      <c r="AV88" s="6">
        <v>11</v>
      </c>
      <c r="AW88" s="6" t="str">
        <f t="shared" si="57"/>
        <v/>
      </c>
      <c r="AY88" s="48">
        <f t="shared" si="58"/>
        <v>1011</v>
      </c>
      <c r="AZ88" s="48">
        <f t="shared" si="59"/>
        <v>1110</v>
      </c>
    </row>
    <row r="89" spans="2:52" ht="3" customHeight="1" x14ac:dyDescent="0.25">
      <c r="B89" s="11"/>
      <c r="C89" s="11"/>
      <c r="D89" s="11"/>
      <c r="E89" s="11"/>
      <c r="F89" s="11"/>
      <c r="G89" s="11"/>
      <c r="H89" s="11"/>
      <c r="I89" s="11"/>
      <c r="J89" s="11"/>
      <c r="K89" s="11"/>
      <c r="L89" s="11"/>
      <c r="M89" s="11"/>
      <c r="N89" s="11"/>
      <c r="O89" s="11"/>
      <c r="P89" s="11"/>
      <c r="Q89" s="11"/>
      <c r="R89" s="11"/>
      <c r="S89" s="11"/>
      <c r="T89" s="11"/>
      <c r="U89" s="11"/>
      <c r="V89" s="11"/>
    </row>
    <row r="90" spans="2:52" x14ac:dyDescent="0.25">
      <c r="B90" s="45" t="s">
        <v>80</v>
      </c>
    </row>
    <row r="91" spans="2:52" x14ac:dyDescent="0.25">
      <c r="B91" s="6">
        <v>1</v>
      </c>
      <c r="C91" s="6" t="str">
        <f>VLOOKUP(AU91,$B$4:$F$15,2,FALSE)</f>
        <v>M</v>
      </c>
      <c r="D91" s="46" t="s">
        <v>5</v>
      </c>
      <c r="E91" s="90" t="str">
        <f t="shared" ref="E91:E95" si="60">VLOOKUP(AV91,$B$4:$F$15,2,FALSE)</f>
        <v>L</v>
      </c>
      <c r="F91" s="90"/>
      <c r="G91" s="90"/>
      <c r="H91" s="90"/>
      <c r="J91" s="90" t="str">
        <f>IF(V91="","",VLOOKUP(V91,Configuratie!$B$2:$E$11,3,FALSE))</f>
        <v/>
      </c>
      <c r="K91" s="90"/>
      <c r="L91" s="6" t="s">
        <v>5</v>
      </c>
      <c r="M91" s="90" t="str">
        <f>IF(V91="","",VLOOKUP(V91,Configuratie!$B$2:$E$11,4,FALSE))</f>
        <v/>
      </c>
      <c r="N91" s="90"/>
      <c r="R91" s="6" t="str">
        <f>IF(T91="","",VLOOKUP(T91,Configuratie!$B$2:$E$11,2,FALSE))</f>
        <v/>
      </c>
      <c r="S91" s="61"/>
      <c r="T91" s="61"/>
      <c r="V91" s="5"/>
      <c r="AT91" s="6">
        <v>10</v>
      </c>
      <c r="AU91" s="6">
        <v>12</v>
      </c>
      <c r="AV91" s="6">
        <v>11</v>
      </c>
      <c r="AW91" s="6" t="str">
        <f>IF(AND(ISNUMBER(J91),ISNUMBER(M91)),IF(J91+M91=1,1,0),"")</f>
        <v/>
      </c>
      <c r="AY91" s="48">
        <f>AU91*100+AV91</f>
        <v>1211</v>
      </c>
      <c r="AZ91" s="48">
        <f>AV91*100+AU91</f>
        <v>1112</v>
      </c>
    </row>
    <row r="92" spans="2:52" x14ac:dyDescent="0.25">
      <c r="B92" s="6">
        <v>2</v>
      </c>
      <c r="C92" s="6" t="str">
        <f t="shared" ref="C92:C96" si="61">VLOOKUP(AU92,$B$4:$F$15,2,FALSE)</f>
        <v>A</v>
      </c>
      <c r="D92" s="46" t="s">
        <v>5</v>
      </c>
      <c r="E92" s="90" t="str">
        <f t="shared" si="60"/>
        <v>K</v>
      </c>
      <c r="F92" s="90"/>
      <c r="G92" s="90"/>
      <c r="H92" s="90"/>
      <c r="J92" s="90" t="str">
        <f>IF(V92="","",VLOOKUP(V92,Configuratie!$B$2:$E$11,3,FALSE))</f>
        <v/>
      </c>
      <c r="K92" s="90"/>
      <c r="L92" s="6" t="s">
        <v>5</v>
      </c>
      <c r="M92" s="90" t="str">
        <f>IF(V92="","",VLOOKUP(V92,Configuratie!$B$2:$E$11,4,FALSE))</f>
        <v/>
      </c>
      <c r="N92" s="90"/>
      <c r="R92" s="6" t="str">
        <f>IF(T92="","",VLOOKUP(T92,Configuratie!$B$2:$E$11,2,FALSE))</f>
        <v/>
      </c>
      <c r="S92" s="61"/>
      <c r="T92" s="61"/>
      <c r="V92" s="5"/>
      <c r="AT92" s="6">
        <v>10</v>
      </c>
      <c r="AU92" s="6">
        <v>1</v>
      </c>
      <c r="AV92" s="6">
        <v>10</v>
      </c>
      <c r="AW92" s="6" t="str">
        <f t="shared" ref="AW92:AW96" si="62">IF(AND(ISNUMBER(J92),ISNUMBER(M92)),IF(J92+M92=1,1,0),"")</f>
        <v/>
      </c>
      <c r="AY92" s="48">
        <f t="shared" ref="AY92:AY96" si="63">AU92*100+AV92</f>
        <v>110</v>
      </c>
      <c r="AZ92" s="48">
        <f t="shared" ref="AZ92:AZ96" si="64">AV92*100+AU92</f>
        <v>1001</v>
      </c>
    </row>
    <row r="93" spans="2:52" x14ac:dyDescent="0.25">
      <c r="B93" s="6">
        <v>3</v>
      </c>
      <c r="C93" s="6" t="str">
        <f t="shared" si="61"/>
        <v>B</v>
      </c>
      <c r="D93" s="46" t="s">
        <v>5</v>
      </c>
      <c r="E93" s="90" t="str">
        <f t="shared" si="60"/>
        <v>J</v>
      </c>
      <c r="F93" s="90"/>
      <c r="G93" s="90"/>
      <c r="H93" s="90"/>
      <c r="J93" s="90" t="str">
        <f>IF(V93="","",VLOOKUP(V93,Configuratie!$B$2:$E$11,3,FALSE))</f>
        <v/>
      </c>
      <c r="K93" s="90"/>
      <c r="L93" s="6" t="s">
        <v>5</v>
      </c>
      <c r="M93" s="90" t="str">
        <f>IF(V93="","",VLOOKUP(V93,Configuratie!$B$2:$E$11,4,FALSE))</f>
        <v/>
      </c>
      <c r="N93" s="90"/>
      <c r="R93" s="6" t="str">
        <f>IF(T93="","",VLOOKUP(T93,Configuratie!$B$2:$E$11,2,FALSE))</f>
        <v/>
      </c>
      <c r="S93" s="61"/>
      <c r="T93" s="61"/>
      <c r="V93" s="5"/>
      <c r="AT93" s="6">
        <v>10</v>
      </c>
      <c r="AU93" s="6">
        <v>2</v>
      </c>
      <c r="AV93" s="6">
        <v>9</v>
      </c>
      <c r="AW93" s="6" t="str">
        <f t="shared" si="62"/>
        <v/>
      </c>
      <c r="AY93" s="48">
        <f t="shared" si="63"/>
        <v>209</v>
      </c>
      <c r="AZ93" s="48">
        <f t="shared" si="64"/>
        <v>902</v>
      </c>
    </row>
    <row r="94" spans="2:52" x14ac:dyDescent="0.25">
      <c r="B94" s="6">
        <v>4</v>
      </c>
      <c r="C94" s="6" t="str">
        <f t="shared" si="61"/>
        <v>C</v>
      </c>
      <c r="D94" s="46" t="s">
        <v>5</v>
      </c>
      <c r="E94" s="90" t="str">
        <f t="shared" si="60"/>
        <v>I</v>
      </c>
      <c r="F94" s="90"/>
      <c r="G94" s="90"/>
      <c r="H94" s="90"/>
      <c r="J94" s="90" t="str">
        <f>IF(V94="","",VLOOKUP(V94,Configuratie!$B$2:$E$11,3,FALSE))</f>
        <v/>
      </c>
      <c r="K94" s="90"/>
      <c r="L94" s="6" t="s">
        <v>5</v>
      </c>
      <c r="M94" s="90" t="str">
        <f>IF(V94="","",VLOOKUP(V94,Configuratie!$B$2:$E$11,4,FALSE))</f>
        <v/>
      </c>
      <c r="N94" s="90"/>
      <c r="R94" s="6" t="str">
        <f>IF(T94="","",VLOOKUP(T94,Configuratie!$B$2:$E$11,2,FALSE))</f>
        <v/>
      </c>
      <c r="S94" s="61"/>
      <c r="T94" s="61"/>
      <c r="V94" s="5"/>
      <c r="AT94" s="6">
        <v>10</v>
      </c>
      <c r="AU94" s="6">
        <v>3</v>
      </c>
      <c r="AV94" s="6">
        <v>8</v>
      </c>
      <c r="AW94" s="6" t="str">
        <f t="shared" si="62"/>
        <v/>
      </c>
      <c r="AY94" s="48">
        <f t="shared" si="63"/>
        <v>308</v>
      </c>
      <c r="AZ94" s="48">
        <f t="shared" si="64"/>
        <v>803</v>
      </c>
    </row>
    <row r="95" spans="2:52" x14ac:dyDescent="0.25">
      <c r="B95" s="6">
        <v>5</v>
      </c>
      <c r="C95" s="6" t="str">
        <f t="shared" si="61"/>
        <v>D</v>
      </c>
      <c r="D95" s="46" t="s">
        <v>5</v>
      </c>
      <c r="E95" s="90" t="str">
        <f t="shared" si="60"/>
        <v>H</v>
      </c>
      <c r="F95" s="90"/>
      <c r="G95" s="90"/>
      <c r="H95" s="90"/>
      <c r="J95" s="90" t="str">
        <f>IF(V95="","",VLOOKUP(V95,Configuratie!$B$2:$E$11,3,FALSE))</f>
        <v/>
      </c>
      <c r="K95" s="90"/>
      <c r="L95" s="6" t="s">
        <v>5</v>
      </c>
      <c r="M95" s="90" t="str">
        <f>IF(V95="","",VLOOKUP(V95,Configuratie!$B$2:$E$11,4,FALSE))</f>
        <v/>
      </c>
      <c r="N95" s="90"/>
      <c r="R95" s="6" t="str">
        <f>IF(T95="","",VLOOKUP(T95,Configuratie!$B$2:$E$11,2,FALSE))</f>
        <v/>
      </c>
      <c r="S95" s="61"/>
      <c r="T95" s="61"/>
      <c r="V95" s="5"/>
      <c r="AT95" s="6">
        <v>10</v>
      </c>
      <c r="AU95" s="6">
        <v>4</v>
      </c>
      <c r="AV95" s="6">
        <v>7</v>
      </c>
      <c r="AW95" s="6" t="str">
        <f t="shared" si="62"/>
        <v/>
      </c>
      <c r="AY95" s="48">
        <f t="shared" si="63"/>
        <v>407</v>
      </c>
      <c r="AZ95" s="48">
        <f t="shared" si="64"/>
        <v>704</v>
      </c>
    </row>
    <row r="96" spans="2:52" x14ac:dyDescent="0.25">
      <c r="B96" s="6">
        <v>6</v>
      </c>
      <c r="C96" s="6" t="str">
        <f t="shared" si="61"/>
        <v>E</v>
      </c>
      <c r="D96" s="46" t="s">
        <v>5</v>
      </c>
      <c r="E96" s="90" t="str">
        <f>VLOOKUP(AV96,$B$4:$F$15,2,FALSE)</f>
        <v>G</v>
      </c>
      <c r="F96" s="90"/>
      <c r="G96" s="90"/>
      <c r="H96" s="90"/>
      <c r="J96" s="90" t="str">
        <f>IF(V96="","",VLOOKUP(V96,Configuratie!$B$2:$E$11,3,FALSE))</f>
        <v/>
      </c>
      <c r="K96" s="90"/>
      <c r="L96" s="6" t="s">
        <v>5</v>
      </c>
      <c r="M96" s="90" t="str">
        <f>IF(V96="","",VLOOKUP(V96,Configuratie!$B$2:$E$11,4,FALSE))</f>
        <v/>
      </c>
      <c r="N96" s="90"/>
      <c r="T96" s="61"/>
      <c r="V96" s="5"/>
      <c r="AT96" s="6">
        <v>10</v>
      </c>
      <c r="AU96" s="6">
        <v>5</v>
      </c>
      <c r="AV96" s="6">
        <v>6</v>
      </c>
      <c r="AW96" s="6" t="str">
        <f t="shared" si="62"/>
        <v/>
      </c>
      <c r="AY96" s="48">
        <f t="shared" si="63"/>
        <v>506</v>
      </c>
      <c r="AZ96" s="48">
        <f t="shared" si="64"/>
        <v>605</v>
      </c>
    </row>
    <row r="97" spans="2:52" ht="3" customHeight="1" x14ac:dyDescent="0.25">
      <c r="B97" s="11"/>
      <c r="C97" s="11"/>
      <c r="D97" s="11"/>
      <c r="E97" s="11"/>
      <c r="F97" s="11"/>
      <c r="G97" s="11"/>
      <c r="H97" s="11"/>
      <c r="I97" s="11"/>
      <c r="J97" s="11"/>
      <c r="K97" s="11"/>
      <c r="L97" s="11"/>
      <c r="M97" s="11"/>
      <c r="N97" s="11"/>
      <c r="O97" s="11"/>
      <c r="P97" s="11"/>
      <c r="Q97" s="11"/>
      <c r="R97" s="11"/>
      <c r="S97" s="11"/>
      <c r="T97" s="11"/>
      <c r="U97" s="11"/>
      <c r="V97" s="11">
        <v>2</v>
      </c>
    </row>
    <row r="98" spans="2:52" x14ac:dyDescent="0.25">
      <c r="B98" s="45" t="s">
        <v>81</v>
      </c>
    </row>
    <row r="99" spans="2:52" x14ac:dyDescent="0.25">
      <c r="B99" s="6">
        <v>1</v>
      </c>
      <c r="C99" s="6" t="str">
        <f>VLOOKUP(AU99,$B$4:$F$15,2,FALSE)</f>
        <v>G</v>
      </c>
      <c r="D99" s="46" t="s">
        <v>5</v>
      </c>
      <c r="E99" s="90" t="str">
        <f t="shared" ref="E99:E103" si="65">VLOOKUP(AV99,$B$4:$F$15,2,FALSE)</f>
        <v>M</v>
      </c>
      <c r="F99" s="90"/>
      <c r="G99" s="90"/>
      <c r="H99" s="90"/>
      <c r="J99" s="90" t="str">
        <f>IF(V99="","",VLOOKUP(V99,Configuratie!$B$2:$E$11,3,FALSE))</f>
        <v/>
      </c>
      <c r="K99" s="90"/>
      <c r="L99" s="6" t="s">
        <v>5</v>
      </c>
      <c r="M99" s="90" t="str">
        <f>IF(V99="","",VLOOKUP(V99,Configuratie!$B$2:$E$11,4,FALSE))</f>
        <v/>
      </c>
      <c r="N99" s="90"/>
      <c r="R99" s="6" t="str">
        <f>IF(T99="","",VLOOKUP(T99,Configuratie!$B$2:$E$11,2,FALSE))</f>
        <v/>
      </c>
      <c r="S99" s="61"/>
      <c r="T99" s="61"/>
      <c r="V99" s="5"/>
      <c r="AT99" s="6">
        <v>11</v>
      </c>
      <c r="AU99" s="6">
        <v>6</v>
      </c>
      <c r="AV99" s="6">
        <v>12</v>
      </c>
      <c r="AW99" s="6" t="str">
        <f>IF(AND(ISNUMBER(J99),ISNUMBER(M99)),IF(J99+M99=1,1,0),"")</f>
        <v/>
      </c>
      <c r="AY99" s="48">
        <f>AU99*100+AV99</f>
        <v>612</v>
      </c>
      <c r="AZ99" s="48">
        <f>AV99*100+AU99</f>
        <v>1206</v>
      </c>
    </row>
    <row r="100" spans="2:52" x14ac:dyDescent="0.25">
      <c r="B100" s="6">
        <v>2</v>
      </c>
      <c r="C100" s="6" t="str">
        <f t="shared" ref="C100:C104" si="66">VLOOKUP(AU100,$B$4:$F$15,2,FALSE)</f>
        <v>H</v>
      </c>
      <c r="D100" s="46" t="s">
        <v>5</v>
      </c>
      <c r="E100" s="90" t="str">
        <f t="shared" si="65"/>
        <v>E</v>
      </c>
      <c r="F100" s="90"/>
      <c r="G100" s="90"/>
      <c r="H100" s="90"/>
      <c r="J100" s="90" t="str">
        <f>IF(V100="","",VLOOKUP(V100,Configuratie!$B$2:$E$11,3,FALSE))</f>
        <v/>
      </c>
      <c r="K100" s="90"/>
      <c r="L100" s="6" t="s">
        <v>5</v>
      </c>
      <c r="M100" s="90" t="str">
        <f>IF(V100="","",VLOOKUP(V100,Configuratie!$B$2:$E$11,4,FALSE))</f>
        <v/>
      </c>
      <c r="N100" s="90"/>
      <c r="R100" s="6" t="str">
        <f>IF(T100="","",VLOOKUP(T100,Configuratie!$B$2:$E$11,2,FALSE))</f>
        <v/>
      </c>
      <c r="S100" s="61"/>
      <c r="T100" s="61"/>
      <c r="V100" s="5"/>
      <c r="AT100" s="6">
        <v>11</v>
      </c>
      <c r="AU100" s="6">
        <v>7</v>
      </c>
      <c r="AV100" s="6">
        <v>5</v>
      </c>
      <c r="AW100" s="6" t="str">
        <f t="shared" ref="AW100:AW104" si="67">IF(AND(ISNUMBER(J100),ISNUMBER(M100)),IF(J100+M100=1,1,0),"")</f>
        <v/>
      </c>
      <c r="AY100" s="48">
        <f t="shared" ref="AY100:AY104" si="68">AU100*100+AV100</f>
        <v>705</v>
      </c>
      <c r="AZ100" s="48">
        <f t="shared" ref="AZ100:AZ104" si="69">AV100*100+AU100</f>
        <v>507</v>
      </c>
    </row>
    <row r="101" spans="2:52" x14ac:dyDescent="0.25">
      <c r="B101" s="6">
        <v>3</v>
      </c>
      <c r="C101" s="6" t="str">
        <f t="shared" si="66"/>
        <v>I</v>
      </c>
      <c r="D101" s="46" t="s">
        <v>5</v>
      </c>
      <c r="E101" s="90" t="str">
        <f t="shared" si="65"/>
        <v>D</v>
      </c>
      <c r="F101" s="90"/>
      <c r="G101" s="90"/>
      <c r="H101" s="90"/>
      <c r="J101" s="90" t="str">
        <f>IF(V101="","",VLOOKUP(V101,Configuratie!$B$2:$E$11,3,FALSE))</f>
        <v/>
      </c>
      <c r="K101" s="90"/>
      <c r="L101" s="6" t="s">
        <v>5</v>
      </c>
      <c r="M101" s="90" t="str">
        <f>IF(V101="","",VLOOKUP(V101,Configuratie!$B$2:$E$11,4,FALSE))</f>
        <v/>
      </c>
      <c r="N101" s="90"/>
      <c r="R101" s="6" t="str">
        <f>IF(T101="","",VLOOKUP(T101,Configuratie!$B$2:$E$11,2,FALSE))</f>
        <v/>
      </c>
      <c r="S101" s="61"/>
      <c r="T101" s="61"/>
      <c r="V101" s="5"/>
      <c r="AT101" s="6">
        <v>11</v>
      </c>
      <c r="AU101" s="6">
        <v>8</v>
      </c>
      <c r="AV101" s="6">
        <v>4</v>
      </c>
      <c r="AW101" s="6" t="str">
        <f t="shared" si="67"/>
        <v/>
      </c>
      <c r="AY101" s="48">
        <f t="shared" si="68"/>
        <v>804</v>
      </c>
      <c r="AZ101" s="48">
        <f t="shared" si="69"/>
        <v>408</v>
      </c>
    </row>
    <row r="102" spans="2:52" x14ac:dyDescent="0.25">
      <c r="B102" s="6">
        <v>4</v>
      </c>
      <c r="C102" s="6" t="str">
        <f t="shared" si="66"/>
        <v>J</v>
      </c>
      <c r="D102" s="46" t="s">
        <v>5</v>
      </c>
      <c r="E102" s="90" t="str">
        <f t="shared" si="65"/>
        <v>C</v>
      </c>
      <c r="F102" s="90"/>
      <c r="G102" s="90"/>
      <c r="H102" s="90"/>
      <c r="J102" s="90" t="str">
        <f>IF(V102="","",VLOOKUP(V102,Configuratie!$B$2:$E$11,3,FALSE))</f>
        <v/>
      </c>
      <c r="K102" s="90"/>
      <c r="L102" s="6" t="s">
        <v>5</v>
      </c>
      <c r="M102" s="90" t="str">
        <f>IF(V102="","",VLOOKUP(V102,Configuratie!$B$2:$E$11,4,FALSE))</f>
        <v/>
      </c>
      <c r="N102" s="90"/>
      <c r="R102" s="6" t="str">
        <f>IF(T102="","",VLOOKUP(T102,Configuratie!$B$2:$E$11,2,FALSE))</f>
        <v/>
      </c>
      <c r="S102" s="61"/>
      <c r="T102" s="61"/>
      <c r="V102" s="5"/>
      <c r="AT102" s="6">
        <v>11</v>
      </c>
      <c r="AU102" s="6">
        <v>9</v>
      </c>
      <c r="AV102" s="6">
        <v>3</v>
      </c>
      <c r="AW102" s="6" t="str">
        <f t="shared" si="67"/>
        <v/>
      </c>
      <c r="AY102" s="48">
        <f t="shared" si="68"/>
        <v>903</v>
      </c>
      <c r="AZ102" s="48">
        <f t="shared" si="69"/>
        <v>309</v>
      </c>
    </row>
    <row r="103" spans="2:52" x14ac:dyDescent="0.25">
      <c r="B103" s="6">
        <v>5</v>
      </c>
      <c r="C103" s="6" t="str">
        <f t="shared" si="66"/>
        <v>K</v>
      </c>
      <c r="D103" s="46" t="s">
        <v>5</v>
      </c>
      <c r="E103" s="90" t="str">
        <f t="shared" si="65"/>
        <v>B</v>
      </c>
      <c r="F103" s="90"/>
      <c r="G103" s="90"/>
      <c r="H103" s="90"/>
      <c r="J103" s="90" t="str">
        <f>IF(V103="","",VLOOKUP(V103,Configuratie!$B$2:$E$11,3,FALSE))</f>
        <v/>
      </c>
      <c r="K103" s="90"/>
      <c r="L103" s="6" t="s">
        <v>5</v>
      </c>
      <c r="M103" s="90" t="str">
        <f>IF(V103="","",VLOOKUP(V103,Configuratie!$B$2:$E$11,4,FALSE))</f>
        <v/>
      </c>
      <c r="N103" s="90"/>
      <c r="R103" s="6" t="str">
        <f>IF(T103="","",VLOOKUP(T103,Configuratie!$B$2:$E$11,2,FALSE))</f>
        <v/>
      </c>
      <c r="S103" s="61"/>
      <c r="T103" s="61"/>
      <c r="V103" s="5"/>
      <c r="AT103" s="6">
        <v>11</v>
      </c>
      <c r="AU103" s="6">
        <v>10</v>
      </c>
      <c r="AV103" s="6">
        <v>2</v>
      </c>
      <c r="AW103" s="6" t="str">
        <f t="shared" si="67"/>
        <v/>
      </c>
      <c r="AY103" s="48">
        <f t="shared" si="68"/>
        <v>1002</v>
      </c>
      <c r="AZ103" s="48">
        <f t="shared" si="69"/>
        <v>210</v>
      </c>
    </row>
    <row r="104" spans="2:52" x14ac:dyDescent="0.25">
      <c r="B104" s="6">
        <v>6</v>
      </c>
      <c r="C104" s="6" t="str">
        <f t="shared" si="66"/>
        <v>L</v>
      </c>
      <c r="D104" s="46" t="s">
        <v>5</v>
      </c>
      <c r="E104" s="90" t="str">
        <f>VLOOKUP(AV104,$B$4:$F$15,2,FALSE)</f>
        <v>A</v>
      </c>
      <c r="F104" s="90"/>
      <c r="G104" s="90"/>
      <c r="H104" s="90"/>
      <c r="J104" s="90" t="str">
        <f>IF(V104="","",VLOOKUP(V104,Configuratie!$B$2:$E$11,3,FALSE))</f>
        <v/>
      </c>
      <c r="K104" s="90"/>
      <c r="L104" s="6" t="s">
        <v>5</v>
      </c>
      <c r="M104" s="90" t="str">
        <f>IF(V104="","",VLOOKUP(V104,Configuratie!$B$2:$E$11,4,FALSE))</f>
        <v/>
      </c>
      <c r="N104" s="90"/>
      <c r="T104" s="61"/>
      <c r="V104" s="5"/>
      <c r="AT104" s="6">
        <v>11</v>
      </c>
      <c r="AU104" s="6">
        <v>11</v>
      </c>
      <c r="AV104" s="6">
        <v>1</v>
      </c>
      <c r="AW104" s="6" t="str">
        <f t="shared" si="67"/>
        <v/>
      </c>
      <c r="AY104" s="48">
        <f t="shared" si="68"/>
        <v>1101</v>
      </c>
      <c r="AZ104" s="48">
        <f t="shared" si="69"/>
        <v>111</v>
      </c>
    </row>
    <row r="106" spans="2:52" ht="26.25" x14ac:dyDescent="0.4">
      <c r="B106" s="91" t="str">
        <f>"UITSLAG "&amp; G68</f>
        <v xml:space="preserve">UITSLAG </v>
      </c>
      <c r="C106" s="92"/>
      <c r="D106" s="92"/>
      <c r="E106" s="92"/>
      <c r="F106" s="92"/>
      <c r="G106" s="92"/>
    </row>
    <row r="108" spans="2:52" x14ac:dyDescent="0.25">
      <c r="B108" s="7" t="s">
        <v>33</v>
      </c>
      <c r="C108" s="107" t="s">
        <v>6</v>
      </c>
      <c r="D108" s="108"/>
      <c r="E108" s="108"/>
      <c r="F108" s="109"/>
      <c r="G108" s="7" t="s">
        <v>29</v>
      </c>
      <c r="H108" s="7" t="s">
        <v>26</v>
      </c>
    </row>
    <row r="109" spans="2:52" x14ac:dyDescent="0.25">
      <c r="B109" s="31">
        <v>1</v>
      </c>
      <c r="C109" s="101" t="str">
        <f t="shared" ref="C109:C120" si="70">IF(ISNA(VLOOKUP(B109,$A$4:$V$15,3,FALSE)),"",VLOOKUP(B109,$A$4:$V$15,3,FALSE))</f>
        <v>A</v>
      </c>
      <c r="D109" s="102"/>
      <c r="E109" s="102"/>
      <c r="F109" s="103"/>
      <c r="G109" s="34">
        <f t="shared" ref="G109:G120" si="71">IF(ISNA(VLOOKUP(B109,$A$4:$V$15,20,FALSE)),"",VLOOKUP(B109,$A$4:$V$15,20,FALSE))</f>
        <v>0</v>
      </c>
      <c r="H109" s="34">
        <f t="shared" ref="H109:H120" si="72">IF(ISNA(VLOOKUP(B109,$A$4:$V$15,21,FALSE)),"",VLOOKUP(B109,$A$4:$V$15,21,FALSE))</f>
        <v>0</v>
      </c>
    </row>
    <row r="110" spans="2:52" x14ac:dyDescent="0.25">
      <c r="B110" s="31">
        <v>2</v>
      </c>
      <c r="C110" s="101" t="str">
        <f t="shared" si="70"/>
        <v/>
      </c>
      <c r="D110" s="102"/>
      <c r="E110" s="102"/>
      <c r="F110" s="103"/>
      <c r="G110" s="34" t="str">
        <f t="shared" si="71"/>
        <v/>
      </c>
      <c r="H110" s="34" t="str">
        <f t="shared" si="72"/>
        <v/>
      </c>
    </row>
    <row r="111" spans="2:52" x14ac:dyDescent="0.25">
      <c r="B111" s="31">
        <v>3</v>
      </c>
      <c r="C111" s="101" t="str">
        <f t="shared" si="70"/>
        <v/>
      </c>
      <c r="D111" s="102"/>
      <c r="E111" s="102"/>
      <c r="F111" s="103"/>
      <c r="G111" s="34" t="str">
        <f t="shared" si="71"/>
        <v/>
      </c>
      <c r="H111" s="34" t="str">
        <f t="shared" si="72"/>
        <v/>
      </c>
    </row>
    <row r="112" spans="2:52" x14ac:dyDescent="0.25">
      <c r="B112" s="31">
        <v>4</v>
      </c>
      <c r="C112" s="101" t="str">
        <f t="shared" si="70"/>
        <v/>
      </c>
      <c r="D112" s="102"/>
      <c r="E112" s="102"/>
      <c r="F112" s="103"/>
      <c r="G112" s="34" t="str">
        <f t="shared" si="71"/>
        <v/>
      </c>
      <c r="H112" s="34" t="str">
        <f t="shared" si="72"/>
        <v/>
      </c>
    </row>
    <row r="113" spans="2:8" x14ac:dyDescent="0.25">
      <c r="B113" s="31">
        <v>5</v>
      </c>
      <c r="C113" s="101" t="str">
        <f t="shared" si="70"/>
        <v/>
      </c>
      <c r="D113" s="102"/>
      <c r="E113" s="102"/>
      <c r="F113" s="103"/>
      <c r="G113" s="34" t="str">
        <f t="shared" si="71"/>
        <v/>
      </c>
      <c r="H113" s="34" t="str">
        <f t="shared" si="72"/>
        <v/>
      </c>
    </row>
    <row r="114" spans="2:8" x14ac:dyDescent="0.25">
      <c r="B114" s="31">
        <v>6</v>
      </c>
      <c r="C114" s="101" t="str">
        <f t="shared" si="70"/>
        <v/>
      </c>
      <c r="D114" s="102"/>
      <c r="E114" s="102"/>
      <c r="F114" s="103"/>
      <c r="G114" s="34" t="str">
        <f t="shared" si="71"/>
        <v/>
      </c>
      <c r="H114" s="34" t="str">
        <f t="shared" si="72"/>
        <v/>
      </c>
    </row>
    <row r="115" spans="2:8" x14ac:dyDescent="0.25">
      <c r="B115" s="31">
        <v>7</v>
      </c>
      <c r="C115" s="101" t="str">
        <f t="shared" si="70"/>
        <v/>
      </c>
      <c r="D115" s="102"/>
      <c r="E115" s="102"/>
      <c r="F115" s="103"/>
      <c r="G115" s="34" t="str">
        <f t="shared" si="71"/>
        <v/>
      </c>
      <c r="H115" s="34" t="str">
        <f t="shared" si="72"/>
        <v/>
      </c>
    </row>
    <row r="116" spans="2:8" x14ac:dyDescent="0.25">
      <c r="B116" s="31">
        <v>8</v>
      </c>
      <c r="C116" s="101" t="str">
        <f t="shared" si="70"/>
        <v/>
      </c>
      <c r="D116" s="102"/>
      <c r="E116" s="102"/>
      <c r="F116" s="103"/>
      <c r="G116" s="34" t="str">
        <f t="shared" si="71"/>
        <v/>
      </c>
      <c r="H116" s="34" t="str">
        <f t="shared" si="72"/>
        <v/>
      </c>
    </row>
    <row r="117" spans="2:8" x14ac:dyDescent="0.25">
      <c r="B117" s="31">
        <v>9</v>
      </c>
      <c r="C117" s="101" t="str">
        <f t="shared" si="70"/>
        <v/>
      </c>
      <c r="D117" s="102"/>
      <c r="E117" s="102"/>
      <c r="F117" s="103"/>
      <c r="G117" s="34" t="str">
        <f t="shared" si="71"/>
        <v/>
      </c>
      <c r="H117" s="34" t="str">
        <f t="shared" si="72"/>
        <v/>
      </c>
    </row>
    <row r="118" spans="2:8" x14ac:dyDescent="0.25">
      <c r="B118" s="31">
        <v>10</v>
      </c>
      <c r="C118" s="101" t="str">
        <f t="shared" si="70"/>
        <v/>
      </c>
      <c r="D118" s="102"/>
      <c r="E118" s="102"/>
      <c r="F118" s="103"/>
      <c r="G118" s="34" t="str">
        <f t="shared" si="71"/>
        <v/>
      </c>
      <c r="H118" s="34" t="str">
        <f t="shared" si="72"/>
        <v/>
      </c>
    </row>
    <row r="119" spans="2:8" x14ac:dyDescent="0.25">
      <c r="B119" s="31">
        <v>11</v>
      </c>
      <c r="C119" s="101" t="str">
        <f t="shared" si="70"/>
        <v/>
      </c>
      <c r="D119" s="102"/>
      <c r="E119" s="102"/>
      <c r="F119" s="103"/>
      <c r="G119" s="34" t="str">
        <f t="shared" si="71"/>
        <v/>
      </c>
      <c r="H119" s="34" t="str">
        <f t="shared" si="72"/>
        <v/>
      </c>
    </row>
    <row r="120" spans="2:8" x14ac:dyDescent="0.25">
      <c r="B120" s="31">
        <v>12</v>
      </c>
      <c r="C120" s="104" t="str">
        <f t="shared" si="70"/>
        <v/>
      </c>
      <c r="D120" s="105"/>
      <c r="E120" s="105"/>
      <c r="F120" s="106"/>
      <c r="G120" s="34" t="str">
        <f t="shared" si="71"/>
        <v/>
      </c>
      <c r="H120" s="34" t="str">
        <f t="shared" si="72"/>
        <v/>
      </c>
    </row>
  </sheetData>
  <sheetProtection algorithmName="SHA-512" hashValue="y3s0hrRpouF3JLaI3LNB9fJNdx7gPstGiLFv/nX91uh8kBsFHOGmPu6LxLF9nCcxYACXOFFB9gwlybGlr446gA==" saltValue="PI4UqP3ppaTSm8gwjEGQtA==" spinCount="100000" sheet="1" selectLockedCells="1"/>
  <mergeCells count="227">
    <mergeCell ref="C118:F118"/>
    <mergeCell ref="C119:F119"/>
    <mergeCell ref="C120:F120"/>
    <mergeCell ref="C113:F113"/>
    <mergeCell ref="C114:F114"/>
    <mergeCell ref="C115:F115"/>
    <mergeCell ref="C116:F116"/>
    <mergeCell ref="C117:F117"/>
    <mergeCell ref="C108:F108"/>
    <mergeCell ref="C109:F109"/>
    <mergeCell ref="C110:F110"/>
    <mergeCell ref="C111:F111"/>
    <mergeCell ref="C112:F112"/>
    <mergeCell ref="J104:K104"/>
    <mergeCell ref="M104:N104"/>
    <mergeCell ref="B106:G106"/>
    <mergeCell ref="E103:H103"/>
    <mergeCell ref="J103:K103"/>
    <mergeCell ref="M103:N103"/>
    <mergeCell ref="E104:H104"/>
    <mergeCell ref="J24:K24"/>
    <mergeCell ref="M24:N24"/>
    <mergeCell ref="J32:K32"/>
    <mergeCell ref="M32:N32"/>
    <mergeCell ref="J40:K40"/>
    <mergeCell ref="M40:N40"/>
    <mergeCell ref="J48:K48"/>
    <mergeCell ref="M48:N48"/>
    <mergeCell ref="J56:K56"/>
    <mergeCell ref="M56:N56"/>
    <mergeCell ref="J64:K64"/>
    <mergeCell ref="M64:N64"/>
    <mergeCell ref="E101:H101"/>
    <mergeCell ref="J101:K101"/>
    <mergeCell ref="M101:N101"/>
    <mergeCell ref="E102:H102"/>
    <mergeCell ref="J102:K102"/>
    <mergeCell ref="M102:N102"/>
    <mergeCell ref="E96:H96"/>
    <mergeCell ref="E99:H99"/>
    <mergeCell ref="J99:K99"/>
    <mergeCell ref="M99:N99"/>
    <mergeCell ref="E100:H100"/>
    <mergeCell ref="J100:K100"/>
    <mergeCell ref="M100:N100"/>
    <mergeCell ref="J96:K96"/>
    <mergeCell ref="M96:N96"/>
    <mergeCell ref="E94:H94"/>
    <mergeCell ref="J94:K94"/>
    <mergeCell ref="M94:N94"/>
    <mergeCell ref="E95:H95"/>
    <mergeCell ref="J95:K95"/>
    <mergeCell ref="M95:N95"/>
    <mergeCell ref="E92:H92"/>
    <mergeCell ref="J92:K92"/>
    <mergeCell ref="M92:N92"/>
    <mergeCell ref="E93:H93"/>
    <mergeCell ref="J93:K93"/>
    <mergeCell ref="M93:N93"/>
    <mergeCell ref="E87:H87"/>
    <mergeCell ref="J87:K87"/>
    <mergeCell ref="M87:N87"/>
    <mergeCell ref="E88:H88"/>
    <mergeCell ref="E91:H91"/>
    <mergeCell ref="J91:K91"/>
    <mergeCell ref="M91:N91"/>
    <mergeCell ref="J88:K88"/>
    <mergeCell ref="M88:N88"/>
    <mergeCell ref="E85:H85"/>
    <mergeCell ref="J85:K85"/>
    <mergeCell ref="M85:N85"/>
    <mergeCell ref="E86:H86"/>
    <mergeCell ref="J86:K86"/>
    <mergeCell ref="M86:N86"/>
    <mergeCell ref="E80:H80"/>
    <mergeCell ref="E83:H83"/>
    <mergeCell ref="J83:K83"/>
    <mergeCell ref="M83:N83"/>
    <mergeCell ref="E84:H84"/>
    <mergeCell ref="J84:K84"/>
    <mergeCell ref="M84:N84"/>
    <mergeCell ref="J80:K80"/>
    <mergeCell ref="M80:N80"/>
    <mergeCell ref="E78:H78"/>
    <mergeCell ref="J78:K78"/>
    <mergeCell ref="M78:N78"/>
    <mergeCell ref="E79:H79"/>
    <mergeCell ref="J79:K79"/>
    <mergeCell ref="M79:N79"/>
    <mergeCell ref="E76:H76"/>
    <mergeCell ref="J76:K76"/>
    <mergeCell ref="M76:N76"/>
    <mergeCell ref="E77:H77"/>
    <mergeCell ref="J77:K77"/>
    <mergeCell ref="M77:N77"/>
    <mergeCell ref="E71:H71"/>
    <mergeCell ref="J71:K71"/>
    <mergeCell ref="M71:N71"/>
    <mergeCell ref="E72:H72"/>
    <mergeCell ref="E75:H75"/>
    <mergeCell ref="J75:K75"/>
    <mergeCell ref="M75:N75"/>
    <mergeCell ref="J72:K72"/>
    <mergeCell ref="M72:N72"/>
    <mergeCell ref="E69:H69"/>
    <mergeCell ref="J69:K69"/>
    <mergeCell ref="M69:N69"/>
    <mergeCell ref="E70:H70"/>
    <mergeCell ref="J70:K70"/>
    <mergeCell ref="M70:N70"/>
    <mergeCell ref="E64:H64"/>
    <mergeCell ref="E67:H67"/>
    <mergeCell ref="J67:K67"/>
    <mergeCell ref="M67:N67"/>
    <mergeCell ref="E68:H68"/>
    <mergeCell ref="J68:K68"/>
    <mergeCell ref="M68:N68"/>
    <mergeCell ref="E62:H62"/>
    <mergeCell ref="J62:K62"/>
    <mergeCell ref="M62:N62"/>
    <mergeCell ref="E63:H63"/>
    <mergeCell ref="J63:K63"/>
    <mergeCell ref="M63:N63"/>
    <mergeCell ref="E60:H60"/>
    <mergeCell ref="J60:K60"/>
    <mergeCell ref="M60:N60"/>
    <mergeCell ref="E61:H61"/>
    <mergeCell ref="J61:K61"/>
    <mergeCell ref="M61:N61"/>
    <mergeCell ref="E55:H55"/>
    <mergeCell ref="J55:K55"/>
    <mergeCell ref="M55:N55"/>
    <mergeCell ref="E56:H56"/>
    <mergeCell ref="E59:H59"/>
    <mergeCell ref="J59:K59"/>
    <mergeCell ref="M59:N59"/>
    <mergeCell ref="E53:H53"/>
    <mergeCell ref="J53:K53"/>
    <mergeCell ref="M53:N53"/>
    <mergeCell ref="E54:H54"/>
    <mergeCell ref="J54:K54"/>
    <mergeCell ref="M54:N54"/>
    <mergeCell ref="E48:H48"/>
    <mergeCell ref="E51:H51"/>
    <mergeCell ref="J51:K51"/>
    <mergeCell ref="M51:N51"/>
    <mergeCell ref="E52:H52"/>
    <mergeCell ref="J52:K52"/>
    <mergeCell ref="M52:N52"/>
    <mergeCell ref="E46:H46"/>
    <mergeCell ref="J46:K46"/>
    <mergeCell ref="M46:N46"/>
    <mergeCell ref="E47:H47"/>
    <mergeCell ref="J47:K47"/>
    <mergeCell ref="M47:N47"/>
    <mergeCell ref="E44:H44"/>
    <mergeCell ref="J44:K44"/>
    <mergeCell ref="M44:N44"/>
    <mergeCell ref="E45:H45"/>
    <mergeCell ref="J45:K45"/>
    <mergeCell ref="M45:N45"/>
    <mergeCell ref="E39:H39"/>
    <mergeCell ref="J39:K39"/>
    <mergeCell ref="M39:N39"/>
    <mergeCell ref="E40:H40"/>
    <mergeCell ref="E43:H43"/>
    <mergeCell ref="J43:K43"/>
    <mergeCell ref="M43:N43"/>
    <mergeCell ref="E37:H37"/>
    <mergeCell ref="J37:K37"/>
    <mergeCell ref="M37:N37"/>
    <mergeCell ref="E38:H38"/>
    <mergeCell ref="J38:K38"/>
    <mergeCell ref="M38:N38"/>
    <mergeCell ref="E32:H32"/>
    <mergeCell ref="E35:H35"/>
    <mergeCell ref="J35:K35"/>
    <mergeCell ref="M35:N35"/>
    <mergeCell ref="E36:H36"/>
    <mergeCell ref="J36:K36"/>
    <mergeCell ref="M36:N36"/>
    <mergeCell ref="E30:H30"/>
    <mergeCell ref="J30:K30"/>
    <mergeCell ref="M30:N30"/>
    <mergeCell ref="E31:H31"/>
    <mergeCell ref="J31:K31"/>
    <mergeCell ref="M31:N31"/>
    <mergeCell ref="E28:H28"/>
    <mergeCell ref="J28:K28"/>
    <mergeCell ref="M28:N28"/>
    <mergeCell ref="E29:H29"/>
    <mergeCell ref="J29:K29"/>
    <mergeCell ref="M29:N29"/>
    <mergeCell ref="E23:H23"/>
    <mergeCell ref="J23:K23"/>
    <mergeCell ref="M23:N23"/>
    <mergeCell ref="E24:H24"/>
    <mergeCell ref="E27:H27"/>
    <mergeCell ref="J27:K27"/>
    <mergeCell ref="M27:N27"/>
    <mergeCell ref="E21:H21"/>
    <mergeCell ref="J21:K21"/>
    <mergeCell ref="M21:N21"/>
    <mergeCell ref="E22:H22"/>
    <mergeCell ref="J22:K22"/>
    <mergeCell ref="M22:N22"/>
    <mergeCell ref="D15:E15"/>
    <mergeCell ref="E19:H19"/>
    <mergeCell ref="J19:K19"/>
    <mergeCell ref="M19:N19"/>
    <mergeCell ref="E20:H20"/>
    <mergeCell ref="J20:K20"/>
    <mergeCell ref="M20:N20"/>
    <mergeCell ref="D10:E10"/>
    <mergeCell ref="D11:E11"/>
    <mergeCell ref="D12:E12"/>
    <mergeCell ref="D13:E13"/>
    <mergeCell ref="D14:E14"/>
    <mergeCell ref="D5:E5"/>
    <mergeCell ref="D6:E6"/>
    <mergeCell ref="D7:E7"/>
    <mergeCell ref="D8:E8"/>
    <mergeCell ref="D9:E9"/>
    <mergeCell ref="D3:E3"/>
    <mergeCell ref="D4:E4"/>
    <mergeCell ref="M1:T1"/>
    <mergeCell ref="B1:L1"/>
  </mergeCells>
  <conditionalFormatting sqref="H4">
    <cfRule type="cellIs" dxfId="34" priority="29" stopIfTrue="1" operator="between">
      <formula>0</formula>
      <formula>1</formula>
    </cfRule>
  </conditionalFormatting>
  <conditionalFormatting sqref="I4:S4 I15:R15 J5:S5 I6 K6:S6 I7:J7 L7:S7 I8:K8 I9:L9 I10:M10 O10:S10 I11:N11 P11:S11 I12:O12 Q12:S12 I13:P13 R13:S13 I14:Q14 S14 M8:S8 N9:S9">
    <cfRule type="cellIs" dxfId="33" priority="13" stopIfTrue="1" operator="between">
      <formula>0</formula>
      <formula>1</formula>
    </cfRule>
  </conditionalFormatting>
  <conditionalFormatting sqref="I5">
    <cfRule type="cellIs" dxfId="32" priority="12" stopIfTrue="1" operator="between">
      <formula>0</formula>
      <formula>1</formula>
    </cfRule>
  </conditionalFormatting>
  <conditionalFormatting sqref="J6">
    <cfRule type="cellIs" dxfId="31" priority="11" stopIfTrue="1" operator="between">
      <formula>0</formula>
      <formula>1</formula>
    </cfRule>
  </conditionalFormatting>
  <conditionalFormatting sqref="K7">
    <cfRule type="cellIs" dxfId="30" priority="10" stopIfTrue="1" operator="between">
      <formula>0</formula>
      <formula>1</formula>
    </cfRule>
  </conditionalFormatting>
  <conditionalFormatting sqref="L8">
    <cfRule type="cellIs" dxfId="29" priority="9" stopIfTrue="1" operator="between">
      <formula>0</formula>
      <formula>1</formula>
    </cfRule>
  </conditionalFormatting>
  <conditionalFormatting sqref="M9">
    <cfRule type="cellIs" dxfId="28" priority="8" stopIfTrue="1" operator="between">
      <formula>0</formula>
      <formula>1</formula>
    </cfRule>
  </conditionalFormatting>
  <conditionalFormatting sqref="N10">
    <cfRule type="cellIs" dxfId="27" priority="7" stopIfTrue="1" operator="between">
      <formula>0</formula>
      <formula>1</formula>
    </cfRule>
  </conditionalFormatting>
  <conditionalFormatting sqref="O11">
    <cfRule type="cellIs" dxfId="26" priority="6" stopIfTrue="1" operator="between">
      <formula>0</formula>
      <formula>1</formula>
    </cfRule>
  </conditionalFormatting>
  <conditionalFormatting sqref="P12">
    <cfRule type="cellIs" dxfId="25" priority="5" stopIfTrue="1" operator="between">
      <formula>0</formula>
      <formula>1</formula>
    </cfRule>
  </conditionalFormatting>
  <conditionalFormatting sqref="V4:V15">
    <cfRule type="cellIs" dxfId="24" priority="14" operator="equal">
      <formula>3</formula>
    </cfRule>
    <cfRule type="cellIs" dxfId="23" priority="15" operator="equal">
      <formula>2</formula>
    </cfRule>
    <cfRule type="cellIs" dxfId="22" priority="16" operator="equal">
      <formula>1</formula>
    </cfRule>
  </conditionalFormatting>
  <conditionalFormatting sqref="Q13">
    <cfRule type="cellIs" dxfId="21" priority="4" stopIfTrue="1" operator="between">
      <formula>0</formula>
      <formula>1</formula>
    </cfRule>
  </conditionalFormatting>
  <conditionalFormatting sqref="R14">
    <cfRule type="cellIs" dxfId="20" priority="3" stopIfTrue="1" operator="between">
      <formula>0</formula>
      <formula>1</formula>
    </cfRule>
  </conditionalFormatting>
  <conditionalFormatting sqref="S15">
    <cfRule type="cellIs" dxfId="19" priority="2" stopIfTrue="1" operator="between">
      <formula>0</formula>
      <formula>1</formula>
    </cfRule>
  </conditionalFormatting>
  <conditionalFormatting sqref="H5:H15">
    <cfRule type="cellIs" dxfId="18" priority="1" stopIfTrue="1" operator="between">
      <formula>0</formula>
      <formula>1</formula>
    </cfRule>
  </conditionalFormatting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Blad1">
    <pageSetUpPr fitToPage="1"/>
  </sheetPr>
  <dimension ref="A1:BV92"/>
  <sheetViews>
    <sheetView tabSelected="1" view="pageBreakPreview" zoomScale="55" zoomScaleNormal="100" zoomScaleSheetLayoutView="55" workbookViewId="0">
      <selection activeCell="T18" sqref="T18"/>
    </sheetView>
  </sheetViews>
  <sheetFormatPr defaultRowHeight="15" x14ac:dyDescent="0.25"/>
  <cols>
    <col min="1" max="1" width="3" style="6" bestFit="1" customWidth="1"/>
    <col min="2" max="2" width="3.7109375" style="6" customWidth="1"/>
    <col min="3" max="3" width="27.7109375" style="6" customWidth="1"/>
    <col min="4" max="4" width="3.7109375" style="6" customWidth="1"/>
    <col min="5" max="5" width="6.7109375" style="6" customWidth="1"/>
    <col min="6" max="6" width="9.7109375" style="6" customWidth="1"/>
    <col min="7" max="7" width="6.7109375" style="6" customWidth="1"/>
    <col min="8" max="8" width="3.7109375" style="6" customWidth="1"/>
    <col min="9" max="9" width="5.7109375" style="6" customWidth="1"/>
    <col min="10" max="17" width="3.7109375" style="6" customWidth="1"/>
    <col min="18" max="18" width="10.5703125" style="6" customWidth="1"/>
    <col min="19" max="19" width="7.5703125" style="6" customWidth="1"/>
    <col min="20" max="20" width="7.42578125" style="6" customWidth="1"/>
    <col min="21" max="21" width="3.7109375" style="6" customWidth="1"/>
    <col min="22" max="22" width="6.7109375" style="6" hidden="1" customWidth="1"/>
    <col min="23" max="23" width="3" style="6" hidden="1" customWidth="1"/>
    <col min="24" max="24" width="27.7109375" style="6" hidden="1" customWidth="1"/>
    <col min="25" max="30" width="6.7109375" style="6" hidden="1" customWidth="1"/>
    <col min="31" max="31" width="8.5703125" style="6" hidden="1" customWidth="1"/>
    <col min="32" max="32" width="6.7109375" style="6" hidden="1" customWidth="1"/>
    <col min="33" max="33" width="8.5703125" style="6" hidden="1" customWidth="1"/>
    <col min="34" max="34" width="6.7109375" style="6" hidden="1" customWidth="1"/>
    <col min="35" max="35" width="8.5703125" style="6" hidden="1" customWidth="1"/>
    <col min="36" max="36" width="6.7109375" style="6" hidden="1" customWidth="1"/>
    <col min="37" max="37" width="3.28515625" style="6" hidden="1" customWidth="1"/>
    <col min="38" max="38" width="8.5703125" style="6" hidden="1" customWidth="1"/>
    <col min="39" max="46" width="6.7109375" style="6" hidden="1" customWidth="1"/>
    <col min="47" max="50" width="9.140625" style="6" hidden="1" customWidth="1"/>
    <col min="51" max="52" width="4.42578125" style="6" hidden="1" customWidth="1"/>
    <col min="53" max="54" width="3.7109375" style="6" hidden="1" customWidth="1"/>
    <col min="55" max="56" width="10.5703125" style="6" hidden="1" customWidth="1"/>
    <col min="57" max="71" width="3.7109375" style="6" hidden="1" customWidth="1"/>
    <col min="72" max="74" width="9.140625" style="6" hidden="1" customWidth="1"/>
    <col min="75" max="16384" width="9.140625" style="6"/>
  </cols>
  <sheetData>
    <row r="1" spans="1:71" ht="26.25" x14ac:dyDescent="0.4">
      <c r="A1" s="24">
        <v>10</v>
      </c>
      <c r="B1" s="98" t="s">
        <v>31</v>
      </c>
      <c r="C1" s="98"/>
      <c r="D1" s="98"/>
      <c r="E1" s="98"/>
      <c r="F1" s="98"/>
      <c r="G1" s="82" t="s">
        <v>32</v>
      </c>
      <c r="H1" s="82"/>
      <c r="I1" s="82"/>
      <c r="J1" s="82"/>
      <c r="K1" s="82"/>
      <c r="L1" s="82"/>
      <c r="M1" s="82"/>
      <c r="N1" s="82"/>
      <c r="O1" s="82"/>
      <c r="P1" s="82"/>
      <c r="Q1" s="82"/>
      <c r="R1" s="82"/>
      <c r="T1" s="86" t="str">
        <f>"versie " &amp; Configuratie!B1</f>
        <v>versie 0.3.0</v>
      </c>
      <c r="U1" s="15"/>
      <c r="AB1" s="15"/>
      <c r="AC1" s="15"/>
      <c r="AD1" s="15"/>
      <c r="AE1" s="15"/>
      <c r="AF1" s="15"/>
      <c r="AG1" s="15"/>
      <c r="AH1" s="15"/>
      <c r="AI1" s="15"/>
      <c r="AJ1" s="15"/>
      <c r="AK1" s="15"/>
      <c r="AL1" s="15"/>
      <c r="AM1" s="15"/>
      <c r="AN1" s="15"/>
      <c r="AO1" s="15"/>
      <c r="AP1" s="15"/>
      <c r="AQ1" s="15"/>
      <c r="AR1" s="15"/>
      <c r="AS1" s="15"/>
      <c r="AT1" s="15"/>
    </row>
    <row r="2" spans="1:71" x14ac:dyDescent="0.25">
      <c r="AU2" s="16" t="s">
        <v>27</v>
      </c>
      <c r="AV2" s="16" t="s">
        <v>26</v>
      </c>
      <c r="AW2" s="16" t="s">
        <v>28</v>
      </c>
      <c r="AZ2" s="92" t="s">
        <v>22</v>
      </c>
      <c r="BA2" s="92"/>
      <c r="BB2" s="92"/>
      <c r="BC2" s="92"/>
      <c r="BD2" s="92"/>
      <c r="BE2" s="92"/>
      <c r="BF2" s="92"/>
      <c r="BG2" s="92"/>
      <c r="BH2" s="92"/>
      <c r="BI2" s="17"/>
      <c r="BJ2" s="18"/>
      <c r="BK2" s="92" t="s">
        <v>23</v>
      </c>
      <c r="BL2" s="92"/>
      <c r="BM2" s="92"/>
      <c r="BN2" s="92"/>
      <c r="BO2" s="92"/>
      <c r="BP2" s="92"/>
      <c r="BQ2" s="92"/>
      <c r="BR2" s="92"/>
      <c r="BS2" s="92"/>
    </row>
    <row r="3" spans="1:71" x14ac:dyDescent="0.25">
      <c r="B3" s="19" t="s">
        <v>4</v>
      </c>
      <c r="C3" s="19" t="s">
        <v>6</v>
      </c>
      <c r="D3" s="93" t="s">
        <v>7</v>
      </c>
      <c r="E3" s="93"/>
      <c r="F3" s="19" t="s">
        <v>8</v>
      </c>
      <c r="H3" s="7">
        <v>1</v>
      </c>
      <c r="I3" s="7">
        <v>2</v>
      </c>
      <c r="J3" s="7">
        <v>3</v>
      </c>
      <c r="K3" s="7">
        <v>4</v>
      </c>
      <c r="L3" s="7">
        <v>5</v>
      </c>
      <c r="M3" s="7">
        <v>6</v>
      </c>
      <c r="N3" s="7">
        <v>7</v>
      </c>
      <c r="O3" s="7">
        <v>8</v>
      </c>
      <c r="P3" s="7">
        <v>9</v>
      </c>
      <c r="Q3" s="7">
        <v>10</v>
      </c>
      <c r="R3" s="7" t="s">
        <v>17</v>
      </c>
      <c r="S3" s="7" t="s">
        <v>26</v>
      </c>
      <c r="T3" s="7" t="s">
        <v>69</v>
      </c>
      <c r="U3" s="21"/>
      <c r="AB3" s="7" t="s">
        <v>34</v>
      </c>
      <c r="AC3" s="7" t="s">
        <v>35</v>
      </c>
      <c r="AD3" s="13"/>
      <c r="AE3" s="7" t="s">
        <v>60</v>
      </c>
      <c r="AF3" s="7" t="s">
        <v>61</v>
      </c>
      <c r="AG3" s="7" t="s">
        <v>62</v>
      </c>
      <c r="AH3" s="7" t="s">
        <v>63</v>
      </c>
      <c r="AI3" s="7" t="s">
        <v>64</v>
      </c>
      <c r="AJ3" s="7" t="s">
        <v>65</v>
      </c>
      <c r="AK3" s="7"/>
      <c r="AL3" s="7" t="s">
        <v>66</v>
      </c>
      <c r="AM3" s="7" t="s">
        <v>67</v>
      </c>
      <c r="AN3" s="7" t="s">
        <v>68</v>
      </c>
      <c r="AO3" s="7" t="s">
        <v>69</v>
      </c>
      <c r="AP3" s="13"/>
      <c r="AQ3" s="13"/>
      <c r="AR3" s="13"/>
      <c r="AS3" s="21"/>
      <c r="AT3" s="7" t="s">
        <v>36</v>
      </c>
      <c r="AU3" s="23" t="s">
        <v>25</v>
      </c>
      <c r="AV3" s="16" t="s">
        <v>25</v>
      </c>
      <c r="AW3" s="16" t="s">
        <v>25</v>
      </c>
      <c r="AY3" s="6" t="s">
        <v>30</v>
      </c>
      <c r="AZ3" s="18">
        <v>1</v>
      </c>
      <c r="BA3" s="18">
        <v>2</v>
      </c>
      <c r="BB3" s="18">
        <v>3</v>
      </c>
      <c r="BC3" s="18">
        <v>4</v>
      </c>
      <c r="BD3" s="18">
        <v>5</v>
      </c>
      <c r="BE3" s="18">
        <v>6</v>
      </c>
      <c r="BF3" s="18">
        <v>7</v>
      </c>
      <c r="BG3" s="18">
        <v>8</v>
      </c>
      <c r="BH3" s="18">
        <v>9</v>
      </c>
      <c r="BI3" s="18"/>
      <c r="BJ3" s="6" t="s">
        <v>30</v>
      </c>
      <c r="BK3" s="18">
        <v>1</v>
      </c>
      <c r="BL3" s="18">
        <v>2</v>
      </c>
      <c r="BM3" s="18">
        <v>3</v>
      </c>
      <c r="BN3" s="18">
        <v>4</v>
      </c>
      <c r="BO3" s="18">
        <v>5</v>
      </c>
      <c r="BP3" s="18">
        <v>6</v>
      </c>
      <c r="BQ3" s="18">
        <v>7</v>
      </c>
      <c r="BR3" s="18">
        <v>8</v>
      </c>
      <c r="BS3" s="18">
        <v>9</v>
      </c>
    </row>
    <row r="4" spans="1:71" x14ac:dyDescent="0.25">
      <c r="A4" s="51">
        <f>T4</f>
        <v>1</v>
      </c>
      <c r="B4" s="25">
        <v>1</v>
      </c>
      <c r="C4" s="25" t="s">
        <v>40</v>
      </c>
      <c r="D4" s="94"/>
      <c r="E4" s="95"/>
      <c r="F4" s="25">
        <v>1000</v>
      </c>
      <c r="H4" s="26" t="str">
        <f>IF((SUMIF($AY$15:$AY$78,$B4*100+H$3,$AW$15:$AW$78)+SUMIF($AY$15:$AY$78,$B4+H$3*100,$AW$15:$AW$78))=1,(SUMIF($AY$15:$AY$78,$B4*100+H$3,$J$15:$J$78)+SUMIF($AZ$15:$AZ$78,$B4*100+H$3,$M$15:$M$78)),"")</f>
        <v/>
      </c>
      <c r="I4" s="27" t="str">
        <f>IF((SUMIF($AY$15:$AY$78,$B4*100+I$3,$AW$15:$AW$78)+SUMIF($AY$15:$AY$78,$B4+I$3*100,$AW$15:$AW$78))=1,(SUMIF($AY$15:$AY$78,$B4*100+I$3,$J$15:$J$78)+SUMIF($AZ$15:$AZ$78,$B4*100+I$3,$M$15:$M$78)),"")</f>
        <v/>
      </c>
      <c r="J4" s="27" t="str">
        <f t="shared" ref="H4:Q13" si="0">IF((SUMIF($AY$15:$AY$78,$B4*100+J$3,$AW$15:$AW$78)+SUMIF($AY$15:$AY$78,$B4+J$3*100,$AW$15:$AW$78))=1,(SUMIF($AY$15:$AY$78,$B4*100+J$3,$J$15:$J$78)+SUMIF($AZ$15:$AZ$78,$B4*100+J$3,$M$15:$M$78)),"")</f>
        <v/>
      </c>
      <c r="K4" s="27" t="str">
        <f t="shared" si="0"/>
        <v/>
      </c>
      <c r="L4" s="27" t="str">
        <f t="shared" si="0"/>
        <v/>
      </c>
      <c r="M4" s="27" t="str">
        <f t="shared" si="0"/>
        <v/>
      </c>
      <c r="N4" s="27" t="str">
        <f t="shared" si="0"/>
        <v/>
      </c>
      <c r="O4" s="27" t="str">
        <f t="shared" si="0"/>
        <v/>
      </c>
      <c r="P4" s="27" t="str">
        <f t="shared" si="0"/>
        <v/>
      </c>
      <c r="Q4" s="27" t="str">
        <f t="shared" si="0"/>
        <v/>
      </c>
      <c r="R4" s="8">
        <f>SUM(H4:Q4)</f>
        <v>0</v>
      </c>
      <c r="S4" s="8">
        <f>IF(H4="",0,H4)*$R$4+IF(I4="",0,I4)*$R$5+IF(J4="",0,J4)*$R$6+IF(K4="",0,K4)*$R$7+IF(L4="",0,L4)*$R$8+IF(M4="",0,M4)*$R$9+IF(N4="",0,N4)*$R$10+IF(O4="",0,O4)*$R$11+IF(P4="",0,P4)*R12+IF(Q4="",0,Q4)*R13</f>
        <v>0</v>
      </c>
      <c r="T4" s="59">
        <f>AO4</f>
        <v>1</v>
      </c>
      <c r="U4" s="30"/>
      <c r="AB4" s="34">
        <f t="shared" ref="AB4:AB13" si="1">VLOOKUP($E83,$AT$4:$AW$13,4,FALSE)</f>
        <v>0</v>
      </c>
      <c r="AC4" s="35">
        <f t="shared" ref="AC4:AC13" si="2">VLOOKUP($E83,$B$4:$R$13,5,FALSE)</f>
        <v>1000</v>
      </c>
      <c r="AD4" s="56"/>
      <c r="AE4" s="12">
        <f>IF(R4=$R$4,IF(H4="",0,H4))+IF(R4=$R$5,IF(I4="",0,I4))+IF(R4=$R$6,IF(J4="",0,J4))+IF(R4=$R$7,IF(K4="",0,K4))+IF(R4=$R$8,IF(L4="",0,L4))+IF(R4=$R$9,IF(M4="",0,M4))+IF(R4=$R$10,IF(N4="",0,N4))+IF(R4=$R$11,IF(O4="",0,O4))+IF(R4=$R$12,IF(P4="",0,P4))+IF(R4=$R$13,IF(Q4="",0,Q4))</f>
        <v>0</v>
      </c>
      <c r="AF4" s="12">
        <f>$AE$15*R4+AE4</f>
        <v>0</v>
      </c>
      <c r="AG4" s="12">
        <f>IF(AF4=$AF$4,IF(H4="",0,H4))+IF(AF4=$AF$5,IF(I4="",0,I4))+IF(AF4=$AF$6,IF(J4="",0,J4))+IF(AF4=$AF$7,IF(K4="",0,K4))+IF(AF4=$AF$8,IF(L4="",0,L4))+IF(AF4=$AF$9,IF(M4="",0,M4))+IF(AF4=$AF$10,IF(N4="",0,N4))+IF(AF4=$AF$11,IF(O4="",0,O4))+IF(AF4=$AF$12,IF(P4="",0,P4))+IF(AF4=$AF$13,IF(Q4="",0,Q4))</f>
        <v>0</v>
      </c>
      <c r="AH4" s="12">
        <f>$AG$15*AF4+AG4</f>
        <v>0</v>
      </c>
      <c r="AI4" s="12">
        <f>IF(AH4=$AF$4,IF(H4="",0,H4))+IF(AH4=$AF$5,IF(I4="",0,I4))+IF(AH4=$AF$6,IF(J4="",0,J4))+IF(AH4=$AF$7,IF(K4="",0,K4))+IF(AH4=$AF$8,IF(L4="",0,L4))+IF(AH4=$AF$9,IF(M4="",0,M4))+IF(AH4=$AF$10,IF(N4="",0,N4))+IF(AH4=$AF$11,IF(O4="",0,O4))+IF(AH4=$AF$12,IF(P4="",0,P4))+IF(AH4=$AF$13,IF(Q4="",0,Q4))</f>
        <v>0</v>
      </c>
      <c r="AJ4" s="12">
        <f>$AG$15*AH4+AI4</f>
        <v>0</v>
      </c>
      <c r="AK4" s="12"/>
      <c r="AL4" s="12">
        <f>RANK(AJ4,$AJ$4:$AJ$13,1)-1</f>
        <v>0</v>
      </c>
      <c r="AM4" s="12">
        <f>RANK(S4,$S$4:$S$13,1)-1</f>
        <v>0</v>
      </c>
      <c r="AN4" s="12">
        <f>10*AL4+AM4</f>
        <v>0</v>
      </c>
      <c r="AO4" s="12">
        <f>RANK(AN4,$AN$4:$AN$13)</f>
        <v>1</v>
      </c>
      <c r="AP4" s="56"/>
      <c r="AQ4" s="56"/>
      <c r="AR4" s="56"/>
      <c r="AS4" s="30"/>
      <c r="AT4" s="37">
        <v>1</v>
      </c>
      <c r="AU4" s="38">
        <f t="shared" ref="AU4:AU13" si="3">SUMIF($AU$15:$AU$78,B4,$BA$15:$BA$78)+SUMIF($AV$15:$AV$78,B4,$BB$15:$BB$78)</f>
        <v>0</v>
      </c>
      <c r="AV4" s="39" t="e">
        <f t="shared" ref="AV4:AV13" si="4">SUMIF($AU$15:$AU$78,B4,$BC$15:$BC$78)+SUMIF($AV$15:$AV$78,B4,$BD$15:$BD$78)</f>
        <v>#VALUE!</v>
      </c>
      <c r="AW4" s="39">
        <f>SUM(BK4:BS4)</f>
        <v>0</v>
      </c>
      <c r="AY4" s="6">
        <v>1</v>
      </c>
      <c r="AZ4" s="6">
        <f t="shared" ref="AZ4:BH13" si="5" xml:space="preserve"> SUMIFS( $J$18:$J$78, $AU$18:$AU$78,$AY4, $AT$18:$AT$78,AZ$3) + SUMIFS( $M$18:$M$78, $AV$18:$AV$78,$AY4, $AT$18:$AT$78,AZ$3)</f>
        <v>0</v>
      </c>
      <c r="BA4" s="6">
        <f t="shared" si="5"/>
        <v>0</v>
      </c>
      <c r="BB4" s="6">
        <f t="shared" si="5"/>
        <v>0</v>
      </c>
      <c r="BC4" s="6">
        <f t="shared" si="5"/>
        <v>0</v>
      </c>
      <c r="BD4" s="6">
        <f t="shared" si="5"/>
        <v>0</v>
      </c>
      <c r="BE4" s="6">
        <f t="shared" si="5"/>
        <v>0</v>
      </c>
      <c r="BF4" s="6">
        <f t="shared" si="5"/>
        <v>0</v>
      </c>
      <c r="BG4" s="6">
        <f t="shared" si="5"/>
        <v>0</v>
      </c>
      <c r="BH4" s="6">
        <f t="shared" si="5"/>
        <v>0</v>
      </c>
      <c r="BJ4" s="6">
        <v>1</v>
      </c>
      <c r="BK4" s="6">
        <f>AZ4</f>
        <v>0</v>
      </c>
      <c r="BL4" s="6">
        <f t="shared" ref="BL4:BL13" si="6">BK4+BA4</f>
        <v>0</v>
      </c>
      <c r="BM4" s="6">
        <f t="shared" ref="BM4:BM13" si="7">BL4+BB4</f>
        <v>0</v>
      </c>
      <c r="BN4" s="6">
        <f t="shared" ref="BN4:BN13" si="8">BM4+BC4</f>
        <v>0</v>
      </c>
      <c r="BO4" s="6">
        <f t="shared" ref="BO4:BO13" si="9">BN4+BD4</f>
        <v>0</v>
      </c>
      <c r="BP4" s="6">
        <f t="shared" ref="BP4:BP13" si="10">BO4+BE4</f>
        <v>0</v>
      </c>
      <c r="BQ4" s="6">
        <f t="shared" ref="BQ4:BQ13" si="11">BP4+BF4</f>
        <v>0</v>
      </c>
      <c r="BR4" s="6">
        <f t="shared" ref="BR4:BR13" si="12">BQ4+BG4</f>
        <v>0</v>
      </c>
      <c r="BS4" s="6">
        <f t="shared" ref="BS4:BS13" si="13">BR4+BH4</f>
        <v>0</v>
      </c>
    </row>
    <row r="5" spans="1:71" x14ac:dyDescent="0.25">
      <c r="A5" s="51">
        <f t="shared" ref="A5:A13" si="14">T5</f>
        <v>1</v>
      </c>
      <c r="B5" s="25">
        <v>2</v>
      </c>
      <c r="C5" s="25" t="s">
        <v>41</v>
      </c>
      <c r="D5" s="94"/>
      <c r="E5" s="95"/>
      <c r="F5" s="25">
        <v>1000</v>
      </c>
      <c r="H5" s="27" t="str">
        <f t="shared" si="0"/>
        <v/>
      </c>
      <c r="I5" s="26" t="str">
        <f t="shared" si="0"/>
        <v/>
      </c>
      <c r="J5" s="27" t="str">
        <f t="shared" si="0"/>
        <v/>
      </c>
      <c r="K5" s="27" t="str">
        <f t="shared" si="0"/>
        <v/>
      </c>
      <c r="L5" s="27" t="str">
        <f t="shared" si="0"/>
        <v/>
      </c>
      <c r="M5" s="27" t="str">
        <f t="shared" si="0"/>
        <v/>
      </c>
      <c r="N5" s="27" t="str">
        <f t="shared" si="0"/>
        <v/>
      </c>
      <c r="O5" s="27" t="str">
        <f t="shared" si="0"/>
        <v/>
      </c>
      <c r="P5" s="27" t="str">
        <f t="shared" si="0"/>
        <v/>
      </c>
      <c r="Q5" s="27" t="str">
        <f t="shared" si="0"/>
        <v/>
      </c>
      <c r="R5" s="8">
        <f t="shared" ref="R5:R13" si="15">SUM(H5:Q5)</f>
        <v>0</v>
      </c>
      <c r="S5" s="8">
        <f t="shared" ref="S5:S8" si="16">IF(H5="",0,H5)*$R$4+IF(I5="",0,I5)*$R$5+IF(J5="",0,J5)*$R$6+IF(K5="",0,K5)*$R$7+IF(L5="",0,L5)*$R$8+IF(M5="",0,M5)*$R$9+IF(N5="",0,N5)*$R$10+IF(O5="",0,O5)*$R$11+IF(P5="",0,P5)*R13+IF(Q5="",0,Q5)*R14</f>
        <v>0</v>
      </c>
      <c r="T5" s="59">
        <f t="shared" ref="T5:T13" si="17">AO5</f>
        <v>1</v>
      </c>
      <c r="U5" s="30"/>
      <c r="AB5" s="34">
        <f t="shared" si="1"/>
        <v>0</v>
      </c>
      <c r="AC5" s="35">
        <f t="shared" si="2"/>
        <v>1000</v>
      </c>
      <c r="AD5" s="56"/>
      <c r="AE5" s="12">
        <f t="shared" ref="AE5:AE13" si="18">IF(R5=$R$4,IF(H5="",0,H5))+IF(R5=$R$5,IF(I5="",0,I5))+IF(R5=$R$6,IF(J5="",0,J5))+IF(R5=$R$7,IF(K5="",0,K5))+IF(R5=$R$8,IF(L5="",0,L5))+IF(R5=$R$9,IF(M5="",0,M5))+IF(R5=$R$10,IF(N5="",0,N5))+IF(R5=$R$11,IF(O5="",0,O5))+IF(R5=$R$12,IF(P5="",0,P5))+IF(R5=$R$13,IF(Q5="",0,Q5))</f>
        <v>0</v>
      </c>
      <c r="AF5" s="12">
        <f t="shared" ref="AF5:AF13" si="19">$AE$15*R5+AE5</f>
        <v>0</v>
      </c>
      <c r="AG5" s="12">
        <f t="shared" ref="AG5:AG13" si="20">IF(AF5=$AF$4,IF(H5="",0,H5))+IF(AF5=$AF$5,IF(I5="",0,I5))+IF(AF5=$AF$6,IF(J5="",0,J5))+IF(AF5=$AF$7,IF(K5="",0,K5))+IF(AF5=$AF$8,IF(L5="",0,L5))+IF(AF5=$AF$9,IF(M5="",0,M5))+IF(AF5=$AF$10,IF(N5="",0,N5))+IF(AF5=$AF$11,IF(O5="",0,O5))+IF(AF5=$AF$12,IF(P5="",0,P5))+IF(AF5=$AF$13,IF(Q5="",0,Q5))</f>
        <v>0</v>
      </c>
      <c r="AH5" s="12">
        <f t="shared" ref="AH5:AH13" si="21">$AG$15*AF5+AG5</f>
        <v>0</v>
      </c>
      <c r="AI5" s="12">
        <f t="shared" ref="AI5:AI13" si="22">IF(AH5=$AF$4,IF(H5="",0,H5))+IF(AH5=$AF$5,IF(I5="",0,I5))+IF(AH5=$AF$6,IF(J5="",0,J5))+IF(AH5=$AF$7,IF(K5="",0,K5))+IF(AH5=$AF$8,IF(L5="",0,L5))+IF(AH5=$AF$9,IF(M5="",0,M5))+IF(AH5=$AF$10,IF(N5="",0,N5))+IF(AH5=$AF$11,IF(O5="",0,O5))+IF(AH5=$AF$12,IF(P5="",0,P5))+IF(AH5=$AF$13,IF(Q5="",0,Q5))</f>
        <v>0</v>
      </c>
      <c r="AJ5" s="12">
        <f t="shared" ref="AJ5:AJ13" si="23">$AG$15*AH5+AI5</f>
        <v>0</v>
      </c>
      <c r="AK5" s="12"/>
      <c r="AL5" s="12">
        <f t="shared" ref="AL5:AL13" si="24">RANK(AJ5,$AJ$4:$AJ$13,1)-1</f>
        <v>0</v>
      </c>
      <c r="AM5" s="12">
        <f t="shared" ref="AM5:AM13" si="25">RANK(S5,$S$4:$S$13,1)-1</f>
        <v>0</v>
      </c>
      <c r="AN5" s="12">
        <f t="shared" ref="AN5:AN13" si="26">10*AL5+AM5</f>
        <v>0</v>
      </c>
      <c r="AO5" s="12">
        <f t="shared" ref="AO5:AO14" si="27">RANK(AN5,$AN$4:$AN$13)</f>
        <v>1</v>
      </c>
      <c r="AP5" s="56"/>
      <c r="AQ5" s="56"/>
      <c r="AR5" s="56"/>
      <c r="AS5" s="30"/>
      <c r="AT5" s="37">
        <v>2</v>
      </c>
      <c r="AU5" s="38">
        <f t="shared" si="3"/>
        <v>0</v>
      </c>
      <c r="AV5" s="39" t="e">
        <f t="shared" si="4"/>
        <v>#VALUE!</v>
      </c>
      <c r="AW5" s="39">
        <f t="shared" ref="AW5:AW13" si="28">SUM(BK5:BS5)</f>
        <v>0</v>
      </c>
      <c r="AY5" s="6">
        <v>2</v>
      </c>
      <c r="AZ5" s="6">
        <f t="shared" si="5"/>
        <v>0</v>
      </c>
      <c r="BA5" s="6">
        <f t="shared" si="5"/>
        <v>0</v>
      </c>
      <c r="BB5" s="6">
        <f t="shared" si="5"/>
        <v>0</v>
      </c>
      <c r="BC5" s="6">
        <f t="shared" si="5"/>
        <v>0</v>
      </c>
      <c r="BD5" s="6">
        <f t="shared" si="5"/>
        <v>0</v>
      </c>
      <c r="BE5" s="6">
        <f t="shared" si="5"/>
        <v>0</v>
      </c>
      <c r="BF5" s="6">
        <f t="shared" si="5"/>
        <v>0</v>
      </c>
      <c r="BG5" s="6">
        <f t="shared" si="5"/>
        <v>0</v>
      </c>
      <c r="BH5" s="6">
        <f t="shared" si="5"/>
        <v>0</v>
      </c>
      <c r="BJ5" s="6">
        <v>2</v>
      </c>
      <c r="BK5" s="6">
        <f t="shared" ref="BK5:BK13" si="29">AZ5</f>
        <v>0</v>
      </c>
      <c r="BL5" s="6">
        <f t="shared" si="6"/>
        <v>0</v>
      </c>
      <c r="BM5" s="6">
        <f t="shared" si="7"/>
        <v>0</v>
      </c>
      <c r="BN5" s="6">
        <f t="shared" si="8"/>
        <v>0</v>
      </c>
      <c r="BO5" s="6">
        <f t="shared" si="9"/>
        <v>0</v>
      </c>
      <c r="BP5" s="6">
        <f t="shared" si="10"/>
        <v>0</v>
      </c>
      <c r="BQ5" s="6">
        <f t="shared" si="11"/>
        <v>0</v>
      </c>
      <c r="BR5" s="6">
        <f t="shared" si="12"/>
        <v>0</v>
      </c>
      <c r="BS5" s="6">
        <f t="shared" si="13"/>
        <v>0</v>
      </c>
    </row>
    <row r="6" spans="1:71" x14ac:dyDescent="0.25">
      <c r="A6" s="51">
        <f t="shared" si="14"/>
        <v>1</v>
      </c>
      <c r="B6" s="25">
        <v>3</v>
      </c>
      <c r="C6" s="25" t="s">
        <v>42</v>
      </c>
      <c r="D6" s="94"/>
      <c r="E6" s="95"/>
      <c r="F6" s="25">
        <v>1000</v>
      </c>
      <c r="H6" s="27" t="str">
        <f t="shared" si="0"/>
        <v/>
      </c>
      <c r="I6" s="27" t="str">
        <f t="shared" si="0"/>
        <v/>
      </c>
      <c r="J6" s="26" t="str">
        <f t="shared" si="0"/>
        <v/>
      </c>
      <c r="K6" s="27" t="str">
        <f t="shared" si="0"/>
        <v/>
      </c>
      <c r="L6" s="27" t="str">
        <f t="shared" si="0"/>
        <v/>
      </c>
      <c r="M6" s="27" t="str">
        <f t="shared" si="0"/>
        <v/>
      </c>
      <c r="N6" s="27" t="str">
        <f t="shared" si="0"/>
        <v/>
      </c>
      <c r="O6" s="27" t="str">
        <f t="shared" si="0"/>
        <v/>
      </c>
      <c r="P6" s="27" t="str">
        <f t="shared" si="0"/>
        <v/>
      </c>
      <c r="Q6" s="27" t="str">
        <f t="shared" si="0"/>
        <v/>
      </c>
      <c r="R6" s="8">
        <f t="shared" si="15"/>
        <v>0</v>
      </c>
      <c r="S6" s="8">
        <f t="shared" si="16"/>
        <v>0</v>
      </c>
      <c r="T6" s="59">
        <f t="shared" si="17"/>
        <v>1</v>
      </c>
      <c r="U6" s="30"/>
      <c r="AB6" s="34">
        <f t="shared" si="1"/>
        <v>0</v>
      </c>
      <c r="AC6" s="35">
        <f t="shared" si="2"/>
        <v>1000</v>
      </c>
      <c r="AD6" s="56"/>
      <c r="AE6" s="12">
        <f t="shared" si="18"/>
        <v>0</v>
      </c>
      <c r="AF6" s="12">
        <f t="shared" si="19"/>
        <v>0</v>
      </c>
      <c r="AG6" s="12">
        <f t="shared" si="20"/>
        <v>0</v>
      </c>
      <c r="AH6" s="12">
        <f t="shared" si="21"/>
        <v>0</v>
      </c>
      <c r="AI6" s="12">
        <f t="shared" si="22"/>
        <v>0</v>
      </c>
      <c r="AJ6" s="12">
        <f t="shared" si="23"/>
        <v>0</v>
      </c>
      <c r="AK6" s="12"/>
      <c r="AL6" s="12">
        <f t="shared" si="24"/>
        <v>0</v>
      </c>
      <c r="AM6" s="12">
        <f t="shared" si="25"/>
        <v>0</v>
      </c>
      <c r="AN6" s="12">
        <f t="shared" si="26"/>
        <v>0</v>
      </c>
      <c r="AO6" s="12">
        <f t="shared" si="27"/>
        <v>1</v>
      </c>
      <c r="AP6" s="56"/>
      <c r="AQ6" s="56"/>
      <c r="AR6" s="56"/>
      <c r="AS6" s="30"/>
      <c r="AT6" s="37">
        <v>3</v>
      </c>
      <c r="AU6" s="38">
        <f t="shared" si="3"/>
        <v>0</v>
      </c>
      <c r="AV6" s="39" t="e">
        <f t="shared" si="4"/>
        <v>#VALUE!</v>
      </c>
      <c r="AW6" s="39">
        <f t="shared" si="28"/>
        <v>0</v>
      </c>
      <c r="AY6" s="6">
        <v>3</v>
      </c>
      <c r="AZ6" s="6">
        <f t="shared" si="5"/>
        <v>0</v>
      </c>
      <c r="BA6" s="6">
        <f t="shared" si="5"/>
        <v>0</v>
      </c>
      <c r="BB6" s="6">
        <f t="shared" si="5"/>
        <v>0</v>
      </c>
      <c r="BC6" s="6">
        <f t="shared" si="5"/>
        <v>0</v>
      </c>
      <c r="BD6" s="6">
        <f t="shared" si="5"/>
        <v>0</v>
      </c>
      <c r="BE6" s="6">
        <f t="shared" si="5"/>
        <v>0</v>
      </c>
      <c r="BF6" s="6">
        <f t="shared" si="5"/>
        <v>0</v>
      </c>
      <c r="BG6" s="6">
        <f t="shared" si="5"/>
        <v>0</v>
      </c>
      <c r="BH6" s="6">
        <f t="shared" si="5"/>
        <v>0</v>
      </c>
      <c r="BJ6" s="6">
        <v>3</v>
      </c>
      <c r="BK6" s="6">
        <f t="shared" si="29"/>
        <v>0</v>
      </c>
      <c r="BL6" s="6">
        <f t="shared" si="6"/>
        <v>0</v>
      </c>
      <c r="BM6" s="6">
        <f t="shared" si="7"/>
        <v>0</v>
      </c>
      <c r="BN6" s="6">
        <f t="shared" si="8"/>
        <v>0</v>
      </c>
      <c r="BO6" s="6">
        <f t="shared" si="9"/>
        <v>0</v>
      </c>
      <c r="BP6" s="6">
        <f t="shared" si="10"/>
        <v>0</v>
      </c>
      <c r="BQ6" s="6">
        <f t="shared" si="11"/>
        <v>0</v>
      </c>
      <c r="BR6" s="6">
        <f t="shared" si="12"/>
        <v>0</v>
      </c>
      <c r="BS6" s="6">
        <f t="shared" si="13"/>
        <v>0</v>
      </c>
    </row>
    <row r="7" spans="1:71" x14ac:dyDescent="0.25">
      <c r="A7" s="51">
        <f t="shared" si="14"/>
        <v>1</v>
      </c>
      <c r="B7" s="25">
        <v>4</v>
      </c>
      <c r="C7" s="25" t="s">
        <v>43</v>
      </c>
      <c r="D7" s="94"/>
      <c r="E7" s="95"/>
      <c r="F7" s="25">
        <v>1000</v>
      </c>
      <c r="H7" s="27" t="str">
        <f t="shared" si="0"/>
        <v/>
      </c>
      <c r="I7" s="27" t="str">
        <f t="shared" si="0"/>
        <v/>
      </c>
      <c r="J7" s="27" t="str">
        <f t="shared" si="0"/>
        <v/>
      </c>
      <c r="K7" s="26" t="str">
        <f t="shared" si="0"/>
        <v/>
      </c>
      <c r="L7" s="27" t="str">
        <f t="shared" si="0"/>
        <v/>
      </c>
      <c r="M7" s="27" t="str">
        <f t="shared" si="0"/>
        <v/>
      </c>
      <c r="N7" s="27" t="str">
        <f t="shared" si="0"/>
        <v/>
      </c>
      <c r="O7" s="27" t="str">
        <f t="shared" si="0"/>
        <v/>
      </c>
      <c r="P7" s="27" t="str">
        <f t="shared" si="0"/>
        <v/>
      </c>
      <c r="Q7" s="27" t="str">
        <f t="shared" si="0"/>
        <v/>
      </c>
      <c r="R7" s="8">
        <f t="shared" si="15"/>
        <v>0</v>
      </c>
      <c r="S7" s="8">
        <f t="shared" si="16"/>
        <v>0</v>
      </c>
      <c r="T7" s="59">
        <f t="shared" si="17"/>
        <v>1</v>
      </c>
      <c r="U7" s="30"/>
      <c r="AB7" s="34">
        <f t="shared" si="1"/>
        <v>0</v>
      </c>
      <c r="AC7" s="35">
        <f t="shared" si="2"/>
        <v>1000</v>
      </c>
      <c r="AD7" s="56"/>
      <c r="AE7" s="12">
        <f t="shared" si="18"/>
        <v>0</v>
      </c>
      <c r="AF7" s="12">
        <f t="shared" si="19"/>
        <v>0</v>
      </c>
      <c r="AG7" s="12">
        <f t="shared" si="20"/>
        <v>0</v>
      </c>
      <c r="AH7" s="12">
        <f t="shared" si="21"/>
        <v>0</v>
      </c>
      <c r="AI7" s="12">
        <f t="shared" si="22"/>
        <v>0</v>
      </c>
      <c r="AJ7" s="12">
        <f t="shared" si="23"/>
        <v>0</v>
      </c>
      <c r="AK7" s="12"/>
      <c r="AL7" s="12">
        <f t="shared" si="24"/>
        <v>0</v>
      </c>
      <c r="AM7" s="12">
        <f t="shared" si="25"/>
        <v>0</v>
      </c>
      <c r="AN7" s="12">
        <f t="shared" si="26"/>
        <v>0</v>
      </c>
      <c r="AO7" s="12">
        <f t="shared" si="27"/>
        <v>1</v>
      </c>
      <c r="AP7" s="56"/>
      <c r="AQ7" s="56"/>
      <c r="AR7" s="56"/>
      <c r="AS7" s="30"/>
      <c r="AT7" s="37">
        <v>4</v>
      </c>
      <c r="AU7" s="38">
        <f t="shared" si="3"/>
        <v>0</v>
      </c>
      <c r="AV7" s="39" t="e">
        <f t="shared" si="4"/>
        <v>#VALUE!</v>
      </c>
      <c r="AW7" s="39">
        <f t="shared" si="28"/>
        <v>0</v>
      </c>
      <c r="AY7" s="6">
        <v>4</v>
      </c>
      <c r="AZ7" s="6">
        <f t="shared" si="5"/>
        <v>0</v>
      </c>
      <c r="BA7" s="6">
        <f t="shared" si="5"/>
        <v>0</v>
      </c>
      <c r="BB7" s="6">
        <f t="shared" si="5"/>
        <v>0</v>
      </c>
      <c r="BC7" s="6">
        <f t="shared" si="5"/>
        <v>0</v>
      </c>
      <c r="BD7" s="6">
        <f t="shared" si="5"/>
        <v>0</v>
      </c>
      <c r="BE7" s="6">
        <f t="shared" si="5"/>
        <v>0</v>
      </c>
      <c r="BF7" s="6">
        <f t="shared" si="5"/>
        <v>0</v>
      </c>
      <c r="BG7" s="6">
        <f t="shared" si="5"/>
        <v>0</v>
      </c>
      <c r="BH7" s="6">
        <f t="shared" si="5"/>
        <v>0</v>
      </c>
      <c r="BJ7" s="6">
        <v>4</v>
      </c>
      <c r="BK7" s="6">
        <f t="shared" si="29"/>
        <v>0</v>
      </c>
      <c r="BL7" s="6">
        <f t="shared" si="6"/>
        <v>0</v>
      </c>
      <c r="BM7" s="6">
        <f t="shared" si="7"/>
        <v>0</v>
      </c>
      <c r="BN7" s="6">
        <f t="shared" si="8"/>
        <v>0</v>
      </c>
      <c r="BO7" s="6">
        <f t="shared" si="9"/>
        <v>0</v>
      </c>
      <c r="BP7" s="6">
        <f t="shared" si="10"/>
        <v>0</v>
      </c>
      <c r="BQ7" s="6">
        <f t="shared" si="11"/>
        <v>0</v>
      </c>
      <c r="BR7" s="6">
        <f t="shared" si="12"/>
        <v>0</v>
      </c>
      <c r="BS7" s="6">
        <f t="shared" si="13"/>
        <v>0</v>
      </c>
    </row>
    <row r="8" spans="1:71" x14ac:dyDescent="0.25">
      <c r="A8" s="51">
        <f t="shared" si="14"/>
        <v>1</v>
      </c>
      <c r="B8" s="25">
        <v>5</v>
      </c>
      <c r="C8" s="25" t="s">
        <v>47</v>
      </c>
      <c r="D8" s="94"/>
      <c r="E8" s="95"/>
      <c r="F8" s="25">
        <v>1000</v>
      </c>
      <c r="H8" s="27" t="str">
        <f t="shared" si="0"/>
        <v/>
      </c>
      <c r="I8" s="27" t="str">
        <f t="shared" si="0"/>
        <v/>
      </c>
      <c r="J8" s="27" t="str">
        <f t="shared" si="0"/>
        <v/>
      </c>
      <c r="K8" s="27" t="str">
        <f t="shared" si="0"/>
        <v/>
      </c>
      <c r="L8" s="26" t="str">
        <f t="shared" si="0"/>
        <v/>
      </c>
      <c r="M8" s="27" t="str">
        <f t="shared" si="0"/>
        <v/>
      </c>
      <c r="N8" s="27" t="str">
        <f t="shared" si="0"/>
        <v/>
      </c>
      <c r="O8" s="27" t="str">
        <f t="shared" si="0"/>
        <v/>
      </c>
      <c r="P8" s="27" t="str">
        <f t="shared" si="0"/>
        <v/>
      </c>
      <c r="Q8" s="27" t="str">
        <f t="shared" si="0"/>
        <v/>
      </c>
      <c r="R8" s="8">
        <f t="shared" si="15"/>
        <v>0</v>
      </c>
      <c r="S8" s="8">
        <f t="shared" si="16"/>
        <v>0</v>
      </c>
      <c r="T8" s="59">
        <f t="shared" si="17"/>
        <v>1</v>
      </c>
      <c r="U8" s="30"/>
      <c r="AB8" s="34">
        <f t="shared" si="1"/>
        <v>0</v>
      </c>
      <c r="AC8" s="35">
        <f t="shared" si="2"/>
        <v>1000</v>
      </c>
      <c r="AD8" s="56"/>
      <c r="AE8" s="12">
        <f t="shared" si="18"/>
        <v>0</v>
      </c>
      <c r="AF8" s="12">
        <f t="shared" si="19"/>
        <v>0</v>
      </c>
      <c r="AG8" s="12">
        <f t="shared" si="20"/>
        <v>0</v>
      </c>
      <c r="AH8" s="12">
        <f t="shared" si="21"/>
        <v>0</v>
      </c>
      <c r="AI8" s="12">
        <f t="shared" si="22"/>
        <v>0</v>
      </c>
      <c r="AJ8" s="12">
        <f t="shared" si="23"/>
        <v>0</v>
      </c>
      <c r="AK8" s="12"/>
      <c r="AL8" s="12">
        <f t="shared" si="24"/>
        <v>0</v>
      </c>
      <c r="AM8" s="12">
        <f t="shared" si="25"/>
        <v>0</v>
      </c>
      <c r="AN8" s="12">
        <f t="shared" si="26"/>
        <v>0</v>
      </c>
      <c r="AO8" s="12">
        <f t="shared" si="27"/>
        <v>1</v>
      </c>
      <c r="AP8" s="56"/>
      <c r="AQ8" s="56"/>
      <c r="AR8" s="56"/>
      <c r="AS8" s="30"/>
      <c r="AT8" s="37">
        <v>5</v>
      </c>
      <c r="AU8" s="38">
        <f t="shared" si="3"/>
        <v>0</v>
      </c>
      <c r="AV8" s="39" t="e">
        <f t="shared" si="4"/>
        <v>#VALUE!</v>
      </c>
      <c r="AW8" s="39">
        <f t="shared" si="28"/>
        <v>0</v>
      </c>
      <c r="AY8" s="6">
        <v>5</v>
      </c>
      <c r="AZ8" s="6">
        <f t="shared" si="5"/>
        <v>0</v>
      </c>
      <c r="BA8" s="6">
        <f t="shared" si="5"/>
        <v>0</v>
      </c>
      <c r="BB8" s="6">
        <f t="shared" si="5"/>
        <v>0</v>
      </c>
      <c r="BC8" s="6">
        <f t="shared" si="5"/>
        <v>0</v>
      </c>
      <c r="BD8" s="6">
        <f t="shared" si="5"/>
        <v>0</v>
      </c>
      <c r="BE8" s="6">
        <f t="shared" si="5"/>
        <v>0</v>
      </c>
      <c r="BF8" s="6">
        <f t="shared" si="5"/>
        <v>0</v>
      </c>
      <c r="BG8" s="6">
        <f t="shared" si="5"/>
        <v>0</v>
      </c>
      <c r="BH8" s="6">
        <f t="shared" si="5"/>
        <v>0</v>
      </c>
      <c r="BJ8" s="6">
        <v>5</v>
      </c>
      <c r="BK8" s="6">
        <f t="shared" si="29"/>
        <v>0</v>
      </c>
      <c r="BL8" s="6">
        <f t="shared" si="6"/>
        <v>0</v>
      </c>
      <c r="BM8" s="6">
        <f t="shared" si="7"/>
        <v>0</v>
      </c>
      <c r="BN8" s="6">
        <f t="shared" si="8"/>
        <v>0</v>
      </c>
      <c r="BO8" s="6">
        <f t="shared" si="9"/>
        <v>0</v>
      </c>
      <c r="BP8" s="6">
        <f t="shared" si="10"/>
        <v>0</v>
      </c>
      <c r="BQ8" s="6">
        <f t="shared" si="11"/>
        <v>0</v>
      </c>
      <c r="BR8" s="6">
        <f t="shared" si="12"/>
        <v>0</v>
      </c>
      <c r="BS8" s="6">
        <f t="shared" si="13"/>
        <v>0</v>
      </c>
    </row>
    <row r="9" spans="1:71" x14ac:dyDescent="0.25">
      <c r="A9" s="51">
        <f t="shared" si="14"/>
        <v>1</v>
      </c>
      <c r="B9" s="25">
        <v>6</v>
      </c>
      <c r="C9" s="25" t="s">
        <v>44</v>
      </c>
      <c r="D9" s="94"/>
      <c r="E9" s="95"/>
      <c r="F9" s="25">
        <v>1000</v>
      </c>
      <c r="H9" s="27" t="str">
        <f t="shared" si="0"/>
        <v/>
      </c>
      <c r="I9" s="27" t="str">
        <f t="shared" si="0"/>
        <v/>
      </c>
      <c r="J9" s="27" t="str">
        <f t="shared" si="0"/>
        <v/>
      </c>
      <c r="K9" s="27" t="str">
        <f t="shared" si="0"/>
        <v/>
      </c>
      <c r="L9" s="27" t="str">
        <f t="shared" si="0"/>
        <v/>
      </c>
      <c r="M9" s="26" t="str">
        <f t="shared" si="0"/>
        <v/>
      </c>
      <c r="N9" s="27" t="str">
        <f t="shared" si="0"/>
        <v/>
      </c>
      <c r="O9" s="27" t="str">
        <f t="shared" si="0"/>
        <v/>
      </c>
      <c r="P9" s="27" t="str">
        <f t="shared" si="0"/>
        <v/>
      </c>
      <c r="Q9" s="27" t="str">
        <f t="shared" si="0"/>
        <v/>
      </c>
      <c r="R9" s="8">
        <f t="shared" si="15"/>
        <v>0</v>
      </c>
      <c r="S9" s="8">
        <f>IF(H9="",0,H9)*$R$4+IF(I9="",0,I9)*$R$5+IF(J9="",0,J9)*$R$6+IF(K9="",0,K9)*$R$7+IF(L9="",0,L9)*$R$8+IF(M9="",0,M9)*$R$9+IF(N9="",0,N9)*$R$10+IF(O9="",0,O9)*$R$11+IF(P9="",0,P9)*R17+IF(Q9="",0,Q9)*T18</f>
        <v>0</v>
      </c>
      <c r="T9" s="59">
        <f t="shared" si="17"/>
        <v>1</v>
      </c>
      <c r="U9" s="30"/>
      <c r="AB9" s="34">
        <f t="shared" si="1"/>
        <v>0</v>
      </c>
      <c r="AC9" s="35">
        <f t="shared" si="2"/>
        <v>1000</v>
      </c>
      <c r="AD9" s="56"/>
      <c r="AE9" s="12">
        <f t="shared" si="18"/>
        <v>0</v>
      </c>
      <c r="AF9" s="12">
        <f t="shared" si="19"/>
        <v>0</v>
      </c>
      <c r="AG9" s="12">
        <f t="shared" si="20"/>
        <v>0</v>
      </c>
      <c r="AH9" s="12">
        <f t="shared" si="21"/>
        <v>0</v>
      </c>
      <c r="AI9" s="12">
        <f t="shared" si="22"/>
        <v>0</v>
      </c>
      <c r="AJ9" s="12">
        <f t="shared" si="23"/>
        <v>0</v>
      </c>
      <c r="AK9" s="12"/>
      <c r="AL9" s="12">
        <f t="shared" si="24"/>
        <v>0</v>
      </c>
      <c r="AM9" s="12">
        <f t="shared" si="25"/>
        <v>0</v>
      </c>
      <c r="AN9" s="12">
        <f t="shared" si="26"/>
        <v>0</v>
      </c>
      <c r="AO9" s="12">
        <f t="shared" si="27"/>
        <v>1</v>
      </c>
      <c r="AP9" s="56"/>
      <c r="AQ9" s="56"/>
      <c r="AR9" s="56"/>
      <c r="AS9" s="30"/>
      <c r="AT9" s="37">
        <v>6</v>
      </c>
      <c r="AU9" s="38">
        <f t="shared" si="3"/>
        <v>0</v>
      </c>
      <c r="AV9" s="39" t="e">
        <f t="shared" si="4"/>
        <v>#VALUE!</v>
      </c>
      <c r="AW9" s="39">
        <f t="shared" si="28"/>
        <v>0</v>
      </c>
      <c r="AY9" s="6">
        <v>6</v>
      </c>
      <c r="AZ9" s="6">
        <f t="shared" si="5"/>
        <v>0</v>
      </c>
      <c r="BA9" s="6">
        <f t="shared" si="5"/>
        <v>0</v>
      </c>
      <c r="BB9" s="6">
        <f t="shared" si="5"/>
        <v>0</v>
      </c>
      <c r="BC9" s="6">
        <f t="shared" si="5"/>
        <v>0</v>
      </c>
      <c r="BD9" s="6">
        <f t="shared" si="5"/>
        <v>0</v>
      </c>
      <c r="BE9" s="6">
        <f t="shared" si="5"/>
        <v>0</v>
      </c>
      <c r="BF9" s="6">
        <f t="shared" si="5"/>
        <v>0</v>
      </c>
      <c r="BG9" s="6">
        <f t="shared" si="5"/>
        <v>0</v>
      </c>
      <c r="BH9" s="6">
        <f t="shared" si="5"/>
        <v>0</v>
      </c>
      <c r="BJ9" s="6">
        <v>6</v>
      </c>
      <c r="BK9" s="6">
        <f t="shared" si="29"/>
        <v>0</v>
      </c>
      <c r="BL9" s="6">
        <f t="shared" si="6"/>
        <v>0</v>
      </c>
      <c r="BM9" s="6">
        <f t="shared" si="7"/>
        <v>0</v>
      </c>
      <c r="BN9" s="6">
        <f t="shared" si="8"/>
        <v>0</v>
      </c>
      <c r="BO9" s="6">
        <f t="shared" si="9"/>
        <v>0</v>
      </c>
      <c r="BP9" s="6">
        <f t="shared" si="10"/>
        <v>0</v>
      </c>
      <c r="BQ9" s="6">
        <f t="shared" si="11"/>
        <v>0</v>
      </c>
      <c r="BR9" s="6">
        <f t="shared" si="12"/>
        <v>0</v>
      </c>
      <c r="BS9" s="6">
        <f t="shared" si="13"/>
        <v>0</v>
      </c>
    </row>
    <row r="10" spans="1:71" x14ac:dyDescent="0.25">
      <c r="A10" s="51">
        <f t="shared" si="14"/>
        <v>1</v>
      </c>
      <c r="B10" s="25">
        <v>7</v>
      </c>
      <c r="C10" s="25" t="s">
        <v>45</v>
      </c>
      <c r="D10" s="94"/>
      <c r="E10" s="95"/>
      <c r="F10" s="25">
        <v>1000</v>
      </c>
      <c r="H10" s="27" t="str">
        <f t="shared" si="0"/>
        <v/>
      </c>
      <c r="I10" s="27" t="str">
        <f t="shared" si="0"/>
        <v/>
      </c>
      <c r="J10" s="27" t="str">
        <f t="shared" si="0"/>
        <v/>
      </c>
      <c r="K10" s="27" t="str">
        <f t="shared" si="0"/>
        <v/>
      </c>
      <c r="L10" s="27" t="str">
        <f t="shared" si="0"/>
        <v/>
      </c>
      <c r="M10" s="27" t="str">
        <f t="shared" si="0"/>
        <v/>
      </c>
      <c r="N10" s="26" t="str">
        <f t="shared" si="0"/>
        <v/>
      </c>
      <c r="O10" s="27" t="str">
        <f t="shared" si="0"/>
        <v/>
      </c>
      <c r="P10" s="27" t="str">
        <f t="shared" si="0"/>
        <v/>
      </c>
      <c r="Q10" s="27" t="str">
        <f t="shared" si="0"/>
        <v/>
      </c>
      <c r="R10" s="8">
        <f t="shared" si="15"/>
        <v>0</v>
      </c>
      <c r="S10" s="8">
        <f>IF(H10="",0,H10)*$R$4+IF(I10="",0,I10)*$R$5+IF(J10="",0,J10)*$R$6+IF(K10="",0,K10)*$R$7+IF(L10="",0,L10)*$R$8+IF(M10="",0,M10)*$R$9+IF(N10="",0,N10)*$R$10+IF(O10="",0,O10)*$R$11+IF(P10="",0,P10)*T18+IF(Q10="",0,Q10)*T19</f>
        <v>0</v>
      </c>
      <c r="T10" s="59">
        <f t="shared" si="17"/>
        <v>1</v>
      </c>
      <c r="U10" s="30"/>
      <c r="AB10" s="34">
        <f t="shared" si="1"/>
        <v>0</v>
      </c>
      <c r="AC10" s="35">
        <f t="shared" si="2"/>
        <v>1000</v>
      </c>
      <c r="AD10" s="56"/>
      <c r="AE10" s="12">
        <f t="shared" si="18"/>
        <v>0</v>
      </c>
      <c r="AF10" s="12">
        <f t="shared" si="19"/>
        <v>0</v>
      </c>
      <c r="AG10" s="12">
        <f t="shared" si="20"/>
        <v>0</v>
      </c>
      <c r="AH10" s="12">
        <f t="shared" si="21"/>
        <v>0</v>
      </c>
      <c r="AI10" s="12">
        <f t="shared" si="22"/>
        <v>0</v>
      </c>
      <c r="AJ10" s="12">
        <f t="shared" si="23"/>
        <v>0</v>
      </c>
      <c r="AK10" s="12"/>
      <c r="AL10" s="12">
        <f t="shared" si="24"/>
        <v>0</v>
      </c>
      <c r="AM10" s="12">
        <f t="shared" si="25"/>
        <v>0</v>
      </c>
      <c r="AN10" s="12">
        <f t="shared" si="26"/>
        <v>0</v>
      </c>
      <c r="AO10" s="12">
        <f t="shared" si="27"/>
        <v>1</v>
      </c>
      <c r="AP10" s="56"/>
      <c r="AQ10" s="56"/>
      <c r="AR10" s="56"/>
      <c r="AS10" s="30"/>
      <c r="AT10" s="37">
        <v>7</v>
      </c>
      <c r="AU10" s="38">
        <f t="shared" si="3"/>
        <v>0</v>
      </c>
      <c r="AV10" s="39" t="e">
        <f t="shared" si="4"/>
        <v>#VALUE!</v>
      </c>
      <c r="AW10" s="39">
        <f t="shared" si="28"/>
        <v>0</v>
      </c>
      <c r="AY10" s="6">
        <v>7</v>
      </c>
      <c r="AZ10" s="6">
        <f t="shared" si="5"/>
        <v>0</v>
      </c>
      <c r="BA10" s="6">
        <f t="shared" si="5"/>
        <v>0</v>
      </c>
      <c r="BB10" s="6">
        <f t="shared" si="5"/>
        <v>0</v>
      </c>
      <c r="BC10" s="6">
        <f t="shared" si="5"/>
        <v>0</v>
      </c>
      <c r="BD10" s="6">
        <f t="shared" si="5"/>
        <v>0</v>
      </c>
      <c r="BE10" s="6">
        <f t="shared" si="5"/>
        <v>0</v>
      </c>
      <c r="BF10" s="6">
        <f t="shared" si="5"/>
        <v>0</v>
      </c>
      <c r="BG10" s="6">
        <f t="shared" si="5"/>
        <v>0</v>
      </c>
      <c r="BH10" s="6">
        <f t="shared" si="5"/>
        <v>0</v>
      </c>
      <c r="BJ10" s="6">
        <v>7</v>
      </c>
      <c r="BK10" s="6">
        <f t="shared" si="29"/>
        <v>0</v>
      </c>
      <c r="BL10" s="6">
        <f t="shared" si="6"/>
        <v>0</v>
      </c>
      <c r="BM10" s="6">
        <f t="shared" si="7"/>
        <v>0</v>
      </c>
      <c r="BN10" s="6">
        <f t="shared" si="8"/>
        <v>0</v>
      </c>
      <c r="BO10" s="6">
        <f t="shared" si="9"/>
        <v>0</v>
      </c>
      <c r="BP10" s="6">
        <f t="shared" si="10"/>
        <v>0</v>
      </c>
      <c r="BQ10" s="6">
        <f t="shared" si="11"/>
        <v>0</v>
      </c>
      <c r="BR10" s="6">
        <f t="shared" si="12"/>
        <v>0</v>
      </c>
      <c r="BS10" s="6">
        <f t="shared" si="13"/>
        <v>0</v>
      </c>
    </row>
    <row r="11" spans="1:71" x14ac:dyDescent="0.25">
      <c r="A11" s="51">
        <f t="shared" si="14"/>
        <v>1</v>
      </c>
      <c r="B11" s="25">
        <v>8</v>
      </c>
      <c r="C11" s="25" t="s">
        <v>46</v>
      </c>
      <c r="D11" s="94"/>
      <c r="E11" s="95"/>
      <c r="F11" s="25">
        <v>1000</v>
      </c>
      <c r="H11" s="27" t="str">
        <f t="shared" si="0"/>
        <v/>
      </c>
      <c r="I11" s="27" t="str">
        <f t="shared" si="0"/>
        <v/>
      </c>
      <c r="J11" s="27" t="str">
        <f t="shared" si="0"/>
        <v/>
      </c>
      <c r="K11" s="27" t="str">
        <f t="shared" si="0"/>
        <v/>
      </c>
      <c r="L11" s="27" t="str">
        <f t="shared" si="0"/>
        <v/>
      </c>
      <c r="M11" s="27" t="str">
        <f t="shared" si="0"/>
        <v/>
      </c>
      <c r="N11" s="27" t="str">
        <f t="shared" si="0"/>
        <v/>
      </c>
      <c r="O11" s="26" t="str">
        <f t="shared" si="0"/>
        <v/>
      </c>
      <c r="P11" s="27" t="str">
        <f t="shared" si="0"/>
        <v/>
      </c>
      <c r="Q11" s="27" t="str">
        <f t="shared" si="0"/>
        <v/>
      </c>
      <c r="R11" s="8">
        <f t="shared" si="15"/>
        <v>0</v>
      </c>
      <c r="S11" s="8">
        <f>IF(H11="",0,H11)*$R$4+IF(I11="",0,I11)*$R$5+IF(J11="",0,J11)*$R$6+IF(K11="",0,K11)*$R$7+IF(L11="",0,L11)*$R$8+IF(M11="",0,M11)*$R$9+IF(N11="",0,N11)*$R$10+IF(O11="",0,O11)*$R$11+IF(P11="",0,P11)*T19+IF(Q11="",0,Q11)*T20</f>
        <v>0</v>
      </c>
      <c r="T11" s="59">
        <f t="shared" si="17"/>
        <v>1</v>
      </c>
      <c r="U11" s="30"/>
      <c r="AB11" s="34">
        <f t="shared" si="1"/>
        <v>0</v>
      </c>
      <c r="AC11" s="35">
        <f t="shared" si="2"/>
        <v>1000</v>
      </c>
      <c r="AD11" s="56"/>
      <c r="AE11" s="12">
        <f t="shared" si="18"/>
        <v>0</v>
      </c>
      <c r="AF11" s="12">
        <f t="shared" si="19"/>
        <v>0</v>
      </c>
      <c r="AG11" s="12">
        <f t="shared" si="20"/>
        <v>0</v>
      </c>
      <c r="AH11" s="12">
        <f t="shared" si="21"/>
        <v>0</v>
      </c>
      <c r="AI11" s="12">
        <f t="shared" si="22"/>
        <v>0</v>
      </c>
      <c r="AJ11" s="12">
        <f t="shared" si="23"/>
        <v>0</v>
      </c>
      <c r="AK11" s="12"/>
      <c r="AL11" s="12">
        <f t="shared" si="24"/>
        <v>0</v>
      </c>
      <c r="AM11" s="12">
        <f t="shared" si="25"/>
        <v>0</v>
      </c>
      <c r="AN11" s="12">
        <f t="shared" si="26"/>
        <v>0</v>
      </c>
      <c r="AO11" s="12">
        <f t="shared" si="27"/>
        <v>1</v>
      </c>
      <c r="AP11" s="56"/>
      <c r="AQ11" s="56"/>
      <c r="AR11" s="56"/>
      <c r="AS11" s="30"/>
      <c r="AT11" s="37">
        <v>8</v>
      </c>
      <c r="AU11" s="38">
        <f t="shared" si="3"/>
        <v>0</v>
      </c>
      <c r="AV11" s="39" t="e">
        <f t="shared" si="4"/>
        <v>#VALUE!</v>
      </c>
      <c r="AW11" s="39">
        <f t="shared" si="28"/>
        <v>0</v>
      </c>
      <c r="AY11" s="6">
        <v>8</v>
      </c>
      <c r="AZ11" s="6">
        <f t="shared" si="5"/>
        <v>0</v>
      </c>
      <c r="BA11" s="6">
        <f t="shared" si="5"/>
        <v>0</v>
      </c>
      <c r="BB11" s="6">
        <f t="shared" si="5"/>
        <v>0</v>
      </c>
      <c r="BC11" s="6">
        <f t="shared" si="5"/>
        <v>0</v>
      </c>
      <c r="BD11" s="6">
        <f t="shared" si="5"/>
        <v>0</v>
      </c>
      <c r="BE11" s="6">
        <f t="shared" si="5"/>
        <v>0</v>
      </c>
      <c r="BF11" s="6">
        <f t="shared" si="5"/>
        <v>0</v>
      </c>
      <c r="BG11" s="6">
        <f t="shared" si="5"/>
        <v>0</v>
      </c>
      <c r="BH11" s="6">
        <f t="shared" si="5"/>
        <v>0</v>
      </c>
      <c r="BJ11" s="6">
        <v>8</v>
      </c>
      <c r="BK11" s="6">
        <f t="shared" si="29"/>
        <v>0</v>
      </c>
      <c r="BL11" s="6">
        <f t="shared" si="6"/>
        <v>0</v>
      </c>
      <c r="BM11" s="6">
        <f t="shared" si="7"/>
        <v>0</v>
      </c>
      <c r="BN11" s="6">
        <f t="shared" si="8"/>
        <v>0</v>
      </c>
      <c r="BO11" s="6">
        <f t="shared" si="9"/>
        <v>0</v>
      </c>
      <c r="BP11" s="6">
        <f t="shared" si="10"/>
        <v>0</v>
      </c>
      <c r="BQ11" s="6">
        <f t="shared" si="11"/>
        <v>0</v>
      </c>
      <c r="BR11" s="6">
        <f t="shared" si="12"/>
        <v>0</v>
      </c>
      <c r="BS11" s="6">
        <f t="shared" si="13"/>
        <v>0</v>
      </c>
    </row>
    <row r="12" spans="1:71" x14ac:dyDescent="0.25">
      <c r="A12" s="51">
        <f t="shared" si="14"/>
        <v>1</v>
      </c>
      <c r="B12" s="25">
        <v>9</v>
      </c>
      <c r="C12" s="25" t="s">
        <v>48</v>
      </c>
      <c r="D12" s="94"/>
      <c r="E12" s="95"/>
      <c r="F12" s="25">
        <v>1000</v>
      </c>
      <c r="H12" s="27" t="str">
        <f t="shared" si="0"/>
        <v/>
      </c>
      <c r="I12" s="27" t="str">
        <f t="shared" si="0"/>
        <v/>
      </c>
      <c r="J12" s="27" t="str">
        <f t="shared" si="0"/>
        <v/>
      </c>
      <c r="K12" s="27" t="str">
        <f t="shared" si="0"/>
        <v/>
      </c>
      <c r="L12" s="27" t="str">
        <f t="shared" si="0"/>
        <v/>
      </c>
      <c r="M12" s="27" t="str">
        <f t="shared" si="0"/>
        <v/>
      </c>
      <c r="N12" s="27" t="str">
        <f t="shared" si="0"/>
        <v/>
      </c>
      <c r="O12" s="27" t="str">
        <f t="shared" si="0"/>
        <v/>
      </c>
      <c r="P12" s="26" t="str">
        <f t="shared" si="0"/>
        <v/>
      </c>
      <c r="Q12" s="27" t="str">
        <f t="shared" si="0"/>
        <v/>
      </c>
      <c r="R12" s="8">
        <f t="shared" si="15"/>
        <v>0</v>
      </c>
      <c r="S12" s="8">
        <f>IF(H12="",0,H12)*$R$4+IF(I12="",0,I12)*$R$5+IF(J12="",0,J12)*$R$6+IF(K12="",0,K12)*$R$7+IF(L12="",0,L12)*$R$8+IF(M12="",0,M12)*$R$9+IF(N12="",0,N12)*$R$10+IF(O12="",0,O12)*$R$11+IF(P12="",0,P12)*T20+IF(Q12="",0,Q12)*T21</f>
        <v>0</v>
      </c>
      <c r="T12" s="59">
        <f t="shared" si="17"/>
        <v>1</v>
      </c>
      <c r="U12" s="30"/>
      <c r="AB12" s="34">
        <f t="shared" si="1"/>
        <v>0</v>
      </c>
      <c r="AC12" s="35">
        <f t="shared" si="2"/>
        <v>1000</v>
      </c>
      <c r="AD12" s="56"/>
      <c r="AE12" s="12">
        <f t="shared" si="18"/>
        <v>0</v>
      </c>
      <c r="AF12" s="12">
        <f t="shared" si="19"/>
        <v>0</v>
      </c>
      <c r="AG12" s="12">
        <f t="shared" si="20"/>
        <v>0</v>
      </c>
      <c r="AH12" s="12">
        <f t="shared" si="21"/>
        <v>0</v>
      </c>
      <c r="AI12" s="12">
        <f t="shared" si="22"/>
        <v>0</v>
      </c>
      <c r="AJ12" s="12">
        <f t="shared" si="23"/>
        <v>0</v>
      </c>
      <c r="AK12" s="12"/>
      <c r="AL12" s="12">
        <f t="shared" si="24"/>
        <v>0</v>
      </c>
      <c r="AM12" s="12">
        <f t="shared" si="25"/>
        <v>0</v>
      </c>
      <c r="AN12" s="12">
        <f t="shared" si="26"/>
        <v>0</v>
      </c>
      <c r="AO12" s="12">
        <f t="shared" si="27"/>
        <v>1</v>
      </c>
      <c r="AP12" s="56"/>
      <c r="AQ12" s="56"/>
      <c r="AR12" s="56"/>
      <c r="AS12" s="30"/>
      <c r="AT12" s="37">
        <v>9</v>
      </c>
      <c r="AU12" s="38">
        <f t="shared" si="3"/>
        <v>0</v>
      </c>
      <c r="AV12" s="39" t="e">
        <f t="shared" si="4"/>
        <v>#VALUE!</v>
      </c>
      <c r="AW12" s="39">
        <f t="shared" si="28"/>
        <v>0</v>
      </c>
      <c r="AY12" s="6">
        <v>9</v>
      </c>
      <c r="AZ12" s="6">
        <f t="shared" si="5"/>
        <v>0</v>
      </c>
      <c r="BA12" s="6">
        <f t="shared" si="5"/>
        <v>0</v>
      </c>
      <c r="BB12" s="6">
        <f t="shared" si="5"/>
        <v>0</v>
      </c>
      <c r="BC12" s="6">
        <f t="shared" si="5"/>
        <v>0</v>
      </c>
      <c r="BD12" s="6">
        <f t="shared" si="5"/>
        <v>0</v>
      </c>
      <c r="BE12" s="6">
        <f t="shared" si="5"/>
        <v>0</v>
      </c>
      <c r="BF12" s="6">
        <f t="shared" si="5"/>
        <v>0</v>
      </c>
      <c r="BG12" s="6">
        <f t="shared" si="5"/>
        <v>0</v>
      </c>
      <c r="BH12" s="6">
        <f t="shared" si="5"/>
        <v>0</v>
      </c>
      <c r="BJ12" s="6">
        <v>9</v>
      </c>
      <c r="BK12" s="6">
        <f t="shared" si="29"/>
        <v>0</v>
      </c>
      <c r="BL12" s="6">
        <f t="shared" si="6"/>
        <v>0</v>
      </c>
      <c r="BM12" s="6">
        <f t="shared" si="7"/>
        <v>0</v>
      </c>
      <c r="BN12" s="6">
        <f t="shared" si="8"/>
        <v>0</v>
      </c>
      <c r="BO12" s="6">
        <f t="shared" si="9"/>
        <v>0</v>
      </c>
      <c r="BP12" s="6">
        <f t="shared" si="10"/>
        <v>0</v>
      </c>
      <c r="BQ12" s="6">
        <f t="shared" si="11"/>
        <v>0</v>
      </c>
      <c r="BR12" s="6">
        <f t="shared" si="12"/>
        <v>0</v>
      </c>
      <c r="BS12" s="6">
        <f t="shared" si="13"/>
        <v>0</v>
      </c>
    </row>
    <row r="13" spans="1:71" x14ac:dyDescent="0.25">
      <c r="A13" s="51">
        <f t="shared" si="14"/>
        <v>1</v>
      </c>
      <c r="B13" s="25">
        <v>10</v>
      </c>
      <c r="C13" s="25" t="s">
        <v>49</v>
      </c>
      <c r="D13" s="94"/>
      <c r="E13" s="95"/>
      <c r="F13" s="25">
        <v>1000</v>
      </c>
      <c r="H13" s="27" t="str">
        <f t="shared" si="0"/>
        <v/>
      </c>
      <c r="I13" s="27" t="str">
        <f t="shared" si="0"/>
        <v/>
      </c>
      <c r="J13" s="27" t="str">
        <f t="shared" si="0"/>
        <v/>
      </c>
      <c r="K13" s="27" t="str">
        <f t="shared" si="0"/>
        <v/>
      </c>
      <c r="L13" s="27" t="str">
        <f t="shared" si="0"/>
        <v/>
      </c>
      <c r="M13" s="27" t="str">
        <f t="shared" si="0"/>
        <v/>
      </c>
      <c r="N13" s="27" t="str">
        <f t="shared" si="0"/>
        <v/>
      </c>
      <c r="O13" s="27" t="str">
        <f t="shared" si="0"/>
        <v/>
      </c>
      <c r="P13" s="27" t="str">
        <f t="shared" si="0"/>
        <v/>
      </c>
      <c r="Q13" s="26" t="str">
        <f t="shared" si="0"/>
        <v/>
      </c>
      <c r="R13" s="8">
        <f t="shared" si="15"/>
        <v>0</v>
      </c>
      <c r="S13" s="8">
        <f>IF(H13="",0,H13)*$R$4+IF(I13="",0,I13)*$R$5+IF(J13="",0,J13)*$R$6+IF(K13="",0,K13)*$R$7+IF(L13="",0,L13)*$R$8+IF(M13="",0,M13)*$R$9+IF(N13="",0,N13)*$R$10+IF(O13="",0,O13)*$R$11+IF(P13="",0,P13)*T21+IF(Q13="",0,Q13)*T22</f>
        <v>0</v>
      </c>
      <c r="T13" s="59">
        <f t="shared" si="17"/>
        <v>1</v>
      </c>
      <c r="U13" s="30"/>
      <c r="AB13" s="34">
        <f t="shared" si="1"/>
        <v>0</v>
      </c>
      <c r="AC13" s="35">
        <f t="shared" si="2"/>
        <v>1000</v>
      </c>
      <c r="AD13" s="56"/>
      <c r="AE13" s="12">
        <f t="shared" si="18"/>
        <v>0</v>
      </c>
      <c r="AF13" s="12">
        <f t="shared" si="19"/>
        <v>0</v>
      </c>
      <c r="AG13" s="12">
        <f t="shared" si="20"/>
        <v>0</v>
      </c>
      <c r="AH13" s="12">
        <f t="shared" si="21"/>
        <v>0</v>
      </c>
      <c r="AI13" s="12">
        <f t="shared" si="22"/>
        <v>0</v>
      </c>
      <c r="AJ13" s="12">
        <f t="shared" si="23"/>
        <v>0</v>
      </c>
      <c r="AK13" s="12"/>
      <c r="AL13" s="12">
        <f t="shared" si="24"/>
        <v>0</v>
      </c>
      <c r="AM13" s="12">
        <f t="shared" si="25"/>
        <v>0</v>
      </c>
      <c r="AN13" s="12">
        <f t="shared" si="26"/>
        <v>0</v>
      </c>
      <c r="AO13" s="12">
        <f t="shared" si="27"/>
        <v>1</v>
      </c>
      <c r="AP13" s="56"/>
      <c r="AQ13" s="56"/>
      <c r="AR13" s="56"/>
      <c r="AS13" s="30"/>
      <c r="AT13" s="37">
        <v>10</v>
      </c>
      <c r="AU13" s="38">
        <f t="shared" si="3"/>
        <v>0</v>
      </c>
      <c r="AV13" s="39" t="e">
        <f t="shared" si="4"/>
        <v>#VALUE!</v>
      </c>
      <c r="AW13" s="39">
        <f t="shared" si="28"/>
        <v>0</v>
      </c>
      <c r="AY13" s="6">
        <v>10</v>
      </c>
      <c r="AZ13" s="6">
        <f t="shared" si="5"/>
        <v>0</v>
      </c>
      <c r="BA13" s="6">
        <f t="shared" si="5"/>
        <v>0</v>
      </c>
      <c r="BB13" s="6">
        <f t="shared" si="5"/>
        <v>0</v>
      </c>
      <c r="BC13" s="6">
        <f t="shared" si="5"/>
        <v>0</v>
      </c>
      <c r="BD13" s="6">
        <f t="shared" si="5"/>
        <v>0</v>
      </c>
      <c r="BE13" s="6">
        <f t="shared" si="5"/>
        <v>0</v>
      </c>
      <c r="BF13" s="6">
        <f t="shared" si="5"/>
        <v>0</v>
      </c>
      <c r="BG13" s="6">
        <f t="shared" si="5"/>
        <v>0</v>
      </c>
      <c r="BH13" s="6">
        <f t="shared" si="5"/>
        <v>0</v>
      </c>
      <c r="BJ13" s="6">
        <v>10</v>
      </c>
      <c r="BK13" s="6">
        <f t="shared" si="29"/>
        <v>0</v>
      </c>
      <c r="BL13" s="6">
        <f t="shared" si="6"/>
        <v>0</v>
      </c>
      <c r="BM13" s="6">
        <f t="shared" si="7"/>
        <v>0</v>
      </c>
      <c r="BN13" s="6">
        <f t="shared" si="8"/>
        <v>0</v>
      </c>
      <c r="BO13" s="6">
        <f t="shared" si="9"/>
        <v>0</v>
      </c>
      <c r="BP13" s="6">
        <f t="shared" si="10"/>
        <v>0</v>
      </c>
      <c r="BQ13" s="6">
        <f t="shared" si="11"/>
        <v>0</v>
      </c>
      <c r="BR13" s="6">
        <f t="shared" si="12"/>
        <v>0</v>
      </c>
      <c r="BS13" s="6">
        <f t="shared" si="13"/>
        <v>0</v>
      </c>
    </row>
    <row r="14" spans="1:71" hidden="1" x14ac:dyDescent="0.25">
      <c r="S14" s="60">
        <f>IF(H14="",0,H14)*$R$4+IF(I14="",0,I14)*$R$5+IF(J14="",0,J14)*$R$6+IF(K14="",0,K14)*$R$7+IF(L14="",0,L14)*$R$8+IF(M14="",0,M14)*$R$9+IF(N14="",0,N14)*$R$10+IF(O14="",0,O14)*$R$11+IF(P14="",0,P14)*T22+IF(Q14="",0,Q14)*R23</f>
        <v>0</v>
      </c>
      <c r="Y14" s="34">
        <f t="shared" ref="Y14" si="30">IF(ISNA(VLOOKUP(B14,$A$4:$S$13,18,FALSE)),0,VLOOKUP(B14,$A$4:$S$13,18,FALSE))</f>
        <v>0</v>
      </c>
      <c r="AO14" s="56">
        <f t="shared" si="27"/>
        <v>1</v>
      </c>
    </row>
    <row r="15" spans="1:71" x14ac:dyDescent="0.25">
      <c r="AE15" s="57">
        <f>2*MAX(AE4:AE13)+1</f>
        <v>1</v>
      </c>
      <c r="AG15" s="58">
        <f>2*MAX(AG4:AG13)+1</f>
        <v>1</v>
      </c>
      <c r="AI15" s="58">
        <f>2*MAX(AI4:AI13)+1</f>
        <v>1</v>
      </c>
      <c r="AT15" s="41" t="s">
        <v>39</v>
      </c>
      <c r="AU15" s="41" t="s">
        <v>0</v>
      </c>
      <c r="AV15" s="41" t="s">
        <v>1</v>
      </c>
      <c r="AW15" s="41" t="s">
        <v>2</v>
      </c>
      <c r="AY15" s="42" t="s">
        <v>37</v>
      </c>
      <c r="AZ15" s="42" t="s">
        <v>38</v>
      </c>
      <c r="BA15" s="6" t="s">
        <v>18</v>
      </c>
      <c r="BB15" s="6" t="s">
        <v>19</v>
      </c>
      <c r="BC15" s="6" t="s">
        <v>20</v>
      </c>
      <c r="BD15" s="6" t="s">
        <v>21</v>
      </c>
    </row>
    <row r="16" spans="1:71" ht="3" customHeight="1" x14ac:dyDescent="0.25">
      <c r="B16" s="11"/>
      <c r="C16" s="11"/>
      <c r="D16" s="11"/>
      <c r="E16" s="11"/>
      <c r="F16" s="11"/>
      <c r="G16" s="11"/>
      <c r="H16" s="11"/>
      <c r="I16" s="11"/>
      <c r="J16" s="11"/>
      <c r="K16" s="11"/>
      <c r="L16" s="11"/>
      <c r="M16" s="11"/>
      <c r="N16" s="11"/>
      <c r="O16" s="11"/>
      <c r="P16" s="11"/>
      <c r="Q16" s="11"/>
      <c r="R16" s="11"/>
      <c r="S16" s="11"/>
      <c r="T16" s="11"/>
      <c r="AY16" s="43"/>
      <c r="AZ16" s="43"/>
      <c r="BA16" s="44"/>
      <c r="BB16" s="44"/>
      <c r="BC16" s="44"/>
      <c r="BD16" s="44"/>
    </row>
    <row r="17" spans="2:56" x14ac:dyDescent="0.25">
      <c r="B17" s="45" t="s">
        <v>3</v>
      </c>
      <c r="AY17" s="42"/>
      <c r="AZ17" s="42"/>
    </row>
    <row r="18" spans="2:56" x14ac:dyDescent="0.25">
      <c r="B18" s="6">
        <v>1</v>
      </c>
      <c r="C18" s="6" t="str">
        <f>VLOOKUP(AU18,$B$4:$F$13,2,FALSE)</f>
        <v>A</v>
      </c>
      <c r="D18" s="46" t="s">
        <v>5</v>
      </c>
      <c r="E18" s="90" t="str">
        <f>VLOOKUP(AV18,$B$4:$F$13,2,FALSE)</f>
        <v>J</v>
      </c>
      <c r="F18" s="90"/>
      <c r="G18" s="90"/>
      <c r="H18" s="90"/>
      <c r="J18" s="90" t="str">
        <f>IF(T18="","",VLOOKUP(T18,Configuratie!$B$2:$E$11,3,FALSE))</f>
        <v/>
      </c>
      <c r="K18" s="90"/>
      <c r="L18" s="6" t="s">
        <v>5</v>
      </c>
      <c r="M18" s="90" t="str">
        <f>IF(T18="","",VLOOKUP(T18,Configuratie!$B$2:$E$11,4,FALSE))</f>
        <v/>
      </c>
      <c r="N18" s="90"/>
      <c r="R18" s="6" t="str">
        <f>IF(T18="","",VLOOKUP(T18,Configuratie!$B$2:$E$11,2,FALSE))</f>
        <v/>
      </c>
      <c r="S18" s="61"/>
      <c r="T18" s="5"/>
      <c r="AT18" s="6">
        <v>1</v>
      </c>
      <c r="AU18" s="6">
        <v>1</v>
      </c>
      <c r="AV18" s="6">
        <v>10</v>
      </c>
      <c r="AW18" s="6" t="str">
        <f>IF(AND(ISNUMBER(J18),ISNUMBER(M18)),IF(J18+M18=1,1,0),"")</f>
        <v/>
      </c>
      <c r="AY18" s="48">
        <f>AU18*100+AV18</f>
        <v>110</v>
      </c>
      <c r="AZ18" s="48">
        <f>AV18*100+AU18</f>
        <v>1001</v>
      </c>
      <c r="BA18" s="6">
        <v>0</v>
      </c>
      <c r="BB18" s="6">
        <v>0</v>
      </c>
      <c r="BC18" s="6" t="e">
        <f>J18*BB18</f>
        <v>#VALUE!</v>
      </c>
      <c r="BD18" s="6" t="e">
        <f>M18*BA18</f>
        <v>#VALUE!</v>
      </c>
    </row>
    <row r="19" spans="2:56" x14ac:dyDescent="0.25">
      <c r="B19" s="6">
        <v>2</v>
      </c>
      <c r="C19" s="6" t="str">
        <f>VLOOKUP(AU19,$B$4:$F$13,2,FALSE)</f>
        <v>B</v>
      </c>
      <c r="D19" s="46" t="s">
        <v>5</v>
      </c>
      <c r="E19" s="90" t="str">
        <f>VLOOKUP(AV19,$B$4:$F$13,2,FALSE)</f>
        <v>I</v>
      </c>
      <c r="F19" s="90"/>
      <c r="G19" s="90"/>
      <c r="H19" s="90"/>
      <c r="J19" s="90" t="str">
        <f>IF(T19="","",VLOOKUP(T19,Configuratie!$B$2:$E$11,3,FALSE))</f>
        <v/>
      </c>
      <c r="K19" s="90"/>
      <c r="L19" s="6" t="s">
        <v>5</v>
      </c>
      <c r="M19" s="90" t="str">
        <f>IF(T19="","",VLOOKUP(T19,Configuratie!$B$2:$E$11,4,FALSE))</f>
        <v/>
      </c>
      <c r="N19" s="90"/>
      <c r="R19" s="6" t="str">
        <f>IF(T19="","",VLOOKUP(T19,Configuratie!$B$2:$E$11,2,FALSE))</f>
        <v/>
      </c>
      <c r="S19" s="61"/>
      <c r="T19" s="5"/>
      <c r="AT19" s="6">
        <v>1</v>
      </c>
      <c r="AU19" s="6">
        <v>2</v>
      </c>
      <c r="AV19" s="6">
        <v>9</v>
      </c>
      <c r="AW19" s="6" t="str">
        <f t="shared" ref="AW19:AW23" si="31">IF(AND(ISNUMBER(J19),ISNUMBER(M19)),IF(J19+M19=1,1,0),"")</f>
        <v/>
      </c>
      <c r="AY19" s="48">
        <f>AU19*100+AV19</f>
        <v>209</v>
      </c>
      <c r="AZ19" s="48">
        <f>AV19*100+AU19</f>
        <v>902</v>
      </c>
      <c r="BA19" s="6">
        <v>0</v>
      </c>
      <c r="BB19" s="6">
        <v>0</v>
      </c>
      <c r="BC19" s="6" t="e">
        <f>J19*BB19</f>
        <v>#VALUE!</v>
      </c>
      <c r="BD19" s="6" t="e">
        <f>M19*BA19</f>
        <v>#VALUE!</v>
      </c>
    </row>
    <row r="20" spans="2:56" x14ac:dyDescent="0.25">
      <c r="B20" s="6">
        <v>3</v>
      </c>
      <c r="C20" s="6" t="str">
        <f>VLOOKUP(AU20,$B$4:$F$13,2,FALSE)</f>
        <v>C</v>
      </c>
      <c r="D20" s="46" t="s">
        <v>5</v>
      </c>
      <c r="E20" s="90" t="str">
        <f>VLOOKUP(AV20,$B$4:$F$13,2,FALSE)</f>
        <v>H</v>
      </c>
      <c r="F20" s="90"/>
      <c r="G20" s="90"/>
      <c r="H20" s="90"/>
      <c r="J20" s="90" t="str">
        <f>IF(T20="","",VLOOKUP(T20,Configuratie!$B$2:$E$11,3,FALSE))</f>
        <v/>
      </c>
      <c r="K20" s="90"/>
      <c r="L20" s="6" t="s">
        <v>5</v>
      </c>
      <c r="M20" s="90" t="str">
        <f>IF(T20="","",VLOOKUP(T20,Configuratie!$B$2:$E$11,4,FALSE))</f>
        <v/>
      </c>
      <c r="N20" s="90"/>
      <c r="R20" s="6" t="str">
        <f>IF(T20="","",VLOOKUP(T20,Configuratie!$B$2:$E$11,2,FALSE))</f>
        <v/>
      </c>
      <c r="S20" s="61"/>
      <c r="T20" s="5"/>
      <c r="AT20" s="6">
        <v>1</v>
      </c>
      <c r="AU20" s="6">
        <v>3</v>
      </c>
      <c r="AV20" s="6">
        <v>8</v>
      </c>
      <c r="AW20" s="6" t="str">
        <f t="shared" si="31"/>
        <v/>
      </c>
      <c r="AY20" s="48">
        <f>AU20*100+AV20</f>
        <v>308</v>
      </c>
      <c r="AZ20" s="48">
        <f>AV20*100+AU20</f>
        <v>803</v>
      </c>
      <c r="BA20" s="6">
        <v>0</v>
      </c>
      <c r="BB20" s="6">
        <v>0</v>
      </c>
      <c r="BC20" s="6" t="e">
        <f>J20*BB20</f>
        <v>#VALUE!</v>
      </c>
      <c r="BD20" s="6" t="e">
        <f>M20*BA20</f>
        <v>#VALUE!</v>
      </c>
    </row>
    <row r="21" spans="2:56" x14ac:dyDescent="0.25">
      <c r="B21" s="6">
        <v>4</v>
      </c>
      <c r="C21" s="6" t="str">
        <f>VLOOKUP(AU21,$B$4:$F$13,2,FALSE)</f>
        <v>D</v>
      </c>
      <c r="D21" s="46" t="s">
        <v>5</v>
      </c>
      <c r="E21" s="90" t="str">
        <f>VLOOKUP(AV21,$B$4:$F$13,2,FALSE)</f>
        <v>G</v>
      </c>
      <c r="F21" s="90"/>
      <c r="G21" s="90"/>
      <c r="H21" s="90"/>
      <c r="J21" s="90" t="str">
        <f>IF(T21="","",VLOOKUP(T21,Configuratie!$B$2:$E$11,3,FALSE))</f>
        <v/>
      </c>
      <c r="K21" s="90"/>
      <c r="L21" s="6" t="s">
        <v>5</v>
      </c>
      <c r="M21" s="90" t="str">
        <f>IF(T21="","",VLOOKUP(T21,Configuratie!$B$2:$E$11,4,FALSE))</f>
        <v/>
      </c>
      <c r="N21" s="90"/>
      <c r="R21" s="6" t="str">
        <f>IF(T21="","",VLOOKUP(T21,Configuratie!$B$2:$E$11,2,FALSE))</f>
        <v/>
      </c>
      <c r="S21" s="61"/>
      <c r="T21" s="5"/>
      <c r="AT21" s="6">
        <v>1</v>
      </c>
      <c r="AU21" s="6">
        <v>4</v>
      </c>
      <c r="AV21" s="6">
        <v>7</v>
      </c>
      <c r="AW21" s="6" t="str">
        <f t="shared" si="31"/>
        <v/>
      </c>
      <c r="AY21" s="48">
        <f>AU21*100+AV21</f>
        <v>407</v>
      </c>
      <c r="AZ21" s="48">
        <f>AV21*100+AU21</f>
        <v>704</v>
      </c>
      <c r="BA21" s="6">
        <v>0</v>
      </c>
      <c r="BB21" s="6">
        <v>0</v>
      </c>
      <c r="BC21" s="6" t="e">
        <f>J21*BB21</f>
        <v>#VALUE!</v>
      </c>
      <c r="BD21" s="6" t="e">
        <f>M21*BA21</f>
        <v>#VALUE!</v>
      </c>
    </row>
    <row r="22" spans="2:56" x14ac:dyDescent="0.25">
      <c r="B22" s="6">
        <v>5</v>
      </c>
      <c r="C22" s="6" t="str">
        <f>VLOOKUP(AU22,$B$4:$F$13,2,FALSE)</f>
        <v>E</v>
      </c>
      <c r="D22" s="46" t="s">
        <v>5</v>
      </c>
      <c r="E22" s="90" t="str">
        <f>VLOOKUP(AV22,$B$4:$F$13,2,FALSE)</f>
        <v>F</v>
      </c>
      <c r="F22" s="90"/>
      <c r="G22" s="90"/>
      <c r="H22" s="90"/>
      <c r="J22" s="90" t="str">
        <f>IF(T22="","",VLOOKUP(T22,Configuratie!$B$2:$E$11,3,FALSE))</f>
        <v/>
      </c>
      <c r="K22" s="90"/>
      <c r="L22" s="6" t="s">
        <v>5</v>
      </c>
      <c r="M22" s="90" t="str">
        <f>IF(T22="","",VLOOKUP(T22,Configuratie!$B$2:$E$11,4,FALSE))</f>
        <v/>
      </c>
      <c r="N22" s="90"/>
      <c r="R22" s="6" t="str">
        <f>IF(T22="","",VLOOKUP(T22,Configuratie!$B$2:$E$11,2,FALSE))</f>
        <v/>
      </c>
      <c r="S22" s="61"/>
      <c r="T22" s="5"/>
      <c r="AT22" s="6">
        <v>1</v>
      </c>
      <c r="AU22" s="6">
        <v>5</v>
      </c>
      <c r="AV22" s="6">
        <v>6</v>
      </c>
      <c r="AW22" s="6" t="str">
        <f t="shared" si="31"/>
        <v/>
      </c>
      <c r="AY22" s="48">
        <f>AU22*100+AV22</f>
        <v>506</v>
      </c>
      <c r="AZ22" s="48">
        <f>AV22*100+AU22</f>
        <v>605</v>
      </c>
      <c r="BA22" s="6">
        <v>0</v>
      </c>
      <c r="BB22" s="6">
        <v>0</v>
      </c>
      <c r="BC22" s="6" t="e">
        <f>J22*BB22</f>
        <v>#VALUE!</v>
      </c>
      <c r="BD22" s="6" t="e">
        <f>M22*BA22</f>
        <v>#VALUE!</v>
      </c>
    </row>
    <row r="23" spans="2:56" ht="3" customHeight="1" x14ac:dyDescent="0.25">
      <c r="B23" s="11"/>
      <c r="C23" s="11"/>
      <c r="D23" s="11"/>
      <c r="E23" s="11"/>
      <c r="F23" s="11"/>
      <c r="G23" s="11"/>
      <c r="H23" s="11"/>
      <c r="I23" s="11"/>
      <c r="J23" s="11"/>
      <c r="K23" s="11"/>
      <c r="L23" s="11"/>
      <c r="M23" s="11"/>
      <c r="N23" s="11"/>
      <c r="O23" s="11"/>
      <c r="P23" s="11"/>
      <c r="Q23" s="11"/>
      <c r="R23" s="11"/>
      <c r="S23" s="11"/>
      <c r="T23" s="11"/>
      <c r="AW23" s="6" t="str">
        <f t="shared" si="31"/>
        <v/>
      </c>
      <c r="AY23" s="42"/>
      <c r="AZ23" s="42"/>
    </row>
    <row r="24" spans="2:56" x14ac:dyDescent="0.25">
      <c r="B24" s="45" t="s">
        <v>9</v>
      </c>
      <c r="AY24" s="42"/>
      <c r="AZ24" s="42"/>
    </row>
    <row r="25" spans="2:56" x14ac:dyDescent="0.25">
      <c r="B25" s="6">
        <v>1</v>
      </c>
      <c r="C25" s="6" t="str">
        <f>VLOOKUP(AU25,$B$4:$F$13,2,FALSE)</f>
        <v>J</v>
      </c>
      <c r="D25" s="46" t="s">
        <v>5</v>
      </c>
      <c r="E25" s="90" t="str">
        <f>VLOOKUP(AV25,$B$4:$F$13,2,FALSE)</f>
        <v>F</v>
      </c>
      <c r="F25" s="90"/>
      <c r="G25" s="90"/>
      <c r="H25" s="90"/>
      <c r="J25" s="90" t="str">
        <f>IF(T25="","",VLOOKUP(T25,Configuratie!$B$2:$E$11,3,FALSE))</f>
        <v/>
      </c>
      <c r="K25" s="90"/>
      <c r="L25" s="6" t="s">
        <v>5</v>
      </c>
      <c r="M25" s="90" t="str">
        <f>IF(T25="","",VLOOKUP(T25,Configuratie!$B$2:$E$11,4,FALSE))</f>
        <v/>
      </c>
      <c r="N25" s="90"/>
      <c r="R25" s="6" t="str">
        <f>IF(T25="","",VLOOKUP(T25,Configuratie!$B$2:$E$11,2,FALSE))</f>
        <v/>
      </c>
      <c r="S25" s="61"/>
      <c r="T25" s="5"/>
      <c r="AT25" s="6">
        <v>2</v>
      </c>
      <c r="AU25" s="6">
        <v>10</v>
      </c>
      <c r="AV25" s="6">
        <v>6</v>
      </c>
      <c r="AW25" s="6" t="str">
        <f>IF(AND(ISNUMBER(J25),ISNUMBER(M25)),IF(J25+M25=1,1,0),"")</f>
        <v/>
      </c>
      <c r="AY25" s="48">
        <f>AU25*100+AV25</f>
        <v>1006</v>
      </c>
      <c r="AZ25" s="48">
        <f>AV25*100+AU25</f>
        <v>610</v>
      </c>
      <c r="BA25" s="6">
        <f t="shared" ref="BA25:BB29" si="32">VLOOKUP(AU25,$BJ$3:$BS$13,$AT25,FALSE)</f>
        <v>0</v>
      </c>
      <c r="BB25" s="6">
        <f t="shared" si="32"/>
        <v>0</v>
      </c>
      <c r="BC25" s="6" t="e">
        <f>J25*BB25</f>
        <v>#VALUE!</v>
      </c>
      <c r="BD25" s="6" t="e">
        <f>M25*BA25</f>
        <v>#VALUE!</v>
      </c>
    </row>
    <row r="26" spans="2:56" x14ac:dyDescent="0.25">
      <c r="B26" s="6">
        <v>2</v>
      </c>
      <c r="C26" s="6" t="str">
        <f>VLOOKUP(AU26,$B$4:$F$13,2,FALSE)</f>
        <v>G</v>
      </c>
      <c r="D26" s="46" t="s">
        <v>5</v>
      </c>
      <c r="E26" s="90" t="str">
        <f>VLOOKUP(AV26,$B$4:$F$13,2,FALSE)</f>
        <v>E</v>
      </c>
      <c r="F26" s="90"/>
      <c r="G26" s="90"/>
      <c r="H26" s="90"/>
      <c r="J26" s="90" t="str">
        <f>IF(T26="","",VLOOKUP(T26,Configuratie!$B$2:$E$11,3,FALSE))</f>
        <v/>
      </c>
      <c r="K26" s="90"/>
      <c r="L26" s="6" t="s">
        <v>5</v>
      </c>
      <c r="M26" s="90" t="str">
        <f>IF(T26="","",VLOOKUP(T26,Configuratie!$B$2:$E$11,4,FALSE))</f>
        <v/>
      </c>
      <c r="N26" s="90"/>
      <c r="R26" s="6" t="str">
        <f>IF(T26="","",VLOOKUP(T26,Configuratie!$B$2:$E$11,2,FALSE))</f>
        <v/>
      </c>
      <c r="S26" s="61"/>
      <c r="T26" s="5"/>
      <c r="AT26" s="6">
        <v>2</v>
      </c>
      <c r="AU26" s="6">
        <v>7</v>
      </c>
      <c r="AV26" s="6">
        <v>5</v>
      </c>
      <c r="AW26" s="6" t="str">
        <f t="shared" ref="AW26:AW30" si="33">IF(AND(ISNUMBER(J26),ISNUMBER(M26)),IF(J26+M26=1,1,0),"")</f>
        <v/>
      </c>
      <c r="AY26" s="48">
        <f>AU26*100+AV26</f>
        <v>705</v>
      </c>
      <c r="AZ26" s="48">
        <f>AV26*100+AU26</f>
        <v>507</v>
      </c>
      <c r="BA26" s="6">
        <f t="shared" si="32"/>
        <v>0</v>
      </c>
      <c r="BB26" s="6">
        <f t="shared" si="32"/>
        <v>0</v>
      </c>
      <c r="BC26" s="6" t="e">
        <f>J26*BB26</f>
        <v>#VALUE!</v>
      </c>
      <c r="BD26" s="6" t="e">
        <f>M26*BA26</f>
        <v>#VALUE!</v>
      </c>
    </row>
    <row r="27" spans="2:56" x14ac:dyDescent="0.25">
      <c r="B27" s="6">
        <v>3</v>
      </c>
      <c r="C27" s="6" t="str">
        <f>VLOOKUP(AU27,$B$4:$F$13,2,FALSE)</f>
        <v>H</v>
      </c>
      <c r="D27" s="46" t="s">
        <v>5</v>
      </c>
      <c r="E27" s="90" t="str">
        <f>VLOOKUP(AV27,$B$4:$F$13,2,FALSE)</f>
        <v>D</v>
      </c>
      <c r="F27" s="90"/>
      <c r="G27" s="90"/>
      <c r="H27" s="90"/>
      <c r="J27" s="90" t="str">
        <f>IF(T27="","",VLOOKUP(T27,Configuratie!$B$2:$E$11,3,FALSE))</f>
        <v/>
      </c>
      <c r="K27" s="90"/>
      <c r="L27" s="6" t="s">
        <v>5</v>
      </c>
      <c r="M27" s="90" t="str">
        <f>IF(T27="","",VLOOKUP(T27,Configuratie!$B$2:$E$11,4,FALSE))</f>
        <v/>
      </c>
      <c r="N27" s="90"/>
      <c r="R27" s="6" t="str">
        <f>IF(T27="","",VLOOKUP(T27,Configuratie!$B$2:$E$11,2,FALSE))</f>
        <v/>
      </c>
      <c r="S27" s="61"/>
      <c r="T27" s="5"/>
      <c r="AT27" s="6">
        <v>2</v>
      </c>
      <c r="AU27" s="6">
        <v>8</v>
      </c>
      <c r="AV27" s="6">
        <v>4</v>
      </c>
      <c r="AW27" s="6" t="str">
        <f t="shared" si="33"/>
        <v/>
      </c>
      <c r="AY27" s="48">
        <f>AU27*100+AV27</f>
        <v>804</v>
      </c>
      <c r="AZ27" s="48">
        <f>AV27*100+AU27</f>
        <v>408</v>
      </c>
      <c r="BA27" s="6">
        <f t="shared" si="32"/>
        <v>0</v>
      </c>
      <c r="BB27" s="6">
        <f t="shared" si="32"/>
        <v>0</v>
      </c>
      <c r="BC27" s="6" t="e">
        <f>J27*BB27</f>
        <v>#VALUE!</v>
      </c>
      <c r="BD27" s="6" t="e">
        <f>M27*BA27</f>
        <v>#VALUE!</v>
      </c>
    </row>
    <row r="28" spans="2:56" x14ac:dyDescent="0.25">
      <c r="B28" s="6">
        <v>4</v>
      </c>
      <c r="C28" s="6" t="str">
        <f>VLOOKUP(AU28,$B$4:$F$13,2,FALSE)</f>
        <v>I</v>
      </c>
      <c r="D28" s="46" t="s">
        <v>5</v>
      </c>
      <c r="E28" s="90" t="str">
        <f>VLOOKUP(AV28,$B$4:$F$13,2,FALSE)</f>
        <v>C</v>
      </c>
      <c r="F28" s="90"/>
      <c r="G28" s="90"/>
      <c r="H28" s="90"/>
      <c r="J28" s="90" t="str">
        <f>IF(T28="","",VLOOKUP(T28,Configuratie!$B$2:$E$11,3,FALSE))</f>
        <v/>
      </c>
      <c r="K28" s="90"/>
      <c r="L28" s="6" t="s">
        <v>5</v>
      </c>
      <c r="M28" s="90" t="str">
        <f>IF(T28="","",VLOOKUP(T28,Configuratie!$B$2:$E$11,4,FALSE))</f>
        <v/>
      </c>
      <c r="N28" s="90"/>
      <c r="R28" s="6" t="str">
        <f>IF(T28="","",VLOOKUP(T28,Configuratie!$B$2:$E$11,2,FALSE))</f>
        <v/>
      </c>
      <c r="S28" s="61"/>
      <c r="T28" s="5"/>
      <c r="AT28" s="6">
        <v>2</v>
      </c>
      <c r="AU28" s="6">
        <v>9</v>
      </c>
      <c r="AV28" s="6">
        <v>3</v>
      </c>
      <c r="AW28" s="6" t="str">
        <f t="shared" si="33"/>
        <v/>
      </c>
      <c r="AY28" s="48">
        <f>AU28*100+AV28</f>
        <v>903</v>
      </c>
      <c r="AZ28" s="48">
        <f>AV28*100+AU28</f>
        <v>309</v>
      </c>
      <c r="BA28" s="6">
        <f t="shared" si="32"/>
        <v>0</v>
      </c>
      <c r="BB28" s="6">
        <f t="shared" si="32"/>
        <v>0</v>
      </c>
      <c r="BC28" s="6" t="e">
        <f>J28*BB28</f>
        <v>#VALUE!</v>
      </c>
      <c r="BD28" s="6" t="e">
        <f>M28*BA28</f>
        <v>#VALUE!</v>
      </c>
    </row>
    <row r="29" spans="2:56" x14ac:dyDescent="0.25">
      <c r="B29" s="6">
        <v>5</v>
      </c>
      <c r="C29" s="6" t="str">
        <f>VLOOKUP(AU29,$B$4:$F$13,2,FALSE)</f>
        <v>A</v>
      </c>
      <c r="D29" s="46" t="s">
        <v>5</v>
      </c>
      <c r="E29" s="90" t="str">
        <f>VLOOKUP(AV29,$B$4:$F$13,2,FALSE)</f>
        <v>B</v>
      </c>
      <c r="F29" s="90"/>
      <c r="G29" s="90"/>
      <c r="H29" s="90"/>
      <c r="J29" s="90" t="str">
        <f>IF(T29="","",VLOOKUP(T29,Configuratie!$B$2:$E$11,3,FALSE))</f>
        <v/>
      </c>
      <c r="K29" s="90"/>
      <c r="L29" s="6" t="s">
        <v>5</v>
      </c>
      <c r="M29" s="90" t="str">
        <f>IF(T29="","",VLOOKUP(T29,Configuratie!$B$2:$E$11,4,FALSE))</f>
        <v/>
      </c>
      <c r="N29" s="90"/>
      <c r="R29" s="6" t="str">
        <f>IF(T29="","",VLOOKUP(T29,Configuratie!$B$2:$E$11,2,FALSE))</f>
        <v/>
      </c>
      <c r="S29" s="61"/>
      <c r="T29" s="5"/>
      <c r="AT29" s="6">
        <v>2</v>
      </c>
      <c r="AU29" s="6">
        <v>1</v>
      </c>
      <c r="AV29" s="6">
        <v>2</v>
      </c>
      <c r="AW29" s="6" t="str">
        <f t="shared" si="33"/>
        <v/>
      </c>
      <c r="AY29" s="48">
        <f>AU29*100+AV29</f>
        <v>102</v>
      </c>
      <c r="AZ29" s="48">
        <f>AV29*100+AU29</f>
        <v>201</v>
      </c>
      <c r="BA29" s="6">
        <f t="shared" si="32"/>
        <v>0</v>
      </c>
      <c r="BB29" s="6">
        <f t="shared" si="32"/>
        <v>0</v>
      </c>
      <c r="BC29" s="6" t="e">
        <f>J29*BB29</f>
        <v>#VALUE!</v>
      </c>
      <c r="BD29" s="6" t="e">
        <f>M29*BA29</f>
        <v>#VALUE!</v>
      </c>
    </row>
    <row r="30" spans="2:56" ht="3" customHeight="1" x14ac:dyDescent="0.25">
      <c r="B30" s="11"/>
      <c r="C30" s="11"/>
      <c r="D30" s="11"/>
      <c r="E30" s="11"/>
      <c r="F30" s="11"/>
      <c r="G30" s="11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1"/>
      <c r="S30" s="11"/>
      <c r="T30" s="11"/>
      <c r="AW30" s="6" t="str">
        <f t="shared" si="33"/>
        <v/>
      </c>
      <c r="AY30" s="42"/>
      <c r="AZ30" s="42"/>
    </row>
    <row r="31" spans="2:56" x14ac:dyDescent="0.25">
      <c r="B31" s="45" t="s">
        <v>10</v>
      </c>
      <c r="AY31" s="42"/>
      <c r="AZ31" s="42"/>
    </row>
    <row r="32" spans="2:56" x14ac:dyDescent="0.25">
      <c r="B32" s="6">
        <v>1</v>
      </c>
      <c r="C32" s="6" t="str">
        <f>VLOOKUP(AU32,$B$4:$F$13,2,FALSE)</f>
        <v>B</v>
      </c>
      <c r="D32" s="46" t="s">
        <v>5</v>
      </c>
      <c r="E32" s="90" t="str">
        <f>VLOOKUP(AV32,$B$4:$F$13,2,FALSE)</f>
        <v>J</v>
      </c>
      <c r="F32" s="90"/>
      <c r="G32" s="90"/>
      <c r="H32" s="90"/>
      <c r="J32" s="90" t="str">
        <f>IF(T32="","",VLOOKUP(T32,Configuratie!$B$2:$E$11,3,FALSE))</f>
        <v/>
      </c>
      <c r="K32" s="90"/>
      <c r="L32" s="6" t="s">
        <v>5</v>
      </c>
      <c r="M32" s="90" t="str">
        <f>IF(T32="","",VLOOKUP(T32,Configuratie!$B$2:$E$11,4,FALSE))</f>
        <v/>
      </c>
      <c r="N32" s="90"/>
      <c r="R32" s="6" t="str">
        <f>IF(T32="","",VLOOKUP(T32,Configuratie!$B$2:$E$11,2,FALSE))</f>
        <v/>
      </c>
      <c r="S32" s="61"/>
      <c r="T32" s="5"/>
      <c r="AT32" s="6">
        <v>3</v>
      </c>
      <c r="AU32" s="6">
        <v>2</v>
      </c>
      <c r="AV32" s="6">
        <v>10</v>
      </c>
      <c r="AW32" s="6" t="str">
        <f>IF(AND(ISNUMBER(J32),ISNUMBER(M32)),IF(J32+M32=1,1,0),"")</f>
        <v/>
      </c>
      <c r="AY32" s="48">
        <f>AU32*100+AV32</f>
        <v>210</v>
      </c>
      <c r="AZ32" s="48">
        <f>AV32*100+AU32</f>
        <v>1002</v>
      </c>
      <c r="BA32" s="6">
        <f t="shared" ref="BA32:BB36" si="34">VLOOKUP(AU32,$BJ$3:$BS$13,$AT32,FALSE)</f>
        <v>0</v>
      </c>
      <c r="BB32" s="6">
        <f t="shared" si="34"/>
        <v>0</v>
      </c>
      <c r="BC32" s="6" t="e">
        <f>J32*BB32</f>
        <v>#VALUE!</v>
      </c>
      <c r="BD32" s="6" t="e">
        <f>M32*BA32</f>
        <v>#VALUE!</v>
      </c>
    </row>
    <row r="33" spans="2:56" x14ac:dyDescent="0.25">
      <c r="B33" s="6">
        <v>2</v>
      </c>
      <c r="C33" s="6" t="str">
        <f>VLOOKUP(AU33,$B$4:$F$13,2,FALSE)</f>
        <v>C</v>
      </c>
      <c r="D33" s="46" t="s">
        <v>5</v>
      </c>
      <c r="E33" s="90" t="str">
        <f>VLOOKUP(AV33,$B$4:$F$13,2,FALSE)</f>
        <v>A</v>
      </c>
      <c r="F33" s="90"/>
      <c r="G33" s="90"/>
      <c r="H33" s="90"/>
      <c r="J33" s="90" t="str">
        <f>IF(T33="","",VLOOKUP(T33,Configuratie!$B$2:$E$11,3,FALSE))</f>
        <v/>
      </c>
      <c r="K33" s="90"/>
      <c r="L33" s="6" t="s">
        <v>5</v>
      </c>
      <c r="M33" s="90" t="str">
        <f>IF(T33="","",VLOOKUP(T33,Configuratie!$B$2:$E$11,4,FALSE))</f>
        <v/>
      </c>
      <c r="N33" s="90"/>
      <c r="R33" s="6" t="str">
        <f>IF(T33="","",VLOOKUP(T33,Configuratie!$B$2:$E$11,2,FALSE))</f>
        <v/>
      </c>
      <c r="S33" s="61"/>
      <c r="T33" s="5"/>
      <c r="AT33" s="6">
        <v>3</v>
      </c>
      <c r="AU33" s="6">
        <v>3</v>
      </c>
      <c r="AV33" s="6">
        <v>1</v>
      </c>
      <c r="AW33" s="6" t="str">
        <f t="shared" ref="AW33:AW37" si="35">IF(AND(ISNUMBER(J33),ISNUMBER(M33)),IF(J33+M33=1,1,0),"")</f>
        <v/>
      </c>
      <c r="AY33" s="48">
        <f>AU33*100+AV33</f>
        <v>301</v>
      </c>
      <c r="AZ33" s="48">
        <f>AV33*100+AU33</f>
        <v>103</v>
      </c>
      <c r="BA33" s="6">
        <f t="shared" si="34"/>
        <v>0</v>
      </c>
      <c r="BB33" s="6">
        <f t="shared" si="34"/>
        <v>0</v>
      </c>
      <c r="BC33" s="6" t="e">
        <f>J33*BB33</f>
        <v>#VALUE!</v>
      </c>
      <c r="BD33" s="6" t="e">
        <f>M33*BA33</f>
        <v>#VALUE!</v>
      </c>
    </row>
    <row r="34" spans="2:56" x14ac:dyDescent="0.25">
      <c r="B34" s="6">
        <v>3</v>
      </c>
      <c r="C34" s="6" t="str">
        <f>VLOOKUP(AU34,$B$4:$F$13,2,FALSE)</f>
        <v>D</v>
      </c>
      <c r="D34" s="46" t="s">
        <v>5</v>
      </c>
      <c r="E34" s="90" t="str">
        <f>VLOOKUP(AV34,$B$4:$F$13,2,FALSE)</f>
        <v>I</v>
      </c>
      <c r="F34" s="90"/>
      <c r="G34" s="90"/>
      <c r="H34" s="90"/>
      <c r="J34" s="90" t="str">
        <f>IF(T34="","",VLOOKUP(T34,Configuratie!$B$2:$E$11,3,FALSE))</f>
        <v/>
      </c>
      <c r="K34" s="90"/>
      <c r="L34" s="6" t="s">
        <v>5</v>
      </c>
      <c r="M34" s="90" t="str">
        <f>IF(T34="","",VLOOKUP(T34,Configuratie!$B$2:$E$11,4,FALSE))</f>
        <v/>
      </c>
      <c r="N34" s="90"/>
      <c r="R34" s="6" t="str">
        <f>IF(T34="","",VLOOKUP(T34,Configuratie!$B$2:$E$11,2,FALSE))</f>
        <v/>
      </c>
      <c r="S34" s="61"/>
      <c r="T34" s="5"/>
      <c r="AT34" s="6">
        <v>3</v>
      </c>
      <c r="AU34" s="6">
        <v>4</v>
      </c>
      <c r="AV34" s="6">
        <v>9</v>
      </c>
      <c r="AW34" s="6" t="str">
        <f t="shared" si="35"/>
        <v/>
      </c>
      <c r="AY34" s="48">
        <f>AU34*100+AV34</f>
        <v>409</v>
      </c>
      <c r="AZ34" s="48">
        <f>AV34*100+AU34</f>
        <v>904</v>
      </c>
      <c r="BA34" s="6">
        <f t="shared" si="34"/>
        <v>0</v>
      </c>
      <c r="BB34" s="6">
        <f t="shared" si="34"/>
        <v>0</v>
      </c>
      <c r="BC34" s="6" t="e">
        <f>J34*BB34</f>
        <v>#VALUE!</v>
      </c>
      <c r="BD34" s="6" t="e">
        <f>M34*BA34</f>
        <v>#VALUE!</v>
      </c>
    </row>
    <row r="35" spans="2:56" x14ac:dyDescent="0.25">
      <c r="B35" s="6">
        <v>4</v>
      </c>
      <c r="C35" s="6" t="str">
        <f>VLOOKUP(AU35,$B$4:$F$13,2,FALSE)</f>
        <v>E</v>
      </c>
      <c r="D35" s="46" t="s">
        <v>5</v>
      </c>
      <c r="E35" s="90" t="str">
        <f>VLOOKUP(AV35,$B$4:$F$13,2,FALSE)</f>
        <v>H</v>
      </c>
      <c r="F35" s="90"/>
      <c r="G35" s="90"/>
      <c r="H35" s="90"/>
      <c r="J35" s="90" t="str">
        <f>IF(T35="","",VLOOKUP(T35,Configuratie!$B$2:$E$11,3,FALSE))</f>
        <v/>
      </c>
      <c r="K35" s="90"/>
      <c r="L35" s="6" t="s">
        <v>5</v>
      </c>
      <c r="M35" s="90" t="str">
        <f>IF(T35="","",VLOOKUP(T35,Configuratie!$B$2:$E$11,4,FALSE))</f>
        <v/>
      </c>
      <c r="N35" s="90"/>
      <c r="R35" s="6" t="str">
        <f>IF(T35="","",VLOOKUP(T35,Configuratie!$B$2:$E$11,2,FALSE))</f>
        <v/>
      </c>
      <c r="S35" s="61"/>
      <c r="T35" s="5"/>
      <c r="AT35" s="6">
        <v>3</v>
      </c>
      <c r="AU35" s="6">
        <v>5</v>
      </c>
      <c r="AV35" s="6">
        <v>8</v>
      </c>
      <c r="AW35" s="6" t="str">
        <f t="shared" si="35"/>
        <v/>
      </c>
      <c r="AY35" s="48">
        <f>AU35*100+AV35</f>
        <v>508</v>
      </c>
      <c r="AZ35" s="48">
        <f>AV35*100+AU35</f>
        <v>805</v>
      </c>
      <c r="BA35" s="6">
        <f t="shared" si="34"/>
        <v>0</v>
      </c>
      <c r="BB35" s="6">
        <f t="shared" si="34"/>
        <v>0</v>
      </c>
      <c r="BC35" s="6" t="e">
        <f>J35*BB35</f>
        <v>#VALUE!</v>
      </c>
      <c r="BD35" s="6" t="e">
        <f>M35*BA35</f>
        <v>#VALUE!</v>
      </c>
    </row>
    <row r="36" spans="2:56" x14ac:dyDescent="0.25">
      <c r="B36" s="6">
        <v>5</v>
      </c>
      <c r="C36" s="6" t="str">
        <f>VLOOKUP(AU36,$B$4:$F$13,2,FALSE)</f>
        <v>F</v>
      </c>
      <c r="D36" s="46" t="s">
        <v>5</v>
      </c>
      <c r="E36" s="90" t="str">
        <f>VLOOKUP(AV36,$B$4:$F$13,2,FALSE)</f>
        <v>G</v>
      </c>
      <c r="F36" s="90"/>
      <c r="G36" s="90"/>
      <c r="H36" s="90"/>
      <c r="J36" s="90" t="str">
        <f>IF(T36="","",VLOOKUP(T36,Configuratie!$B$2:$E$11,3,FALSE))</f>
        <v/>
      </c>
      <c r="K36" s="90"/>
      <c r="L36" s="6" t="s">
        <v>5</v>
      </c>
      <c r="M36" s="90" t="str">
        <f>IF(T36="","",VLOOKUP(T36,Configuratie!$B$2:$E$11,4,FALSE))</f>
        <v/>
      </c>
      <c r="N36" s="90"/>
      <c r="R36" s="6" t="str">
        <f>IF(T36="","",VLOOKUP(T36,Configuratie!$B$2:$E$11,2,FALSE))</f>
        <v/>
      </c>
      <c r="S36" s="61"/>
      <c r="T36" s="5"/>
      <c r="AT36" s="6">
        <v>3</v>
      </c>
      <c r="AU36" s="6">
        <v>6</v>
      </c>
      <c r="AV36" s="6">
        <v>7</v>
      </c>
      <c r="AW36" s="6" t="str">
        <f t="shared" si="35"/>
        <v/>
      </c>
      <c r="AY36" s="48">
        <f>AU36*100+AV36</f>
        <v>607</v>
      </c>
      <c r="AZ36" s="48">
        <f>AV36*100+AU36</f>
        <v>706</v>
      </c>
      <c r="BA36" s="6">
        <f t="shared" si="34"/>
        <v>0</v>
      </c>
      <c r="BB36" s="6">
        <f t="shared" si="34"/>
        <v>0</v>
      </c>
      <c r="BC36" s="6" t="e">
        <f>J36*BB36</f>
        <v>#VALUE!</v>
      </c>
      <c r="BD36" s="6" t="e">
        <f>M36*BA36</f>
        <v>#VALUE!</v>
      </c>
    </row>
    <row r="37" spans="2:56" ht="3" customHeight="1" x14ac:dyDescent="0.25">
      <c r="B37" s="11"/>
      <c r="C37" s="11"/>
      <c r="D37" s="11"/>
      <c r="E37" s="11"/>
      <c r="F37" s="11"/>
      <c r="G37" s="11"/>
      <c r="H37" s="11"/>
      <c r="I37" s="11"/>
      <c r="J37" s="11"/>
      <c r="K37" s="11"/>
      <c r="L37" s="11"/>
      <c r="M37" s="11"/>
      <c r="N37" s="11"/>
      <c r="O37" s="11"/>
      <c r="P37" s="11"/>
      <c r="Q37" s="11"/>
      <c r="R37" s="11"/>
      <c r="S37" s="11"/>
      <c r="T37" s="11"/>
      <c r="AW37" s="6" t="str">
        <f t="shared" si="35"/>
        <v/>
      </c>
      <c r="AY37" s="42"/>
      <c r="AZ37" s="42"/>
    </row>
    <row r="38" spans="2:56" x14ac:dyDescent="0.25">
      <c r="B38" s="45" t="s">
        <v>11</v>
      </c>
      <c r="AY38" s="42"/>
      <c r="AZ38" s="42"/>
    </row>
    <row r="39" spans="2:56" x14ac:dyDescent="0.25">
      <c r="B39" s="6">
        <v>1</v>
      </c>
      <c r="C39" s="6" t="str">
        <f>VLOOKUP(AU39,$B$4:$F$13,2,FALSE)</f>
        <v>J</v>
      </c>
      <c r="D39" s="46" t="s">
        <v>5</v>
      </c>
      <c r="E39" s="90" t="str">
        <f>VLOOKUP(AV39,$B$4:$F$13,2,FALSE)</f>
        <v>G</v>
      </c>
      <c r="F39" s="90"/>
      <c r="G39" s="90"/>
      <c r="H39" s="90"/>
      <c r="J39" s="90" t="str">
        <f>IF(T39="","",VLOOKUP(T39,Configuratie!$B$2:$E$11,3,FALSE))</f>
        <v/>
      </c>
      <c r="K39" s="90"/>
      <c r="L39" s="6" t="s">
        <v>5</v>
      </c>
      <c r="M39" s="90" t="str">
        <f>IF(T39="","",VLOOKUP(T39,Configuratie!$B$2:$E$11,4,FALSE))</f>
        <v/>
      </c>
      <c r="N39" s="90"/>
      <c r="R39" s="6" t="str">
        <f>IF(T39="","",VLOOKUP(T39,Configuratie!$B$2:$E$11,2,FALSE))</f>
        <v/>
      </c>
      <c r="S39" s="61"/>
      <c r="T39" s="5"/>
      <c r="AT39" s="6">
        <v>4</v>
      </c>
      <c r="AU39" s="6">
        <v>10</v>
      </c>
      <c r="AV39" s="6">
        <v>7</v>
      </c>
      <c r="AW39" s="6" t="str">
        <f>IF(AND(ISNUMBER(J39),ISNUMBER(M39)),IF(J39+M39=1,1,0),"")</f>
        <v/>
      </c>
      <c r="AY39" s="48">
        <f>AU39*100+AV39</f>
        <v>1007</v>
      </c>
      <c r="AZ39" s="48">
        <f>AV39*100+AU39</f>
        <v>710</v>
      </c>
      <c r="BA39" s="6">
        <f t="shared" ref="BA39:BB43" si="36">VLOOKUP(AU39,$BJ$3:$BS$13,$AT39,FALSE)</f>
        <v>0</v>
      </c>
      <c r="BB39" s="6">
        <f t="shared" si="36"/>
        <v>0</v>
      </c>
      <c r="BC39" s="6" t="e">
        <f>J39*BB39</f>
        <v>#VALUE!</v>
      </c>
      <c r="BD39" s="6" t="e">
        <f>M39*BA39</f>
        <v>#VALUE!</v>
      </c>
    </row>
    <row r="40" spans="2:56" x14ac:dyDescent="0.25">
      <c r="B40" s="6">
        <v>2</v>
      </c>
      <c r="C40" s="6" t="str">
        <f>VLOOKUP(AU40,$B$4:$F$13,2,FALSE)</f>
        <v>H</v>
      </c>
      <c r="D40" s="46" t="s">
        <v>5</v>
      </c>
      <c r="E40" s="90" t="str">
        <f>VLOOKUP(AV40,$B$4:$F$13,2,FALSE)</f>
        <v>F</v>
      </c>
      <c r="F40" s="90"/>
      <c r="G40" s="90"/>
      <c r="H40" s="90"/>
      <c r="J40" s="90" t="str">
        <f>IF(T40="","",VLOOKUP(T40,Configuratie!$B$2:$E$11,3,FALSE))</f>
        <v/>
      </c>
      <c r="K40" s="90"/>
      <c r="L40" s="6" t="s">
        <v>5</v>
      </c>
      <c r="M40" s="90" t="str">
        <f>IF(T40="","",VLOOKUP(T40,Configuratie!$B$2:$E$11,4,FALSE))</f>
        <v/>
      </c>
      <c r="N40" s="90"/>
      <c r="R40" s="6" t="str">
        <f>IF(T40="","",VLOOKUP(T40,Configuratie!$B$2:$E$11,2,FALSE))</f>
        <v/>
      </c>
      <c r="S40" s="61"/>
      <c r="T40" s="5"/>
      <c r="AT40" s="6">
        <v>4</v>
      </c>
      <c r="AU40" s="6">
        <v>8</v>
      </c>
      <c r="AV40" s="6">
        <v>6</v>
      </c>
      <c r="AW40" s="6" t="str">
        <f t="shared" ref="AW40:AW44" si="37">IF(AND(ISNUMBER(J40),ISNUMBER(M40)),IF(J40+M40=1,1,0),"")</f>
        <v/>
      </c>
      <c r="AY40" s="48">
        <f>AU40*100+AV40</f>
        <v>806</v>
      </c>
      <c r="AZ40" s="48">
        <f>AV40*100+AU40</f>
        <v>608</v>
      </c>
      <c r="BA40" s="6">
        <f t="shared" si="36"/>
        <v>0</v>
      </c>
      <c r="BB40" s="6">
        <f t="shared" si="36"/>
        <v>0</v>
      </c>
      <c r="BC40" s="6" t="e">
        <f>J40*BB40</f>
        <v>#VALUE!</v>
      </c>
      <c r="BD40" s="6" t="e">
        <f>M40*BA40</f>
        <v>#VALUE!</v>
      </c>
    </row>
    <row r="41" spans="2:56" x14ac:dyDescent="0.25">
      <c r="B41" s="6">
        <v>3</v>
      </c>
      <c r="C41" s="6" t="str">
        <f>VLOOKUP(AU41,$B$4:$F$13,2,FALSE)</f>
        <v>I</v>
      </c>
      <c r="D41" s="46" t="s">
        <v>5</v>
      </c>
      <c r="E41" s="90" t="str">
        <f>VLOOKUP(AV41,$B$4:$F$13,2,FALSE)</f>
        <v>E</v>
      </c>
      <c r="F41" s="90"/>
      <c r="G41" s="90"/>
      <c r="H41" s="90"/>
      <c r="J41" s="90" t="str">
        <f>IF(T41="","",VLOOKUP(T41,Configuratie!$B$2:$E$11,3,FALSE))</f>
        <v/>
      </c>
      <c r="K41" s="90"/>
      <c r="L41" s="6" t="s">
        <v>5</v>
      </c>
      <c r="M41" s="90" t="str">
        <f>IF(T41="","",VLOOKUP(T41,Configuratie!$B$2:$E$11,4,FALSE))</f>
        <v/>
      </c>
      <c r="N41" s="90"/>
      <c r="R41" s="6" t="str">
        <f>IF(T41="","",VLOOKUP(T41,Configuratie!$B$2:$E$11,2,FALSE))</f>
        <v/>
      </c>
      <c r="S41" s="61"/>
      <c r="T41" s="5"/>
      <c r="AT41" s="6">
        <v>4</v>
      </c>
      <c r="AU41" s="6">
        <v>9</v>
      </c>
      <c r="AV41" s="6">
        <v>5</v>
      </c>
      <c r="AW41" s="6" t="str">
        <f t="shared" si="37"/>
        <v/>
      </c>
      <c r="AY41" s="48">
        <f>AU41*100+AV41</f>
        <v>905</v>
      </c>
      <c r="AZ41" s="48">
        <f>AV41*100+AU41</f>
        <v>509</v>
      </c>
      <c r="BA41" s="6">
        <f t="shared" si="36"/>
        <v>0</v>
      </c>
      <c r="BB41" s="6">
        <f t="shared" si="36"/>
        <v>0</v>
      </c>
      <c r="BC41" s="6" t="e">
        <f>J41*BB41</f>
        <v>#VALUE!</v>
      </c>
      <c r="BD41" s="6" t="e">
        <f>M41*BA41</f>
        <v>#VALUE!</v>
      </c>
    </row>
    <row r="42" spans="2:56" x14ac:dyDescent="0.25">
      <c r="B42" s="6">
        <v>4</v>
      </c>
      <c r="C42" s="6" t="str">
        <f>VLOOKUP(AU42,$B$4:$F$13,2,FALSE)</f>
        <v>A</v>
      </c>
      <c r="D42" s="46" t="s">
        <v>5</v>
      </c>
      <c r="E42" s="90" t="str">
        <f>VLOOKUP(AV42,$B$4:$F$13,2,FALSE)</f>
        <v>D</v>
      </c>
      <c r="F42" s="90"/>
      <c r="G42" s="90"/>
      <c r="H42" s="90"/>
      <c r="J42" s="90" t="str">
        <f>IF(T42="","",VLOOKUP(T42,Configuratie!$B$2:$E$11,3,FALSE))</f>
        <v/>
      </c>
      <c r="K42" s="90"/>
      <c r="L42" s="6" t="s">
        <v>5</v>
      </c>
      <c r="M42" s="90" t="str">
        <f>IF(T42="","",VLOOKUP(T42,Configuratie!$B$2:$E$11,4,FALSE))</f>
        <v/>
      </c>
      <c r="N42" s="90"/>
      <c r="R42" s="6" t="str">
        <f>IF(T42="","",VLOOKUP(T42,Configuratie!$B$2:$E$11,2,FALSE))</f>
        <v/>
      </c>
      <c r="S42" s="61"/>
      <c r="T42" s="5"/>
      <c r="AT42" s="6">
        <v>4</v>
      </c>
      <c r="AU42" s="6">
        <v>1</v>
      </c>
      <c r="AV42" s="6">
        <v>4</v>
      </c>
      <c r="AW42" s="6" t="str">
        <f t="shared" si="37"/>
        <v/>
      </c>
      <c r="AY42" s="48">
        <f>AU42*100+AV42</f>
        <v>104</v>
      </c>
      <c r="AZ42" s="48">
        <f>AV42*100+AU42</f>
        <v>401</v>
      </c>
      <c r="BA42" s="6">
        <f t="shared" si="36"/>
        <v>0</v>
      </c>
      <c r="BB42" s="6">
        <f t="shared" si="36"/>
        <v>0</v>
      </c>
      <c r="BC42" s="6" t="e">
        <f>J42*BB42</f>
        <v>#VALUE!</v>
      </c>
      <c r="BD42" s="6" t="e">
        <f>M42*BA42</f>
        <v>#VALUE!</v>
      </c>
    </row>
    <row r="43" spans="2:56" x14ac:dyDescent="0.25">
      <c r="B43" s="6">
        <v>5</v>
      </c>
      <c r="C43" s="6" t="str">
        <f>VLOOKUP(AU43,$B$4:$F$13,2,FALSE)</f>
        <v>B</v>
      </c>
      <c r="D43" s="46" t="s">
        <v>5</v>
      </c>
      <c r="E43" s="90" t="str">
        <f>VLOOKUP(AV43,$B$4:$F$13,2,FALSE)</f>
        <v>C</v>
      </c>
      <c r="F43" s="90"/>
      <c r="G43" s="90"/>
      <c r="H43" s="90"/>
      <c r="J43" s="90" t="str">
        <f>IF(T43="","",VLOOKUP(T43,Configuratie!$B$2:$E$11,3,FALSE))</f>
        <v/>
      </c>
      <c r="K43" s="90"/>
      <c r="L43" s="6" t="s">
        <v>5</v>
      </c>
      <c r="M43" s="90" t="str">
        <f>IF(T43="","",VLOOKUP(T43,Configuratie!$B$2:$E$11,4,FALSE))</f>
        <v/>
      </c>
      <c r="N43" s="90"/>
      <c r="R43" s="6" t="str">
        <f>IF(T43="","",VLOOKUP(T43,Configuratie!$B$2:$E$11,2,FALSE))</f>
        <v/>
      </c>
      <c r="S43" s="61"/>
      <c r="T43" s="5"/>
      <c r="AT43" s="6">
        <v>4</v>
      </c>
      <c r="AU43" s="6">
        <v>2</v>
      </c>
      <c r="AV43" s="6">
        <v>3</v>
      </c>
      <c r="AW43" s="6" t="str">
        <f t="shared" si="37"/>
        <v/>
      </c>
      <c r="AY43" s="48">
        <f>AU43*100+AV43</f>
        <v>203</v>
      </c>
      <c r="AZ43" s="48">
        <f>AV43*100+AU43</f>
        <v>302</v>
      </c>
      <c r="BA43" s="6">
        <f t="shared" si="36"/>
        <v>0</v>
      </c>
      <c r="BB43" s="6">
        <f t="shared" si="36"/>
        <v>0</v>
      </c>
      <c r="BC43" s="6" t="e">
        <f>J43*BB43</f>
        <v>#VALUE!</v>
      </c>
      <c r="BD43" s="6" t="e">
        <f>M43*BA43</f>
        <v>#VALUE!</v>
      </c>
    </row>
    <row r="44" spans="2:56" ht="3" customHeight="1" x14ac:dyDescent="0.25">
      <c r="B44" s="11"/>
      <c r="C44" s="11"/>
      <c r="D44" s="11"/>
      <c r="E44" s="11"/>
      <c r="F44" s="11"/>
      <c r="G44" s="11"/>
      <c r="H44" s="11"/>
      <c r="I44" s="11"/>
      <c r="J44" s="11"/>
      <c r="K44" s="11"/>
      <c r="L44" s="11"/>
      <c r="M44" s="11"/>
      <c r="N44" s="11"/>
      <c r="O44" s="11"/>
      <c r="P44" s="11"/>
      <c r="Q44" s="11"/>
      <c r="R44" s="11"/>
      <c r="S44" s="11"/>
      <c r="T44" s="11"/>
      <c r="AW44" s="6" t="str">
        <f t="shared" si="37"/>
        <v/>
      </c>
      <c r="AY44" s="42"/>
      <c r="AZ44" s="42"/>
    </row>
    <row r="45" spans="2:56" x14ac:dyDescent="0.25">
      <c r="B45" s="45" t="s">
        <v>12</v>
      </c>
      <c r="AY45" s="42"/>
      <c r="AZ45" s="42"/>
    </row>
    <row r="46" spans="2:56" x14ac:dyDescent="0.25">
      <c r="B46" s="6">
        <v>1</v>
      </c>
      <c r="C46" s="6" t="str">
        <f>VLOOKUP(AU46,$B$4:$F$13,2,FALSE)</f>
        <v>C</v>
      </c>
      <c r="D46" s="46" t="s">
        <v>5</v>
      </c>
      <c r="E46" s="90" t="str">
        <f>VLOOKUP(AV46,$B$4:$F$13,2,FALSE)</f>
        <v>J</v>
      </c>
      <c r="F46" s="90"/>
      <c r="G46" s="90"/>
      <c r="H46" s="90"/>
      <c r="J46" s="90" t="str">
        <f>IF(T46="","",VLOOKUP(T46,Configuratie!$B$2:$E$11,3,FALSE))</f>
        <v/>
      </c>
      <c r="K46" s="90"/>
      <c r="L46" s="6" t="s">
        <v>5</v>
      </c>
      <c r="M46" s="90" t="str">
        <f>IF(T46="","",VLOOKUP(T46,Configuratie!$B$2:$E$11,4,FALSE))</f>
        <v/>
      </c>
      <c r="N46" s="90"/>
      <c r="R46" s="6" t="str">
        <f>IF(T46="","",VLOOKUP(T46,Configuratie!$B$2:$E$11,2,FALSE))</f>
        <v/>
      </c>
      <c r="S46" s="61"/>
      <c r="T46" s="5"/>
      <c r="AT46" s="6">
        <v>5</v>
      </c>
      <c r="AU46" s="6">
        <v>3</v>
      </c>
      <c r="AV46" s="6">
        <v>10</v>
      </c>
      <c r="AW46" s="6" t="str">
        <f>IF(AND(ISNUMBER(J46),ISNUMBER(M46)),IF(J46+M46=1,1,0),"")</f>
        <v/>
      </c>
      <c r="AY46" s="48">
        <f>AU46*100+AV46</f>
        <v>310</v>
      </c>
      <c r="AZ46" s="48">
        <f>AV46*100+AU46</f>
        <v>1003</v>
      </c>
      <c r="BA46" s="6">
        <f t="shared" ref="BA46:BB50" si="38">VLOOKUP(AU46,$BJ$3:$BS$13,$AT46,FALSE)</f>
        <v>0</v>
      </c>
      <c r="BB46" s="6">
        <f t="shared" si="38"/>
        <v>0</v>
      </c>
      <c r="BC46" s="6" t="e">
        <f>J46*BB46</f>
        <v>#VALUE!</v>
      </c>
      <c r="BD46" s="6" t="e">
        <f>M46*BA46</f>
        <v>#VALUE!</v>
      </c>
    </row>
    <row r="47" spans="2:56" x14ac:dyDescent="0.25">
      <c r="B47" s="6">
        <v>2</v>
      </c>
      <c r="C47" s="6" t="str">
        <f>VLOOKUP(AU47,$B$4:$F$13,2,FALSE)</f>
        <v>D</v>
      </c>
      <c r="D47" s="46" t="s">
        <v>5</v>
      </c>
      <c r="E47" s="90" t="str">
        <f>VLOOKUP(AV47,$B$4:$F$13,2,FALSE)</f>
        <v>B</v>
      </c>
      <c r="F47" s="90"/>
      <c r="G47" s="90"/>
      <c r="H47" s="90"/>
      <c r="J47" s="90" t="str">
        <f>IF(T47="","",VLOOKUP(T47,Configuratie!$B$2:$E$11,3,FALSE))</f>
        <v/>
      </c>
      <c r="K47" s="90"/>
      <c r="L47" s="6" t="s">
        <v>5</v>
      </c>
      <c r="M47" s="90" t="str">
        <f>IF(T47="","",VLOOKUP(T47,Configuratie!$B$2:$E$11,4,FALSE))</f>
        <v/>
      </c>
      <c r="N47" s="90"/>
      <c r="R47" s="6" t="str">
        <f>IF(T47="","",VLOOKUP(T47,Configuratie!$B$2:$E$11,2,FALSE))</f>
        <v/>
      </c>
      <c r="S47" s="61"/>
      <c r="T47" s="5"/>
      <c r="AT47" s="6">
        <v>5</v>
      </c>
      <c r="AU47" s="6">
        <v>4</v>
      </c>
      <c r="AV47" s="6">
        <v>2</v>
      </c>
      <c r="AW47" s="6" t="str">
        <f t="shared" ref="AW47:AW51" si="39">IF(AND(ISNUMBER(J47),ISNUMBER(M47)),IF(J47+M47=1,1,0),"")</f>
        <v/>
      </c>
      <c r="AY47" s="48">
        <f>AU47*100+AV47</f>
        <v>402</v>
      </c>
      <c r="AZ47" s="48">
        <f>AV47*100+AU47</f>
        <v>204</v>
      </c>
      <c r="BA47" s="6">
        <f t="shared" si="38"/>
        <v>0</v>
      </c>
      <c r="BB47" s="6">
        <f t="shared" si="38"/>
        <v>0</v>
      </c>
      <c r="BC47" s="6" t="e">
        <f>J47*BB47</f>
        <v>#VALUE!</v>
      </c>
      <c r="BD47" s="6" t="e">
        <f>M47*BA47</f>
        <v>#VALUE!</v>
      </c>
    </row>
    <row r="48" spans="2:56" x14ac:dyDescent="0.25">
      <c r="B48" s="6">
        <v>3</v>
      </c>
      <c r="C48" s="6" t="str">
        <f>VLOOKUP(AU48,$B$4:$F$13,2,FALSE)</f>
        <v>E</v>
      </c>
      <c r="D48" s="46" t="s">
        <v>5</v>
      </c>
      <c r="E48" s="90" t="str">
        <f>VLOOKUP(AV48,$B$4:$F$13,2,FALSE)</f>
        <v>A</v>
      </c>
      <c r="F48" s="90"/>
      <c r="G48" s="90"/>
      <c r="H48" s="90"/>
      <c r="J48" s="90" t="str">
        <f>IF(T48="","",VLOOKUP(T48,Configuratie!$B$2:$E$11,3,FALSE))</f>
        <v/>
      </c>
      <c r="K48" s="90"/>
      <c r="L48" s="6" t="s">
        <v>5</v>
      </c>
      <c r="M48" s="90" t="str">
        <f>IF(T48="","",VLOOKUP(T48,Configuratie!$B$2:$E$11,4,FALSE))</f>
        <v/>
      </c>
      <c r="N48" s="90"/>
      <c r="R48" s="6" t="str">
        <f>IF(T48="","",VLOOKUP(T48,Configuratie!$B$2:$E$11,2,FALSE))</f>
        <v/>
      </c>
      <c r="S48" s="61"/>
      <c r="T48" s="5"/>
      <c r="AT48" s="6">
        <v>5</v>
      </c>
      <c r="AU48" s="6">
        <v>5</v>
      </c>
      <c r="AV48" s="6">
        <v>1</v>
      </c>
      <c r="AW48" s="6" t="str">
        <f t="shared" si="39"/>
        <v/>
      </c>
      <c r="AY48" s="48">
        <f>AU48*100+AV48</f>
        <v>501</v>
      </c>
      <c r="AZ48" s="48">
        <f>AV48*100+AU48</f>
        <v>105</v>
      </c>
      <c r="BA48" s="6">
        <f t="shared" si="38"/>
        <v>0</v>
      </c>
      <c r="BB48" s="6">
        <f t="shared" si="38"/>
        <v>0</v>
      </c>
      <c r="BC48" s="6" t="e">
        <f>J48*BB48</f>
        <v>#VALUE!</v>
      </c>
      <c r="BD48" s="6" t="e">
        <f>M48*BA48</f>
        <v>#VALUE!</v>
      </c>
    </row>
    <row r="49" spans="2:56" x14ac:dyDescent="0.25">
      <c r="B49" s="6">
        <v>4</v>
      </c>
      <c r="C49" s="6" t="str">
        <f>VLOOKUP(AU49,$B$4:$F$13,2,FALSE)</f>
        <v>F</v>
      </c>
      <c r="D49" s="46" t="s">
        <v>5</v>
      </c>
      <c r="E49" s="90" t="str">
        <f>VLOOKUP(AV49,$B$4:$F$13,2,FALSE)</f>
        <v>I</v>
      </c>
      <c r="F49" s="90"/>
      <c r="G49" s="90"/>
      <c r="H49" s="90"/>
      <c r="J49" s="90" t="str">
        <f>IF(T49="","",VLOOKUP(T49,Configuratie!$B$2:$E$11,3,FALSE))</f>
        <v/>
      </c>
      <c r="K49" s="90"/>
      <c r="L49" s="6" t="s">
        <v>5</v>
      </c>
      <c r="M49" s="90" t="str">
        <f>IF(T49="","",VLOOKUP(T49,Configuratie!$B$2:$E$11,4,FALSE))</f>
        <v/>
      </c>
      <c r="N49" s="90"/>
      <c r="R49" s="6" t="str">
        <f>IF(T49="","",VLOOKUP(T49,Configuratie!$B$2:$E$11,2,FALSE))</f>
        <v/>
      </c>
      <c r="S49" s="61"/>
      <c r="T49" s="5"/>
      <c r="AT49" s="6">
        <v>5</v>
      </c>
      <c r="AU49" s="6">
        <v>6</v>
      </c>
      <c r="AV49" s="6">
        <v>9</v>
      </c>
      <c r="AW49" s="6" t="str">
        <f t="shared" si="39"/>
        <v/>
      </c>
      <c r="AY49" s="48">
        <f>AU49*100+AV49</f>
        <v>609</v>
      </c>
      <c r="AZ49" s="48">
        <f>AV49*100+AU49</f>
        <v>906</v>
      </c>
      <c r="BA49" s="6">
        <f t="shared" si="38"/>
        <v>0</v>
      </c>
      <c r="BB49" s="6">
        <f t="shared" si="38"/>
        <v>0</v>
      </c>
      <c r="BC49" s="6" t="e">
        <f>J49*BB49</f>
        <v>#VALUE!</v>
      </c>
      <c r="BD49" s="6" t="e">
        <f>M49*BA49</f>
        <v>#VALUE!</v>
      </c>
    </row>
    <row r="50" spans="2:56" x14ac:dyDescent="0.25">
      <c r="B50" s="6">
        <v>5</v>
      </c>
      <c r="C50" s="6" t="str">
        <f>VLOOKUP(AU50,$B$4:$F$13,2,FALSE)</f>
        <v>G</v>
      </c>
      <c r="D50" s="46" t="s">
        <v>5</v>
      </c>
      <c r="E50" s="90" t="str">
        <f>VLOOKUP(AV50,$B$4:$F$13,2,FALSE)</f>
        <v>H</v>
      </c>
      <c r="F50" s="90"/>
      <c r="G50" s="90"/>
      <c r="H50" s="90"/>
      <c r="J50" s="90" t="str">
        <f>IF(T50="","",VLOOKUP(T50,Configuratie!$B$2:$E$11,3,FALSE))</f>
        <v/>
      </c>
      <c r="K50" s="90"/>
      <c r="L50" s="6" t="s">
        <v>5</v>
      </c>
      <c r="M50" s="90" t="str">
        <f>IF(T50="","",VLOOKUP(T50,Configuratie!$B$2:$E$11,4,FALSE))</f>
        <v/>
      </c>
      <c r="N50" s="90"/>
      <c r="R50" s="6" t="str">
        <f>IF(T50="","",VLOOKUP(T50,Configuratie!$B$2:$E$11,2,FALSE))</f>
        <v/>
      </c>
      <c r="S50" s="61"/>
      <c r="T50" s="5"/>
      <c r="AT50" s="6">
        <v>5</v>
      </c>
      <c r="AU50" s="6">
        <v>7</v>
      </c>
      <c r="AV50" s="6">
        <v>8</v>
      </c>
      <c r="AW50" s="6" t="str">
        <f t="shared" si="39"/>
        <v/>
      </c>
      <c r="AY50" s="48">
        <f>AU50*100+AV50</f>
        <v>708</v>
      </c>
      <c r="AZ50" s="48">
        <f>AV50*100+AU50</f>
        <v>807</v>
      </c>
      <c r="BA50" s="6">
        <f t="shared" si="38"/>
        <v>0</v>
      </c>
      <c r="BB50" s="6">
        <f t="shared" si="38"/>
        <v>0</v>
      </c>
      <c r="BC50" s="6" t="e">
        <f>J50*BB50</f>
        <v>#VALUE!</v>
      </c>
      <c r="BD50" s="6" t="e">
        <f>M50*BA50</f>
        <v>#VALUE!</v>
      </c>
    </row>
    <row r="51" spans="2:56" ht="3" customHeight="1" x14ac:dyDescent="0.25">
      <c r="B51" s="11"/>
      <c r="C51" s="11"/>
      <c r="D51" s="11"/>
      <c r="E51" s="11"/>
      <c r="F51" s="11"/>
      <c r="G51" s="11"/>
      <c r="H51" s="11"/>
      <c r="I51" s="11"/>
      <c r="J51" s="11"/>
      <c r="K51" s="11"/>
      <c r="L51" s="11"/>
      <c r="M51" s="11"/>
      <c r="N51" s="11"/>
      <c r="O51" s="11"/>
      <c r="P51" s="11"/>
      <c r="Q51" s="11"/>
      <c r="R51" s="11"/>
      <c r="S51" s="11"/>
      <c r="T51" s="11"/>
      <c r="AW51" s="6" t="str">
        <f t="shared" si="39"/>
        <v/>
      </c>
      <c r="AY51" s="42"/>
      <c r="AZ51" s="42"/>
    </row>
    <row r="52" spans="2:56" x14ac:dyDescent="0.25">
      <c r="B52" s="45" t="s">
        <v>13</v>
      </c>
      <c r="AY52" s="42"/>
      <c r="AZ52" s="42"/>
    </row>
    <row r="53" spans="2:56" x14ac:dyDescent="0.25">
      <c r="B53" s="6">
        <v>1</v>
      </c>
      <c r="C53" s="6" t="str">
        <f>VLOOKUP(AU53,$B$4:$F$13,2,FALSE)</f>
        <v>J</v>
      </c>
      <c r="D53" s="46" t="s">
        <v>5</v>
      </c>
      <c r="E53" s="90" t="str">
        <f>VLOOKUP(AV53,$B$4:$F$13,2,FALSE)</f>
        <v>H</v>
      </c>
      <c r="F53" s="90"/>
      <c r="G53" s="90"/>
      <c r="H53" s="90"/>
      <c r="J53" s="90" t="str">
        <f>IF(T53="","",VLOOKUP(T53,Configuratie!$B$2:$E$11,3,FALSE))</f>
        <v/>
      </c>
      <c r="K53" s="90"/>
      <c r="L53" s="6" t="s">
        <v>5</v>
      </c>
      <c r="M53" s="90" t="str">
        <f>IF(T53="","",VLOOKUP(T53,Configuratie!$B$2:$E$11,4,FALSE))</f>
        <v/>
      </c>
      <c r="N53" s="90"/>
      <c r="R53" s="6" t="str">
        <f>IF(T53="","",VLOOKUP(T53,Configuratie!$B$2:$E$11,2,FALSE))</f>
        <v/>
      </c>
      <c r="S53" s="61"/>
      <c r="T53" s="5"/>
      <c r="AT53" s="6">
        <v>6</v>
      </c>
      <c r="AU53" s="6">
        <v>10</v>
      </c>
      <c r="AV53" s="6">
        <v>8</v>
      </c>
      <c r="AW53" s="6" t="str">
        <f>IF(AND(ISNUMBER(J53),ISNUMBER(M53)),IF(J53+M53=1,1,0),"")</f>
        <v/>
      </c>
      <c r="AY53" s="48">
        <f>AU53*100+AV53</f>
        <v>1008</v>
      </c>
      <c r="AZ53" s="48">
        <f>AV53*100+AU53</f>
        <v>810</v>
      </c>
      <c r="BA53" s="6">
        <f t="shared" ref="BA53:BB57" si="40">VLOOKUP(AU53,$BJ$3:$BS$13,$AT53,FALSE)</f>
        <v>0</v>
      </c>
      <c r="BB53" s="6">
        <f t="shared" si="40"/>
        <v>0</v>
      </c>
      <c r="BC53" s="6" t="e">
        <f>J53*BB53</f>
        <v>#VALUE!</v>
      </c>
      <c r="BD53" s="6" t="e">
        <f>M53*BA53</f>
        <v>#VALUE!</v>
      </c>
    </row>
    <row r="54" spans="2:56" x14ac:dyDescent="0.25">
      <c r="B54" s="6">
        <v>2</v>
      </c>
      <c r="C54" s="6" t="str">
        <f>VLOOKUP(AU54,$B$4:$F$13,2,FALSE)</f>
        <v>I</v>
      </c>
      <c r="D54" s="46" t="s">
        <v>5</v>
      </c>
      <c r="E54" s="90" t="str">
        <f>VLOOKUP(AV54,$B$4:$F$13,2,FALSE)</f>
        <v>G</v>
      </c>
      <c r="F54" s="90"/>
      <c r="G54" s="90"/>
      <c r="H54" s="90"/>
      <c r="J54" s="90" t="str">
        <f>IF(T54="","",VLOOKUP(T54,Configuratie!$B$2:$E$11,3,FALSE))</f>
        <v/>
      </c>
      <c r="K54" s="90"/>
      <c r="L54" s="6" t="s">
        <v>5</v>
      </c>
      <c r="M54" s="90" t="str">
        <f>IF(T54="","",VLOOKUP(T54,Configuratie!$B$2:$E$11,4,FALSE))</f>
        <v/>
      </c>
      <c r="N54" s="90"/>
      <c r="R54" s="6" t="str">
        <f>IF(T54="","",VLOOKUP(T54,Configuratie!$B$2:$E$11,2,FALSE))</f>
        <v/>
      </c>
      <c r="S54" s="61"/>
      <c r="T54" s="5"/>
      <c r="AT54" s="6">
        <v>6</v>
      </c>
      <c r="AU54" s="6">
        <v>9</v>
      </c>
      <c r="AV54" s="6">
        <v>7</v>
      </c>
      <c r="AW54" s="6" t="str">
        <f t="shared" ref="AW54:AW58" si="41">IF(AND(ISNUMBER(J54),ISNUMBER(M54)),IF(J54+M54=1,1,0),"")</f>
        <v/>
      </c>
      <c r="AY54" s="48">
        <f>AU54*100+AV54</f>
        <v>907</v>
      </c>
      <c r="AZ54" s="48">
        <f>AV54*100+AU54</f>
        <v>709</v>
      </c>
      <c r="BA54" s="6">
        <f t="shared" si="40"/>
        <v>0</v>
      </c>
      <c r="BB54" s="6">
        <f t="shared" si="40"/>
        <v>0</v>
      </c>
      <c r="BC54" s="6" t="e">
        <f>J54*BB54</f>
        <v>#VALUE!</v>
      </c>
      <c r="BD54" s="6" t="e">
        <f>M54*BA54</f>
        <v>#VALUE!</v>
      </c>
    </row>
    <row r="55" spans="2:56" x14ac:dyDescent="0.25">
      <c r="B55" s="6">
        <v>3</v>
      </c>
      <c r="C55" s="6" t="str">
        <f>VLOOKUP(AU55,$B$4:$F$13,2,FALSE)</f>
        <v>A</v>
      </c>
      <c r="D55" s="46" t="s">
        <v>5</v>
      </c>
      <c r="E55" s="90" t="str">
        <f>VLOOKUP(AV55,$B$4:$F$13,2,FALSE)</f>
        <v>F</v>
      </c>
      <c r="F55" s="90"/>
      <c r="G55" s="90"/>
      <c r="H55" s="90"/>
      <c r="J55" s="90" t="str">
        <f>IF(T55="","",VLOOKUP(T55,Configuratie!$B$2:$E$11,3,FALSE))</f>
        <v/>
      </c>
      <c r="K55" s="90"/>
      <c r="L55" s="6" t="s">
        <v>5</v>
      </c>
      <c r="M55" s="90" t="str">
        <f>IF(T55="","",VLOOKUP(T55,Configuratie!$B$2:$E$11,4,FALSE))</f>
        <v/>
      </c>
      <c r="N55" s="90"/>
      <c r="R55" s="6" t="str">
        <f>IF(T55="","",VLOOKUP(T55,Configuratie!$B$2:$E$11,2,FALSE))</f>
        <v/>
      </c>
      <c r="S55" s="61"/>
      <c r="T55" s="5"/>
      <c r="AT55" s="6">
        <v>6</v>
      </c>
      <c r="AU55" s="6">
        <v>1</v>
      </c>
      <c r="AV55" s="6">
        <v>6</v>
      </c>
      <c r="AW55" s="6" t="str">
        <f t="shared" si="41"/>
        <v/>
      </c>
      <c r="AY55" s="48">
        <f>AU55*100+AV55</f>
        <v>106</v>
      </c>
      <c r="AZ55" s="48">
        <f>AV55*100+AU55</f>
        <v>601</v>
      </c>
      <c r="BA55" s="6">
        <f t="shared" si="40"/>
        <v>0</v>
      </c>
      <c r="BB55" s="6">
        <f t="shared" si="40"/>
        <v>0</v>
      </c>
      <c r="BC55" s="6" t="e">
        <f>J55*BB55</f>
        <v>#VALUE!</v>
      </c>
      <c r="BD55" s="6" t="e">
        <f>M55*BA55</f>
        <v>#VALUE!</v>
      </c>
    </row>
    <row r="56" spans="2:56" x14ac:dyDescent="0.25">
      <c r="B56" s="6">
        <v>4</v>
      </c>
      <c r="C56" s="6" t="str">
        <f>VLOOKUP(AU56,$B$4:$F$13,2,FALSE)</f>
        <v>B</v>
      </c>
      <c r="D56" s="46" t="s">
        <v>5</v>
      </c>
      <c r="E56" s="90" t="str">
        <f>VLOOKUP(AV56,$B$4:$F$13,2,FALSE)</f>
        <v>E</v>
      </c>
      <c r="F56" s="90"/>
      <c r="G56" s="90"/>
      <c r="H56" s="90"/>
      <c r="J56" s="90" t="str">
        <f>IF(T56="","",VLOOKUP(T56,Configuratie!$B$2:$E$11,3,FALSE))</f>
        <v/>
      </c>
      <c r="K56" s="90"/>
      <c r="L56" s="6" t="s">
        <v>5</v>
      </c>
      <c r="M56" s="90" t="str">
        <f>IF(T56="","",VLOOKUP(T56,Configuratie!$B$2:$E$11,4,FALSE))</f>
        <v/>
      </c>
      <c r="N56" s="90"/>
      <c r="R56" s="6" t="str">
        <f>IF(T56="","",VLOOKUP(T56,Configuratie!$B$2:$E$11,2,FALSE))</f>
        <v/>
      </c>
      <c r="S56" s="61"/>
      <c r="T56" s="5"/>
      <c r="AT56" s="6">
        <v>6</v>
      </c>
      <c r="AU56" s="6">
        <v>2</v>
      </c>
      <c r="AV56" s="6">
        <v>5</v>
      </c>
      <c r="AW56" s="6" t="str">
        <f t="shared" si="41"/>
        <v/>
      </c>
      <c r="AY56" s="48">
        <f>AU56*100+AV56</f>
        <v>205</v>
      </c>
      <c r="AZ56" s="48">
        <f>AV56*100+AU56</f>
        <v>502</v>
      </c>
      <c r="BA56" s="6">
        <f t="shared" si="40"/>
        <v>0</v>
      </c>
      <c r="BB56" s="6">
        <f t="shared" si="40"/>
        <v>0</v>
      </c>
      <c r="BC56" s="6" t="e">
        <f>J56*BB56</f>
        <v>#VALUE!</v>
      </c>
      <c r="BD56" s="6" t="e">
        <f>M56*BA56</f>
        <v>#VALUE!</v>
      </c>
    </row>
    <row r="57" spans="2:56" x14ac:dyDescent="0.25">
      <c r="B57" s="6">
        <v>5</v>
      </c>
      <c r="C57" s="6" t="str">
        <f>VLOOKUP(AU57,$B$4:$F$13,2,FALSE)</f>
        <v>C</v>
      </c>
      <c r="D57" s="46" t="s">
        <v>5</v>
      </c>
      <c r="E57" s="90" t="str">
        <f>VLOOKUP(AV57,$B$4:$F$13,2,FALSE)</f>
        <v>D</v>
      </c>
      <c r="F57" s="90"/>
      <c r="G57" s="90"/>
      <c r="H57" s="90"/>
      <c r="J57" s="90" t="str">
        <f>IF(T57="","",VLOOKUP(T57,Configuratie!$B$2:$E$11,3,FALSE))</f>
        <v/>
      </c>
      <c r="K57" s="90"/>
      <c r="L57" s="6" t="s">
        <v>5</v>
      </c>
      <c r="M57" s="90" t="str">
        <f>IF(T57="","",VLOOKUP(T57,Configuratie!$B$2:$E$11,4,FALSE))</f>
        <v/>
      </c>
      <c r="N57" s="90"/>
      <c r="R57" s="6" t="str">
        <f>IF(T57="","",VLOOKUP(T57,Configuratie!$B$2:$E$11,2,FALSE))</f>
        <v/>
      </c>
      <c r="S57" s="61"/>
      <c r="T57" s="5"/>
      <c r="AT57" s="6">
        <v>6</v>
      </c>
      <c r="AU57" s="6">
        <v>3</v>
      </c>
      <c r="AV57" s="6">
        <v>4</v>
      </c>
      <c r="AW57" s="6" t="str">
        <f t="shared" si="41"/>
        <v/>
      </c>
      <c r="AY57" s="48">
        <f>AU57*100+AV57</f>
        <v>304</v>
      </c>
      <c r="AZ57" s="48">
        <f>AV57*100+AU57</f>
        <v>403</v>
      </c>
      <c r="BA57" s="6">
        <f t="shared" si="40"/>
        <v>0</v>
      </c>
      <c r="BB57" s="6">
        <f t="shared" si="40"/>
        <v>0</v>
      </c>
      <c r="BC57" s="6" t="e">
        <f>J57*BB57</f>
        <v>#VALUE!</v>
      </c>
      <c r="BD57" s="6" t="e">
        <f>M57*BA57</f>
        <v>#VALUE!</v>
      </c>
    </row>
    <row r="58" spans="2:56" ht="3" customHeight="1" x14ac:dyDescent="0.25">
      <c r="B58" s="11"/>
      <c r="C58" s="11"/>
      <c r="D58" s="11"/>
      <c r="E58" s="11"/>
      <c r="F58" s="11"/>
      <c r="G58" s="11"/>
      <c r="H58" s="11"/>
      <c r="I58" s="11"/>
      <c r="J58" s="11"/>
      <c r="K58" s="11"/>
      <c r="L58" s="11"/>
      <c r="M58" s="11"/>
      <c r="N58" s="11"/>
      <c r="O58" s="11"/>
      <c r="P58" s="11"/>
      <c r="Q58" s="11"/>
      <c r="R58" s="11"/>
      <c r="S58" s="11"/>
      <c r="T58" s="11"/>
      <c r="AW58" s="6" t="str">
        <f t="shared" si="41"/>
        <v/>
      </c>
      <c r="AY58" s="42"/>
      <c r="AZ58" s="42"/>
    </row>
    <row r="59" spans="2:56" x14ac:dyDescent="0.25">
      <c r="B59" s="45" t="s">
        <v>14</v>
      </c>
      <c r="AY59" s="42"/>
      <c r="AZ59" s="42"/>
    </row>
    <row r="60" spans="2:56" x14ac:dyDescent="0.25">
      <c r="B60" s="6">
        <v>1</v>
      </c>
      <c r="C60" s="6" t="str">
        <f>VLOOKUP(AU60,$B$4:$F$13,2,FALSE)</f>
        <v>D</v>
      </c>
      <c r="D60" s="46" t="s">
        <v>5</v>
      </c>
      <c r="E60" s="90" t="str">
        <f>VLOOKUP(AV60,$B$4:$F$13,2,FALSE)</f>
        <v>J</v>
      </c>
      <c r="F60" s="90"/>
      <c r="G60" s="90"/>
      <c r="H60" s="90"/>
      <c r="J60" s="90" t="str">
        <f>IF(T60="","",VLOOKUP(T60,Configuratie!$B$2:$E$11,3,FALSE))</f>
        <v/>
      </c>
      <c r="K60" s="90"/>
      <c r="L60" s="6" t="s">
        <v>5</v>
      </c>
      <c r="M60" s="90" t="str">
        <f>IF(T60="","",VLOOKUP(T60,Configuratie!$B$2:$E$11,4,FALSE))</f>
        <v/>
      </c>
      <c r="N60" s="90"/>
      <c r="R60" s="6" t="str">
        <f>IF(T60="","",VLOOKUP(T60,Configuratie!$B$2:$E$11,2,FALSE))</f>
        <v/>
      </c>
      <c r="S60" s="61"/>
      <c r="T60" s="5"/>
      <c r="AT60" s="6">
        <v>7</v>
      </c>
      <c r="AU60" s="6">
        <v>4</v>
      </c>
      <c r="AV60" s="6">
        <v>10</v>
      </c>
      <c r="AW60" s="6" t="str">
        <f>IF(AND(ISNUMBER(J60),ISNUMBER(M60)),IF(J60+M60=1,1,0),"")</f>
        <v/>
      </c>
      <c r="AY60" s="48">
        <f>AU60*100+AV60</f>
        <v>410</v>
      </c>
      <c r="AZ60" s="48">
        <f>AV60*100+AU60</f>
        <v>1004</v>
      </c>
      <c r="BA60" s="6">
        <f t="shared" ref="BA60:BB64" si="42">VLOOKUP(AU60,$BJ$3:$BS$13,$AT60,FALSE)</f>
        <v>0</v>
      </c>
      <c r="BB60" s="6">
        <f t="shared" si="42"/>
        <v>0</v>
      </c>
      <c r="BC60" s="6" t="e">
        <f>J60*BB60</f>
        <v>#VALUE!</v>
      </c>
      <c r="BD60" s="6" t="e">
        <f>M60*BA60</f>
        <v>#VALUE!</v>
      </c>
    </row>
    <row r="61" spans="2:56" x14ac:dyDescent="0.25">
      <c r="B61" s="6">
        <v>2</v>
      </c>
      <c r="C61" s="6" t="str">
        <f>VLOOKUP(AU61,$B$4:$F$13,2,FALSE)</f>
        <v>E</v>
      </c>
      <c r="D61" s="46" t="s">
        <v>5</v>
      </c>
      <c r="E61" s="90" t="str">
        <f>VLOOKUP(AV61,$B$4:$F$13,2,FALSE)</f>
        <v>C</v>
      </c>
      <c r="F61" s="90"/>
      <c r="G61" s="90"/>
      <c r="H61" s="90"/>
      <c r="J61" s="90" t="str">
        <f>IF(T61="","",VLOOKUP(T61,Configuratie!$B$2:$E$11,3,FALSE))</f>
        <v/>
      </c>
      <c r="K61" s="90"/>
      <c r="L61" s="6" t="s">
        <v>5</v>
      </c>
      <c r="M61" s="90" t="str">
        <f>IF(T61="","",VLOOKUP(T61,Configuratie!$B$2:$E$11,4,FALSE))</f>
        <v/>
      </c>
      <c r="N61" s="90"/>
      <c r="R61" s="6" t="str">
        <f>IF(T61="","",VLOOKUP(T61,Configuratie!$B$2:$E$11,2,FALSE))</f>
        <v/>
      </c>
      <c r="S61" s="61"/>
      <c r="T61" s="5"/>
      <c r="AT61" s="6">
        <v>7</v>
      </c>
      <c r="AU61" s="6">
        <v>5</v>
      </c>
      <c r="AV61" s="6">
        <v>3</v>
      </c>
      <c r="AW61" s="6" t="str">
        <f t="shared" ref="AW61:AW65" si="43">IF(AND(ISNUMBER(J61),ISNUMBER(M61)),IF(J61+M61=1,1,0),"")</f>
        <v/>
      </c>
      <c r="AY61" s="48">
        <f>AU61*100+AV61</f>
        <v>503</v>
      </c>
      <c r="AZ61" s="48">
        <f>AV61*100+AU61</f>
        <v>305</v>
      </c>
      <c r="BA61" s="6">
        <f t="shared" si="42"/>
        <v>0</v>
      </c>
      <c r="BB61" s="6">
        <f t="shared" si="42"/>
        <v>0</v>
      </c>
      <c r="BC61" s="6" t="e">
        <f>J61*BB61</f>
        <v>#VALUE!</v>
      </c>
      <c r="BD61" s="6" t="e">
        <f>M61*BA61</f>
        <v>#VALUE!</v>
      </c>
    </row>
    <row r="62" spans="2:56" x14ac:dyDescent="0.25">
      <c r="B62" s="6">
        <v>3</v>
      </c>
      <c r="C62" s="6" t="str">
        <f>VLOOKUP(AU62,$B$4:$F$13,2,FALSE)</f>
        <v>F</v>
      </c>
      <c r="D62" s="46" t="s">
        <v>5</v>
      </c>
      <c r="E62" s="90" t="str">
        <f>VLOOKUP(AV62,$B$4:$F$13,2,FALSE)</f>
        <v>B</v>
      </c>
      <c r="F62" s="90"/>
      <c r="G62" s="90"/>
      <c r="H62" s="90"/>
      <c r="J62" s="90" t="str">
        <f>IF(T62="","",VLOOKUP(T62,Configuratie!$B$2:$E$11,3,FALSE))</f>
        <v/>
      </c>
      <c r="K62" s="90"/>
      <c r="L62" s="6" t="s">
        <v>5</v>
      </c>
      <c r="M62" s="90" t="str">
        <f>IF(T62="","",VLOOKUP(T62,Configuratie!$B$2:$E$11,4,FALSE))</f>
        <v/>
      </c>
      <c r="N62" s="90"/>
      <c r="R62" s="6" t="str">
        <f>IF(T62="","",VLOOKUP(T62,Configuratie!$B$2:$E$11,2,FALSE))</f>
        <v/>
      </c>
      <c r="S62" s="61"/>
      <c r="T62" s="5"/>
      <c r="AT62" s="6">
        <v>7</v>
      </c>
      <c r="AU62" s="6">
        <v>6</v>
      </c>
      <c r="AV62" s="6">
        <v>2</v>
      </c>
      <c r="AW62" s="6" t="str">
        <f t="shared" si="43"/>
        <v/>
      </c>
      <c r="AY62" s="48">
        <f>AU62*100+AV62</f>
        <v>602</v>
      </c>
      <c r="AZ62" s="48">
        <f>AV62*100+AU62</f>
        <v>206</v>
      </c>
      <c r="BA62" s="6">
        <f t="shared" si="42"/>
        <v>0</v>
      </c>
      <c r="BB62" s="6">
        <f t="shared" si="42"/>
        <v>0</v>
      </c>
      <c r="BC62" s="6" t="e">
        <f>J62*BB62</f>
        <v>#VALUE!</v>
      </c>
      <c r="BD62" s="6" t="e">
        <f>M62*BA62</f>
        <v>#VALUE!</v>
      </c>
    </row>
    <row r="63" spans="2:56" x14ac:dyDescent="0.25">
      <c r="B63" s="6">
        <v>4</v>
      </c>
      <c r="C63" s="6" t="str">
        <f>VLOOKUP(AU63,$B$4:$F$13,2,FALSE)</f>
        <v>G</v>
      </c>
      <c r="D63" s="46" t="s">
        <v>5</v>
      </c>
      <c r="E63" s="90" t="str">
        <f>VLOOKUP(AV63,$B$4:$F$13,2,FALSE)</f>
        <v>A</v>
      </c>
      <c r="F63" s="90"/>
      <c r="G63" s="90"/>
      <c r="H63" s="90"/>
      <c r="J63" s="90" t="str">
        <f>IF(T63="","",VLOOKUP(T63,Configuratie!$B$2:$E$11,3,FALSE))</f>
        <v/>
      </c>
      <c r="K63" s="90"/>
      <c r="L63" s="6" t="s">
        <v>5</v>
      </c>
      <c r="M63" s="90" t="str">
        <f>IF(T63="","",VLOOKUP(T63,Configuratie!$B$2:$E$11,4,FALSE))</f>
        <v/>
      </c>
      <c r="N63" s="90"/>
      <c r="R63" s="6" t="str">
        <f>IF(T63="","",VLOOKUP(T63,Configuratie!$B$2:$E$11,2,FALSE))</f>
        <v/>
      </c>
      <c r="S63" s="61"/>
      <c r="T63" s="5"/>
      <c r="AT63" s="6">
        <v>7</v>
      </c>
      <c r="AU63" s="6">
        <v>7</v>
      </c>
      <c r="AV63" s="6">
        <v>1</v>
      </c>
      <c r="AW63" s="6" t="str">
        <f t="shared" si="43"/>
        <v/>
      </c>
      <c r="AY63" s="48">
        <f>AU63*100+AV63</f>
        <v>701</v>
      </c>
      <c r="AZ63" s="48">
        <f>AV63*100+AU63</f>
        <v>107</v>
      </c>
      <c r="BA63" s="6">
        <f t="shared" si="42"/>
        <v>0</v>
      </c>
      <c r="BB63" s="6">
        <f t="shared" si="42"/>
        <v>0</v>
      </c>
      <c r="BC63" s="6" t="e">
        <f>J63*BB63</f>
        <v>#VALUE!</v>
      </c>
      <c r="BD63" s="6" t="e">
        <f>M63*BA63</f>
        <v>#VALUE!</v>
      </c>
    </row>
    <row r="64" spans="2:56" x14ac:dyDescent="0.25">
      <c r="B64" s="6">
        <v>5</v>
      </c>
      <c r="C64" s="6" t="str">
        <f>VLOOKUP(AU64,$B$4:$F$13,2,FALSE)</f>
        <v>H</v>
      </c>
      <c r="D64" s="46" t="s">
        <v>5</v>
      </c>
      <c r="E64" s="90" t="str">
        <f>VLOOKUP(AV64,$B$4:$F$13,2,FALSE)</f>
        <v>I</v>
      </c>
      <c r="F64" s="90"/>
      <c r="G64" s="90"/>
      <c r="H64" s="90"/>
      <c r="J64" s="90" t="str">
        <f>IF(T64="","",VLOOKUP(T64,Configuratie!$B$2:$E$11,3,FALSE))</f>
        <v/>
      </c>
      <c r="K64" s="90"/>
      <c r="L64" s="6" t="s">
        <v>5</v>
      </c>
      <c r="M64" s="90" t="str">
        <f>IF(T64="","",VLOOKUP(T64,Configuratie!$B$2:$E$11,4,FALSE))</f>
        <v/>
      </c>
      <c r="N64" s="90"/>
      <c r="R64" s="6" t="str">
        <f>IF(T64="","",VLOOKUP(T64,Configuratie!$B$2:$E$11,2,FALSE))</f>
        <v/>
      </c>
      <c r="S64" s="61"/>
      <c r="T64" s="5"/>
      <c r="AT64" s="6">
        <v>7</v>
      </c>
      <c r="AU64" s="6">
        <v>8</v>
      </c>
      <c r="AV64" s="6">
        <v>9</v>
      </c>
      <c r="AW64" s="6" t="str">
        <f t="shared" si="43"/>
        <v/>
      </c>
      <c r="AY64" s="48">
        <f>AU64*100+AV64</f>
        <v>809</v>
      </c>
      <c r="AZ64" s="48">
        <f>AV64*100+AU64</f>
        <v>908</v>
      </c>
      <c r="BA64" s="6">
        <f t="shared" si="42"/>
        <v>0</v>
      </c>
      <c r="BB64" s="6">
        <f t="shared" si="42"/>
        <v>0</v>
      </c>
      <c r="BC64" s="6" t="e">
        <f>J64*BB64</f>
        <v>#VALUE!</v>
      </c>
      <c r="BD64" s="6" t="e">
        <f>M64*BA64</f>
        <v>#VALUE!</v>
      </c>
    </row>
    <row r="65" spans="2:56" ht="3" customHeight="1" x14ac:dyDescent="0.25">
      <c r="B65" s="11"/>
      <c r="C65" s="11"/>
      <c r="D65" s="11"/>
      <c r="E65" s="11"/>
      <c r="F65" s="11"/>
      <c r="G65" s="11"/>
      <c r="H65" s="11"/>
      <c r="I65" s="11"/>
      <c r="J65" s="11"/>
      <c r="K65" s="11"/>
      <c r="L65" s="11"/>
      <c r="M65" s="11"/>
      <c r="N65" s="11"/>
      <c r="O65" s="11"/>
      <c r="P65" s="11"/>
      <c r="Q65" s="11"/>
      <c r="R65" s="11"/>
      <c r="S65" s="11"/>
      <c r="T65" s="11"/>
      <c r="AW65" s="6" t="str">
        <f t="shared" si="43"/>
        <v/>
      </c>
      <c r="AY65" s="42"/>
      <c r="AZ65" s="42"/>
    </row>
    <row r="66" spans="2:56" x14ac:dyDescent="0.25">
      <c r="B66" s="45" t="s">
        <v>15</v>
      </c>
      <c r="AY66" s="42"/>
      <c r="AZ66" s="42"/>
    </row>
    <row r="67" spans="2:56" x14ac:dyDescent="0.25">
      <c r="B67" s="6">
        <v>1</v>
      </c>
      <c r="C67" s="6" t="str">
        <f>VLOOKUP(AU67,$B$4:$F$13,2,FALSE)</f>
        <v>J</v>
      </c>
      <c r="D67" s="46" t="s">
        <v>5</v>
      </c>
      <c r="E67" s="90" t="str">
        <f>VLOOKUP(AV67,$B$4:$F$13,2,FALSE)</f>
        <v>I</v>
      </c>
      <c r="F67" s="90"/>
      <c r="G67" s="90"/>
      <c r="H67" s="90"/>
      <c r="J67" s="90" t="str">
        <f>IF(T67="","",VLOOKUP(T67,Configuratie!$B$2:$E$11,3,FALSE))</f>
        <v/>
      </c>
      <c r="K67" s="90"/>
      <c r="L67" s="6" t="s">
        <v>5</v>
      </c>
      <c r="M67" s="90" t="str">
        <f>IF(T67="","",VLOOKUP(T67,Configuratie!$B$2:$E$11,4,FALSE))</f>
        <v/>
      </c>
      <c r="N67" s="90"/>
      <c r="R67" s="6" t="str">
        <f>IF(T67="","",VLOOKUP(T67,Configuratie!$B$2:$E$11,2,FALSE))</f>
        <v/>
      </c>
      <c r="S67" s="61"/>
      <c r="T67" s="5"/>
      <c r="AT67" s="6">
        <v>8</v>
      </c>
      <c r="AU67" s="6">
        <v>10</v>
      </c>
      <c r="AV67" s="6">
        <v>9</v>
      </c>
      <c r="AW67" s="6" t="str">
        <f>IF(AND(ISNUMBER(J67),ISNUMBER(M67)),IF(J67+M67=1,1,0),"")</f>
        <v/>
      </c>
      <c r="AY67" s="48">
        <f>AU67*100+AV67</f>
        <v>1009</v>
      </c>
      <c r="AZ67" s="48">
        <f>AV67*100+AU67</f>
        <v>910</v>
      </c>
      <c r="BA67" s="6">
        <f t="shared" ref="BA67:BB71" si="44">VLOOKUP(AU67,$BJ$3:$BS$13,$AT67,FALSE)</f>
        <v>0</v>
      </c>
      <c r="BB67" s="6">
        <f t="shared" si="44"/>
        <v>0</v>
      </c>
      <c r="BC67" s="6" t="e">
        <f>J67*BB67</f>
        <v>#VALUE!</v>
      </c>
      <c r="BD67" s="6" t="e">
        <f>M67*BA67</f>
        <v>#VALUE!</v>
      </c>
    </row>
    <row r="68" spans="2:56" x14ac:dyDescent="0.25">
      <c r="B68" s="6">
        <v>2</v>
      </c>
      <c r="C68" s="6" t="str">
        <f>VLOOKUP(AU68,$B$4:$F$13,2,FALSE)</f>
        <v>A</v>
      </c>
      <c r="D68" s="46" t="s">
        <v>5</v>
      </c>
      <c r="E68" s="90" t="str">
        <f>VLOOKUP(AV68,$B$4:$F$13,2,FALSE)</f>
        <v>H</v>
      </c>
      <c r="F68" s="90"/>
      <c r="G68" s="90"/>
      <c r="H68" s="90"/>
      <c r="J68" s="90" t="str">
        <f>IF(T68="","",VLOOKUP(T68,Configuratie!$B$2:$E$11,3,FALSE))</f>
        <v/>
      </c>
      <c r="K68" s="90"/>
      <c r="L68" s="6" t="s">
        <v>5</v>
      </c>
      <c r="M68" s="90" t="str">
        <f>IF(T68="","",VLOOKUP(T68,Configuratie!$B$2:$E$11,4,FALSE))</f>
        <v/>
      </c>
      <c r="N68" s="90"/>
      <c r="R68" s="6" t="str">
        <f>IF(T68="","",VLOOKUP(T68,Configuratie!$B$2:$E$11,2,FALSE))</f>
        <v/>
      </c>
      <c r="S68" s="61"/>
      <c r="T68" s="5"/>
      <c r="AT68" s="6">
        <v>8</v>
      </c>
      <c r="AU68" s="6">
        <v>1</v>
      </c>
      <c r="AV68" s="6">
        <v>8</v>
      </c>
      <c r="AW68" s="6" t="str">
        <f t="shared" ref="AW68:AW72" si="45">IF(AND(ISNUMBER(J68),ISNUMBER(M68)),IF(J68+M68=1,1,0),"")</f>
        <v/>
      </c>
      <c r="AY68" s="48">
        <f>AU68*100+AV68</f>
        <v>108</v>
      </c>
      <c r="AZ68" s="48">
        <f>AV68*100+AU68</f>
        <v>801</v>
      </c>
      <c r="BA68" s="6">
        <f t="shared" si="44"/>
        <v>0</v>
      </c>
      <c r="BB68" s="6">
        <f t="shared" si="44"/>
        <v>0</v>
      </c>
      <c r="BC68" s="6" t="e">
        <f>J68*BB68</f>
        <v>#VALUE!</v>
      </c>
      <c r="BD68" s="6" t="e">
        <f>M68*BA68</f>
        <v>#VALUE!</v>
      </c>
    </row>
    <row r="69" spans="2:56" x14ac:dyDescent="0.25">
      <c r="B69" s="6">
        <v>3</v>
      </c>
      <c r="C69" s="6" t="str">
        <f>VLOOKUP(AU69,$B$4:$F$13,2,FALSE)</f>
        <v>B</v>
      </c>
      <c r="D69" s="46" t="s">
        <v>5</v>
      </c>
      <c r="E69" s="90" t="str">
        <f>VLOOKUP(AV69,$B$4:$F$13,2,FALSE)</f>
        <v>G</v>
      </c>
      <c r="F69" s="90"/>
      <c r="G69" s="90"/>
      <c r="H69" s="90"/>
      <c r="J69" s="90" t="str">
        <f>IF(T69="","",VLOOKUP(T69,Configuratie!$B$2:$E$11,3,FALSE))</f>
        <v/>
      </c>
      <c r="K69" s="90"/>
      <c r="L69" s="6" t="s">
        <v>5</v>
      </c>
      <c r="M69" s="90" t="str">
        <f>IF(T69="","",VLOOKUP(T69,Configuratie!$B$2:$E$11,4,FALSE))</f>
        <v/>
      </c>
      <c r="N69" s="90"/>
      <c r="R69" s="6" t="str">
        <f>IF(T69="","",VLOOKUP(T69,Configuratie!$B$2:$E$11,2,FALSE))</f>
        <v/>
      </c>
      <c r="S69" s="61"/>
      <c r="T69" s="5"/>
      <c r="AT69" s="6">
        <v>8</v>
      </c>
      <c r="AU69" s="6">
        <v>2</v>
      </c>
      <c r="AV69" s="6">
        <v>7</v>
      </c>
      <c r="AW69" s="6" t="str">
        <f t="shared" si="45"/>
        <v/>
      </c>
      <c r="AY69" s="48">
        <f>AU69*100+AV69</f>
        <v>207</v>
      </c>
      <c r="AZ69" s="48">
        <f>AV69*100+AU69</f>
        <v>702</v>
      </c>
      <c r="BA69" s="6">
        <f t="shared" si="44"/>
        <v>0</v>
      </c>
      <c r="BB69" s="6">
        <f t="shared" si="44"/>
        <v>0</v>
      </c>
      <c r="BC69" s="6" t="e">
        <f>J69*BB69</f>
        <v>#VALUE!</v>
      </c>
      <c r="BD69" s="6" t="e">
        <f>M69*BA69</f>
        <v>#VALUE!</v>
      </c>
    </row>
    <row r="70" spans="2:56" x14ac:dyDescent="0.25">
      <c r="B70" s="6">
        <v>4</v>
      </c>
      <c r="C70" s="6" t="str">
        <f>VLOOKUP(AU70,$B$4:$F$13,2,FALSE)</f>
        <v>C</v>
      </c>
      <c r="D70" s="46" t="s">
        <v>5</v>
      </c>
      <c r="E70" s="90" t="str">
        <f>VLOOKUP(AV70,$B$4:$F$13,2,FALSE)</f>
        <v>F</v>
      </c>
      <c r="F70" s="90"/>
      <c r="G70" s="90"/>
      <c r="H70" s="90"/>
      <c r="J70" s="90" t="str">
        <f>IF(T70="","",VLOOKUP(T70,Configuratie!$B$2:$E$11,3,FALSE))</f>
        <v/>
      </c>
      <c r="K70" s="90"/>
      <c r="L70" s="6" t="s">
        <v>5</v>
      </c>
      <c r="M70" s="90" t="str">
        <f>IF(T70="","",VLOOKUP(T70,Configuratie!$B$2:$E$11,4,FALSE))</f>
        <v/>
      </c>
      <c r="N70" s="90"/>
      <c r="R70" s="6" t="str">
        <f>IF(T70="","",VLOOKUP(T70,Configuratie!$B$2:$E$11,2,FALSE))</f>
        <v/>
      </c>
      <c r="S70" s="61"/>
      <c r="T70" s="5"/>
      <c r="AT70" s="6">
        <v>8</v>
      </c>
      <c r="AU70" s="6">
        <v>3</v>
      </c>
      <c r="AV70" s="6">
        <v>6</v>
      </c>
      <c r="AW70" s="6" t="str">
        <f t="shared" si="45"/>
        <v/>
      </c>
      <c r="AY70" s="48">
        <f>AU70*100+AV70</f>
        <v>306</v>
      </c>
      <c r="AZ70" s="48">
        <f>AV70*100+AU70</f>
        <v>603</v>
      </c>
      <c r="BA70" s="6">
        <f t="shared" si="44"/>
        <v>0</v>
      </c>
      <c r="BB70" s="6">
        <f t="shared" si="44"/>
        <v>0</v>
      </c>
      <c r="BC70" s="6" t="e">
        <f>J70*BB70</f>
        <v>#VALUE!</v>
      </c>
      <c r="BD70" s="6" t="e">
        <f>M70*BA70</f>
        <v>#VALUE!</v>
      </c>
    </row>
    <row r="71" spans="2:56" x14ac:dyDescent="0.25">
      <c r="B71" s="6">
        <v>5</v>
      </c>
      <c r="C71" s="6" t="str">
        <f>VLOOKUP(AU71,$B$4:$F$13,2,FALSE)</f>
        <v>D</v>
      </c>
      <c r="D71" s="46" t="s">
        <v>5</v>
      </c>
      <c r="E71" s="90" t="str">
        <f>VLOOKUP(AV71,$B$4:$F$13,2,FALSE)</f>
        <v>E</v>
      </c>
      <c r="F71" s="90"/>
      <c r="G71" s="90"/>
      <c r="H71" s="90"/>
      <c r="J71" s="90" t="str">
        <f>IF(T71="","",VLOOKUP(T71,Configuratie!$B$2:$E$11,3,FALSE))</f>
        <v/>
      </c>
      <c r="K71" s="90"/>
      <c r="L71" s="6" t="s">
        <v>5</v>
      </c>
      <c r="M71" s="90" t="str">
        <f>IF(T71="","",VLOOKUP(T71,Configuratie!$B$2:$E$11,4,FALSE))</f>
        <v/>
      </c>
      <c r="N71" s="90"/>
      <c r="R71" s="6" t="str">
        <f>IF(T71="","",VLOOKUP(T71,Configuratie!$B$2:$E$11,2,FALSE))</f>
        <v/>
      </c>
      <c r="S71" s="61"/>
      <c r="T71" s="5"/>
      <c r="AT71" s="6">
        <v>8</v>
      </c>
      <c r="AU71" s="6">
        <v>4</v>
      </c>
      <c r="AV71" s="6">
        <v>5</v>
      </c>
      <c r="AW71" s="6" t="str">
        <f t="shared" si="45"/>
        <v/>
      </c>
      <c r="AY71" s="48">
        <f>AU71*100+AV71</f>
        <v>405</v>
      </c>
      <c r="AZ71" s="48">
        <f>AV71*100+AU71</f>
        <v>504</v>
      </c>
      <c r="BA71" s="6">
        <f t="shared" si="44"/>
        <v>0</v>
      </c>
      <c r="BB71" s="6">
        <f t="shared" si="44"/>
        <v>0</v>
      </c>
      <c r="BC71" s="6" t="e">
        <f>J71*BB71</f>
        <v>#VALUE!</v>
      </c>
      <c r="BD71" s="6" t="e">
        <f>M71*BA71</f>
        <v>#VALUE!</v>
      </c>
    </row>
    <row r="72" spans="2:56" ht="3" customHeight="1" x14ac:dyDescent="0.25">
      <c r="B72" s="11"/>
      <c r="C72" s="11"/>
      <c r="D72" s="11"/>
      <c r="E72" s="11"/>
      <c r="F72" s="11"/>
      <c r="G72" s="11"/>
      <c r="H72" s="11"/>
      <c r="I72" s="11"/>
      <c r="J72" s="11"/>
      <c r="K72" s="11"/>
      <c r="L72" s="11"/>
      <c r="M72" s="11"/>
      <c r="N72" s="11"/>
      <c r="O72" s="11"/>
      <c r="P72" s="11"/>
      <c r="Q72" s="11"/>
      <c r="R72" s="11"/>
      <c r="S72" s="11"/>
      <c r="T72" s="11"/>
      <c r="AW72" s="6" t="str">
        <f t="shared" si="45"/>
        <v/>
      </c>
      <c r="AY72" s="42"/>
      <c r="AZ72" s="42"/>
    </row>
    <row r="73" spans="2:56" x14ac:dyDescent="0.25">
      <c r="B73" s="45" t="s">
        <v>16</v>
      </c>
      <c r="AY73" s="42"/>
      <c r="AZ73" s="42"/>
    </row>
    <row r="74" spans="2:56" x14ac:dyDescent="0.25">
      <c r="B74" s="6">
        <v>1</v>
      </c>
      <c r="C74" s="6" t="str">
        <f>VLOOKUP(AU74,$B$4:$F$13,2,FALSE)</f>
        <v>E</v>
      </c>
      <c r="D74" s="46" t="s">
        <v>5</v>
      </c>
      <c r="E74" s="90" t="str">
        <f>VLOOKUP(AV74,$B$4:$F$13,2,FALSE)</f>
        <v>J</v>
      </c>
      <c r="F74" s="90"/>
      <c r="G74" s="90"/>
      <c r="H74" s="90"/>
      <c r="J74" s="90" t="str">
        <f>IF(T74="","",VLOOKUP(T74,Configuratie!$B$2:$E$11,3,FALSE))</f>
        <v/>
      </c>
      <c r="K74" s="90"/>
      <c r="L74" s="6" t="s">
        <v>5</v>
      </c>
      <c r="M74" s="90" t="str">
        <f>IF(T74="","",VLOOKUP(T74,Configuratie!$B$2:$E$11,4,FALSE))</f>
        <v/>
      </c>
      <c r="N74" s="90"/>
      <c r="R74" s="6" t="str">
        <f>IF(T74="","",VLOOKUP(T74,Configuratie!$B$2:$E$11,2,FALSE))</f>
        <v/>
      </c>
      <c r="S74" s="61"/>
      <c r="T74" s="5"/>
      <c r="AT74" s="6">
        <v>9</v>
      </c>
      <c r="AU74" s="6">
        <v>5</v>
      </c>
      <c r="AV74" s="6">
        <v>10</v>
      </c>
      <c r="AW74" s="6" t="str">
        <f>IF(AND(ISNUMBER(J74),ISNUMBER(M74)),IF(J74+M74=1,1,0),"")</f>
        <v/>
      </c>
      <c r="AY74" s="48">
        <f>AU74*100+AV74</f>
        <v>510</v>
      </c>
      <c r="AZ74" s="48">
        <f>AV74*100+AU74</f>
        <v>1005</v>
      </c>
      <c r="BA74" s="6">
        <f t="shared" ref="BA74:BB78" si="46">VLOOKUP(AU74,$BJ$3:$BS$13,$AT74,FALSE)</f>
        <v>0</v>
      </c>
      <c r="BB74" s="6">
        <f t="shared" si="46"/>
        <v>0</v>
      </c>
      <c r="BC74" s="6" t="e">
        <f>J74*BB74</f>
        <v>#VALUE!</v>
      </c>
      <c r="BD74" s="6" t="e">
        <f>M74*BA74</f>
        <v>#VALUE!</v>
      </c>
    </row>
    <row r="75" spans="2:56" x14ac:dyDescent="0.25">
      <c r="B75" s="6">
        <v>2</v>
      </c>
      <c r="C75" s="6" t="str">
        <f>VLOOKUP(AU75,$B$4:$F$13,2,FALSE)</f>
        <v>F</v>
      </c>
      <c r="D75" s="46" t="s">
        <v>5</v>
      </c>
      <c r="E75" s="90" t="str">
        <f>VLOOKUP(AV75,$B$4:$F$13,2,FALSE)</f>
        <v>D</v>
      </c>
      <c r="F75" s="90"/>
      <c r="G75" s="90"/>
      <c r="H75" s="90"/>
      <c r="J75" s="90" t="str">
        <f>IF(T75="","",VLOOKUP(T75,Configuratie!$B$2:$E$11,3,FALSE))</f>
        <v/>
      </c>
      <c r="K75" s="90"/>
      <c r="L75" s="6" t="s">
        <v>5</v>
      </c>
      <c r="M75" s="90" t="str">
        <f>IF(T75="","",VLOOKUP(T75,Configuratie!$B$2:$E$11,4,FALSE))</f>
        <v/>
      </c>
      <c r="N75" s="90"/>
      <c r="R75" s="6" t="str">
        <f>IF(T75="","",VLOOKUP(T75,Configuratie!$B$2:$E$11,2,FALSE))</f>
        <v/>
      </c>
      <c r="S75" s="61"/>
      <c r="T75" s="5"/>
      <c r="AT75" s="6">
        <v>9</v>
      </c>
      <c r="AU75" s="6">
        <v>6</v>
      </c>
      <c r="AV75" s="6">
        <v>4</v>
      </c>
      <c r="AW75" s="6" t="str">
        <f t="shared" ref="AW75:AW79" si="47">IF(AND(ISNUMBER(J75),ISNUMBER(M75)),IF(J75+M75=1,1,0),"")</f>
        <v/>
      </c>
      <c r="AY75" s="48">
        <f>AU75*100+AV75</f>
        <v>604</v>
      </c>
      <c r="AZ75" s="48">
        <f>AV75*100+AU75</f>
        <v>406</v>
      </c>
      <c r="BA75" s="6">
        <f t="shared" si="46"/>
        <v>0</v>
      </c>
      <c r="BB75" s="6">
        <f t="shared" si="46"/>
        <v>0</v>
      </c>
      <c r="BC75" s="6" t="e">
        <f>J75*BB75</f>
        <v>#VALUE!</v>
      </c>
      <c r="BD75" s="6" t="e">
        <f>M75*BA75</f>
        <v>#VALUE!</v>
      </c>
    </row>
    <row r="76" spans="2:56" x14ac:dyDescent="0.25">
      <c r="B76" s="6">
        <v>3</v>
      </c>
      <c r="C76" s="6" t="str">
        <f>VLOOKUP(AU76,$B$4:$F$13,2,FALSE)</f>
        <v>G</v>
      </c>
      <c r="D76" s="46" t="s">
        <v>5</v>
      </c>
      <c r="E76" s="90" t="str">
        <f>VLOOKUP(AV76,$B$4:$F$13,2,FALSE)</f>
        <v>C</v>
      </c>
      <c r="F76" s="90"/>
      <c r="G76" s="90"/>
      <c r="H76" s="90"/>
      <c r="J76" s="90" t="str">
        <f>IF(T76="","",VLOOKUP(T76,Configuratie!$B$2:$E$11,3,FALSE))</f>
        <v/>
      </c>
      <c r="K76" s="90"/>
      <c r="L76" s="6" t="s">
        <v>5</v>
      </c>
      <c r="M76" s="90" t="str">
        <f>IF(T76="","",VLOOKUP(T76,Configuratie!$B$2:$E$11,4,FALSE))</f>
        <v/>
      </c>
      <c r="N76" s="90"/>
      <c r="R76" s="6" t="str">
        <f>IF(T76="","",VLOOKUP(T76,Configuratie!$B$2:$E$11,2,FALSE))</f>
        <v/>
      </c>
      <c r="S76" s="61"/>
      <c r="T76" s="5"/>
      <c r="AT76" s="6">
        <v>9</v>
      </c>
      <c r="AU76" s="6">
        <v>7</v>
      </c>
      <c r="AV76" s="6">
        <v>3</v>
      </c>
      <c r="AW76" s="6" t="str">
        <f t="shared" si="47"/>
        <v/>
      </c>
      <c r="AY76" s="48">
        <f>AU76*100+AV76</f>
        <v>703</v>
      </c>
      <c r="AZ76" s="48">
        <f>AV76*100+AU76</f>
        <v>307</v>
      </c>
      <c r="BA76" s="6">
        <f t="shared" si="46"/>
        <v>0</v>
      </c>
      <c r="BB76" s="6">
        <f t="shared" si="46"/>
        <v>0</v>
      </c>
      <c r="BC76" s="6" t="e">
        <f>J76*BB76</f>
        <v>#VALUE!</v>
      </c>
      <c r="BD76" s="6" t="e">
        <f>M76*BA76</f>
        <v>#VALUE!</v>
      </c>
    </row>
    <row r="77" spans="2:56" x14ac:dyDescent="0.25">
      <c r="B77" s="6">
        <v>4</v>
      </c>
      <c r="C77" s="6" t="str">
        <f>VLOOKUP(AU77,$B$4:$F$13,2,FALSE)</f>
        <v>H</v>
      </c>
      <c r="D77" s="46" t="s">
        <v>5</v>
      </c>
      <c r="E77" s="90" t="str">
        <f>VLOOKUP(AV77,$B$4:$F$13,2,FALSE)</f>
        <v>B</v>
      </c>
      <c r="F77" s="90"/>
      <c r="G77" s="90"/>
      <c r="H77" s="90"/>
      <c r="J77" s="90" t="str">
        <f>IF(T77="","",VLOOKUP(T77,Configuratie!$B$2:$E$11,3,FALSE))</f>
        <v/>
      </c>
      <c r="K77" s="90"/>
      <c r="L77" s="6" t="s">
        <v>5</v>
      </c>
      <c r="M77" s="90" t="str">
        <f>IF(T77="","",VLOOKUP(T77,Configuratie!$B$2:$E$11,4,FALSE))</f>
        <v/>
      </c>
      <c r="N77" s="90"/>
      <c r="R77" s="6" t="str">
        <f>IF(T77="","",VLOOKUP(T77,Configuratie!$B$2:$E$11,2,FALSE))</f>
        <v/>
      </c>
      <c r="S77" s="61"/>
      <c r="T77" s="5"/>
      <c r="AT77" s="6">
        <v>9</v>
      </c>
      <c r="AU77" s="6">
        <v>8</v>
      </c>
      <c r="AV77" s="6">
        <v>2</v>
      </c>
      <c r="AW77" s="6" t="str">
        <f t="shared" si="47"/>
        <v/>
      </c>
      <c r="AY77" s="48">
        <f>AU77*100+AV77</f>
        <v>802</v>
      </c>
      <c r="AZ77" s="48">
        <f>AV77*100+AU77</f>
        <v>208</v>
      </c>
      <c r="BA77" s="6">
        <f t="shared" si="46"/>
        <v>0</v>
      </c>
      <c r="BB77" s="6">
        <f t="shared" si="46"/>
        <v>0</v>
      </c>
      <c r="BC77" s="6" t="e">
        <f>J77*BB77</f>
        <v>#VALUE!</v>
      </c>
      <c r="BD77" s="6" t="e">
        <f>M77*BA77</f>
        <v>#VALUE!</v>
      </c>
    </row>
    <row r="78" spans="2:56" x14ac:dyDescent="0.25">
      <c r="B78" s="6">
        <v>5</v>
      </c>
      <c r="C78" s="6" t="str">
        <f>VLOOKUP(AU78,$B$4:$F$13,2,FALSE)</f>
        <v>I</v>
      </c>
      <c r="D78" s="46" t="s">
        <v>5</v>
      </c>
      <c r="E78" s="90" t="str">
        <f>VLOOKUP(AV78,$B$4:$F$13,2,FALSE)</f>
        <v>A</v>
      </c>
      <c r="F78" s="90"/>
      <c r="G78" s="90"/>
      <c r="H78" s="90"/>
      <c r="J78" s="90" t="str">
        <f>IF(T78="","",VLOOKUP(T78,Configuratie!$B$2:$E$11,3,FALSE))</f>
        <v/>
      </c>
      <c r="K78" s="90"/>
      <c r="L78" s="6" t="s">
        <v>5</v>
      </c>
      <c r="M78" s="90" t="str">
        <f>IF(T78="","",VLOOKUP(T78,Configuratie!$B$2:$E$11,4,FALSE))</f>
        <v/>
      </c>
      <c r="N78" s="90"/>
      <c r="R78" s="6" t="str">
        <f>IF(T78="","",VLOOKUP(T78,Configuratie!$B$2:$E$11,2,FALSE))</f>
        <v/>
      </c>
      <c r="S78" s="61"/>
      <c r="T78" s="5"/>
      <c r="AT78" s="6">
        <v>9</v>
      </c>
      <c r="AU78" s="6">
        <v>9</v>
      </c>
      <c r="AV78" s="6">
        <v>1</v>
      </c>
      <c r="AW78" s="6" t="str">
        <f t="shared" si="47"/>
        <v/>
      </c>
      <c r="AY78" s="48">
        <f>AU78*100+AV78</f>
        <v>901</v>
      </c>
      <c r="AZ78" s="48">
        <f>AV78*100+AU78</f>
        <v>109</v>
      </c>
      <c r="BA78" s="6">
        <f t="shared" si="46"/>
        <v>0</v>
      </c>
      <c r="BB78" s="6">
        <f t="shared" si="46"/>
        <v>0</v>
      </c>
      <c r="BC78" s="6" t="e">
        <f>J78*BB78</f>
        <v>#VALUE!</v>
      </c>
      <c r="BD78" s="6" t="e">
        <f>M78*BA78</f>
        <v>#VALUE!</v>
      </c>
    </row>
    <row r="79" spans="2:56" x14ac:dyDescent="0.25">
      <c r="AW79" s="6" t="str">
        <f t="shared" si="47"/>
        <v/>
      </c>
    </row>
    <row r="80" spans="2:56" ht="26.25" x14ac:dyDescent="0.4">
      <c r="D80" s="91" t="str">
        <f>"UITSLAG " &amp; G1</f>
        <v>UITSLAG GROEP A</v>
      </c>
      <c r="E80" s="92"/>
      <c r="F80" s="92"/>
      <c r="G80" s="92"/>
      <c r="H80" s="92"/>
      <c r="I80" s="92"/>
    </row>
    <row r="82" spans="4:9" x14ac:dyDescent="0.25">
      <c r="D82" s="7" t="s">
        <v>33</v>
      </c>
      <c r="E82" s="22" t="s">
        <v>30</v>
      </c>
      <c r="F82" s="7" t="s">
        <v>6</v>
      </c>
      <c r="G82" s="7" t="s">
        <v>29</v>
      </c>
      <c r="H82" s="7" t="s">
        <v>24</v>
      </c>
      <c r="I82" s="7" t="s">
        <v>26</v>
      </c>
    </row>
    <row r="83" spans="4:9" x14ac:dyDescent="0.25">
      <c r="D83" s="31">
        <v>1</v>
      </c>
      <c r="E83" s="32">
        <v>10</v>
      </c>
      <c r="F83" s="33" t="str">
        <f t="shared" ref="F83:F92" si="48">IF(ISNA(VLOOKUP(D83,$A$4:$S$13,3,FALSE)),C4,VLOOKUP(D83,$A$4:$S$13,3,FALSE))</f>
        <v>A</v>
      </c>
      <c r="G83" s="34">
        <f t="shared" ref="G83:G92" si="49">IF(ISNA(VLOOKUP(B4,$A$4:$S$13,18,FALSE)),0,VLOOKUP(B4,$A$4:$S$13,18,FALSE))</f>
        <v>0</v>
      </c>
      <c r="H83" s="34">
        <f t="shared" ref="H83:H92" si="50">VLOOKUP($E83,$AT$4:$AW$13,2,FALSE)</f>
        <v>0</v>
      </c>
      <c r="I83" s="55">
        <f t="shared" ref="I83:I92" si="51">IF(ISNA(VLOOKUP(B4,$A$4:$S$13,19,FALSE)),0,VLOOKUP(B4,$A$4:$S$13,19,FALSE))</f>
        <v>0</v>
      </c>
    </row>
    <row r="84" spans="4:9" x14ac:dyDescent="0.25">
      <c r="D84" s="31">
        <v>2</v>
      </c>
      <c r="E84" s="32">
        <v>9</v>
      </c>
      <c r="F84" s="33" t="str">
        <f t="shared" si="48"/>
        <v>B</v>
      </c>
      <c r="G84" s="34">
        <f t="shared" si="49"/>
        <v>0</v>
      </c>
      <c r="H84" s="34">
        <f t="shared" si="50"/>
        <v>0</v>
      </c>
      <c r="I84" s="55">
        <f t="shared" si="51"/>
        <v>0</v>
      </c>
    </row>
    <row r="85" spans="4:9" x14ac:dyDescent="0.25">
      <c r="D85" s="31">
        <v>3</v>
      </c>
      <c r="E85" s="32">
        <v>8</v>
      </c>
      <c r="F85" s="33" t="str">
        <f t="shared" si="48"/>
        <v>C</v>
      </c>
      <c r="G85" s="34">
        <f t="shared" si="49"/>
        <v>0</v>
      </c>
      <c r="H85" s="34">
        <f t="shared" si="50"/>
        <v>0</v>
      </c>
      <c r="I85" s="55">
        <f t="shared" si="51"/>
        <v>0</v>
      </c>
    </row>
    <row r="86" spans="4:9" x14ac:dyDescent="0.25">
      <c r="D86" s="31">
        <v>4</v>
      </c>
      <c r="E86" s="32">
        <v>7</v>
      </c>
      <c r="F86" s="33" t="str">
        <f t="shared" si="48"/>
        <v>D</v>
      </c>
      <c r="G86" s="34">
        <f t="shared" si="49"/>
        <v>0</v>
      </c>
      <c r="H86" s="34">
        <f t="shared" si="50"/>
        <v>0</v>
      </c>
      <c r="I86" s="55">
        <f t="shared" si="51"/>
        <v>0</v>
      </c>
    </row>
    <row r="87" spans="4:9" x14ac:dyDescent="0.25">
      <c r="D87" s="31">
        <v>5</v>
      </c>
      <c r="E87" s="32">
        <v>6</v>
      </c>
      <c r="F87" s="33" t="str">
        <f t="shared" si="48"/>
        <v>E</v>
      </c>
      <c r="G87" s="34">
        <f t="shared" si="49"/>
        <v>0</v>
      </c>
      <c r="H87" s="34">
        <f t="shared" si="50"/>
        <v>0</v>
      </c>
      <c r="I87" s="55">
        <f t="shared" si="51"/>
        <v>0</v>
      </c>
    </row>
    <row r="88" spans="4:9" x14ac:dyDescent="0.25">
      <c r="D88" s="31">
        <v>6</v>
      </c>
      <c r="E88" s="32">
        <v>5</v>
      </c>
      <c r="F88" s="33" t="str">
        <f t="shared" si="48"/>
        <v>F</v>
      </c>
      <c r="G88" s="34">
        <f t="shared" si="49"/>
        <v>0</v>
      </c>
      <c r="H88" s="34">
        <f t="shared" si="50"/>
        <v>0</v>
      </c>
      <c r="I88" s="55">
        <f t="shared" si="51"/>
        <v>0</v>
      </c>
    </row>
    <row r="89" spans="4:9" x14ac:dyDescent="0.25">
      <c r="D89" s="31">
        <v>7</v>
      </c>
      <c r="E89" s="32">
        <v>4</v>
      </c>
      <c r="F89" s="33" t="str">
        <f t="shared" si="48"/>
        <v>G</v>
      </c>
      <c r="G89" s="34">
        <f t="shared" si="49"/>
        <v>0</v>
      </c>
      <c r="H89" s="34">
        <f t="shared" si="50"/>
        <v>0</v>
      </c>
      <c r="I89" s="55">
        <f t="shared" si="51"/>
        <v>0</v>
      </c>
    </row>
    <row r="90" spans="4:9" x14ac:dyDescent="0.25">
      <c r="D90" s="31">
        <v>8</v>
      </c>
      <c r="E90" s="32">
        <v>3</v>
      </c>
      <c r="F90" s="33" t="str">
        <f t="shared" si="48"/>
        <v>H</v>
      </c>
      <c r="G90" s="34">
        <f t="shared" si="49"/>
        <v>0</v>
      </c>
      <c r="H90" s="34">
        <f t="shared" si="50"/>
        <v>0</v>
      </c>
      <c r="I90" s="55">
        <f t="shared" si="51"/>
        <v>0</v>
      </c>
    </row>
    <row r="91" spans="4:9" x14ac:dyDescent="0.25">
      <c r="D91" s="31">
        <v>9</v>
      </c>
      <c r="E91" s="32">
        <v>2</v>
      </c>
      <c r="F91" s="33" t="str">
        <f t="shared" si="48"/>
        <v>I</v>
      </c>
      <c r="G91" s="34">
        <f t="shared" si="49"/>
        <v>0</v>
      </c>
      <c r="H91" s="34">
        <f t="shared" si="50"/>
        <v>0</v>
      </c>
      <c r="I91" s="55">
        <f t="shared" si="51"/>
        <v>0</v>
      </c>
    </row>
    <row r="92" spans="4:9" x14ac:dyDescent="0.25">
      <c r="D92" s="31">
        <v>10</v>
      </c>
      <c r="E92" s="32">
        <v>1</v>
      </c>
      <c r="F92" s="33" t="str">
        <f t="shared" si="48"/>
        <v>J</v>
      </c>
      <c r="G92" s="34">
        <f t="shared" si="49"/>
        <v>0</v>
      </c>
      <c r="H92" s="34">
        <f t="shared" si="50"/>
        <v>0</v>
      </c>
      <c r="I92" s="55">
        <f t="shared" si="51"/>
        <v>0</v>
      </c>
    </row>
  </sheetData>
  <sheetProtection algorithmName="SHA-512" hashValue="MqssnX6im1QZmioyb5a94mZU6AaltHB04+w07tmZ/ZiY6QKn14U3FToLJKhdDVjdAA7gx+66u2S8LOSoGVNxyw==" saltValue="Pwo4ZoQk63uLt97QWblffw==" spinCount="100000" sheet="1" objects="1" scenarios="1" selectLockedCells="1"/>
  <sortState xmlns:xlrd2="http://schemas.microsoft.com/office/spreadsheetml/2017/richdata2" ref="U4:AA13">
    <sortCondition descending="1" ref="W4:W13"/>
    <sortCondition descending="1" ref="X4:X13"/>
    <sortCondition descending="1" ref="Y4:Y13"/>
    <sortCondition descending="1" ref="Z4:Z13"/>
    <sortCondition descending="1" ref="AA4:AA13"/>
  </sortState>
  <mergeCells count="150">
    <mergeCell ref="B1:F1"/>
    <mergeCell ref="D80:I80"/>
    <mergeCell ref="D13:E13"/>
    <mergeCell ref="D3:E3"/>
    <mergeCell ref="E18:H18"/>
    <mergeCell ref="E19:H19"/>
    <mergeCell ref="E20:H20"/>
    <mergeCell ref="E21:H21"/>
    <mergeCell ref="D4:E4"/>
    <mergeCell ref="D5:E5"/>
    <mergeCell ref="D6:E6"/>
    <mergeCell ref="D7:E7"/>
    <mergeCell ref="D8:E8"/>
    <mergeCell ref="D9:E9"/>
    <mergeCell ref="D10:E10"/>
    <mergeCell ref="D11:E11"/>
    <mergeCell ref="D12:E12"/>
    <mergeCell ref="E32:H32"/>
    <mergeCell ref="E33:H33"/>
    <mergeCell ref="E34:H34"/>
    <mergeCell ref="E35:H35"/>
    <mergeCell ref="E36:H36"/>
    <mergeCell ref="E39:H39"/>
    <mergeCell ref="E22:H22"/>
    <mergeCell ref="E25:H25"/>
    <mergeCell ref="E26:H26"/>
    <mergeCell ref="E27:H27"/>
    <mergeCell ref="E28:H28"/>
    <mergeCell ref="E29:H29"/>
    <mergeCell ref="E50:H50"/>
    <mergeCell ref="E53:H53"/>
    <mergeCell ref="E54:H54"/>
    <mergeCell ref="E55:H55"/>
    <mergeCell ref="E40:H40"/>
    <mergeCell ref="E41:H41"/>
    <mergeCell ref="E42:H42"/>
    <mergeCell ref="E43:H43"/>
    <mergeCell ref="E46:H46"/>
    <mergeCell ref="E47:H47"/>
    <mergeCell ref="E74:H74"/>
    <mergeCell ref="E75:H75"/>
    <mergeCell ref="E76:H76"/>
    <mergeCell ref="E77:H77"/>
    <mergeCell ref="E78:H78"/>
    <mergeCell ref="J18:K18"/>
    <mergeCell ref="J22:K22"/>
    <mergeCell ref="J28:K28"/>
    <mergeCell ref="J34:K34"/>
    <mergeCell ref="J40:K40"/>
    <mergeCell ref="E64:H64"/>
    <mergeCell ref="E67:H67"/>
    <mergeCell ref="E68:H68"/>
    <mergeCell ref="E69:H69"/>
    <mergeCell ref="E70:H70"/>
    <mergeCell ref="E71:H71"/>
    <mergeCell ref="E56:H56"/>
    <mergeCell ref="E57:H57"/>
    <mergeCell ref="E60:H60"/>
    <mergeCell ref="E61:H61"/>
    <mergeCell ref="E62:H62"/>
    <mergeCell ref="E63:H63"/>
    <mergeCell ref="E48:H48"/>
    <mergeCell ref="E49:H49"/>
    <mergeCell ref="J36:K36"/>
    <mergeCell ref="M36:N36"/>
    <mergeCell ref="J39:K39"/>
    <mergeCell ref="M39:N39"/>
    <mergeCell ref="M46:N46"/>
    <mergeCell ref="J47:K47"/>
    <mergeCell ref="M47:N47"/>
    <mergeCell ref="J48:K48"/>
    <mergeCell ref="M48:N48"/>
    <mergeCell ref="M40:N40"/>
    <mergeCell ref="J41:K41"/>
    <mergeCell ref="M41:N41"/>
    <mergeCell ref="J42:K42"/>
    <mergeCell ref="M42:N42"/>
    <mergeCell ref="J43:K43"/>
    <mergeCell ref="M18:N18"/>
    <mergeCell ref="J19:K19"/>
    <mergeCell ref="M19:N19"/>
    <mergeCell ref="J20:K20"/>
    <mergeCell ref="M20:N20"/>
    <mergeCell ref="J21:K21"/>
    <mergeCell ref="M21:N21"/>
    <mergeCell ref="M34:N34"/>
    <mergeCell ref="J35:K35"/>
    <mergeCell ref="M35:N35"/>
    <mergeCell ref="M28:N28"/>
    <mergeCell ref="J29:K29"/>
    <mergeCell ref="M29:N29"/>
    <mergeCell ref="J32:K32"/>
    <mergeCell ref="M32:N32"/>
    <mergeCell ref="J33:K33"/>
    <mergeCell ref="M33:N33"/>
    <mergeCell ref="M22:N22"/>
    <mergeCell ref="J25:K25"/>
    <mergeCell ref="M25:N25"/>
    <mergeCell ref="J26:K26"/>
    <mergeCell ref="M26:N26"/>
    <mergeCell ref="J27:K27"/>
    <mergeCell ref="M27:N27"/>
    <mergeCell ref="M43:N43"/>
    <mergeCell ref="M54:N54"/>
    <mergeCell ref="J55:K55"/>
    <mergeCell ref="M55:N55"/>
    <mergeCell ref="J56:K56"/>
    <mergeCell ref="M56:N56"/>
    <mergeCell ref="J49:K49"/>
    <mergeCell ref="M49:N49"/>
    <mergeCell ref="J50:K50"/>
    <mergeCell ref="M50:N50"/>
    <mergeCell ref="J53:K53"/>
    <mergeCell ref="M53:N53"/>
    <mergeCell ref="J46:K46"/>
    <mergeCell ref="J54:K54"/>
    <mergeCell ref="J63:K63"/>
    <mergeCell ref="M63:N63"/>
    <mergeCell ref="J64:K64"/>
    <mergeCell ref="M64:N64"/>
    <mergeCell ref="J57:K57"/>
    <mergeCell ref="M57:N57"/>
    <mergeCell ref="J60:K60"/>
    <mergeCell ref="M60:N60"/>
    <mergeCell ref="J61:K61"/>
    <mergeCell ref="M61:N61"/>
    <mergeCell ref="AZ2:BH2"/>
    <mergeCell ref="BK2:BS2"/>
    <mergeCell ref="J78:K78"/>
    <mergeCell ref="M78:N78"/>
    <mergeCell ref="J75:K75"/>
    <mergeCell ref="M75:N75"/>
    <mergeCell ref="J76:K76"/>
    <mergeCell ref="M76:N76"/>
    <mergeCell ref="J77:K77"/>
    <mergeCell ref="M77:N77"/>
    <mergeCell ref="J70:K70"/>
    <mergeCell ref="M70:N70"/>
    <mergeCell ref="J71:K71"/>
    <mergeCell ref="M71:N71"/>
    <mergeCell ref="J74:K74"/>
    <mergeCell ref="M74:N74"/>
    <mergeCell ref="J67:K67"/>
    <mergeCell ref="M67:N67"/>
    <mergeCell ref="J68:K68"/>
    <mergeCell ref="M68:N68"/>
    <mergeCell ref="J69:K69"/>
    <mergeCell ref="M69:N69"/>
    <mergeCell ref="J62:K62"/>
    <mergeCell ref="M62:N62"/>
  </mergeCells>
  <conditionalFormatting sqref="H4:Q13">
    <cfRule type="cellIs" dxfId="17" priority="4" stopIfTrue="1" operator="between">
      <formula>0</formula>
      <formula>1</formula>
    </cfRule>
  </conditionalFormatting>
  <conditionalFormatting sqref="T4:T13">
    <cfRule type="cellIs" dxfId="16" priority="1" operator="equal">
      <formula>3</formula>
    </cfRule>
    <cfRule type="cellIs" dxfId="15" priority="2" operator="equal">
      <formula>2</formula>
    </cfRule>
    <cfRule type="cellIs" dxfId="14" priority="3" operator="equal">
      <formula>1</formula>
    </cfRule>
  </conditionalFormatting>
  <printOptions horizontalCentered="1" verticalCentered="1"/>
  <pageMargins left="0.78740157480314965" right="0.78740157480314965" top="0.74803149606299213" bottom="0.74803149606299213" header="0" footer="0"/>
  <pageSetup paperSize="9" scale="69" orientation="portrait" horizontalDpi="4294967293" verticalDpi="4294967293" r:id="rId1"/>
  <colBreaks count="1" manualBreakCount="1">
    <brk id="6" max="77" man="1"/>
  </colBreak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Blad2">
    <pageSetUpPr fitToPage="1"/>
  </sheetPr>
  <dimension ref="A1:BR67"/>
  <sheetViews>
    <sheetView view="pageBreakPreview" zoomScale="85" zoomScaleNormal="100" zoomScaleSheetLayoutView="85" workbookViewId="0">
      <selection activeCell="T30" sqref="T30"/>
    </sheetView>
  </sheetViews>
  <sheetFormatPr defaultRowHeight="15" x14ac:dyDescent="0.25"/>
  <cols>
    <col min="1" max="1" width="3" style="6" bestFit="1" customWidth="1"/>
    <col min="2" max="2" width="3.7109375" style="6" customWidth="1"/>
    <col min="3" max="3" width="27.7109375" style="6" customWidth="1"/>
    <col min="4" max="4" width="3.7109375" style="6" customWidth="1"/>
    <col min="5" max="5" width="6.7109375" style="6" customWidth="1"/>
    <col min="6" max="6" width="9.7109375" style="6" customWidth="1"/>
    <col min="7" max="7" width="6.7109375" style="6" customWidth="1"/>
    <col min="8" max="15" width="4.7109375" style="6" customWidth="1"/>
    <col min="16" max="17" width="3.7109375" style="6" hidden="1" customWidth="1"/>
    <col min="18" max="18" width="10.5703125" style="6" customWidth="1"/>
    <col min="19" max="19" width="8.140625" style="6" customWidth="1"/>
    <col min="20" max="20" width="8.5703125" style="6" customWidth="1"/>
    <col min="21" max="21" width="3.85546875" style="6" customWidth="1"/>
    <col min="22" max="22" width="3.7109375" style="6" customWidth="1"/>
    <col min="23" max="25" width="6.7109375" style="6" hidden="1" customWidth="1"/>
    <col min="26" max="26" width="8.5703125" style="6" hidden="1" customWidth="1"/>
    <col min="27" max="27" width="6" style="6" hidden="1" customWidth="1"/>
    <col min="28" max="28" width="8.5703125" style="6" hidden="1" customWidth="1"/>
    <col min="29" max="29" width="5.5703125" style="6" hidden="1" customWidth="1"/>
    <col min="30" max="30" width="8.5703125" style="6" hidden="1" customWidth="1"/>
    <col min="31" max="31" width="5" style="6" hidden="1" customWidth="1"/>
    <col min="32" max="32" width="6.7109375" style="6" hidden="1" customWidth="1"/>
    <col min="33" max="33" width="8.5703125" style="6" hidden="1" customWidth="1"/>
    <col min="34" max="34" width="4.28515625" style="6" hidden="1" customWidth="1"/>
    <col min="35" max="35" width="6" style="6" hidden="1" customWidth="1"/>
    <col min="36" max="36" width="5.28515625" style="6" hidden="1" customWidth="1"/>
    <col min="37" max="43" width="6.7109375" style="6" hidden="1" customWidth="1"/>
    <col min="44" max="47" width="9.140625" style="6" hidden="1" customWidth="1"/>
    <col min="48" max="49" width="4.42578125" style="6" hidden="1" customWidth="1"/>
    <col min="50" max="68" width="3.7109375" style="6" hidden="1" customWidth="1"/>
    <col min="69" max="70" width="9.140625" style="6" hidden="1" customWidth="1"/>
    <col min="71" max="16384" width="9.140625" style="6"/>
  </cols>
  <sheetData>
    <row r="1" spans="1:68" ht="26.25" x14ac:dyDescent="0.4">
      <c r="A1" s="24">
        <v>8</v>
      </c>
      <c r="B1" s="98" t="s">
        <v>31</v>
      </c>
      <c r="C1" s="98"/>
      <c r="D1" s="98"/>
      <c r="E1" s="98"/>
      <c r="F1" s="98"/>
      <c r="G1" s="82" t="s">
        <v>32</v>
      </c>
      <c r="H1" s="82"/>
      <c r="I1" s="82"/>
      <c r="J1" s="82"/>
      <c r="K1" s="82"/>
      <c r="L1" s="26"/>
      <c r="M1" s="82"/>
      <c r="N1" s="82"/>
      <c r="O1" s="82"/>
      <c r="P1" s="82"/>
      <c r="Q1" s="82"/>
      <c r="R1" s="82"/>
      <c r="T1" s="86" t="str">
        <f>"versie " &amp; Configuratie!B1</f>
        <v>versie 0.3.0</v>
      </c>
      <c r="U1" s="15"/>
      <c r="V1" s="15"/>
      <c r="W1" s="15"/>
      <c r="X1" s="15"/>
      <c r="Y1" s="15"/>
      <c r="Z1" s="15"/>
      <c r="AA1" s="15"/>
      <c r="AB1" s="15"/>
      <c r="AC1" s="15"/>
      <c r="AD1" s="15"/>
      <c r="AE1" s="15"/>
      <c r="AF1" s="15"/>
      <c r="AG1" s="15"/>
      <c r="AH1" s="15"/>
      <c r="AI1" s="15"/>
      <c r="AJ1" s="15"/>
      <c r="AK1" s="15"/>
      <c r="AL1" s="15"/>
      <c r="AM1" s="15"/>
      <c r="AN1" s="15"/>
      <c r="AO1" s="15"/>
      <c r="AP1" s="15"/>
      <c r="AQ1" s="15"/>
    </row>
    <row r="2" spans="1:68" x14ac:dyDescent="0.25">
      <c r="L2" s="26"/>
      <c r="AR2" s="16" t="s">
        <v>27</v>
      </c>
      <c r="AS2" s="16" t="s">
        <v>26</v>
      </c>
      <c r="AT2" s="16" t="s">
        <v>28</v>
      </c>
      <c r="AW2" s="92" t="s">
        <v>22</v>
      </c>
      <c r="AX2" s="92"/>
      <c r="AY2" s="92"/>
      <c r="AZ2" s="92"/>
      <c r="BA2" s="92"/>
      <c r="BB2" s="92"/>
      <c r="BC2" s="92"/>
      <c r="BD2" s="92"/>
      <c r="BE2" s="92"/>
      <c r="BF2" s="17"/>
      <c r="BG2" s="18"/>
      <c r="BH2" s="92" t="s">
        <v>23</v>
      </c>
      <c r="BI2" s="92"/>
      <c r="BJ2" s="92"/>
      <c r="BK2" s="92"/>
      <c r="BL2" s="92"/>
      <c r="BM2" s="92"/>
      <c r="BN2" s="92"/>
      <c r="BO2" s="92"/>
      <c r="BP2" s="92"/>
    </row>
    <row r="3" spans="1:68" x14ac:dyDescent="0.25">
      <c r="B3" s="19" t="s">
        <v>4</v>
      </c>
      <c r="C3" s="19" t="s">
        <v>6</v>
      </c>
      <c r="D3" s="93" t="s">
        <v>7</v>
      </c>
      <c r="E3" s="93"/>
      <c r="F3" s="19" t="s">
        <v>8</v>
      </c>
      <c r="H3" s="7">
        <v>1</v>
      </c>
      <c r="I3" s="7">
        <v>2</v>
      </c>
      <c r="J3" s="7">
        <v>3</v>
      </c>
      <c r="K3" s="7">
        <v>4</v>
      </c>
      <c r="L3" s="7">
        <v>5</v>
      </c>
      <c r="M3" s="7">
        <v>6</v>
      </c>
      <c r="N3" s="7">
        <v>7</v>
      </c>
      <c r="O3" s="7">
        <v>8</v>
      </c>
      <c r="P3" s="20"/>
      <c r="Q3" s="50"/>
      <c r="R3" s="7" t="s">
        <v>17</v>
      </c>
      <c r="S3" s="7" t="s">
        <v>26</v>
      </c>
      <c r="T3" s="7" t="s">
        <v>69</v>
      </c>
      <c r="U3" s="13"/>
      <c r="V3" s="21"/>
      <c r="W3" s="7" t="s">
        <v>34</v>
      </c>
      <c r="X3" s="7" t="s">
        <v>35</v>
      </c>
      <c r="Y3" s="13"/>
      <c r="Z3" s="7" t="s">
        <v>60</v>
      </c>
      <c r="AA3" s="7" t="s">
        <v>61</v>
      </c>
      <c r="AB3" s="7" t="s">
        <v>62</v>
      </c>
      <c r="AC3" s="7" t="s">
        <v>63</v>
      </c>
      <c r="AD3" s="7" t="s">
        <v>64</v>
      </c>
      <c r="AE3" s="7" t="s">
        <v>65</v>
      </c>
      <c r="AF3" s="7"/>
      <c r="AG3" s="7" t="s">
        <v>66</v>
      </c>
      <c r="AH3" s="7" t="s">
        <v>67</v>
      </c>
      <c r="AI3" s="7" t="s">
        <v>68</v>
      </c>
      <c r="AJ3" s="7" t="s">
        <v>69</v>
      </c>
      <c r="AK3" s="7"/>
      <c r="AL3" s="7" t="s">
        <v>69</v>
      </c>
      <c r="AM3" s="7" t="s">
        <v>70</v>
      </c>
      <c r="AN3" s="13"/>
      <c r="AO3" s="13"/>
      <c r="AP3" s="21"/>
      <c r="AQ3" s="7" t="s">
        <v>36</v>
      </c>
      <c r="AR3" s="23" t="s">
        <v>25</v>
      </c>
      <c r="AS3" s="16" t="s">
        <v>25</v>
      </c>
      <c r="AT3" s="16" t="s">
        <v>25</v>
      </c>
      <c r="AV3" s="6" t="s">
        <v>30</v>
      </c>
      <c r="AW3" s="18">
        <v>1</v>
      </c>
      <c r="AX3" s="18">
        <v>2</v>
      </c>
      <c r="AY3" s="18">
        <v>3</v>
      </c>
      <c r="AZ3" s="18">
        <v>4</v>
      </c>
      <c r="BA3" s="18">
        <v>5</v>
      </c>
      <c r="BB3" s="18">
        <v>6</v>
      </c>
      <c r="BC3" s="18">
        <v>7</v>
      </c>
      <c r="BD3" s="18">
        <v>8</v>
      </c>
      <c r="BE3" s="18">
        <v>9</v>
      </c>
      <c r="BF3" s="18"/>
      <c r="BG3" s="6" t="s">
        <v>30</v>
      </c>
      <c r="BH3" s="18">
        <v>1</v>
      </c>
      <c r="BI3" s="18">
        <v>2</v>
      </c>
      <c r="BJ3" s="18">
        <v>3</v>
      </c>
      <c r="BK3" s="18">
        <v>4</v>
      </c>
      <c r="BL3" s="18">
        <v>5</v>
      </c>
      <c r="BM3" s="18">
        <v>6</v>
      </c>
      <c r="BN3" s="18">
        <v>7</v>
      </c>
      <c r="BO3" s="18">
        <v>8</v>
      </c>
      <c r="BP3" s="18">
        <v>9</v>
      </c>
    </row>
    <row r="4" spans="1:68" x14ac:dyDescent="0.25">
      <c r="A4" s="24">
        <f>T4</f>
        <v>1</v>
      </c>
      <c r="B4" s="25">
        <v>1</v>
      </c>
      <c r="C4" s="25" t="s">
        <v>40</v>
      </c>
      <c r="D4" s="110"/>
      <c r="E4" s="110"/>
      <c r="F4" s="25">
        <v>1000</v>
      </c>
      <c r="H4" s="26" t="str">
        <f t="shared" ref="H4:Q11" si="0">IF((SUMIF($AV$13:$AV$55,$B4*100+H$3,$AT$13:$AT$55)+SUMIF($AW$13:$AW$55,$B4*100+H$3,$AT$13:$AT$55))=1,(SUMIF($AV$13:$AV$55,$B4*100+H$3,$J$13:$J$55)+SUMIF($AW$13:$AW$55,$B4*100+H$3,$M$13:$M$55)),"")</f>
        <v/>
      </c>
      <c r="I4" s="27" t="str">
        <f t="shared" si="0"/>
        <v/>
      </c>
      <c r="J4" s="27" t="str">
        <f t="shared" si="0"/>
        <v/>
      </c>
      <c r="K4" s="27" t="str">
        <f t="shared" si="0"/>
        <v/>
      </c>
      <c r="L4" s="27" t="str">
        <f t="shared" si="0"/>
        <v/>
      </c>
      <c r="M4" s="27" t="str">
        <f t="shared" si="0"/>
        <v/>
      </c>
      <c r="N4" s="27" t="str">
        <f t="shared" si="0"/>
        <v/>
      </c>
      <c r="O4" s="27" t="str">
        <f>IF((SUMIF($AV$13:$AV$55,$B4*100+O$3,$AT$13:$AT$55)+SUMIF($AW$13:$AW$55,$B4*100+O$3,$AT$13:$AT$55))=1,(SUMIF($AV$13:$AV$55,$B4*100+O$3,$J$13:$J$55)+SUMIF($AW$13:$AW$55,$B4*100+O$3,$M$13:$M$55)),"")</f>
        <v/>
      </c>
      <c r="P4" s="28"/>
      <c r="Q4" s="53"/>
      <c r="R4" s="62">
        <f t="shared" ref="R4:R11" si="1">SUM(H4:Q4)</f>
        <v>0</v>
      </c>
      <c r="S4" s="8">
        <f>IF(H4="",0,H4)*$R$4+IF(I4="",0,I4)*$R$5+IF(J4="",0,J4)*$R$6+IF(K4="",0,K4)*$R$7+IF(L4="",0,L4)*$R$8+IF(M4="",0,M4)*$R$9+IF(N4="",0,N4)*$R$10+IF(O4="",0,O4)*$R$11</f>
        <v>0</v>
      </c>
      <c r="T4" s="8">
        <f>AJ4</f>
        <v>1</v>
      </c>
      <c r="U4" s="14"/>
      <c r="V4" s="30"/>
      <c r="W4" s="34">
        <f t="shared" ref="W4:W11" si="2">VLOOKUP($D60,$AQ$4:$AT$11,4,FALSE)</f>
        <v>0</v>
      </c>
      <c r="X4" s="35">
        <f t="shared" ref="X4:X11" si="3">VLOOKUP($D60,$B$4:$R$11,5,FALSE)</f>
        <v>1000</v>
      </c>
      <c r="Y4" s="56"/>
      <c r="Z4" s="64">
        <f>IF(R4=$R$4,IF(H4="",0,H4))+IF(R4=$R$5,IF(I4="",0,I4))+IF(R4=$R$6,IF(J4="",0,J4))+IF(R4=$R$7,IF(K4="",0,K4))+IF(R4=$R$8,IF(L4="",0,L4))+IF(R4=$R$9,IF(M4="",0,M4))+IF(R4=$R$10,IF(N4="",0,N4))+IF(R4=$R$11,IF(O4="",0,O4))</f>
        <v>0</v>
      </c>
      <c r="AA4" s="65">
        <f t="shared" ref="AA4:AA11" si="4">$Z$13*R4+Z4</f>
        <v>0</v>
      </c>
      <c r="AB4" s="64">
        <f t="shared" ref="AB4:AB11" si="5">IF(AA4=$AA$4,IF(H4="",0,H4))+IF(AA4=$AA$5,IF(I4="",0,I4))+IF(AA4=$AA$6,IF(J4="",0,J4))+IF(AA4=$AA$7,IF(K4="",0,K4))+IF(AA4=$AA$8,IF(L4="",0,L4))+IF(AA4=$AA$9,IF(M4="",0,M4))+IF(AA4=$AA$10,IF(N4="",0,N4))+IF(AA4=$AA$11,IF(O4="",0,O4))</f>
        <v>0</v>
      </c>
      <c r="AC4" s="65">
        <f>$AB$13*AA4+AB4</f>
        <v>0</v>
      </c>
      <c r="AD4" s="64">
        <f>IF(AC4=$AC$4,IF(H4="",0,H4))+IF(AC4=$AC$5,IF(I4="",0,I4))+IF(AC4=$AC$6,IF(J4="",0,J4))+IF(AC4=$AC$7,IF(K4="",0,K4))+IF(AC4=$AC$8,IF(L4="",0,L4))+IF(AC4=$AC$9,IF(M4="",0,M4))+IF(AC4=$AC$10,IF(N4="",0,N4))+IF(AC4=$AC$11,IF(O4="",0,O4))</f>
        <v>0</v>
      </c>
      <c r="AE4" s="56">
        <f>$AD$13*AC4+AD4</f>
        <v>0</v>
      </c>
      <c r="AF4" s="56"/>
      <c r="AG4" s="56">
        <f>RANK(AE4,$AE$4:$AE$11,1)-1</f>
        <v>0</v>
      </c>
      <c r="AH4" s="56">
        <f t="shared" ref="AH4:AH12" si="6">RANK(S4,$S$4:$S$11,1)-1</f>
        <v>0</v>
      </c>
      <c r="AI4" s="56">
        <f>8*AG4+AH4</f>
        <v>0</v>
      </c>
      <c r="AJ4" s="56">
        <f>RANK(AI4,$AI$4:$AI$11)</f>
        <v>1</v>
      </c>
      <c r="AK4" s="56"/>
      <c r="AL4" s="56"/>
      <c r="AM4" s="56"/>
      <c r="AN4" s="56"/>
      <c r="AO4" s="56"/>
      <c r="AP4" s="30"/>
      <c r="AQ4" s="37">
        <v>1</v>
      </c>
      <c r="AR4" s="38">
        <f t="shared" ref="AR4:AR11" si="7">SUMIF($AR$13:$AR$55,B4,$AX$13:$AX$55)+SUMIF($AS$13:$AS$55,B4,$AY$13:$AY$55)</f>
        <v>0</v>
      </c>
      <c r="AS4" s="39" t="e">
        <f t="shared" ref="AS4:AS11" si="8">SUMIF($AR$13:$AR$55,B4,$AZ$13:$AZ$55)+SUMIF($AS$13:$AS$55,B4,$BA$13:$BA$55)</f>
        <v>#VALUE!</v>
      </c>
      <c r="AT4" s="39">
        <f>SUM(BH4:BP4)</f>
        <v>0</v>
      </c>
      <c r="AV4" s="6">
        <v>1</v>
      </c>
      <c r="AW4" s="6">
        <f t="shared" ref="AW4:BE11" si="9" xml:space="preserve"> SUMIFS( $J$16:$J$55, $AR$16:$AR$55,$AV4, $AQ$16:$AQ$55,AW$3) + SUMIFS( $M$16:$M$55, $AS$16:$AS$55,$AV4, $AQ$16:$AQ$55,AW$3)</f>
        <v>0</v>
      </c>
      <c r="AX4" s="6">
        <f t="shared" si="9"/>
        <v>0</v>
      </c>
      <c r="AY4" s="6">
        <f t="shared" si="9"/>
        <v>0</v>
      </c>
      <c r="AZ4" s="6">
        <f t="shared" si="9"/>
        <v>0</v>
      </c>
      <c r="BA4" s="6">
        <f t="shared" si="9"/>
        <v>0</v>
      </c>
      <c r="BB4" s="6">
        <f t="shared" si="9"/>
        <v>0</v>
      </c>
      <c r="BC4" s="6">
        <f t="shared" si="9"/>
        <v>0</v>
      </c>
      <c r="BD4" s="6">
        <f t="shared" si="9"/>
        <v>0</v>
      </c>
      <c r="BE4" s="6">
        <f t="shared" si="9"/>
        <v>0</v>
      </c>
      <c r="BG4" s="6">
        <v>1</v>
      </c>
      <c r="BH4" s="6">
        <f>AW4</f>
        <v>0</v>
      </c>
      <c r="BI4" s="6">
        <f t="shared" ref="BI4:BP11" si="10">BH4+AX4</f>
        <v>0</v>
      </c>
      <c r="BJ4" s="6">
        <f t="shared" si="10"/>
        <v>0</v>
      </c>
      <c r="BK4" s="6">
        <f t="shared" si="10"/>
        <v>0</v>
      </c>
      <c r="BL4" s="6">
        <f t="shared" si="10"/>
        <v>0</v>
      </c>
      <c r="BM4" s="6">
        <f t="shared" si="10"/>
        <v>0</v>
      </c>
      <c r="BN4" s="6">
        <f t="shared" si="10"/>
        <v>0</v>
      </c>
      <c r="BO4" s="6">
        <f t="shared" si="10"/>
        <v>0</v>
      </c>
      <c r="BP4" s="6">
        <f t="shared" si="10"/>
        <v>0</v>
      </c>
    </row>
    <row r="5" spans="1:68" x14ac:dyDescent="0.25">
      <c r="A5" s="24">
        <f t="shared" ref="A5:A12" si="11">T5</f>
        <v>1</v>
      </c>
      <c r="B5" s="25">
        <v>2</v>
      </c>
      <c r="C5" s="25" t="s">
        <v>41</v>
      </c>
      <c r="D5" s="110"/>
      <c r="E5" s="110"/>
      <c r="F5" s="25">
        <v>1000</v>
      </c>
      <c r="H5" s="27" t="str">
        <f t="shared" si="0"/>
        <v/>
      </c>
      <c r="I5" s="26" t="str">
        <f t="shared" si="0"/>
        <v/>
      </c>
      <c r="J5" s="27" t="str">
        <f t="shared" si="0"/>
        <v/>
      </c>
      <c r="K5" s="27" t="str">
        <f t="shared" si="0"/>
        <v/>
      </c>
      <c r="L5" s="27" t="str">
        <f t="shared" si="0"/>
        <v/>
      </c>
      <c r="M5" s="27" t="str">
        <f t="shared" si="0"/>
        <v/>
      </c>
      <c r="N5" s="27" t="str">
        <f t="shared" si="0"/>
        <v/>
      </c>
      <c r="O5" s="27" t="str">
        <f t="shared" si="0"/>
        <v/>
      </c>
      <c r="P5" s="27" t="str">
        <f t="shared" si="0"/>
        <v/>
      </c>
      <c r="Q5" s="27" t="str">
        <f t="shared" si="0"/>
        <v/>
      </c>
      <c r="R5" s="62">
        <f t="shared" si="1"/>
        <v>0</v>
      </c>
      <c r="S5" s="8">
        <f t="shared" ref="S5:S11" si="12">IF(H5="",0,H5)*$R$4+IF(I5="",0,I5)*$R$5+IF(J5="",0,J5)*$R$6+IF(K5="",0,K5)*$R$7+IF(L5="",0,L5)*$R$8+IF(M5="",0,M5)*$R$9+IF(N5="",0,N5)*$R$10+IF(O5="",0,O5)*$R$11</f>
        <v>0</v>
      </c>
      <c r="T5" s="8">
        <f t="shared" ref="T5:T12" si="13">AJ5</f>
        <v>1</v>
      </c>
      <c r="U5" s="14"/>
      <c r="V5" s="30"/>
      <c r="W5" s="34">
        <f t="shared" si="2"/>
        <v>0</v>
      </c>
      <c r="X5" s="35">
        <f t="shared" si="3"/>
        <v>1000</v>
      </c>
      <c r="Y5" s="56"/>
      <c r="Z5" s="64">
        <f t="shared" ref="Z5:Z11" si="14">IF(R5=$R$4,IF(H5="",0,H5))+IF(R5=$R$5,IF(I5="",0,I5))+IF(R5=$R$6,IF(J5="",0,J5))+IF(R5=$R$7,IF(K5="",0,K5))+IF(R5=$R$8,IF(L5="",0,L5))+IF(R5=$R$9,IF(M5="",0,M5))+IF(R5=$R$10,IF(N5="",0,N5))+IF(R5=$R$11,IF(O5="",0,O5))</f>
        <v>0</v>
      </c>
      <c r="AA5" s="65">
        <f t="shared" si="4"/>
        <v>0</v>
      </c>
      <c r="AB5" s="64">
        <f t="shared" si="5"/>
        <v>0</v>
      </c>
      <c r="AC5" s="65">
        <f t="shared" ref="AC5:AC11" si="15">$AB$13*AA5+AB5</f>
        <v>0</v>
      </c>
      <c r="AD5" s="64">
        <f>IF(AC5=$AC$4,IF(H5="",0,H5))+IF(AC5=$AC$5,IF(I5="",0,I5))+IF(AC5=$AC$6,IF(J5="",0,J5))+IF(AC5=$AC$7,IF(K5="",0,K5))+IF(AC5=$AC$8,IF(L5="",0,L5))+IF(AC5=$AC$9,IF(M5="",0,M5))+IF(AC5=$AC$10,IF(N5="",0,N5))+IF(AC5=$AC$11,IF(O5="",0,O5))</f>
        <v>0</v>
      </c>
      <c r="AE5" s="56">
        <f t="shared" ref="AE5:AE11" si="16">$AD$13*AC5+AD5</f>
        <v>0</v>
      </c>
      <c r="AF5" s="56"/>
      <c r="AG5" s="56">
        <f t="shared" ref="AG5:AG11" si="17">RANK(AE5,$AE$4:$AE$11,1)-1</f>
        <v>0</v>
      </c>
      <c r="AH5" s="56">
        <f t="shared" si="6"/>
        <v>0</v>
      </c>
      <c r="AI5" s="56">
        <f t="shared" ref="AI5:AI12" si="18">8*AG5+AH5</f>
        <v>0</v>
      </c>
      <c r="AJ5" s="56">
        <f t="shared" ref="AJ5:AJ11" si="19">RANK(AI5,$AI$4:$AI$11)</f>
        <v>1</v>
      </c>
      <c r="AK5" s="56"/>
      <c r="AL5" s="56"/>
      <c r="AM5" s="56"/>
      <c r="AN5" s="56"/>
      <c r="AO5" s="56"/>
      <c r="AP5" s="30"/>
      <c r="AQ5" s="37">
        <v>2</v>
      </c>
      <c r="AR5" s="38">
        <f t="shared" si="7"/>
        <v>0</v>
      </c>
      <c r="AS5" s="39" t="e">
        <f t="shared" si="8"/>
        <v>#VALUE!</v>
      </c>
      <c r="AT5" s="39">
        <f t="shared" ref="AT5:AT11" si="20">SUM(BH5:BP5)</f>
        <v>0</v>
      </c>
      <c r="AV5" s="6">
        <v>2</v>
      </c>
      <c r="AW5" s="6">
        <f t="shared" si="9"/>
        <v>0</v>
      </c>
      <c r="AX5" s="6">
        <f t="shared" si="9"/>
        <v>0</v>
      </c>
      <c r="AY5" s="6">
        <f t="shared" si="9"/>
        <v>0</v>
      </c>
      <c r="AZ5" s="6">
        <f t="shared" si="9"/>
        <v>0</v>
      </c>
      <c r="BA5" s="6">
        <f t="shared" si="9"/>
        <v>0</v>
      </c>
      <c r="BB5" s="6">
        <f t="shared" si="9"/>
        <v>0</v>
      </c>
      <c r="BC5" s="6">
        <f t="shared" si="9"/>
        <v>0</v>
      </c>
      <c r="BD5" s="6">
        <f t="shared" si="9"/>
        <v>0</v>
      </c>
      <c r="BE5" s="6">
        <f t="shared" si="9"/>
        <v>0</v>
      </c>
      <c r="BG5" s="6">
        <v>2</v>
      </c>
      <c r="BH5" s="6">
        <f t="shared" ref="BH5:BH11" si="21">AW5</f>
        <v>0</v>
      </c>
      <c r="BI5" s="6">
        <f t="shared" si="10"/>
        <v>0</v>
      </c>
      <c r="BJ5" s="6">
        <f t="shared" si="10"/>
        <v>0</v>
      </c>
      <c r="BK5" s="6">
        <f t="shared" si="10"/>
        <v>0</v>
      </c>
      <c r="BL5" s="6">
        <f t="shared" si="10"/>
        <v>0</v>
      </c>
      <c r="BM5" s="6">
        <f t="shared" si="10"/>
        <v>0</v>
      </c>
      <c r="BN5" s="6">
        <f t="shared" si="10"/>
        <v>0</v>
      </c>
      <c r="BO5" s="6">
        <f t="shared" si="10"/>
        <v>0</v>
      </c>
      <c r="BP5" s="6">
        <f t="shared" si="10"/>
        <v>0</v>
      </c>
    </row>
    <row r="6" spans="1:68" x14ac:dyDescent="0.25">
      <c r="A6" s="24">
        <f t="shared" si="11"/>
        <v>1</v>
      </c>
      <c r="B6" s="25">
        <v>3</v>
      </c>
      <c r="C6" s="25" t="s">
        <v>42</v>
      </c>
      <c r="D6" s="110"/>
      <c r="E6" s="110"/>
      <c r="F6" s="25">
        <v>1000</v>
      </c>
      <c r="H6" s="27" t="str">
        <f t="shared" si="0"/>
        <v/>
      </c>
      <c r="I6" s="27" t="str">
        <f t="shared" si="0"/>
        <v/>
      </c>
      <c r="J6" s="26" t="str">
        <f t="shared" si="0"/>
        <v/>
      </c>
      <c r="K6" s="27" t="str">
        <f t="shared" si="0"/>
        <v/>
      </c>
      <c r="L6" s="27" t="str">
        <f t="shared" si="0"/>
        <v/>
      </c>
      <c r="M6" s="27" t="str">
        <f t="shared" si="0"/>
        <v/>
      </c>
      <c r="N6" s="27" t="str">
        <f t="shared" si="0"/>
        <v/>
      </c>
      <c r="O6" s="27" t="str">
        <f t="shared" si="0"/>
        <v/>
      </c>
      <c r="P6" s="28"/>
      <c r="Q6" s="53"/>
      <c r="R6" s="62">
        <f t="shared" si="1"/>
        <v>0</v>
      </c>
      <c r="S6" s="8">
        <f t="shared" si="12"/>
        <v>0</v>
      </c>
      <c r="T6" s="9">
        <f>AJ6</f>
        <v>1</v>
      </c>
      <c r="U6" s="10"/>
      <c r="V6" s="30"/>
      <c r="W6" s="34">
        <f t="shared" si="2"/>
        <v>0</v>
      </c>
      <c r="X6" s="35">
        <f t="shared" si="3"/>
        <v>1000</v>
      </c>
      <c r="Y6" s="56"/>
      <c r="Z6" s="64">
        <f t="shared" si="14"/>
        <v>0</v>
      </c>
      <c r="AA6" s="65">
        <f t="shared" si="4"/>
        <v>0</v>
      </c>
      <c r="AB6" s="64">
        <f t="shared" si="5"/>
        <v>0</v>
      </c>
      <c r="AC6" s="65">
        <f t="shared" si="15"/>
        <v>0</v>
      </c>
      <c r="AD6" s="64">
        <f>IF(AC6=$AC$4,IF(H6="",0,H6))+IF(AC6=$AC$5,IF(I6="",0,I6))+IF(AC6=$AC$6,IF(J6="",0,J6))+IF(AC6=$AC$7,IF(K6="",0,K6))+IF(AC6=$AC$8,IF(L6="",0,L6))+IF(AC6=$AC$9,IF(M6="",0,M6))+IF(AC6=$AC$10,IF(N6="",0,N6))+IF(AC6=$AC$11,IF(O6="",0,O6))</f>
        <v>0</v>
      </c>
      <c r="AE6" s="56">
        <f t="shared" si="16"/>
        <v>0</v>
      </c>
      <c r="AF6" s="56"/>
      <c r="AG6" s="56">
        <f t="shared" si="17"/>
        <v>0</v>
      </c>
      <c r="AH6" s="56">
        <f t="shared" si="6"/>
        <v>0</v>
      </c>
      <c r="AI6" s="56">
        <f t="shared" si="18"/>
        <v>0</v>
      </c>
      <c r="AJ6" s="56">
        <f t="shared" si="19"/>
        <v>1</v>
      </c>
      <c r="AK6" s="56"/>
      <c r="AL6" s="56"/>
      <c r="AM6" s="56"/>
      <c r="AN6" s="56"/>
      <c r="AO6" s="56"/>
      <c r="AP6" s="30"/>
      <c r="AQ6" s="37">
        <v>3</v>
      </c>
      <c r="AR6" s="38">
        <f t="shared" si="7"/>
        <v>0</v>
      </c>
      <c r="AS6" s="39" t="e">
        <f t="shared" si="8"/>
        <v>#VALUE!</v>
      </c>
      <c r="AT6" s="39">
        <f t="shared" si="20"/>
        <v>0</v>
      </c>
      <c r="AV6" s="6">
        <v>3</v>
      </c>
      <c r="AW6" s="6">
        <f t="shared" si="9"/>
        <v>0</v>
      </c>
      <c r="AX6" s="6">
        <f t="shared" si="9"/>
        <v>0</v>
      </c>
      <c r="AY6" s="6">
        <f t="shared" si="9"/>
        <v>0</v>
      </c>
      <c r="AZ6" s="6">
        <f t="shared" si="9"/>
        <v>0</v>
      </c>
      <c r="BA6" s="6">
        <f t="shared" si="9"/>
        <v>0</v>
      </c>
      <c r="BB6" s="6">
        <f t="shared" si="9"/>
        <v>0</v>
      </c>
      <c r="BC6" s="6">
        <f t="shared" si="9"/>
        <v>0</v>
      </c>
      <c r="BD6" s="6">
        <f t="shared" si="9"/>
        <v>0</v>
      </c>
      <c r="BE6" s="6">
        <f t="shared" si="9"/>
        <v>0</v>
      </c>
      <c r="BG6" s="6">
        <v>3</v>
      </c>
      <c r="BH6" s="6">
        <f t="shared" si="21"/>
        <v>0</v>
      </c>
      <c r="BI6" s="6">
        <f t="shared" si="10"/>
        <v>0</v>
      </c>
      <c r="BJ6" s="6">
        <f t="shared" si="10"/>
        <v>0</v>
      </c>
      <c r="BK6" s="6">
        <f t="shared" si="10"/>
        <v>0</v>
      </c>
      <c r="BL6" s="6">
        <f t="shared" si="10"/>
        <v>0</v>
      </c>
      <c r="BM6" s="6">
        <f t="shared" si="10"/>
        <v>0</v>
      </c>
      <c r="BN6" s="6">
        <f t="shared" si="10"/>
        <v>0</v>
      </c>
      <c r="BO6" s="6">
        <f t="shared" si="10"/>
        <v>0</v>
      </c>
      <c r="BP6" s="6">
        <f t="shared" si="10"/>
        <v>0</v>
      </c>
    </row>
    <row r="7" spans="1:68" x14ac:dyDescent="0.25">
      <c r="A7" s="24">
        <f t="shared" si="11"/>
        <v>1</v>
      </c>
      <c r="B7" s="25">
        <v>4</v>
      </c>
      <c r="C7" s="25" t="s">
        <v>43</v>
      </c>
      <c r="D7" s="110"/>
      <c r="E7" s="110"/>
      <c r="F7" s="25">
        <v>1000</v>
      </c>
      <c r="H7" s="27" t="str">
        <f t="shared" si="0"/>
        <v/>
      </c>
      <c r="I7" s="27" t="str">
        <f t="shared" si="0"/>
        <v/>
      </c>
      <c r="J7" s="27" t="str">
        <f t="shared" si="0"/>
        <v/>
      </c>
      <c r="K7" s="26" t="str">
        <f t="shared" si="0"/>
        <v/>
      </c>
      <c r="L7" s="27" t="str">
        <f t="shared" si="0"/>
        <v/>
      </c>
      <c r="M7" s="27" t="str">
        <f t="shared" si="0"/>
        <v/>
      </c>
      <c r="N7" s="27" t="str">
        <f t="shared" si="0"/>
        <v/>
      </c>
      <c r="O7" s="27" t="str">
        <f t="shared" si="0"/>
        <v/>
      </c>
      <c r="P7" s="28"/>
      <c r="Q7" s="53"/>
      <c r="R7" s="62">
        <f t="shared" si="1"/>
        <v>0</v>
      </c>
      <c r="S7" s="8">
        <f t="shared" si="12"/>
        <v>0</v>
      </c>
      <c r="T7" s="8">
        <f t="shared" si="13"/>
        <v>1</v>
      </c>
      <c r="U7" s="14"/>
      <c r="V7" s="30"/>
      <c r="W7" s="34">
        <f t="shared" si="2"/>
        <v>0</v>
      </c>
      <c r="X7" s="35">
        <f t="shared" si="3"/>
        <v>1000</v>
      </c>
      <c r="Y7" s="56"/>
      <c r="Z7" s="64">
        <f t="shared" si="14"/>
        <v>0</v>
      </c>
      <c r="AA7" s="65">
        <f t="shared" si="4"/>
        <v>0</v>
      </c>
      <c r="AB7" s="64">
        <f t="shared" si="5"/>
        <v>0</v>
      </c>
      <c r="AC7" s="65">
        <f t="shared" si="15"/>
        <v>0</v>
      </c>
      <c r="AD7" s="64">
        <f>IF(AC7=$AC$4,IF(H7="",0,H7))+IF(AC7=$AC$5,IF(I7="",0,I7))+IF(AC7=$AC$6,IF(J7="",0,J7))+IF(AD6=$AC$7,IF(K7="",0,K7))+IF(AC7=$AC$8,IF(L7="",0,L7))+IF(AC7=$AC$9,IF(M7="",0,M7))+IF(AC7=$AC$10,IF(N7="",0,N7))+IF(AC7=$AC$11,IF(O7="",0,O7))</f>
        <v>0</v>
      </c>
      <c r="AE7" s="56">
        <f t="shared" si="16"/>
        <v>0</v>
      </c>
      <c r="AF7" s="56"/>
      <c r="AG7" s="56">
        <f t="shared" si="17"/>
        <v>0</v>
      </c>
      <c r="AH7" s="56">
        <f t="shared" si="6"/>
        <v>0</v>
      </c>
      <c r="AI7" s="56">
        <f t="shared" si="18"/>
        <v>0</v>
      </c>
      <c r="AJ7" s="56">
        <f t="shared" si="19"/>
        <v>1</v>
      </c>
      <c r="AK7" s="56"/>
      <c r="AL7" s="56"/>
      <c r="AM7" s="56"/>
      <c r="AN7" s="56"/>
      <c r="AO7" s="56"/>
      <c r="AP7" s="30"/>
      <c r="AQ7" s="37">
        <v>4</v>
      </c>
      <c r="AR7" s="38">
        <f t="shared" si="7"/>
        <v>0</v>
      </c>
      <c r="AS7" s="39" t="e">
        <f t="shared" si="8"/>
        <v>#VALUE!</v>
      </c>
      <c r="AT7" s="39">
        <f t="shared" si="20"/>
        <v>0</v>
      </c>
      <c r="AV7" s="6">
        <v>4</v>
      </c>
      <c r="AW7" s="6">
        <f t="shared" si="9"/>
        <v>0</v>
      </c>
      <c r="AX7" s="6">
        <f t="shared" si="9"/>
        <v>0</v>
      </c>
      <c r="AY7" s="6">
        <f t="shared" si="9"/>
        <v>0</v>
      </c>
      <c r="AZ7" s="6">
        <f t="shared" si="9"/>
        <v>0</v>
      </c>
      <c r="BA7" s="6">
        <f t="shared" si="9"/>
        <v>0</v>
      </c>
      <c r="BB7" s="6">
        <f t="shared" si="9"/>
        <v>0</v>
      </c>
      <c r="BC7" s="6">
        <f t="shared" si="9"/>
        <v>0</v>
      </c>
      <c r="BD7" s="6">
        <f t="shared" si="9"/>
        <v>0</v>
      </c>
      <c r="BE7" s="6">
        <f t="shared" si="9"/>
        <v>0</v>
      </c>
      <c r="BG7" s="6">
        <v>4</v>
      </c>
      <c r="BH7" s="6">
        <f t="shared" si="21"/>
        <v>0</v>
      </c>
      <c r="BI7" s="6">
        <f t="shared" si="10"/>
        <v>0</v>
      </c>
      <c r="BJ7" s="6">
        <f t="shared" si="10"/>
        <v>0</v>
      </c>
      <c r="BK7" s="6">
        <f t="shared" si="10"/>
        <v>0</v>
      </c>
      <c r="BL7" s="6">
        <f t="shared" si="10"/>
        <v>0</v>
      </c>
      <c r="BM7" s="6">
        <f t="shared" si="10"/>
        <v>0</v>
      </c>
      <c r="BN7" s="6">
        <f t="shared" si="10"/>
        <v>0</v>
      </c>
      <c r="BO7" s="6">
        <f t="shared" si="10"/>
        <v>0</v>
      </c>
      <c r="BP7" s="6">
        <f t="shared" si="10"/>
        <v>0</v>
      </c>
    </row>
    <row r="8" spans="1:68" x14ac:dyDescent="0.25">
      <c r="A8" s="24">
        <f t="shared" si="11"/>
        <v>1</v>
      </c>
      <c r="B8" s="25">
        <v>5</v>
      </c>
      <c r="C8" s="25" t="s">
        <v>47</v>
      </c>
      <c r="D8" s="110"/>
      <c r="E8" s="110"/>
      <c r="F8" s="25">
        <v>1000</v>
      </c>
      <c r="H8" s="27" t="str">
        <f t="shared" si="0"/>
        <v/>
      </c>
      <c r="I8" s="27" t="str">
        <f t="shared" si="0"/>
        <v/>
      </c>
      <c r="J8" s="27" t="str">
        <f t="shared" si="0"/>
        <v/>
      </c>
      <c r="K8" s="27" t="str">
        <f t="shared" si="0"/>
        <v/>
      </c>
      <c r="L8" s="26" t="str">
        <f t="shared" si="0"/>
        <v/>
      </c>
      <c r="M8" s="27" t="str">
        <f t="shared" si="0"/>
        <v/>
      </c>
      <c r="N8" s="27" t="str">
        <f t="shared" si="0"/>
        <v/>
      </c>
      <c r="O8" s="27" t="str">
        <f t="shared" si="0"/>
        <v/>
      </c>
      <c r="P8" s="28"/>
      <c r="Q8" s="53"/>
      <c r="R8" s="62">
        <f t="shared" si="1"/>
        <v>0</v>
      </c>
      <c r="S8" s="8">
        <f t="shared" si="12"/>
        <v>0</v>
      </c>
      <c r="T8" s="8">
        <f t="shared" si="13"/>
        <v>1</v>
      </c>
      <c r="U8" s="14"/>
      <c r="V8" s="30"/>
      <c r="W8" s="34">
        <f t="shared" si="2"/>
        <v>0</v>
      </c>
      <c r="X8" s="35">
        <f t="shared" si="3"/>
        <v>1000</v>
      </c>
      <c r="Y8" s="56"/>
      <c r="Z8" s="64">
        <f t="shared" si="14"/>
        <v>0</v>
      </c>
      <c r="AA8" s="65">
        <f t="shared" si="4"/>
        <v>0</v>
      </c>
      <c r="AB8" s="64">
        <f t="shared" si="5"/>
        <v>0</v>
      </c>
      <c r="AC8" s="65">
        <f t="shared" si="15"/>
        <v>0</v>
      </c>
      <c r="AD8" s="64">
        <f>IF(AC8=$AC$4,IF(H8="",0,H8))+IF(AC8=$AC$5,IF(I8="",0,I8))+IF(AC8=$AC$6,IF(J8="",0,J8))+IF(AC8=$AC$7,IF(K8="",0,K8))+IF(AC8=$AC$8,IF(L8="",0,L8))+IF(AC8=$AC$9,IF(M8="",0,M8))+IF(AC8=$AC$10,IF(N8="",0,N8))+IF(AC8=$AC$11,IF(O8="",0,O8))</f>
        <v>0</v>
      </c>
      <c r="AE8" s="56">
        <f t="shared" si="16"/>
        <v>0</v>
      </c>
      <c r="AF8" s="56"/>
      <c r="AG8" s="56">
        <f t="shared" si="17"/>
        <v>0</v>
      </c>
      <c r="AH8" s="56">
        <f t="shared" si="6"/>
        <v>0</v>
      </c>
      <c r="AI8" s="56">
        <f t="shared" si="18"/>
        <v>0</v>
      </c>
      <c r="AJ8" s="56">
        <f t="shared" si="19"/>
        <v>1</v>
      </c>
      <c r="AK8" s="56"/>
      <c r="AL8" s="7"/>
      <c r="AM8" s="56"/>
      <c r="AN8" s="56"/>
      <c r="AO8" s="56"/>
      <c r="AP8" s="30"/>
      <c r="AQ8" s="37">
        <v>5</v>
      </c>
      <c r="AR8" s="38">
        <f t="shared" si="7"/>
        <v>0</v>
      </c>
      <c r="AS8" s="39" t="e">
        <f t="shared" si="8"/>
        <v>#VALUE!</v>
      </c>
      <c r="AT8" s="39">
        <f t="shared" si="20"/>
        <v>0</v>
      </c>
      <c r="AV8" s="6">
        <v>5</v>
      </c>
      <c r="AW8" s="6">
        <f t="shared" si="9"/>
        <v>0</v>
      </c>
      <c r="AX8" s="6">
        <f t="shared" si="9"/>
        <v>0</v>
      </c>
      <c r="AY8" s="6">
        <f t="shared" si="9"/>
        <v>0</v>
      </c>
      <c r="AZ8" s="6">
        <f t="shared" si="9"/>
        <v>0</v>
      </c>
      <c r="BA8" s="6">
        <f t="shared" si="9"/>
        <v>0</v>
      </c>
      <c r="BB8" s="6">
        <f t="shared" si="9"/>
        <v>0</v>
      </c>
      <c r="BC8" s="6">
        <f t="shared" si="9"/>
        <v>0</v>
      </c>
      <c r="BD8" s="6">
        <f t="shared" si="9"/>
        <v>0</v>
      </c>
      <c r="BE8" s="6">
        <f t="shared" si="9"/>
        <v>0</v>
      </c>
      <c r="BG8" s="6">
        <v>5</v>
      </c>
      <c r="BH8" s="6">
        <f t="shared" si="21"/>
        <v>0</v>
      </c>
      <c r="BI8" s="6">
        <f t="shared" si="10"/>
        <v>0</v>
      </c>
      <c r="BJ8" s="6">
        <f t="shared" si="10"/>
        <v>0</v>
      </c>
      <c r="BK8" s="6">
        <f t="shared" si="10"/>
        <v>0</v>
      </c>
      <c r="BL8" s="6">
        <f t="shared" si="10"/>
        <v>0</v>
      </c>
      <c r="BM8" s="6">
        <f t="shared" si="10"/>
        <v>0</v>
      </c>
      <c r="BN8" s="6">
        <f t="shared" si="10"/>
        <v>0</v>
      </c>
      <c r="BO8" s="6">
        <f t="shared" si="10"/>
        <v>0</v>
      </c>
      <c r="BP8" s="6">
        <f t="shared" si="10"/>
        <v>0</v>
      </c>
    </row>
    <row r="9" spans="1:68" x14ac:dyDescent="0.25">
      <c r="A9" s="24">
        <f t="shared" si="11"/>
        <v>1</v>
      </c>
      <c r="B9" s="25">
        <v>6</v>
      </c>
      <c r="C9" s="25" t="s">
        <v>44</v>
      </c>
      <c r="D9" s="110"/>
      <c r="E9" s="110"/>
      <c r="F9" s="25">
        <v>1000</v>
      </c>
      <c r="H9" s="27" t="str">
        <f t="shared" si="0"/>
        <v/>
      </c>
      <c r="I9" s="27" t="str">
        <f t="shared" si="0"/>
        <v/>
      </c>
      <c r="J9" s="27" t="str">
        <f t="shared" si="0"/>
        <v/>
      </c>
      <c r="K9" s="27" t="str">
        <f t="shared" si="0"/>
        <v/>
      </c>
      <c r="L9" s="27" t="str">
        <f t="shared" si="0"/>
        <v/>
      </c>
      <c r="M9" s="26" t="str">
        <f t="shared" si="0"/>
        <v/>
      </c>
      <c r="N9" s="27" t="str">
        <f t="shared" si="0"/>
        <v/>
      </c>
      <c r="O9" s="27" t="str">
        <f t="shared" si="0"/>
        <v/>
      </c>
      <c r="P9" s="28"/>
      <c r="Q9" s="53"/>
      <c r="R9" s="62">
        <f t="shared" si="1"/>
        <v>0</v>
      </c>
      <c r="S9" s="8">
        <f t="shared" si="12"/>
        <v>0</v>
      </c>
      <c r="T9" s="8">
        <f t="shared" si="13"/>
        <v>1</v>
      </c>
      <c r="U9" s="14"/>
      <c r="V9" s="30"/>
      <c r="W9" s="34">
        <f t="shared" si="2"/>
        <v>0</v>
      </c>
      <c r="X9" s="35">
        <f t="shared" si="3"/>
        <v>1000</v>
      </c>
      <c r="Y9" s="56"/>
      <c r="Z9" s="64">
        <f t="shared" si="14"/>
        <v>0</v>
      </c>
      <c r="AA9" s="65">
        <f t="shared" si="4"/>
        <v>0</v>
      </c>
      <c r="AB9" s="64">
        <f t="shared" si="5"/>
        <v>0</v>
      </c>
      <c r="AC9" s="65">
        <f t="shared" si="15"/>
        <v>0</v>
      </c>
      <c r="AD9" s="64">
        <f>IF(AC9=$AC$4,IF(H9="",0,H9))+IF(AC9=$AC$5,IF(I9="",0,I9))+IF(AC9=$AC$6,IF(J9="",0,J9))+IF(AC9=$AC$7,IF(K9="",0,K9))+IF(AC9=$AC$8,IF(L9="",0,L9))+IF(AC9=$AC$9,IF(M9="",0,M9))+IF(AC9=$AC$10,IF(N9="",0,N9))+IF(AC9=$AC$11,IF(O9="",0,O9))</f>
        <v>0</v>
      </c>
      <c r="AE9" s="56">
        <f t="shared" si="16"/>
        <v>0</v>
      </c>
      <c r="AF9" s="56"/>
      <c r="AG9" s="56">
        <f t="shared" si="17"/>
        <v>0</v>
      </c>
      <c r="AH9" s="56">
        <f t="shared" si="6"/>
        <v>0</v>
      </c>
      <c r="AI9" s="56">
        <f t="shared" si="18"/>
        <v>0</v>
      </c>
      <c r="AJ9" s="56">
        <f t="shared" si="19"/>
        <v>1</v>
      </c>
      <c r="AK9" s="56"/>
      <c r="AL9" s="56"/>
      <c r="AM9" s="56"/>
      <c r="AN9" s="56"/>
      <c r="AO9" s="56"/>
      <c r="AP9" s="30"/>
      <c r="AQ9" s="37">
        <v>6</v>
      </c>
      <c r="AR9" s="38">
        <f t="shared" si="7"/>
        <v>0</v>
      </c>
      <c r="AS9" s="39" t="e">
        <f t="shared" si="8"/>
        <v>#VALUE!</v>
      </c>
      <c r="AT9" s="39">
        <f t="shared" si="20"/>
        <v>0</v>
      </c>
      <c r="AV9" s="6">
        <v>6</v>
      </c>
      <c r="AW9" s="6">
        <f t="shared" si="9"/>
        <v>0</v>
      </c>
      <c r="AX9" s="6">
        <f t="shared" si="9"/>
        <v>0</v>
      </c>
      <c r="AY9" s="6">
        <f t="shared" si="9"/>
        <v>0</v>
      </c>
      <c r="AZ9" s="6">
        <f t="shared" si="9"/>
        <v>0</v>
      </c>
      <c r="BA9" s="6">
        <f t="shared" si="9"/>
        <v>0</v>
      </c>
      <c r="BB9" s="6">
        <f t="shared" si="9"/>
        <v>0</v>
      </c>
      <c r="BC9" s="6">
        <f t="shared" si="9"/>
        <v>0</v>
      </c>
      <c r="BD9" s="6">
        <f t="shared" si="9"/>
        <v>0</v>
      </c>
      <c r="BE9" s="6">
        <f t="shared" si="9"/>
        <v>0</v>
      </c>
      <c r="BG9" s="6">
        <v>6</v>
      </c>
      <c r="BH9" s="6">
        <f t="shared" si="21"/>
        <v>0</v>
      </c>
      <c r="BI9" s="6">
        <f t="shared" si="10"/>
        <v>0</v>
      </c>
      <c r="BJ9" s="6">
        <f t="shared" si="10"/>
        <v>0</v>
      </c>
      <c r="BK9" s="6">
        <f t="shared" si="10"/>
        <v>0</v>
      </c>
      <c r="BL9" s="6">
        <f t="shared" si="10"/>
        <v>0</v>
      </c>
      <c r="BM9" s="6">
        <f t="shared" si="10"/>
        <v>0</v>
      </c>
      <c r="BN9" s="6">
        <f t="shared" si="10"/>
        <v>0</v>
      </c>
      <c r="BO9" s="6">
        <f t="shared" si="10"/>
        <v>0</v>
      </c>
      <c r="BP9" s="6">
        <f t="shared" si="10"/>
        <v>0</v>
      </c>
    </row>
    <row r="10" spans="1:68" x14ac:dyDescent="0.25">
      <c r="A10" s="24">
        <f t="shared" si="11"/>
        <v>1</v>
      </c>
      <c r="B10" s="25">
        <v>7</v>
      </c>
      <c r="C10" s="25" t="s">
        <v>45</v>
      </c>
      <c r="D10" s="110"/>
      <c r="E10" s="110"/>
      <c r="F10" s="25">
        <v>1000</v>
      </c>
      <c r="H10" s="27" t="str">
        <f t="shared" si="0"/>
        <v/>
      </c>
      <c r="I10" s="27" t="str">
        <f t="shared" si="0"/>
        <v/>
      </c>
      <c r="J10" s="27" t="str">
        <f t="shared" si="0"/>
        <v/>
      </c>
      <c r="K10" s="27" t="str">
        <f t="shared" si="0"/>
        <v/>
      </c>
      <c r="L10" s="27" t="str">
        <f t="shared" si="0"/>
        <v/>
      </c>
      <c r="M10" s="27" t="str">
        <f t="shared" si="0"/>
        <v/>
      </c>
      <c r="N10" s="26" t="str">
        <f t="shared" si="0"/>
        <v/>
      </c>
      <c r="O10" s="27" t="str">
        <f t="shared" si="0"/>
        <v/>
      </c>
      <c r="P10" s="28"/>
      <c r="Q10" s="53"/>
      <c r="R10" s="62">
        <f t="shared" si="1"/>
        <v>0</v>
      </c>
      <c r="S10" s="8">
        <f t="shared" si="12"/>
        <v>0</v>
      </c>
      <c r="T10" s="8">
        <f t="shared" si="13"/>
        <v>1</v>
      </c>
      <c r="U10" s="14"/>
      <c r="V10" s="30"/>
      <c r="W10" s="34">
        <f t="shared" si="2"/>
        <v>0</v>
      </c>
      <c r="X10" s="35">
        <f t="shared" si="3"/>
        <v>1000</v>
      </c>
      <c r="Y10" s="56"/>
      <c r="Z10" s="64">
        <f t="shared" si="14"/>
        <v>0</v>
      </c>
      <c r="AA10" s="65">
        <f t="shared" si="4"/>
        <v>0</v>
      </c>
      <c r="AB10" s="64">
        <f t="shared" si="5"/>
        <v>0</v>
      </c>
      <c r="AC10" s="65">
        <f t="shared" si="15"/>
        <v>0</v>
      </c>
      <c r="AD10" s="64">
        <f>IF(AC10=$AC$4,IF(H10="",0,H10))+IF(AC10=$AC$5,IF(I10="",0,I10))+IF(AC10=$AC$6,IF(J10="",0,J10))+IF(AC10=$AC$7,IF(K10="",0,K10))+IF(AC10=$AC$8,IF(L10="",0,L10))+IF(AC10=$AC$9,IF(M10="",0,M10))+IF(AC10=$AC$10,IF(N10="",0,N10))+IF(AC10=$AC$11,IF(O10="",0,O10))</f>
        <v>0</v>
      </c>
      <c r="AE10" s="56">
        <f t="shared" si="16"/>
        <v>0</v>
      </c>
      <c r="AF10" s="56"/>
      <c r="AG10" s="56">
        <f t="shared" si="17"/>
        <v>0</v>
      </c>
      <c r="AH10" s="56">
        <f t="shared" si="6"/>
        <v>0</v>
      </c>
      <c r="AI10" s="56">
        <f t="shared" si="18"/>
        <v>0</v>
      </c>
      <c r="AJ10" s="56">
        <f t="shared" si="19"/>
        <v>1</v>
      </c>
      <c r="AK10" s="56"/>
      <c r="AL10" s="56"/>
      <c r="AM10" s="56"/>
      <c r="AN10" s="56"/>
      <c r="AO10" s="56"/>
      <c r="AP10" s="30"/>
      <c r="AQ10" s="37">
        <v>7</v>
      </c>
      <c r="AR10" s="38">
        <f t="shared" si="7"/>
        <v>0</v>
      </c>
      <c r="AS10" s="39" t="e">
        <f t="shared" si="8"/>
        <v>#VALUE!</v>
      </c>
      <c r="AT10" s="39">
        <f t="shared" si="20"/>
        <v>0</v>
      </c>
      <c r="AV10" s="6">
        <v>7</v>
      </c>
      <c r="AW10" s="6">
        <f t="shared" si="9"/>
        <v>0</v>
      </c>
      <c r="AX10" s="6">
        <f t="shared" si="9"/>
        <v>0</v>
      </c>
      <c r="AY10" s="6">
        <f t="shared" si="9"/>
        <v>0</v>
      </c>
      <c r="AZ10" s="6">
        <f t="shared" si="9"/>
        <v>0</v>
      </c>
      <c r="BA10" s="6">
        <f t="shared" si="9"/>
        <v>0</v>
      </c>
      <c r="BB10" s="6">
        <f t="shared" si="9"/>
        <v>0</v>
      </c>
      <c r="BC10" s="6">
        <f t="shared" si="9"/>
        <v>0</v>
      </c>
      <c r="BD10" s="6">
        <f t="shared" si="9"/>
        <v>0</v>
      </c>
      <c r="BE10" s="6">
        <f t="shared" si="9"/>
        <v>0</v>
      </c>
      <c r="BG10" s="6">
        <v>7</v>
      </c>
      <c r="BH10" s="6">
        <f t="shared" si="21"/>
        <v>0</v>
      </c>
      <c r="BI10" s="6">
        <f t="shared" si="10"/>
        <v>0</v>
      </c>
      <c r="BJ10" s="6">
        <f t="shared" si="10"/>
        <v>0</v>
      </c>
      <c r="BK10" s="6">
        <f t="shared" si="10"/>
        <v>0</v>
      </c>
      <c r="BL10" s="6">
        <f t="shared" si="10"/>
        <v>0</v>
      </c>
      <c r="BM10" s="6">
        <f t="shared" si="10"/>
        <v>0</v>
      </c>
      <c r="BN10" s="6">
        <f t="shared" si="10"/>
        <v>0</v>
      </c>
      <c r="BO10" s="6">
        <f t="shared" si="10"/>
        <v>0</v>
      </c>
      <c r="BP10" s="6">
        <f t="shared" si="10"/>
        <v>0</v>
      </c>
    </row>
    <row r="11" spans="1:68" x14ac:dyDescent="0.25">
      <c r="A11" s="24">
        <f t="shared" si="11"/>
        <v>1</v>
      </c>
      <c r="B11" s="25">
        <v>8</v>
      </c>
      <c r="C11" s="25" t="s">
        <v>46</v>
      </c>
      <c r="D11" s="110"/>
      <c r="E11" s="110"/>
      <c r="F11" s="25">
        <v>1000</v>
      </c>
      <c r="H11" s="27" t="str">
        <f t="shared" si="0"/>
        <v/>
      </c>
      <c r="I11" s="27" t="str">
        <f t="shared" si="0"/>
        <v/>
      </c>
      <c r="J11" s="27" t="str">
        <f t="shared" si="0"/>
        <v/>
      </c>
      <c r="K11" s="27" t="str">
        <f t="shared" si="0"/>
        <v/>
      </c>
      <c r="L11" s="27" t="str">
        <f t="shared" si="0"/>
        <v/>
      </c>
      <c r="M11" s="27" t="str">
        <f t="shared" si="0"/>
        <v/>
      </c>
      <c r="N11" s="27" t="str">
        <f t="shared" si="0"/>
        <v/>
      </c>
      <c r="O11" s="26" t="str">
        <f t="shared" si="0"/>
        <v/>
      </c>
      <c r="P11" s="28"/>
      <c r="Q11" s="53"/>
      <c r="R11" s="62">
        <f t="shared" si="1"/>
        <v>0</v>
      </c>
      <c r="S11" s="8">
        <f t="shared" si="12"/>
        <v>0</v>
      </c>
      <c r="T11" s="8">
        <f t="shared" si="13"/>
        <v>1</v>
      </c>
      <c r="U11" s="14"/>
      <c r="V11" s="30"/>
      <c r="W11" s="34">
        <f t="shared" si="2"/>
        <v>0</v>
      </c>
      <c r="X11" s="35">
        <f t="shared" si="3"/>
        <v>1000</v>
      </c>
      <c r="Y11" s="56"/>
      <c r="Z11" s="64">
        <f t="shared" si="14"/>
        <v>0</v>
      </c>
      <c r="AA11" s="65">
        <f t="shared" si="4"/>
        <v>0</v>
      </c>
      <c r="AB11" s="64">
        <f t="shared" si="5"/>
        <v>0</v>
      </c>
      <c r="AC11" s="65">
        <f t="shared" si="15"/>
        <v>0</v>
      </c>
      <c r="AD11" s="64">
        <f>IF(AC11=$AC$4,IF(H11="",0,H11))+IF(AC11=$AC$5,IF(I11="",0,I11))+IF(AC11=$AC$6,IF(J11="",0,J11))+IF(AC11=$AC$7,IF(K11="",0,K11))+IF(AC11=$AC$8,IF(L11="",0,L11))+IF(AC11=$AC$9,IF(M11="",0,M11))+IF(AC11=$AC$10,IF(N11="",0,N11))+IF(AC11=$AC$11,IF(O11="",0,O11))</f>
        <v>0</v>
      </c>
      <c r="AE11" s="56">
        <f t="shared" si="16"/>
        <v>0</v>
      </c>
      <c r="AF11" s="56"/>
      <c r="AG11" s="56">
        <f t="shared" si="17"/>
        <v>0</v>
      </c>
      <c r="AH11" s="56">
        <f t="shared" si="6"/>
        <v>0</v>
      </c>
      <c r="AI11" s="56">
        <f t="shared" si="18"/>
        <v>0</v>
      </c>
      <c r="AJ11" s="56">
        <f t="shared" si="19"/>
        <v>1</v>
      </c>
      <c r="AK11" s="56"/>
      <c r="AL11" s="56"/>
      <c r="AM11" s="56"/>
      <c r="AN11" s="56"/>
      <c r="AO11" s="56"/>
      <c r="AP11" s="30"/>
      <c r="AQ11" s="37">
        <v>8</v>
      </c>
      <c r="AR11" s="38">
        <f t="shared" si="7"/>
        <v>0</v>
      </c>
      <c r="AS11" s="39" t="e">
        <f t="shared" si="8"/>
        <v>#VALUE!</v>
      </c>
      <c r="AT11" s="39">
        <f t="shared" si="20"/>
        <v>0</v>
      </c>
      <c r="AV11" s="6">
        <v>8</v>
      </c>
      <c r="AW11" s="6">
        <f t="shared" si="9"/>
        <v>0</v>
      </c>
      <c r="AX11" s="6">
        <f t="shared" si="9"/>
        <v>0</v>
      </c>
      <c r="AY11" s="6">
        <f t="shared" si="9"/>
        <v>0</v>
      </c>
      <c r="AZ11" s="6">
        <f t="shared" si="9"/>
        <v>0</v>
      </c>
      <c r="BA11" s="6">
        <f t="shared" si="9"/>
        <v>0</v>
      </c>
      <c r="BB11" s="6">
        <f t="shared" si="9"/>
        <v>0</v>
      </c>
      <c r="BC11" s="6">
        <f t="shared" si="9"/>
        <v>0</v>
      </c>
      <c r="BD11" s="6">
        <f t="shared" si="9"/>
        <v>0</v>
      </c>
      <c r="BE11" s="6">
        <f t="shared" si="9"/>
        <v>0</v>
      </c>
      <c r="BG11" s="6">
        <v>8</v>
      </c>
      <c r="BH11" s="6">
        <f t="shared" si="21"/>
        <v>0</v>
      </c>
      <c r="BI11" s="6">
        <f t="shared" si="10"/>
        <v>0</v>
      </c>
      <c r="BJ11" s="6">
        <f t="shared" si="10"/>
        <v>0</v>
      </c>
      <c r="BK11" s="6">
        <f t="shared" si="10"/>
        <v>0</v>
      </c>
      <c r="BL11" s="6">
        <f t="shared" si="10"/>
        <v>0</v>
      </c>
      <c r="BM11" s="6">
        <f t="shared" si="10"/>
        <v>0</v>
      </c>
      <c r="BN11" s="6">
        <f t="shared" si="10"/>
        <v>0</v>
      </c>
      <c r="BO11" s="6">
        <f t="shared" si="10"/>
        <v>0</v>
      </c>
      <c r="BP11" s="6">
        <f t="shared" si="10"/>
        <v>0</v>
      </c>
    </row>
    <row r="12" spans="1:68" hidden="1" x14ac:dyDescent="0.25">
      <c r="A12" s="6">
        <f t="shared" si="11"/>
        <v>1</v>
      </c>
      <c r="T12" s="10">
        <f t="shared" si="13"/>
        <v>1</v>
      </c>
      <c r="U12" s="10"/>
      <c r="AA12" s="66"/>
      <c r="AD12" s="64">
        <f>IF(AC12=$AC$4,IF(H12="",0,H12))+IF(AC12=$AC$5,IF(I12="",0,I12))+IF(AC12=$AC$6,IF(J12="",0,J12))+IF(AD11=$AC$7,IF(K12="",0,K12))+IF(AC12=$AC$8,IF(L12="",0,L12))+IF(AC12=$AC$9,IF(M12="",0,M12))+IF(AC12=$AC$10,IF(L12="",0,L12))+IF(AC12=$AC$11,IF(O12="",0,O12))</f>
        <v>0</v>
      </c>
      <c r="AH12" s="56">
        <f t="shared" si="6"/>
        <v>0</v>
      </c>
      <c r="AI12" s="56">
        <f t="shared" si="18"/>
        <v>0</v>
      </c>
      <c r="AJ12" s="56">
        <f>RANK(AI13,$AI$4:$AI$11,1)</f>
        <v>1</v>
      </c>
    </row>
    <row r="13" spans="1:68" x14ac:dyDescent="0.25">
      <c r="Z13" s="57">
        <f>2*MAX(Z4:Z11)+1</f>
        <v>1</v>
      </c>
      <c r="AA13" s="66"/>
      <c r="AB13" s="57">
        <f>2*MAX(AB4:AB11)+1</f>
        <v>1</v>
      </c>
      <c r="AD13" s="57">
        <f>2*MAX(AD4:AD11)+1</f>
        <v>1</v>
      </c>
      <c r="AQ13" s="41" t="s">
        <v>39</v>
      </c>
      <c r="AR13" s="41" t="s">
        <v>0</v>
      </c>
      <c r="AS13" s="41" t="s">
        <v>1</v>
      </c>
      <c r="AT13" s="41" t="s">
        <v>2</v>
      </c>
      <c r="AV13" s="42" t="s">
        <v>37</v>
      </c>
      <c r="AW13" s="42" t="s">
        <v>38</v>
      </c>
      <c r="AX13" s="6" t="s">
        <v>18</v>
      </c>
      <c r="AY13" s="6" t="s">
        <v>19</v>
      </c>
      <c r="AZ13" s="6" t="s">
        <v>20</v>
      </c>
      <c r="BA13" s="6" t="s">
        <v>21</v>
      </c>
    </row>
    <row r="14" spans="1:68" ht="3" customHeight="1" x14ac:dyDescent="0.25">
      <c r="B14" s="11"/>
      <c r="C14" s="11"/>
      <c r="D14" s="11"/>
      <c r="E14" s="11"/>
      <c r="F14" s="11"/>
      <c r="G14" s="11"/>
      <c r="H14" s="11"/>
      <c r="I14" s="11"/>
      <c r="J14" s="11"/>
      <c r="K14" s="11"/>
      <c r="L14" s="11"/>
      <c r="M14" s="11"/>
      <c r="N14" s="11"/>
      <c r="O14" s="11"/>
      <c r="P14" s="11"/>
      <c r="Q14" s="11"/>
      <c r="R14" s="11"/>
      <c r="S14" s="11"/>
      <c r="T14" s="11"/>
      <c r="U14" s="11"/>
      <c r="AV14" s="43"/>
      <c r="AW14" s="43"/>
      <c r="AX14" s="44"/>
      <c r="AY14" s="44"/>
      <c r="AZ14" s="44"/>
      <c r="BA14" s="44"/>
    </row>
    <row r="15" spans="1:68" x14ac:dyDescent="0.25">
      <c r="B15" s="45" t="s">
        <v>3</v>
      </c>
      <c r="AV15" s="42"/>
      <c r="AW15" s="42"/>
    </row>
    <row r="16" spans="1:68" x14ac:dyDescent="0.25">
      <c r="B16" s="6">
        <v>1</v>
      </c>
      <c r="C16" s="6" t="str">
        <f>VLOOKUP(AR16,$B$4:$F$11,2,FALSE)</f>
        <v>H</v>
      </c>
      <c r="D16" s="46" t="s">
        <v>5</v>
      </c>
      <c r="E16" s="90" t="str">
        <f>VLOOKUP(AS16,$B$4:$F$11,2,FALSE)</f>
        <v>A</v>
      </c>
      <c r="F16" s="90"/>
      <c r="G16" s="90"/>
      <c r="H16" s="90"/>
      <c r="J16" s="90" t="str">
        <f>IF(T16="","",VLOOKUP(T16,Configuratie!$B$2:$E$11,3,FALSE))</f>
        <v/>
      </c>
      <c r="K16" s="90"/>
      <c r="L16" s="6" t="s">
        <v>5</v>
      </c>
      <c r="M16" s="90" t="str">
        <f>IF(T16="","",VLOOKUP(T16,Configuratie!$B$2:$E$11,4,FALSE))</f>
        <v/>
      </c>
      <c r="N16" s="90"/>
      <c r="R16" s="6" t="str">
        <f>IF(T16="","",VLOOKUP(T16,Configuratie!$B$2:$E$11,2,FALSE))</f>
        <v/>
      </c>
      <c r="T16" s="5"/>
      <c r="AQ16" s="6">
        <v>1</v>
      </c>
      <c r="AR16" s="6">
        <v>8</v>
      </c>
      <c r="AS16" s="6">
        <v>1</v>
      </c>
      <c r="AT16" s="6" t="str">
        <f>IF(AND(ISNUMBER(J16),ISNUMBER(M16)),IF(J16+M16=1,1,0),"")</f>
        <v/>
      </c>
      <c r="AV16" s="48">
        <f>AR16*100+AS16</f>
        <v>801</v>
      </c>
      <c r="AW16" s="48">
        <f>AS16*100+AR16</f>
        <v>108</v>
      </c>
      <c r="AX16" s="6">
        <v>0</v>
      </c>
      <c r="AY16" s="6">
        <v>0</v>
      </c>
      <c r="AZ16" s="6" t="e">
        <f>J16*AY16</f>
        <v>#VALUE!</v>
      </c>
      <c r="BA16" s="6" t="e">
        <f>M16*AX16</f>
        <v>#VALUE!</v>
      </c>
    </row>
    <row r="17" spans="2:53" x14ac:dyDescent="0.25">
      <c r="B17" s="6">
        <v>2</v>
      </c>
      <c r="C17" s="6" t="str">
        <f>VLOOKUP(AR17,$B$4:$F$11,2,FALSE)</f>
        <v>G</v>
      </c>
      <c r="D17" s="46" t="s">
        <v>5</v>
      </c>
      <c r="E17" s="90" t="str">
        <f>VLOOKUP(AS17,$B$4:$F$11,2,FALSE)</f>
        <v>B</v>
      </c>
      <c r="F17" s="90"/>
      <c r="G17" s="90"/>
      <c r="H17" s="90"/>
      <c r="J17" s="90" t="str">
        <f>IF(T17="","",VLOOKUP(T17,Configuratie!$B$2:$E$11,3,FALSE))</f>
        <v/>
      </c>
      <c r="K17" s="90"/>
      <c r="L17" s="6" t="s">
        <v>5</v>
      </c>
      <c r="M17" s="90" t="str">
        <f>IF(T17="","",VLOOKUP(T17,Configuratie!$B$2:$E$11,4,FALSE))</f>
        <v/>
      </c>
      <c r="N17" s="90"/>
      <c r="R17" s="6" t="str">
        <f>IF(T17="","",VLOOKUP(T17,Configuratie!$B$2:$E$11,2,FALSE))</f>
        <v/>
      </c>
      <c r="T17" s="5"/>
      <c r="AQ17" s="6">
        <v>1</v>
      </c>
      <c r="AR17" s="6">
        <v>7</v>
      </c>
      <c r="AS17" s="6">
        <v>2</v>
      </c>
      <c r="AT17" s="6" t="str">
        <f>IF(AND(ISNUMBER(J17),ISNUMBER(M17)),IF(J17+M17=1,1,0),"")</f>
        <v/>
      </c>
      <c r="AV17" s="48">
        <f>AR17*100+AS17</f>
        <v>702</v>
      </c>
      <c r="AW17" s="48">
        <f>AS17*100+AR17</f>
        <v>207</v>
      </c>
      <c r="AX17" s="6">
        <v>0</v>
      </c>
      <c r="AY17" s="6">
        <v>0</v>
      </c>
      <c r="AZ17" s="6" t="e">
        <f>J17*AY17</f>
        <v>#VALUE!</v>
      </c>
      <c r="BA17" s="6" t="e">
        <f>M17*AX17</f>
        <v>#VALUE!</v>
      </c>
    </row>
    <row r="18" spans="2:53" x14ac:dyDescent="0.25">
      <c r="B18" s="6">
        <v>3</v>
      </c>
      <c r="C18" s="6" t="str">
        <f>VLOOKUP(AR18,$B$4:$F$11,2,FALSE)</f>
        <v>F</v>
      </c>
      <c r="D18" s="46" t="s">
        <v>5</v>
      </c>
      <c r="E18" s="90" t="str">
        <f>VLOOKUP(AS18,$B$4:$F$11,2,FALSE)</f>
        <v>C</v>
      </c>
      <c r="F18" s="90"/>
      <c r="G18" s="90"/>
      <c r="H18" s="90"/>
      <c r="J18" s="90" t="str">
        <f>IF(T18="","",VLOOKUP(T18,Configuratie!$B$2:$E$11,3,FALSE))</f>
        <v/>
      </c>
      <c r="K18" s="90"/>
      <c r="L18" s="6" t="s">
        <v>5</v>
      </c>
      <c r="M18" s="90" t="str">
        <f>IF(T18="","",VLOOKUP(T18,Configuratie!$B$2:$E$11,4,FALSE))</f>
        <v/>
      </c>
      <c r="N18" s="90"/>
      <c r="R18" s="6" t="str">
        <f>IF(T18="","",VLOOKUP(T18,Configuratie!$B$2:$E$11,2,FALSE))</f>
        <v/>
      </c>
      <c r="T18" s="5"/>
      <c r="AQ18" s="6">
        <v>1</v>
      </c>
      <c r="AR18" s="6">
        <v>6</v>
      </c>
      <c r="AS18" s="6">
        <v>3</v>
      </c>
      <c r="AT18" s="6" t="str">
        <f>IF(AND(ISNUMBER(J18),ISNUMBER(M18)),IF(J18+M18=1,1,0),"")</f>
        <v/>
      </c>
      <c r="AV18" s="48">
        <f>AR18*100+AS18</f>
        <v>603</v>
      </c>
      <c r="AW18" s="48">
        <f>AS18*100+AR18</f>
        <v>306</v>
      </c>
      <c r="AX18" s="6">
        <v>0</v>
      </c>
      <c r="AY18" s="6">
        <v>0</v>
      </c>
      <c r="AZ18" s="6" t="e">
        <f>J18*AY18</f>
        <v>#VALUE!</v>
      </c>
      <c r="BA18" s="6" t="e">
        <f>M18*AX18</f>
        <v>#VALUE!</v>
      </c>
    </row>
    <row r="19" spans="2:53" x14ac:dyDescent="0.25">
      <c r="B19" s="6">
        <v>4</v>
      </c>
      <c r="C19" s="6" t="str">
        <f>VLOOKUP(AR19,$B$4:$F$11,2,FALSE)</f>
        <v>E</v>
      </c>
      <c r="D19" s="46" t="s">
        <v>5</v>
      </c>
      <c r="E19" s="90" t="str">
        <f>VLOOKUP(AS19,$B$4:$F$11,2,FALSE)</f>
        <v>D</v>
      </c>
      <c r="F19" s="90"/>
      <c r="G19" s="90"/>
      <c r="H19" s="90"/>
      <c r="J19" s="90" t="str">
        <f>IF(T19="","",VLOOKUP(T19,Configuratie!$B$2:$E$11,3,FALSE))</f>
        <v/>
      </c>
      <c r="K19" s="90"/>
      <c r="L19" s="6" t="s">
        <v>5</v>
      </c>
      <c r="M19" s="90" t="str">
        <f>IF(T19="","",VLOOKUP(T19,Configuratie!$B$2:$E$11,4,FALSE))</f>
        <v/>
      </c>
      <c r="N19" s="90"/>
      <c r="R19" s="6" t="str">
        <f>IF(T19="","",VLOOKUP(T19,Configuratie!$B$2:$E$11,2,FALSE))</f>
        <v/>
      </c>
      <c r="T19" s="5"/>
      <c r="AQ19" s="6">
        <v>1</v>
      </c>
      <c r="AR19" s="6">
        <v>5</v>
      </c>
      <c r="AS19" s="6">
        <v>4</v>
      </c>
      <c r="AT19" s="6" t="str">
        <f>IF(AND(ISNUMBER(J19),ISNUMBER(M19)),IF(J19+M19=1,1,0),"")</f>
        <v/>
      </c>
      <c r="AV19" s="48">
        <f>AR19*100+AS19</f>
        <v>504</v>
      </c>
      <c r="AW19" s="48">
        <f>AS19*100+AR19</f>
        <v>405</v>
      </c>
      <c r="AX19" s="6">
        <v>0</v>
      </c>
      <c r="AY19" s="6">
        <v>0</v>
      </c>
      <c r="AZ19" s="6" t="e">
        <f>J19*AY19</f>
        <v>#VALUE!</v>
      </c>
      <c r="BA19" s="6" t="e">
        <f>M19*AX19</f>
        <v>#VALUE!</v>
      </c>
    </row>
    <row r="20" spans="2:53" ht="3" customHeight="1" x14ac:dyDescent="0.25">
      <c r="B20" s="11"/>
      <c r="C20" s="11"/>
      <c r="D20" s="11"/>
      <c r="E20" s="11"/>
      <c r="F20" s="11"/>
      <c r="G20" s="11"/>
      <c r="H20" s="11"/>
      <c r="I20" s="11"/>
      <c r="J20" s="11"/>
      <c r="K20" s="11"/>
      <c r="L20" s="11"/>
      <c r="M20" s="11"/>
      <c r="N20" s="11"/>
      <c r="O20" s="11"/>
      <c r="P20" s="11"/>
      <c r="Q20" s="11"/>
      <c r="R20" s="11"/>
      <c r="S20" s="11"/>
      <c r="T20" s="11"/>
      <c r="U20" s="11"/>
      <c r="AV20" s="42"/>
      <c r="AW20" s="42"/>
    </row>
    <row r="21" spans="2:53" x14ac:dyDescent="0.25">
      <c r="B21" s="45" t="s">
        <v>9</v>
      </c>
      <c r="AV21" s="42"/>
      <c r="AW21" s="42"/>
    </row>
    <row r="22" spans="2:53" x14ac:dyDescent="0.25">
      <c r="B22" s="6">
        <v>1</v>
      </c>
      <c r="C22" s="6" t="str">
        <f>VLOOKUP(AR22,$B$4:$F$11,2,FALSE)</f>
        <v>H</v>
      </c>
      <c r="D22" s="46" t="s">
        <v>5</v>
      </c>
      <c r="E22" s="90" t="str">
        <f>VLOOKUP(AS22,$B$4:$F$11,2,FALSE)</f>
        <v>D</v>
      </c>
      <c r="F22" s="90"/>
      <c r="G22" s="90"/>
      <c r="H22" s="90"/>
      <c r="J22" s="90" t="str">
        <f>IF(T22="","",VLOOKUP(T22,Configuratie!$B$2:$E$11,3,FALSE))</f>
        <v/>
      </c>
      <c r="K22" s="90"/>
      <c r="L22" s="6" t="s">
        <v>5</v>
      </c>
      <c r="M22" s="90" t="str">
        <f>IF(T22="","",VLOOKUP(T22,Configuratie!$B$2:$E$11,4,FALSE))</f>
        <v/>
      </c>
      <c r="N22" s="90"/>
      <c r="R22" s="6" t="str">
        <f>IF(T22="","",VLOOKUP(T22,Configuratie!$B$2:$E$11,2,FALSE))</f>
        <v/>
      </c>
      <c r="T22" s="5"/>
      <c r="AQ22" s="6">
        <v>2</v>
      </c>
      <c r="AR22" s="6">
        <v>8</v>
      </c>
      <c r="AS22" s="6">
        <v>4</v>
      </c>
      <c r="AT22" s="6" t="str">
        <f>IF(AND(ISNUMBER(J22),ISNUMBER(M22)),IF(J22+M22=1,1,0),"")</f>
        <v/>
      </c>
      <c r="AV22" s="48">
        <f>AR22*100+AS22</f>
        <v>804</v>
      </c>
      <c r="AW22" s="48">
        <f>AS22*100+AR22</f>
        <v>408</v>
      </c>
      <c r="AX22" s="6">
        <f t="shared" ref="AX22:AY25" si="22">VLOOKUP(AR22,$BG$3:$BP$11,$AQ22,FALSE)</f>
        <v>0</v>
      </c>
      <c r="AY22" s="6">
        <f t="shared" si="22"/>
        <v>0</v>
      </c>
      <c r="AZ22" s="6" t="e">
        <f>J22*AY22</f>
        <v>#VALUE!</v>
      </c>
      <c r="BA22" s="6" t="e">
        <f>M22*AX22</f>
        <v>#VALUE!</v>
      </c>
    </row>
    <row r="23" spans="2:53" x14ac:dyDescent="0.25">
      <c r="B23" s="6">
        <v>2</v>
      </c>
      <c r="C23" s="6" t="str">
        <f>VLOOKUP(AR23,$B$4:$F$11,2,FALSE)</f>
        <v>C</v>
      </c>
      <c r="D23" s="46" t="s">
        <v>5</v>
      </c>
      <c r="E23" s="90" t="str">
        <f>VLOOKUP(AS23,$B$4:$F$11,2,FALSE)</f>
        <v>E</v>
      </c>
      <c r="F23" s="90"/>
      <c r="G23" s="90"/>
      <c r="H23" s="90"/>
      <c r="J23" s="90" t="str">
        <f>IF(T23="","",VLOOKUP(T23,Configuratie!$B$2:$E$11,3,FALSE))</f>
        <v/>
      </c>
      <c r="K23" s="90"/>
      <c r="L23" s="6" t="s">
        <v>5</v>
      </c>
      <c r="M23" s="90" t="str">
        <f>IF(T23="","",VLOOKUP(T23,Configuratie!$B$2:$E$11,4,FALSE))</f>
        <v/>
      </c>
      <c r="N23" s="90"/>
      <c r="R23" s="6" t="str">
        <f>IF(T23="","",VLOOKUP(T23,Configuratie!$B$2:$E$11,2,FALSE))</f>
        <v/>
      </c>
      <c r="T23" s="5"/>
      <c r="AQ23" s="6">
        <v>2</v>
      </c>
      <c r="AR23" s="6">
        <v>3</v>
      </c>
      <c r="AS23" s="6">
        <v>5</v>
      </c>
      <c r="AT23" s="6" t="str">
        <f>IF(AND(ISNUMBER(J23),ISNUMBER(M23)),IF(J23+M23=1,1,0),"")</f>
        <v/>
      </c>
      <c r="AV23" s="48">
        <f>AR23*100+AS23</f>
        <v>305</v>
      </c>
      <c r="AW23" s="48">
        <f>AS23*100+AR23</f>
        <v>503</v>
      </c>
      <c r="AX23" s="6">
        <f t="shared" si="22"/>
        <v>0</v>
      </c>
      <c r="AY23" s="6">
        <f t="shared" si="22"/>
        <v>0</v>
      </c>
      <c r="AZ23" s="6" t="e">
        <f>J23*AY23</f>
        <v>#VALUE!</v>
      </c>
      <c r="BA23" s="6" t="e">
        <f>M23*AX23</f>
        <v>#VALUE!</v>
      </c>
    </row>
    <row r="24" spans="2:53" x14ac:dyDescent="0.25">
      <c r="B24" s="6">
        <v>3</v>
      </c>
      <c r="C24" s="6" t="str">
        <f>VLOOKUP(AR24,$B$4:$F$11,2,FALSE)</f>
        <v>B</v>
      </c>
      <c r="D24" s="46" t="s">
        <v>5</v>
      </c>
      <c r="E24" s="90" t="str">
        <f>VLOOKUP(AS24,$B$4:$F$11,2,FALSE)</f>
        <v>F</v>
      </c>
      <c r="F24" s="90"/>
      <c r="G24" s="90"/>
      <c r="H24" s="90"/>
      <c r="J24" s="90" t="str">
        <f>IF(T24="","",VLOOKUP(T24,Configuratie!$B$2:$E$11,3,FALSE))</f>
        <v/>
      </c>
      <c r="K24" s="90"/>
      <c r="L24" s="6" t="s">
        <v>5</v>
      </c>
      <c r="M24" s="90" t="str">
        <f>IF(T24="","",VLOOKUP(T24,Configuratie!$B$2:$E$11,4,FALSE))</f>
        <v/>
      </c>
      <c r="N24" s="90"/>
      <c r="R24" s="6" t="str">
        <f>IF(T24="","",VLOOKUP(T24,Configuratie!$B$2:$E$11,2,FALSE))</f>
        <v/>
      </c>
      <c r="T24" s="5"/>
      <c r="AQ24" s="6">
        <v>2</v>
      </c>
      <c r="AR24" s="6">
        <v>2</v>
      </c>
      <c r="AS24" s="6">
        <v>6</v>
      </c>
      <c r="AT24" s="6" t="str">
        <f>IF(AND(ISNUMBER(J24),ISNUMBER(M24)),IF(J24+M24=1,1,0),"")</f>
        <v/>
      </c>
      <c r="AV24" s="48">
        <f>AR24*100+AS24</f>
        <v>206</v>
      </c>
      <c r="AW24" s="48">
        <f>AS24*100+AR24</f>
        <v>602</v>
      </c>
      <c r="AX24" s="6">
        <f t="shared" si="22"/>
        <v>0</v>
      </c>
      <c r="AY24" s="6">
        <f t="shared" si="22"/>
        <v>0</v>
      </c>
      <c r="AZ24" s="6" t="e">
        <f>J24*AY24</f>
        <v>#VALUE!</v>
      </c>
      <c r="BA24" s="6" t="e">
        <f>M24*AX24</f>
        <v>#VALUE!</v>
      </c>
    </row>
    <row r="25" spans="2:53" x14ac:dyDescent="0.25">
      <c r="B25" s="6">
        <v>4</v>
      </c>
      <c r="C25" s="6" t="str">
        <f>VLOOKUP(AR25,$B$4:$F$11,2,FALSE)</f>
        <v>A</v>
      </c>
      <c r="D25" s="46" t="s">
        <v>5</v>
      </c>
      <c r="E25" s="90" t="str">
        <f>VLOOKUP(AS25,$B$4:$F$11,2,FALSE)</f>
        <v>G</v>
      </c>
      <c r="F25" s="90"/>
      <c r="G25" s="90"/>
      <c r="H25" s="90"/>
      <c r="J25" s="90" t="str">
        <f>IF(T25="","",VLOOKUP(T25,Configuratie!$B$2:$E$11,3,FALSE))</f>
        <v/>
      </c>
      <c r="K25" s="90"/>
      <c r="L25" s="6" t="s">
        <v>5</v>
      </c>
      <c r="M25" s="90" t="str">
        <f>IF(T25="","",VLOOKUP(T25,Configuratie!$B$2:$E$11,4,FALSE))</f>
        <v/>
      </c>
      <c r="N25" s="90"/>
      <c r="R25" s="6" t="str">
        <f>IF(T25="","",VLOOKUP(T25,Configuratie!$B$2:$E$11,2,FALSE))</f>
        <v/>
      </c>
      <c r="T25" s="5"/>
      <c r="AQ25" s="6">
        <v>2</v>
      </c>
      <c r="AR25" s="6">
        <v>1</v>
      </c>
      <c r="AS25" s="6">
        <v>7</v>
      </c>
      <c r="AT25" s="6" t="str">
        <f>IF(AND(ISNUMBER(J25),ISNUMBER(M25)),IF(J25+M25=1,1,0),"")</f>
        <v/>
      </c>
      <c r="AV25" s="48">
        <f>AR25*100+AS25</f>
        <v>107</v>
      </c>
      <c r="AW25" s="48">
        <f>AS25*100+AR25</f>
        <v>701</v>
      </c>
      <c r="AX25" s="6">
        <f t="shared" si="22"/>
        <v>0</v>
      </c>
      <c r="AY25" s="6">
        <f t="shared" si="22"/>
        <v>0</v>
      </c>
      <c r="AZ25" s="6" t="e">
        <f>J25*AY25</f>
        <v>#VALUE!</v>
      </c>
      <c r="BA25" s="6" t="e">
        <f>M25*AX25</f>
        <v>#VALUE!</v>
      </c>
    </row>
    <row r="26" spans="2:53" ht="3" customHeight="1" x14ac:dyDescent="0.25"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1"/>
      <c r="S26" s="11"/>
      <c r="T26" s="11"/>
      <c r="U26" s="11"/>
      <c r="AV26" s="42"/>
      <c r="AW26" s="42"/>
    </row>
    <row r="27" spans="2:53" x14ac:dyDescent="0.25">
      <c r="B27" s="45" t="s">
        <v>10</v>
      </c>
      <c r="AV27" s="42"/>
      <c r="AW27" s="42"/>
    </row>
    <row r="28" spans="2:53" x14ac:dyDescent="0.25">
      <c r="B28" s="6">
        <v>1</v>
      </c>
      <c r="C28" s="6" t="str">
        <f>VLOOKUP(AR28,$B$4:$F$11,2,FALSE)</f>
        <v>G</v>
      </c>
      <c r="D28" s="46" t="s">
        <v>5</v>
      </c>
      <c r="E28" s="90" t="str">
        <f>VLOOKUP(AS28,$B$4:$F$11,2,FALSE)</f>
        <v>H</v>
      </c>
      <c r="F28" s="90"/>
      <c r="G28" s="90"/>
      <c r="H28" s="90"/>
      <c r="J28" s="90" t="str">
        <f>IF(T28="","",VLOOKUP(T28,Configuratie!$B$2:$E$11,3,FALSE))</f>
        <v/>
      </c>
      <c r="K28" s="90"/>
      <c r="L28" s="6" t="s">
        <v>5</v>
      </c>
      <c r="M28" s="90" t="str">
        <f>IF(T28="","",VLOOKUP(T28,Configuratie!$B$2:$E$11,4,FALSE))</f>
        <v/>
      </c>
      <c r="N28" s="90"/>
      <c r="R28" s="6" t="str">
        <f>IF(T28="","",VLOOKUP(T28,Configuratie!$B$2:$E$11,2,FALSE))</f>
        <v/>
      </c>
      <c r="T28" s="5"/>
      <c r="AQ28" s="6">
        <v>3</v>
      </c>
      <c r="AR28" s="6">
        <v>7</v>
      </c>
      <c r="AS28" s="6">
        <v>8</v>
      </c>
      <c r="AT28" s="6" t="str">
        <f>IF(AND(ISNUMBER(J28),ISNUMBER(M28)),IF(J28+M28=1,1,0),"")</f>
        <v/>
      </c>
      <c r="AV28" s="48">
        <f>AR28*100+AS28</f>
        <v>708</v>
      </c>
      <c r="AW28" s="48">
        <f>AS28*100+AR28</f>
        <v>807</v>
      </c>
      <c r="AX28" s="6">
        <f t="shared" ref="AX28:AY31" si="23">VLOOKUP(AR28,$BG$3:$BP$11,$AQ28,FALSE)</f>
        <v>0</v>
      </c>
      <c r="AY28" s="6">
        <f t="shared" si="23"/>
        <v>0</v>
      </c>
      <c r="AZ28" s="6" t="e">
        <f>J28*AY28</f>
        <v>#VALUE!</v>
      </c>
      <c r="BA28" s="6" t="e">
        <f>M28*AX28</f>
        <v>#VALUE!</v>
      </c>
    </row>
    <row r="29" spans="2:53" x14ac:dyDescent="0.25">
      <c r="B29" s="6">
        <v>2</v>
      </c>
      <c r="C29" s="6" t="str">
        <f>VLOOKUP(AR29,$B$4:$F$11,2,FALSE)</f>
        <v>F</v>
      </c>
      <c r="D29" s="46" t="s">
        <v>5</v>
      </c>
      <c r="E29" s="90" t="str">
        <f>VLOOKUP(AS29,$B$4:$F$11,2,FALSE)</f>
        <v>A</v>
      </c>
      <c r="F29" s="90"/>
      <c r="G29" s="90"/>
      <c r="H29" s="90"/>
      <c r="J29" s="90" t="str">
        <f>IF(T29="","",VLOOKUP(T29,Configuratie!$B$2:$E$11,3,FALSE))</f>
        <v/>
      </c>
      <c r="K29" s="90"/>
      <c r="L29" s="6" t="s">
        <v>5</v>
      </c>
      <c r="M29" s="90" t="str">
        <f>IF(T29="","",VLOOKUP(T29,Configuratie!$B$2:$E$11,4,FALSE))</f>
        <v/>
      </c>
      <c r="N29" s="90"/>
      <c r="R29" s="6" t="str">
        <f>IF(T29="","",VLOOKUP(T29,Configuratie!$B$2:$E$11,2,FALSE))</f>
        <v/>
      </c>
      <c r="T29" s="5"/>
      <c r="AQ29" s="6">
        <v>3</v>
      </c>
      <c r="AR29" s="6">
        <v>6</v>
      </c>
      <c r="AS29" s="6">
        <v>1</v>
      </c>
      <c r="AT29" s="6" t="str">
        <f>IF(AND(ISNUMBER(J29),ISNUMBER(M29)),IF(J29+M29=1,1,0),"")</f>
        <v/>
      </c>
      <c r="AV29" s="48">
        <f>AR29*100+AS29</f>
        <v>601</v>
      </c>
      <c r="AW29" s="48">
        <f>AS29*100+AR29</f>
        <v>106</v>
      </c>
      <c r="AX29" s="6">
        <f t="shared" si="23"/>
        <v>0</v>
      </c>
      <c r="AY29" s="6">
        <f t="shared" si="23"/>
        <v>0</v>
      </c>
      <c r="AZ29" s="6" t="e">
        <f>J29*AY29</f>
        <v>#VALUE!</v>
      </c>
      <c r="BA29" s="6" t="e">
        <f>M29*AX29</f>
        <v>#VALUE!</v>
      </c>
    </row>
    <row r="30" spans="2:53" x14ac:dyDescent="0.25">
      <c r="B30" s="6">
        <v>3</v>
      </c>
      <c r="C30" s="6" t="str">
        <f>VLOOKUP(AR30,$B$4:$F$11,2,FALSE)</f>
        <v>E</v>
      </c>
      <c r="D30" s="46" t="s">
        <v>5</v>
      </c>
      <c r="E30" s="90" t="str">
        <f>VLOOKUP(AS30,$B$4:$F$11,2,FALSE)</f>
        <v>B</v>
      </c>
      <c r="F30" s="90"/>
      <c r="G30" s="90"/>
      <c r="H30" s="90"/>
      <c r="J30" s="90" t="str">
        <f>IF(T30="","",VLOOKUP(T30,Configuratie!$B$2:$E$11,3,FALSE))</f>
        <v/>
      </c>
      <c r="K30" s="90"/>
      <c r="L30" s="6" t="s">
        <v>5</v>
      </c>
      <c r="M30" s="90" t="str">
        <f>IF(T30="","",VLOOKUP(T30,Configuratie!$B$2:$E$11,4,FALSE))</f>
        <v/>
      </c>
      <c r="N30" s="90"/>
      <c r="R30" s="6" t="str">
        <f>IF(T30="","",VLOOKUP(T30,Configuratie!$B$2:$E$11,2,FALSE))</f>
        <v/>
      </c>
      <c r="T30" s="5"/>
      <c r="AQ30" s="6">
        <v>3</v>
      </c>
      <c r="AR30" s="6">
        <v>5</v>
      </c>
      <c r="AS30" s="6">
        <v>2</v>
      </c>
      <c r="AT30" s="6" t="str">
        <f>IF(AND(ISNUMBER(J30),ISNUMBER(M30)),IF(J30+M30=1,1,0),"")</f>
        <v/>
      </c>
      <c r="AV30" s="48">
        <f>AR30*100+AS30</f>
        <v>502</v>
      </c>
      <c r="AW30" s="48">
        <f>AS30*100+AR30</f>
        <v>205</v>
      </c>
      <c r="AX30" s="6">
        <f t="shared" si="23"/>
        <v>0</v>
      </c>
      <c r="AY30" s="6">
        <f t="shared" si="23"/>
        <v>0</v>
      </c>
      <c r="AZ30" s="6" t="e">
        <f>J30*AY30</f>
        <v>#VALUE!</v>
      </c>
      <c r="BA30" s="6" t="e">
        <f>M30*AX30</f>
        <v>#VALUE!</v>
      </c>
    </row>
    <row r="31" spans="2:53" x14ac:dyDescent="0.25">
      <c r="B31" s="6">
        <v>4</v>
      </c>
      <c r="C31" s="6" t="str">
        <f>VLOOKUP(AR31,$B$4:$F$11,2,FALSE)</f>
        <v>D</v>
      </c>
      <c r="D31" s="46" t="s">
        <v>5</v>
      </c>
      <c r="E31" s="90" t="str">
        <f>VLOOKUP(AS31,$B$4:$F$11,2,FALSE)</f>
        <v>C</v>
      </c>
      <c r="F31" s="90"/>
      <c r="G31" s="90"/>
      <c r="H31" s="90"/>
      <c r="J31" s="90" t="str">
        <f>IF(T31="","",VLOOKUP(T31,Configuratie!$B$2:$E$11,3,FALSE))</f>
        <v/>
      </c>
      <c r="K31" s="90"/>
      <c r="L31" s="6" t="s">
        <v>5</v>
      </c>
      <c r="M31" s="90" t="str">
        <f>IF(T31="","",VLOOKUP(T31,Configuratie!$B$2:$E$11,4,FALSE))</f>
        <v/>
      </c>
      <c r="N31" s="90"/>
      <c r="R31" s="6" t="str">
        <f>IF(T31="","",VLOOKUP(T31,Configuratie!$B$2:$E$11,2,FALSE))</f>
        <v/>
      </c>
      <c r="T31" s="5"/>
      <c r="AQ31" s="6">
        <v>3</v>
      </c>
      <c r="AR31" s="6">
        <v>4</v>
      </c>
      <c r="AS31" s="6">
        <v>3</v>
      </c>
      <c r="AT31" s="6" t="str">
        <f>IF(AND(ISNUMBER(J31),ISNUMBER(M31)),IF(J31+M31=1,1,0),"")</f>
        <v/>
      </c>
      <c r="AV31" s="48">
        <f>AR31*100+AS31</f>
        <v>403</v>
      </c>
      <c r="AW31" s="48">
        <f>AS31*100+AR31</f>
        <v>304</v>
      </c>
      <c r="AX31" s="6">
        <f t="shared" si="23"/>
        <v>0</v>
      </c>
      <c r="AY31" s="6">
        <f t="shared" si="23"/>
        <v>0</v>
      </c>
      <c r="AZ31" s="6" t="e">
        <f>J31*AY31</f>
        <v>#VALUE!</v>
      </c>
      <c r="BA31" s="6" t="e">
        <f>M31*AX31</f>
        <v>#VALUE!</v>
      </c>
    </row>
    <row r="32" spans="2:53" ht="3" customHeight="1" x14ac:dyDescent="0.25">
      <c r="B32" s="11"/>
      <c r="C32" s="11"/>
      <c r="D32" s="11"/>
      <c r="E32" s="11"/>
      <c r="F32" s="11"/>
      <c r="G32" s="11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  <c r="U32" s="11"/>
      <c r="AV32" s="42"/>
      <c r="AW32" s="42"/>
    </row>
    <row r="33" spans="2:53" x14ac:dyDescent="0.25">
      <c r="B33" s="45" t="s">
        <v>11</v>
      </c>
      <c r="AV33" s="42"/>
      <c r="AW33" s="42"/>
    </row>
    <row r="34" spans="2:53" x14ac:dyDescent="0.25">
      <c r="B34" s="6">
        <v>1</v>
      </c>
      <c r="C34" s="6" t="str">
        <f>VLOOKUP(AR34,$B$4:$F$11,2,FALSE)</f>
        <v>H</v>
      </c>
      <c r="D34" s="46" t="s">
        <v>5</v>
      </c>
      <c r="E34" s="90" t="str">
        <f>VLOOKUP(AS34,$B$4:$F$11,2,FALSE)</f>
        <v>C</v>
      </c>
      <c r="F34" s="90"/>
      <c r="G34" s="90"/>
      <c r="H34" s="90"/>
      <c r="J34" s="90" t="str">
        <f>IF(T34="","",VLOOKUP(T34,Configuratie!$B$2:$E$11,3,FALSE))</f>
        <v/>
      </c>
      <c r="K34" s="90"/>
      <c r="L34" s="6" t="s">
        <v>5</v>
      </c>
      <c r="M34" s="90" t="str">
        <f>IF(T34="","",VLOOKUP(T34,Configuratie!$B$2:$E$11,4,FALSE))</f>
        <v/>
      </c>
      <c r="N34" s="90"/>
      <c r="R34" s="6" t="str">
        <f>IF(T34="","",VLOOKUP(T34,Configuratie!$B$2:$E$11,2,FALSE))</f>
        <v/>
      </c>
      <c r="T34" s="5"/>
      <c r="AQ34" s="6">
        <v>4</v>
      </c>
      <c r="AR34" s="6">
        <v>8</v>
      </c>
      <c r="AS34" s="6">
        <v>3</v>
      </c>
      <c r="AT34" s="6" t="str">
        <f>IF(AND(ISNUMBER(J34),ISNUMBER(M34)),IF(J34+M34=1,1,0),"")</f>
        <v/>
      </c>
      <c r="AV34" s="48">
        <f>AR34*100+AS34</f>
        <v>803</v>
      </c>
      <c r="AW34" s="48">
        <f>AS34*100+AR34</f>
        <v>308</v>
      </c>
      <c r="AX34" s="6">
        <f t="shared" ref="AX34:AY37" si="24">VLOOKUP(AR34,$BG$3:$BP$11,$AQ34,FALSE)</f>
        <v>0</v>
      </c>
      <c r="AY34" s="6">
        <f t="shared" si="24"/>
        <v>0</v>
      </c>
      <c r="AZ34" s="6" t="e">
        <f>J34*AY34</f>
        <v>#VALUE!</v>
      </c>
      <c r="BA34" s="6" t="e">
        <f>M34*AX34</f>
        <v>#VALUE!</v>
      </c>
    </row>
    <row r="35" spans="2:53" x14ac:dyDescent="0.25">
      <c r="B35" s="6">
        <v>2</v>
      </c>
      <c r="C35" s="6" t="str">
        <f>VLOOKUP(AR35,$B$4:$F$11,2,FALSE)</f>
        <v>B</v>
      </c>
      <c r="D35" s="46" t="s">
        <v>5</v>
      </c>
      <c r="E35" s="90" t="str">
        <f>VLOOKUP(AS35,$B$4:$F$11,2,FALSE)</f>
        <v>D</v>
      </c>
      <c r="F35" s="90"/>
      <c r="G35" s="90"/>
      <c r="H35" s="90"/>
      <c r="J35" s="90" t="str">
        <f>IF(T35="","",VLOOKUP(T35,Configuratie!$B$2:$E$11,3,FALSE))</f>
        <v/>
      </c>
      <c r="K35" s="90"/>
      <c r="L35" s="6" t="s">
        <v>5</v>
      </c>
      <c r="M35" s="90" t="str">
        <f>IF(T35="","",VLOOKUP(T35,Configuratie!$B$2:$E$11,4,FALSE))</f>
        <v/>
      </c>
      <c r="N35" s="90"/>
      <c r="R35" s="6" t="str">
        <f>IF(T35="","",VLOOKUP(T35,Configuratie!$B$2:$E$11,2,FALSE))</f>
        <v/>
      </c>
      <c r="T35" s="5"/>
      <c r="AQ35" s="6">
        <v>4</v>
      </c>
      <c r="AR35" s="6">
        <v>2</v>
      </c>
      <c r="AS35" s="6">
        <v>4</v>
      </c>
      <c r="AT35" s="6" t="str">
        <f>IF(AND(ISNUMBER(J35),ISNUMBER(M35)),IF(J35+M35=1,1,0),"")</f>
        <v/>
      </c>
      <c r="AV35" s="48">
        <f>AR35*100+AS35</f>
        <v>204</v>
      </c>
      <c r="AW35" s="48">
        <f>AS35*100+AR35</f>
        <v>402</v>
      </c>
      <c r="AX35" s="6">
        <f t="shared" si="24"/>
        <v>0</v>
      </c>
      <c r="AY35" s="6">
        <f t="shared" si="24"/>
        <v>0</v>
      </c>
      <c r="AZ35" s="6" t="e">
        <f>J35*AY35</f>
        <v>#VALUE!</v>
      </c>
      <c r="BA35" s="6" t="e">
        <f>M35*AX35</f>
        <v>#VALUE!</v>
      </c>
    </row>
    <row r="36" spans="2:53" x14ac:dyDescent="0.25">
      <c r="B36" s="6">
        <v>3</v>
      </c>
      <c r="C36" s="6" t="str">
        <f>VLOOKUP(AR36,$B$4:$F$11,2,FALSE)</f>
        <v>A</v>
      </c>
      <c r="D36" s="46" t="s">
        <v>5</v>
      </c>
      <c r="E36" s="90" t="str">
        <f>VLOOKUP(AS36,$B$4:$F$11,2,FALSE)</f>
        <v>E</v>
      </c>
      <c r="F36" s="90"/>
      <c r="G36" s="90"/>
      <c r="H36" s="90"/>
      <c r="J36" s="90" t="str">
        <f>IF(T36="","",VLOOKUP(T36,Configuratie!$B$2:$E$11,3,FALSE))</f>
        <v/>
      </c>
      <c r="K36" s="90"/>
      <c r="L36" s="6" t="s">
        <v>5</v>
      </c>
      <c r="M36" s="90" t="str">
        <f>IF(T36="","",VLOOKUP(T36,Configuratie!$B$2:$E$11,4,FALSE))</f>
        <v/>
      </c>
      <c r="N36" s="90"/>
      <c r="R36" s="6" t="str">
        <f>IF(T36="","",VLOOKUP(T36,Configuratie!$B$2:$E$11,2,FALSE))</f>
        <v/>
      </c>
      <c r="T36" s="5"/>
      <c r="AQ36" s="6">
        <v>4</v>
      </c>
      <c r="AR36" s="6">
        <v>1</v>
      </c>
      <c r="AS36" s="6">
        <v>5</v>
      </c>
      <c r="AT36" s="6" t="str">
        <f>IF(AND(ISNUMBER(J36),ISNUMBER(M36)),IF(J36+M36=1,1,0),"")</f>
        <v/>
      </c>
      <c r="AV36" s="48">
        <f>AR36*100+AS36</f>
        <v>105</v>
      </c>
      <c r="AW36" s="48">
        <f>AS36*100+AR36</f>
        <v>501</v>
      </c>
      <c r="AX36" s="6">
        <f t="shared" si="24"/>
        <v>0</v>
      </c>
      <c r="AY36" s="6">
        <f t="shared" si="24"/>
        <v>0</v>
      </c>
      <c r="AZ36" s="6" t="e">
        <f>J36*AY36</f>
        <v>#VALUE!</v>
      </c>
      <c r="BA36" s="6" t="e">
        <f>M36*AX36</f>
        <v>#VALUE!</v>
      </c>
    </row>
    <row r="37" spans="2:53" x14ac:dyDescent="0.25">
      <c r="B37" s="6">
        <v>4</v>
      </c>
      <c r="C37" s="6" t="str">
        <f>VLOOKUP(AR37,$B$4:$F$11,2,FALSE)</f>
        <v>G</v>
      </c>
      <c r="D37" s="46" t="s">
        <v>5</v>
      </c>
      <c r="E37" s="90" t="str">
        <f>VLOOKUP(AS37,$B$4:$F$11,2,FALSE)</f>
        <v>F</v>
      </c>
      <c r="F37" s="90"/>
      <c r="G37" s="90"/>
      <c r="H37" s="90"/>
      <c r="J37" s="90" t="str">
        <f>IF(T37="","",VLOOKUP(T37,Configuratie!$B$2:$E$11,3,FALSE))</f>
        <v/>
      </c>
      <c r="K37" s="90"/>
      <c r="L37" s="6" t="s">
        <v>5</v>
      </c>
      <c r="M37" s="90" t="str">
        <f>IF(T37="","",VLOOKUP(T37,Configuratie!$B$2:$E$11,4,FALSE))</f>
        <v/>
      </c>
      <c r="N37" s="90"/>
      <c r="R37" s="6" t="str">
        <f>IF(T37="","",VLOOKUP(T37,Configuratie!$B$2:$E$11,2,FALSE))</f>
        <v/>
      </c>
      <c r="T37" s="5"/>
      <c r="AQ37" s="6">
        <v>4</v>
      </c>
      <c r="AR37" s="6">
        <v>7</v>
      </c>
      <c r="AS37" s="6">
        <v>6</v>
      </c>
      <c r="AT37" s="6" t="str">
        <f>IF(AND(ISNUMBER(J37),ISNUMBER(M37)),IF(J37+M37=1,1,0),"")</f>
        <v/>
      </c>
      <c r="AV37" s="48">
        <f>AR37*100+AS37</f>
        <v>706</v>
      </c>
      <c r="AW37" s="48">
        <f>AS37*100+AR37</f>
        <v>607</v>
      </c>
      <c r="AX37" s="6">
        <f t="shared" si="24"/>
        <v>0</v>
      </c>
      <c r="AY37" s="6">
        <f t="shared" si="24"/>
        <v>0</v>
      </c>
      <c r="AZ37" s="6" t="e">
        <f>J37*AY37</f>
        <v>#VALUE!</v>
      </c>
      <c r="BA37" s="6" t="e">
        <f>M37*AX37</f>
        <v>#VALUE!</v>
      </c>
    </row>
    <row r="38" spans="2:53" ht="3" customHeight="1" x14ac:dyDescent="0.25">
      <c r="B38" s="11"/>
      <c r="C38" s="11"/>
      <c r="D38" s="11"/>
      <c r="E38" s="11"/>
      <c r="F38" s="11"/>
      <c r="G38" s="11"/>
      <c r="H38" s="11"/>
      <c r="I38" s="11"/>
      <c r="J38" s="11"/>
      <c r="K38" s="11"/>
      <c r="L38" s="11"/>
      <c r="M38" s="11"/>
      <c r="N38" s="11"/>
      <c r="O38" s="11"/>
      <c r="P38" s="11"/>
      <c r="Q38" s="11"/>
      <c r="R38" s="11"/>
      <c r="S38" s="11"/>
      <c r="T38" s="11"/>
      <c r="U38" s="11"/>
      <c r="AV38" s="42"/>
      <c r="AW38" s="42"/>
    </row>
    <row r="39" spans="2:53" x14ac:dyDescent="0.25">
      <c r="B39" s="45" t="s">
        <v>12</v>
      </c>
      <c r="AV39" s="42"/>
      <c r="AW39" s="42"/>
    </row>
    <row r="40" spans="2:53" x14ac:dyDescent="0.25">
      <c r="B40" s="6">
        <v>1</v>
      </c>
      <c r="C40" s="6" t="str">
        <f>VLOOKUP(AR40,$B$4:$F$11,2,FALSE)</f>
        <v>F</v>
      </c>
      <c r="D40" s="46" t="s">
        <v>5</v>
      </c>
      <c r="E40" s="90" t="str">
        <f>VLOOKUP(AS40,$B$4:$F$11,2,FALSE)</f>
        <v>H</v>
      </c>
      <c r="F40" s="90"/>
      <c r="G40" s="90"/>
      <c r="H40" s="90"/>
      <c r="J40" s="90" t="str">
        <f>IF(T40="","",VLOOKUP(T40,Configuratie!$B$2:$E$11,3,FALSE))</f>
        <v/>
      </c>
      <c r="K40" s="90"/>
      <c r="L40" s="6" t="s">
        <v>5</v>
      </c>
      <c r="M40" s="90" t="str">
        <f>IF(T40="","",VLOOKUP(T40,Configuratie!$B$2:$E$11,4,FALSE))</f>
        <v/>
      </c>
      <c r="N40" s="90"/>
      <c r="R40" s="6" t="str">
        <f>IF(T40="","",VLOOKUP(T40,Configuratie!$B$2:$E$11,2,FALSE))</f>
        <v/>
      </c>
      <c r="T40" s="5"/>
      <c r="AQ40" s="6">
        <v>5</v>
      </c>
      <c r="AR40" s="6">
        <v>6</v>
      </c>
      <c r="AS40" s="6">
        <v>8</v>
      </c>
      <c r="AT40" s="6" t="str">
        <f>IF(AND(ISNUMBER(J40),ISNUMBER(M40)),IF(J40+M40=1,1,0),"")</f>
        <v/>
      </c>
      <c r="AV40" s="48">
        <f>AR40*100+AS40</f>
        <v>608</v>
      </c>
      <c r="AW40" s="48">
        <f>AS40*100+AR40</f>
        <v>806</v>
      </c>
      <c r="AX40" s="6">
        <f t="shared" ref="AX40:AY43" si="25">VLOOKUP(AR40,$BG$3:$BP$11,$AQ40,FALSE)</f>
        <v>0</v>
      </c>
      <c r="AY40" s="6">
        <f t="shared" si="25"/>
        <v>0</v>
      </c>
      <c r="AZ40" s="6" t="e">
        <f>J40*AY40</f>
        <v>#VALUE!</v>
      </c>
      <c r="BA40" s="6" t="e">
        <f>M40*AX40</f>
        <v>#VALUE!</v>
      </c>
    </row>
    <row r="41" spans="2:53" x14ac:dyDescent="0.25">
      <c r="B41" s="6">
        <v>2</v>
      </c>
      <c r="C41" s="6" t="str">
        <f>VLOOKUP(AR41,$B$4:$F$11,2,FALSE)</f>
        <v>E</v>
      </c>
      <c r="D41" s="46" t="s">
        <v>5</v>
      </c>
      <c r="E41" s="90" t="str">
        <f>VLOOKUP(AS41,$B$4:$F$11,2,FALSE)</f>
        <v>G</v>
      </c>
      <c r="F41" s="90"/>
      <c r="G41" s="90"/>
      <c r="H41" s="90"/>
      <c r="J41" s="90" t="str">
        <f>IF(T41="","",VLOOKUP(T41,Configuratie!$B$2:$E$11,3,FALSE))</f>
        <v/>
      </c>
      <c r="K41" s="90"/>
      <c r="L41" s="6" t="s">
        <v>5</v>
      </c>
      <c r="M41" s="90" t="str">
        <f>IF(T41="","",VLOOKUP(T41,Configuratie!$B$2:$E$11,4,FALSE))</f>
        <v/>
      </c>
      <c r="N41" s="90"/>
      <c r="R41" s="6" t="str">
        <f>IF(T41="","",VLOOKUP(T41,Configuratie!$B$2:$E$11,2,FALSE))</f>
        <v/>
      </c>
      <c r="T41" s="5"/>
      <c r="AQ41" s="6">
        <v>5</v>
      </c>
      <c r="AR41" s="6">
        <v>5</v>
      </c>
      <c r="AS41" s="6">
        <v>7</v>
      </c>
      <c r="AT41" s="6" t="str">
        <f>IF(AND(ISNUMBER(J41),ISNUMBER(M41)),IF(J41+M41=1,1,0),"")</f>
        <v/>
      </c>
      <c r="AV41" s="48">
        <f>AR41*100+AS41</f>
        <v>507</v>
      </c>
      <c r="AW41" s="48">
        <f>AS41*100+AR41</f>
        <v>705</v>
      </c>
      <c r="AX41" s="6">
        <f t="shared" si="25"/>
        <v>0</v>
      </c>
      <c r="AY41" s="6">
        <f t="shared" si="25"/>
        <v>0</v>
      </c>
      <c r="AZ41" s="6" t="e">
        <f>J41*AY41</f>
        <v>#VALUE!</v>
      </c>
      <c r="BA41" s="6" t="e">
        <f>M41*AX41</f>
        <v>#VALUE!</v>
      </c>
    </row>
    <row r="42" spans="2:53" x14ac:dyDescent="0.25">
      <c r="B42" s="6">
        <v>3</v>
      </c>
      <c r="C42" s="6" t="str">
        <f>VLOOKUP(AR42,$B$4:$F$11,2,FALSE)</f>
        <v>D</v>
      </c>
      <c r="D42" s="46" t="s">
        <v>5</v>
      </c>
      <c r="E42" s="90" t="str">
        <f>VLOOKUP(AS42,$B$4:$F$11,2,FALSE)</f>
        <v>A</v>
      </c>
      <c r="F42" s="90"/>
      <c r="G42" s="90"/>
      <c r="H42" s="90"/>
      <c r="J42" s="90" t="str">
        <f>IF(T42="","",VLOOKUP(T42,Configuratie!$B$2:$E$11,3,FALSE))</f>
        <v/>
      </c>
      <c r="K42" s="90"/>
      <c r="L42" s="6" t="s">
        <v>5</v>
      </c>
      <c r="M42" s="90" t="str">
        <f>IF(T42="","",VLOOKUP(T42,Configuratie!$B$2:$E$11,4,FALSE))</f>
        <v/>
      </c>
      <c r="N42" s="90"/>
      <c r="R42" s="6" t="str">
        <f>IF(T42="","",VLOOKUP(T42,Configuratie!$B$2:$E$11,2,FALSE))</f>
        <v/>
      </c>
      <c r="T42" s="5"/>
      <c r="AQ42" s="6">
        <v>5</v>
      </c>
      <c r="AR42" s="6">
        <v>4</v>
      </c>
      <c r="AS42" s="6">
        <v>1</v>
      </c>
      <c r="AT42" s="6" t="str">
        <f>IF(AND(ISNUMBER(J42),ISNUMBER(M42)),IF(J42+M42=1,1,0),"")</f>
        <v/>
      </c>
      <c r="AV42" s="48">
        <f>AR42*100+AS42</f>
        <v>401</v>
      </c>
      <c r="AW42" s="48">
        <f>AS42*100+AR42</f>
        <v>104</v>
      </c>
      <c r="AX42" s="6">
        <f t="shared" si="25"/>
        <v>0</v>
      </c>
      <c r="AY42" s="6">
        <f t="shared" si="25"/>
        <v>0</v>
      </c>
      <c r="AZ42" s="6" t="e">
        <f>J42*AY42</f>
        <v>#VALUE!</v>
      </c>
      <c r="BA42" s="6" t="e">
        <f>M42*AX42</f>
        <v>#VALUE!</v>
      </c>
    </row>
    <row r="43" spans="2:53" x14ac:dyDescent="0.25">
      <c r="B43" s="6">
        <v>4</v>
      </c>
      <c r="C43" s="6" t="str">
        <f>VLOOKUP(AR43,$B$4:$F$11,2,FALSE)</f>
        <v>C</v>
      </c>
      <c r="D43" s="46" t="s">
        <v>5</v>
      </c>
      <c r="E43" s="90" t="str">
        <f>VLOOKUP(AS43,$B$4:$F$11,2,FALSE)</f>
        <v>B</v>
      </c>
      <c r="F43" s="90"/>
      <c r="G43" s="90"/>
      <c r="H43" s="90"/>
      <c r="J43" s="90" t="str">
        <f>IF(T43="","",VLOOKUP(T43,Configuratie!$B$2:$E$11,3,FALSE))</f>
        <v/>
      </c>
      <c r="K43" s="90"/>
      <c r="L43" s="6" t="s">
        <v>5</v>
      </c>
      <c r="M43" s="90" t="str">
        <f>IF(T43="","",VLOOKUP(T43,Configuratie!$B$2:$E$11,4,FALSE))</f>
        <v/>
      </c>
      <c r="N43" s="90"/>
      <c r="R43" s="6" t="str">
        <f>IF(T43="","",VLOOKUP(T43,Configuratie!$B$2:$E$11,2,FALSE))</f>
        <v/>
      </c>
      <c r="T43" s="5"/>
      <c r="AQ43" s="6">
        <v>5</v>
      </c>
      <c r="AR43" s="6">
        <v>3</v>
      </c>
      <c r="AS43" s="6">
        <v>2</v>
      </c>
      <c r="AT43" s="6" t="str">
        <f>IF(AND(ISNUMBER(J43),ISNUMBER(M43)),IF(J43+M43=1,1,0),"")</f>
        <v/>
      </c>
      <c r="AV43" s="48">
        <f>AR43*100+AS43</f>
        <v>302</v>
      </c>
      <c r="AW43" s="48">
        <f>AS43*100+AR43</f>
        <v>203</v>
      </c>
      <c r="AX43" s="6">
        <f t="shared" si="25"/>
        <v>0</v>
      </c>
      <c r="AY43" s="6">
        <f t="shared" si="25"/>
        <v>0</v>
      </c>
      <c r="AZ43" s="6" t="e">
        <f>J43*AY43</f>
        <v>#VALUE!</v>
      </c>
      <c r="BA43" s="6" t="e">
        <f>M43*AX43</f>
        <v>#VALUE!</v>
      </c>
    </row>
    <row r="44" spans="2:53" ht="3" customHeight="1" x14ac:dyDescent="0.25">
      <c r="B44" s="11"/>
      <c r="C44" s="11"/>
      <c r="D44" s="11"/>
      <c r="E44" s="11"/>
      <c r="F44" s="11"/>
      <c r="G44" s="11"/>
      <c r="H44" s="11"/>
      <c r="I44" s="11"/>
      <c r="J44" s="11"/>
      <c r="K44" s="11"/>
      <c r="L44" s="11"/>
      <c r="M44" s="11"/>
      <c r="N44" s="11"/>
      <c r="O44" s="11"/>
      <c r="P44" s="11"/>
      <c r="Q44" s="11"/>
      <c r="R44" s="11"/>
      <c r="S44" s="11"/>
      <c r="T44" s="11"/>
      <c r="U44" s="11"/>
      <c r="AV44" s="42"/>
      <c r="AW44" s="42"/>
    </row>
    <row r="45" spans="2:53" x14ac:dyDescent="0.25">
      <c r="B45" s="45" t="s">
        <v>13</v>
      </c>
      <c r="AV45" s="42"/>
      <c r="AW45" s="42"/>
    </row>
    <row r="46" spans="2:53" x14ac:dyDescent="0.25">
      <c r="B46" s="6">
        <v>1</v>
      </c>
      <c r="C46" s="6" t="str">
        <f>VLOOKUP(AR46,$B$4:$F$11,2,FALSE)</f>
        <v>H</v>
      </c>
      <c r="D46" s="46" t="s">
        <v>5</v>
      </c>
      <c r="E46" s="90" t="str">
        <f>VLOOKUP(AS46,$B$4:$F$11,2,FALSE)</f>
        <v>B</v>
      </c>
      <c r="F46" s="90"/>
      <c r="G46" s="90"/>
      <c r="H46" s="90"/>
      <c r="J46" s="90" t="str">
        <f>IF(T46="","",VLOOKUP(T46,Configuratie!$B$2:$E$11,3,FALSE))</f>
        <v/>
      </c>
      <c r="K46" s="90"/>
      <c r="L46" s="6" t="s">
        <v>5</v>
      </c>
      <c r="M46" s="90" t="str">
        <f>IF(T46="","",VLOOKUP(T46,Configuratie!$B$2:$E$11,4,FALSE))</f>
        <v/>
      </c>
      <c r="N46" s="90"/>
      <c r="R46" s="6" t="str">
        <f>IF(T46="","",VLOOKUP(T46,Configuratie!$B$2:$E$11,2,FALSE))</f>
        <v/>
      </c>
      <c r="T46" s="5"/>
      <c r="AQ46" s="6">
        <v>6</v>
      </c>
      <c r="AR46" s="6">
        <v>8</v>
      </c>
      <c r="AS46" s="6">
        <v>2</v>
      </c>
      <c r="AT46" s="6" t="str">
        <f>IF(AND(ISNUMBER(J46),ISNUMBER(M46)),IF(J46+M46=1,1,0),"")</f>
        <v/>
      </c>
      <c r="AV46" s="48">
        <f>AR46*100+AS46</f>
        <v>802</v>
      </c>
      <c r="AW46" s="48">
        <f>AS46*100+AR46</f>
        <v>208</v>
      </c>
      <c r="AX46" s="6">
        <f t="shared" ref="AX46:AY49" si="26">VLOOKUP(AR46,$BG$3:$BP$11,$AQ46,FALSE)</f>
        <v>0</v>
      </c>
      <c r="AY46" s="6">
        <f t="shared" si="26"/>
        <v>0</v>
      </c>
      <c r="AZ46" s="6" t="e">
        <f>J46*AY46</f>
        <v>#VALUE!</v>
      </c>
      <c r="BA46" s="6" t="e">
        <f>M46*AX46</f>
        <v>#VALUE!</v>
      </c>
    </row>
    <row r="47" spans="2:53" x14ac:dyDescent="0.25">
      <c r="B47" s="6">
        <v>2</v>
      </c>
      <c r="C47" s="6" t="str">
        <f>VLOOKUP(AR47,$B$4:$F$11,2,FALSE)</f>
        <v>A</v>
      </c>
      <c r="D47" s="46" t="s">
        <v>5</v>
      </c>
      <c r="E47" s="90" t="str">
        <f>VLOOKUP(AS47,$B$4:$F$11,2,FALSE)</f>
        <v>C</v>
      </c>
      <c r="F47" s="90"/>
      <c r="G47" s="90"/>
      <c r="H47" s="90"/>
      <c r="J47" s="90" t="str">
        <f>IF(T47="","",VLOOKUP(T47,Configuratie!$B$2:$E$11,3,FALSE))</f>
        <v/>
      </c>
      <c r="K47" s="90"/>
      <c r="L47" s="6" t="s">
        <v>5</v>
      </c>
      <c r="M47" s="90" t="str">
        <f>IF(T47="","",VLOOKUP(T47,Configuratie!$B$2:$E$11,4,FALSE))</f>
        <v/>
      </c>
      <c r="N47" s="90"/>
      <c r="R47" s="6" t="str">
        <f>IF(T47="","",VLOOKUP(T47,Configuratie!$B$2:$E$11,2,FALSE))</f>
        <v/>
      </c>
      <c r="T47" s="5"/>
      <c r="AQ47" s="6">
        <v>6</v>
      </c>
      <c r="AR47" s="6">
        <v>1</v>
      </c>
      <c r="AS47" s="6">
        <v>3</v>
      </c>
      <c r="AT47" s="6" t="str">
        <f>IF(AND(ISNUMBER(J47),ISNUMBER(M47)),IF(J47+M47=1,1,0),"")</f>
        <v/>
      </c>
      <c r="AV47" s="48">
        <f>AR47*100+AS47</f>
        <v>103</v>
      </c>
      <c r="AW47" s="48">
        <f>AS47*100+AR47</f>
        <v>301</v>
      </c>
      <c r="AX47" s="6">
        <f t="shared" si="26"/>
        <v>0</v>
      </c>
      <c r="AY47" s="6">
        <f t="shared" si="26"/>
        <v>0</v>
      </c>
      <c r="AZ47" s="6" t="e">
        <f>J47*AY47</f>
        <v>#VALUE!</v>
      </c>
      <c r="BA47" s="6" t="e">
        <f>M47*AX47</f>
        <v>#VALUE!</v>
      </c>
    </row>
    <row r="48" spans="2:53" x14ac:dyDescent="0.25">
      <c r="B48" s="6">
        <v>3</v>
      </c>
      <c r="C48" s="6" t="str">
        <f>VLOOKUP(AR48,$B$4:$F$11,2,FALSE)</f>
        <v>G</v>
      </c>
      <c r="D48" s="46" t="s">
        <v>5</v>
      </c>
      <c r="E48" s="90" t="str">
        <f>VLOOKUP(AS48,$B$4:$F$11,2,FALSE)</f>
        <v>D</v>
      </c>
      <c r="F48" s="90"/>
      <c r="G48" s="90"/>
      <c r="H48" s="90"/>
      <c r="J48" s="90" t="str">
        <f>IF(T48="","",VLOOKUP(T48,Configuratie!$B$2:$E$11,3,FALSE))</f>
        <v/>
      </c>
      <c r="K48" s="90"/>
      <c r="L48" s="6" t="s">
        <v>5</v>
      </c>
      <c r="M48" s="90" t="str">
        <f>IF(T48="","",VLOOKUP(T48,Configuratie!$B$2:$E$11,4,FALSE))</f>
        <v/>
      </c>
      <c r="N48" s="90"/>
      <c r="R48" s="6" t="str">
        <f>IF(T48="","",VLOOKUP(T48,Configuratie!$B$2:$E$11,2,FALSE))</f>
        <v/>
      </c>
      <c r="T48" s="5"/>
      <c r="AQ48" s="6">
        <v>6</v>
      </c>
      <c r="AR48" s="6">
        <v>7</v>
      </c>
      <c r="AS48" s="6">
        <v>4</v>
      </c>
      <c r="AT48" s="6" t="str">
        <f>IF(AND(ISNUMBER(J48),ISNUMBER(M48)),IF(J48+M48=1,1,0),"")</f>
        <v/>
      </c>
      <c r="AV48" s="48">
        <f>AR48*100+AS48</f>
        <v>704</v>
      </c>
      <c r="AW48" s="48">
        <f>AS48*100+AR48</f>
        <v>407</v>
      </c>
      <c r="AX48" s="6">
        <f t="shared" si="26"/>
        <v>0</v>
      </c>
      <c r="AY48" s="6">
        <f t="shared" si="26"/>
        <v>0</v>
      </c>
      <c r="AZ48" s="6" t="e">
        <f>J48*AY48</f>
        <v>#VALUE!</v>
      </c>
      <c r="BA48" s="6" t="e">
        <f>M48*AX48</f>
        <v>#VALUE!</v>
      </c>
    </row>
    <row r="49" spans="2:53" x14ac:dyDescent="0.25">
      <c r="B49" s="6">
        <v>4</v>
      </c>
      <c r="C49" s="6" t="str">
        <f>VLOOKUP(AR49,$B$4:$F$11,2,FALSE)</f>
        <v>F</v>
      </c>
      <c r="D49" s="46" t="s">
        <v>5</v>
      </c>
      <c r="E49" s="90" t="str">
        <f>VLOOKUP(AS49,$B$4:$F$11,2,FALSE)</f>
        <v>E</v>
      </c>
      <c r="F49" s="90"/>
      <c r="G49" s="90"/>
      <c r="H49" s="90"/>
      <c r="J49" s="90" t="str">
        <f>IF(T49="","",VLOOKUP(T49,Configuratie!$B$2:$E$11,3,FALSE))</f>
        <v/>
      </c>
      <c r="K49" s="90"/>
      <c r="L49" s="6" t="s">
        <v>5</v>
      </c>
      <c r="M49" s="90" t="str">
        <f>IF(T49="","",VLOOKUP(T49,Configuratie!$B$2:$E$11,4,FALSE))</f>
        <v/>
      </c>
      <c r="N49" s="90"/>
      <c r="R49" s="6" t="str">
        <f>IF(T49="","",VLOOKUP(T49,Configuratie!$B$2:$E$11,2,FALSE))</f>
        <v/>
      </c>
      <c r="T49" s="5"/>
      <c r="AQ49" s="6">
        <v>6</v>
      </c>
      <c r="AR49" s="6">
        <v>6</v>
      </c>
      <c r="AS49" s="6">
        <v>5</v>
      </c>
      <c r="AT49" s="6" t="str">
        <f>IF(AND(ISNUMBER(J49),ISNUMBER(M49)),IF(J49+M49=1,1,0),"")</f>
        <v/>
      </c>
      <c r="AV49" s="48">
        <f>AR49*100+AS49</f>
        <v>605</v>
      </c>
      <c r="AW49" s="48">
        <f>AS49*100+AR49</f>
        <v>506</v>
      </c>
      <c r="AX49" s="6">
        <f t="shared" si="26"/>
        <v>0</v>
      </c>
      <c r="AY49" s="6">
        <f t="shared" si="26"/>
        <v>0</v>
      </c>
      <c r="AZ49" s="6" t="e">
        <f>J49*AY49</f>
        <v>#VALUE!</v>
      </c>
      <c r="BA49" s="6" t="e">
        <f>M49*AX49</f>
        <v>#VALUE!</v>
      </c>
    </row>
    <row r="50" spans="2:53" ht="3" customHeight="1" x14ac:dyDescent="0.25">
      <c r="B50" s="11"/>
      <c r="C50" s="11"/>
      <c r="D50" s="11"/>
      <c r="E50" s="11"/>
      <c r="F50" s="11"/>
      <c r="G50" s="11"/>
      <c r="H50" s="11"/>
      <c r="I50" s="11"/>
      <c r="J50" s="11"/>
      <c r="K50" s="11"/>
      <c r="L50" s="11"/>
      <c r="M50" s="11"/>
      <c r="N50" s="11"/>
      <c r="O50" s="11"/>
      <c r="P50" s="11"/>
      <c r="Q50" s="11"/>
      <c r="R50" s="11"/>
      <c r="S50" s="11"/>
      <c r="T50" s="11"/>
      <c r="U50" s="11"/>
      <c r="AV50" s="42"/>
      <c r="AW50" s="42"/>
    </row>
    <row r="51" spans="2:53" x14ac:dyDescent="0.25">
      <c r="B51" s="45" t="s">
        <v>14</v>
      </c>
      <c r="AV51" s="42"/>
      <c r="AW51" s="42"/>
    </row>
    <row r="52" spans="2:53" x14ac:dyDescent="0.25">
      <c r="B52" s="6">
        <v>1</v>
      </c>
      <c r="C52" s="6" t="str">
        <f>VLOOKUP(AR52,$B$4:$F$11,2,FALSE)</f>
        <v>E</v>
      </c>
      <c r="D52" s="46" t="s">
        <v>5</v>
      </c>
      <c r="E52" s="90" t="str">
        <f>VLOOKUP(AS52,$B$4:$F$11,2,FALSE)</f>
        <v>H</v>
      </c>
      <c r="F52" s="90"/>
      <c r="G52" s="90"/>
      <c r="H52" s="90"/>
      <c r="J52" s="90" t="str">
        <f>IF(T52="","",VLOOKUP(T52,Configuratie!$B$2:$E$11,3,FALSE))</f>
        <v/>
      </c>
      <c r="K52" s="90"/>
      <c r="L52" s="6" t="s">
        <v>5</v>
      </c>
      <c r="M52" s="90" t="str">
        <f>IF(T52="","",VLOOKUP(T52,Configuratie!$B$2:$E$11,4,FALSE))</f>
        <v/>
      </c>
      <c r="N52" s="90"/>
      <c r="R52" s="6" t="str">
        <f>IF(T52="","",VLOOKUP(T52,Configuratie!$B$2:$E$11,2,FALSE))</f>
        <v/>
      </c>
      <c r="T52" s="5"/>
      <c r="AQ52" s="6">
        <v>7</v>
      </c>
      <c r="AR52" s="6">
        <v>5</v>
      </c>
      <c r="AS52" s="6">
        <v>8</v>
      </c>
      <c r="AT52" s="6" t="str">
        <f>IF(AND(ISNUMBER(J52),ISNUMBER(M52)),IF(J52+M52=1,1,0),"")</f>
        <v/>
      </c>
      <c r="AV52" s="48">
        <f>AR52*100+AS52</f>
        <v>508</v>
      </c>
      <c r="AW52" s="48">
        <f>AS52*100+AR52</f>
        <v>805</v>
      </c>
      <c r="AX52" s="6">
        <f t="shared" ref="AX52:AY55" si="27">VLOOKUP(AR52,$BG$3:$BP$11,$AQ52,FALSE)</f>
        <v>0</v>
      </c>
      <c r="AY52" s="6">
        <f t="shared" si="27"/>
        <v>0</v>
      </c>
      <c r="AZ52" s="6" t="e">
        <f>J52*AY52</f>
        <v>#VALUE!</v>
      </c>
      <c r="BA52" s="6" t="e">
        <f>M52*AX52</f>
        <v>#VALUE!</v>
      </c>
    </row>
    <row r="53" spans="2:53" x14ac:dyDescent="0.25">
      <c r="B53" s="6">
        <v>2</v>
      </c>
      <c r="C53" s="6" t="str">
        <f>VLOOKUP(AR53,$B$4:$F$11,2,FALSE)</f>
        <v>D</v>
      </c>
      <c r="D53" s="46" t="s">
        <v>5</v>
      </c>
      <c r="E53" s="90" t="str">
        <f>VLOOKUP(AS53,$B$4:$F$11,2,FALSE)</f>
        <v>F</v>
      </c>
      <c r="F53" s="90"/>
      <c r="G53" s="90"/>
      <c r="H53" s="90"/>
      <c r="J53" s="90" t="str">
        <f>IF(T53="","",VLOOKUP(T53,Configuratie!$B$2:$E$11,3,FALSE))</f>
        <v/>
      </c>
      <c r="K53" s="90"/>
      <c r="L53" s="6" t="s">
        <v>5</v>
      </c>
      <c r="M53" s="90" t="str">
        <f>IF(T53="","",VLOOKUP(T53,Configuratie!$B$2:$E$11,4,FALSE))</f>
        <v/>
      </c>
      <c r="N53" s="90"/>
      <c r="R53" s="6" t="str">
        <f>IF(T53="","",VLOOKUP(T53,Configuratie!$B$2:$E$11,2,FALSE))</f>
        <v/>
      </c>
      <c r="T53" s="5"/>
      <c r="AQ53" s="6">
        <v>7</v>
      </c>
      <c r="AR53" s="6">
        <v>4</v>
      </c>
      <c r="AS53" s="6">
        <v>6</v>
      </c>
      <c r="AT53" s="6" t="str">
        <f t="shared" ref="AT53:AT55" si="28">IF(AND(ISNUMBER(J53),ISNUMBER(M53)),IF(J53+M53=1,1,0),"")</f>
        <v/>
      </c>
      <c r="AV53" s="48">
        <f>AR53*100+AS53</f>
        <v>406</v>
      </c>
      <c r="AW53" s="48">
        <f>AS53*100+AR53</f>
        <v>604</v>
      </c>
      <c r="AX53" s="6">
        <f t="shared" si="27"/>
        <v>0</v>
      </c>
      <c r="AY53" s="6">
        <f t="shared" si="27"/>
        <v>0</v>
      </c>
      <c r="AZ53" s="6" t="e">
        <f>J53*AY53</f>
        <v>#VALUE!</v>
      </c>
      <c r="BA53" s="6" t="e">
        <f>M53*AX53</f>
        <v>#VALUE!</v>
      </c>
    </row>
    <row r="54" spans="2:53" x14ac:dyDescent="0.25">
      <c r="B54" s="6">
        <v>3</v>
      </c>
      <c r="C54" s="6" t="str">
        <f>VLOOKUP(AR54,$B$4:$F$11,2,FALSE)</f>
        <v>C</v>
      </c>
      <c r="D54" s="46" t="s">
        <v>5</v>
      </c>
      <c r="E54" s="90" t="str">
        <f>VLOOKUP(AS54,$B$4:$F$11,2,FALSE)</f>
        <v>G</v>
      </c>
      <c r="F54" s="90"/>
      <c r="G54" s="90"/>
      <c r="H54" s="90"/>
      <c r="J54" s="90" t="str">
        <f>IF(T54="","",VLOOKUP(T54,Configuratie!$B$2:$E$11,3,FALSE))</f>
        <v/>
      </c>
      <c r="K54" s="90"/>
      <c r="L54" s="6" t="s">
        <v>5</v>
      </c>
      <c r="M54" s="90" t="str">
        <f>IF(T54="","",VLOOKUP(T54,Configuratie!$B$2:$E$11,4,FALSE))</f>
        <v/>
      </c>
      <c r="N54" s="90"/>
      <c r="R54" s="6" t="str">
        <f>IF(T54="","",VLOOKUP(T54,Configuratie!$B$2:$E$11,2,FALSE))</f>
        <v/>
      </c>
      <c r="T54" s="5"/>
      <c r="AQ54" s="6">
        <v>7</v>
      </c>
      <c r="AR54" s="6">
        <v>3</v>
      </c>
      <c r="AS54" s="6">
        <v>7</v>
      </c>
      <c r="AT54" s="6" t="str">
        <f t="shared" si="28"/>
        <v/>
      </c>
      <c r="AV54" s="48">
        <f>AR54*100+AS54</f>
        <v>307</v>
      </c>
      <c r="AW54" s="48">
        <f>AS54*100+AR54</f>
        <v>703</v>
      </c>
      <c r="AX54" s="6">
        <f t="shared" si="27"/>
        <v>0</v>
      </c>
      <c r="AY54" s="6">
        <f t="shared" si="27"/>
        <v>0</v>
      </c>
      <c r="AZ54" s="6" t="e">
        <f>J54*AY54</f>
        <v>#VALUE!</v>
      </c>
      <c r="BA54" s="6" t="e">
        <f>M54*AX54</f>
        <v>#VALUE!</v>
      </c>
    </row>
    <row r="55" spans="2:53" x14ac:dyDescent="0.25">
      <c r="B55" s="6">
        <v>4</v>
      </c>
      <c r="C55" s="6" t="str">
        <f>VLOOKUP(AR55,$B$4:$F$11,2,FALSE)</f>
        <v>B</v>
      </c>
      <c r="D55" s="46" t="s">
        <v>5</v>
      </c>
      <c r="E55" s="90" t="str">
        <f>VLOOKUP(AS55,$B$4:$F$11,2,FALSE)</f>
        <v>A</v>
      </c>
      <c r="F55" s="90"/>
      <c r="G55" s="90"/>
      <c r="H55" s="90"/>
      <c r="J55" s="90" t="str">
        <f>IF(T55="","",VLOOKUP(T55,Configuratie!$B$2:$E$11,3,FALSE))</f>
        <v/>
      </c>
      <c r="K55" s="90"/>
      <c r="L55" s="6" t="s">
        <v>5</v>
      </c>
      <c r="M55" s="90" t="str">
        <f>IF(T55="","",VLOOKUP(T55,Configuratie!$B$2:$E$11,4,FALSE))</f>
        <v/>
      </c>
      <c r="N55" s="90"/>
      <c r="R55" s="6" t="str">
        <f>IF(T55="","",VLOOKUP(T55,Configuratie!$B$2:$E$11,2,FALSE))</f>
        <v/>
      </c>
      <c r="T55" s="5"/>
      <c r="AQ55" s="6">
        <v>7</v>
      </c>
      <c r="AR55" s="6">
        <v>2</v>
      </c>
      <c r="AS55" s="6">
        <v>1</v>
      </c>
      <c r="AT55" s="6" t="str">
        <f t="shared" si="28"/>
        <v/>
      </c>
      <c r="AV55" s="48">
        <f>AR55*100+AS55</f>
        <v>201</v>
      </c>
      <c r="AW55" s="48">
        <f>AS55*100+AR55</f>
        <v>102</v>
      </c>
      <c r="AX55" s="6">
        <f t="shared" si="27"/>
        <v>0</v>
      </c>
      <c r="AY55" s="6">
        <f t="shared" si="27"/>
        <v>0</v>
      </c>
      <c r="AZ55" s="6" t="e">
        <f>J55*AY55</f>
        <v>#VALUE!</v>
      </c>
      <c r="BA55" s="6" t="e">
        <f>M55*AX55</f>
        <v>#VALUE!</v>
      </c>
    </row>
    <row r="57" spans="2:53" ht="26.25" x14ac:dyDescent="0.4">
      <c r="B57" s="91" t="str">
        <f>"UITSLAG " &amp; G1</f>
        <v>UITSLAG GROEP A</v>
      </c>
      <c r="C57" s="92"/>
      <c r="D57" s="92"/>
      <c r="E57" s="92"/>
      <c r="F57" s="92"/>
      <c r="G57" s="92"/>
      <c r="H57" s="92"/>
    </row>
    <row r="59" spans="2:53" x14ac:dyDescent="0.25">
      <c r="B59" s="7" t="s">
        <v>33</v>
      </c>
      <c r="C59" s="7"/>
      <c r="D59" s="22" t="s">
        <v>30</v>
      </c>
      <c r="E59" s="7" t="s">
        <v>6</v>
      </c>
      <c r="F59" s="7" t="s">
        <v>29</v>
      </c>
      <c r="G59" s="7" t="s">
        <v>24</v>
      </c>
      <c r="H59" s="7" t="s">
        <v>26</v>
      </c>
    </row>
    <row r="60" spans="2:53" x14ac:dyDescent="0.25">
      <c r="B60" s="31">
        <v>1</v>
      </c>
      <c r="C60" s="31" t="str">
        <f t="shared" ref="C60:C67" si="29">C4</f>
        <v>A</v>
      </c>
      <c r="D60" s="32">
        <v>2</v>
      </c>
      <c r="E60" s="33" t="str">
        <f t="shared" ref="E60:E67" si="30">IF(ISNA(VLOOKUP(B60,$A$4:$T$11,3,FALSE)),C4,VLOOKUP(B60,$A$4:$T$11,3,FALSE))</f>
        <v>A</v>
      </c>
      <c r="F60" s="63">
        <f t="shared" ref="F60:F67" si="31">IF(ISNA(VLOOKUP($B4,$A$4:$T$11,18,FALSE)),0,VLOOKUP($B4,$A$4:$T$11,18,FALSE))</f>
        <v>0</v>
      </c>
      <c r="G60" s="34">
        <f>VLOOKUP($B4,$A$4:$T$11,18,FALSE)</f>
        <v>0</v>
      </c>
      <c r="H60" s="12">
        <f t="shared" ref="H60:H67" si="32">IF(ISNA(VLOOKUP($B4,$A$4:$T$11,19,FALSE)),0,VLOOKUP($B4,$A$4:$T$11,19,FALSE))</f>
        <v>0</v>
      </c>
    </row>
    <row r="61" spans="2:53" x14ac:dyDescent="0.25">
      <c r="B61" s="31">
        <v>2</v>
      </c>
      <c r="C61" s="31" t="str">
        <f t="shared" si="29"/>
        <v>B</v>
      </c>
      <c r="D61" s="32">
        <v>7</v>
      </c>
      <c r="E61" s="33" t="str">
        <f t="shared" si="30"/>
        <v>B</v>
      </c>
      <c r="F61" s="63">
        <f t="shared" si="31"/>
        <v>0</v>
      </c>
      <c r="G61" s="34">
        <f t="shared" ref="G61:G67" si="33">VLOOKUP($D61,$AQ$4:$AT$11,2,FALSE)</f>
        <v>0</v>
      </c>
      <c r="H61" s="12">
        <f t="shared" si="32"/>
        <v>0</v>
      </c>
    </row>
    <row r="62" spans="2:53" x14ac:dyDescent="0.25">
      <c r="B62" s="31">
        <v>3</v>
      </c>
      <c r="C62" s="31" t="str">
        <f t="shared" si="29"/>
        <v>C</v>
      </c>
      <c r="D62" s="32">
        <v>1</v>
      </c>
      <c r="E62" s="33" t="str">
        <f t="shared" si="30"/>
        <v>C</v>
      </c>
      <c r="F62" s="63">
        <f t="shared" si="31"/>
        <v>0</v>
      </c>
      <c r="G62" s="34">
        <f t="shared" si="33"/>
        <v>0</v>
      </c>
      <c r="H62" s="12">
        <f t="shared" si="32"/>
        <v>0</v>
      </c>
    </row>
    <row r="63" spans="2:53" x14ac:dyDescent="0.25">
      <c r="B63" s="31">
        <v>4</v>
      </c>
      <c r="C63" s="31" t="str">
        <f t="shared" si="29"/>
        <v>D</v>
      </c>
      <c r="D63" s="32">
        <v>6</v>
      </c>
      <c r="E63" s="33" t="str">
        <f t="shared" si="30"/>
        <v>D</v>
      </c>
      <c r="F63" s="63">
        <f t="shared" si="31"/>
        <v>0</v>
      </c>
      <c r="G63" s="34">
        <f t="shared" si="33"/>
        <v>0</v>
      </c>
      <c r="H63" s="12">
        <f t="shared" si="32"/>
        <v>0</v>
      </c>
    </row>
    <row r="64" spans="2:53" x14ac:dyDescent="0.25">
      <c r="B64" s="31">
        <v>5</v>
      </c>
      <c r="C64" s="31" t="str">
        <f t="shared" si="29"/>
        <v>E</v>
      </c>
      <c r="D64" s="32">
        <v>3</v>
      </c>
      <c r="E64" s="33" t="str">
        <f t="shared" si="30"/>
        <v>E</v>
      </c>
      <c r="F64" s="63">
        <f t="shared" si="31"/>
        <v>0</v>
      </c>
      <c r="G64" s="34">
        <f t="shared" si="33"/>
        <v>0</v>
      </c>
      <c r="H64" s="12">
        <f t="shared" si="32"/>
        <v>0</v>
      </c>
    </row>
    <row r="65" spans="2:8" x14ac:dyDescent="0.25">
      <c r="B65" s="31">
        <v>6</v>
      </c>
      <c r="C65" s="31" t="str">
        <f t="shared" si="29"/>
        <v>F</v>
      </c>
      <c r="D65" s="32">
        <v>5</v>
      </c>
      <c r="E65" s="33" t="str">
        <f t="shared" si="30"/>
        <v>F</v>
      </c>
      <c r="F65" s="63">
        <f t="shared" si="31"/>
        <v>0</v>
      </c>
      <c r="G65" s="34">
        <f t="shared" si="33"/>
        <v>0</v>
      </c>
      <c r="H65" s="12">
        <f t="shared" si="32"/>
        <v>0</v>
      </c>
    </row>
    <row r="66" spans="2:8" x14ac:dyDescent="0.25">
      <c r="B66" s="31">
        <v>7</v>
      </c>
      <c r="C66" s="31" t="str">
        <f t="shared" si="29"/>
        <v>G</v>
      </c>
      <c r="D66" s="32">
        <v>4</v>
      </c>
      <c r="E66" s="33" t="str">
        <f t="shared" si="30"/>
        <v>G</v>
      </c>
      <c r="F66" s="63">
        <f t="shared" si="31"/>
        <v>0</v>
      </c>
      <c r="G66" s="34">
        <f t="shared" si="33"/>
        <v>0</v>
      </c>
      <c r="H66" s="12">
        <f t="shared" si="32"/>
        <v>0</v>
      </c>
    </row>
    <row r="67" spans="2:8" x14ac:dyDescent="0.25">
      <c r="B67" s="31">
        <v>8</v>
      </c>
      <c r="C67" s="31" t="str">
        <f t="shared" si="29"/>
        <v>H</v>
      </c>
      <c r="D67" s="32">
        <v>8</v>
      </c>
      <c r="E67" s="33" t="str">
        <f t="shared" si="30"/>
        <v>H</v>
      </c>
      <c r="F67" s="63">
        <f t="shared" si="31"/>
        <v>0</v>
      </c>
      <c r="G67" s="34">
        <f t="shared" si="33"/>
        <v>0</v>
      </c>
      <c r="H67" s="12">
        <f t="shared" si="32"/>
        <v>0</v>
      </c>
    </row>
  </sheetData>
  <sheetProtection algorithmName="SHA-512" hashValue="DKoSBtSF/iwiUClmDPNTCvNZ5LrUYlNKUclT8d+/Z7xzW7XV1VlSk5oxYTuzoMrNMVirI6kQWBgDobiFhjkhnQ==" saltValue="OL9ceybkOhIYO+rqlST29Q==" spinCount="100000" sheet="1" objects="1" scenarios="1" selectLockedCells="1"/>
  <sortState xmlns:xlrd2="http://schemas.microsoft.com/office/spreadsheetml/2017/richdata2" ref="W4:X11">
    <sortCondition descending="1" ref="W4:W11"/>
    <sortCondition descending="1" ref="X4:X11"/>
  </sortState>
  <mergeCells count="97">
    <mergeCell ref="E55:H55"/>
    <mergeCell ref="J55:K55"/>
    <mergeCell ref="M55:N55"/>
    <mergeCell ref="E53:H53"/>
    <mergeCell ref="J53:K53"/>
    <mergeCell ref="M53:N53"/>
    <mergeCell ref="E54:H54"/>
    <mergeCell ref="J54:K54"/>
    <mergeCell ref="M54:N54"/>
    <mergeCell ref="E52:H52"/>
    <mergeCell ref="J52:K52"/>
    <mergeCell ref="M52:N52"/>
    <mergeCell ref="E48:H48"/>
    <mergeCell ref="J48:K48"/>
    <mergeCell ref="M48:N48"/>
    <mergeCell ref="E49:H49"/>
    <mergeCell ref="J49:K49"/>
    <mergeCell ref="M49:N49"/>
    <mergeCell ref="E46:H46"/>
    <mergeCell ref="J46:K46"/>
    <mergeCell ref="M46:N46"/>
    <mergeCell ref="E47:H47"/>
    <mergeCell ref="J47:K47"/>
    <mergeCell ref="M47:N47"/>
    <mergeCell ref="E43:H43"/>
    <mergeCell ref="J43:K43"/>
    <mergeCell ref="M43:N43"/>
    <mergeCell ref="E41:H41"/>
    <mergeCell ref="J41:K41"/>
    <mergeCell ref="M41:N41"/>
    <mergeCell ref="E42:H42"/>
    <mergeCell ref="J42:K42"/>
    <mergeCell ref="M42:N42"/>
    <mergeCell ref="E40:H40"/>
    <mergeCell ref="J40:K40"/>
    <mergeCell ref="M40:N40"/>
    <mergeCell ref="E36:H36"/>
    <mergeCell ref="J36:K36"/>
    <mergeCell ref="M36:N36"/>
    <mergeCell ref="E37:H37"/>
    <mergeCell ref="J37:K37"/>
    <mergeCell ref="M37:N37"/>
    <mergeCell ref="E34:H34"/>
    <mergeCell ref="J34:K34"/>
    <mergeCell ref="M34:N34"/>
    <mergeCell ref="E35:H35"/>
    <mergeCell ref="J35:K35"/>
    <mergeCell ref="M35:N35"/>
    <mergeCell ref="M24:N24"/>
    <mergeCell ref="E25:H25"/>
    <mergeCell ref="J25:K25"/>
    <mergeCell ref="M25:N25"/>
    <mergeCell ref="E31:H31"/>
    <mergeCell ref="J31:K31"/>
    <mergeCell ref="M31:N31"/>
    <mergeCell ref="E29:H29"/>
    <mergeCell ref="J29:K29"/>
    <mergeCell ref="M29:N29"/>
    <mergeCell ref="E30:H30"/>
    <mergeCell ref="J30:K30"/>
    <mergeCell ref="M30:N30"/>
    <mergeCell ref="D10:E10"/>
    <mergeCell ref="E19:H19"/>
    <mergeCell ref="J19:K19"/>
    <mergeCell ref="M19:N19"/>
    <mergeCell ref="E17:H17"/>
    <mergeCell ref="J17:K17"/>
    <mergeCell ref="M17:N17"/>
    <mergeCell ref="E18:H18"/>
    <mergeCell ref="J18:K18"/>
    <mergeCell ref="M18:N18"/>
    <mergeCell ref="D5:E5"/>
    <mergeCell ref="D6:E6"/>
    <mergeCell ref="D7:E7"/>
    <mergeCell ref="D8:E8"/>
    <mergeCell ref="D9:E9"/>
    <mergeCell ref="B57:H57"/>
    <mergeCell ref="D11:E11"/>
    <mergeCell ref="E16:H16"/>
    <mergeCell ref="J16:K16"/>
    <mergeCell ref="M16:N16"/>
    <mergeCell ref="E22:H22"/>
    <mergeCell ref="J22:K22"/>
    <mergeCell ref="M22:N22"/>
    <mergeCell ref="E23:H23"/>
    <mergeCell ref="J23:K23"/>
    <mergeCell ref="M23:N23"/>
    <mergeCell ref="E28:H28"/>
    <mergeCell ref="J28:K28"/>
    <mergeCell ref="M28:N28"/>
    <mergeCell ref="E24:H24"/>
    <mergeCell ref="J24:K24"/>
    <mergeCell ref="D4:E4"/>
    <mergeCell ref="B1:F1"/>
    <mergeCell ref="AW2:BE2"/>
    <mergeCell ref="BH2:BP2"/>
    <mergeCell ref="D3:E3"/>
  </mergeCells>
  <conditionalFormatting sqref="H4:Q11">
    <cfRule type="cellIs" dxfId="13" priority="6" stopIfTrue="1" operator="between">
      <formula>0</formula>
      <formula>1</formula>
    </cfRule>
  </conditionalFormatting>
  <conditionalFormatting sqref="T4:U11">
    <cfRule type="cellIs" dxfId="12" priority="3" operator="equal">
      <formula>3</formula>
    </cfRule>
    <cfRule type="cellIs" dxfId="11" priority="4" operator="equal">
      <formula>2</formula>
    </cfRule>
    <cfRule type="cellIs" dxfId="10" priority="5" operator="equal">
      <formula>1</formula>
    </cfRule>
  </conditionalFormatting>
  <conditionalFormatting sqref="L2">
    <cfRule type="cellIs" dxfId="9" priority="2" stopIfTrue="1" operator="between">
      <formula>0</formula>
      <formula>1</formula>
    </cfRule>
  </conditionalFormatting>
  <conditionalFormatting sqref="L1">
    <cfRule type="cellIs" dxfId="8" priority="1" stopIfTrue="1" operator="between">
      <formula>0</formula>
      <formula>1</formula>
    </cfRule>
  </conditionalFormatting>
  <printOptions horizontalCentered="1" verticalCentered="1"/>
  <pageMargins left="0.7" right="0.7" top="0.75" bottom="0.75" header="0.3" footer="0.3"/>
  <pageSetup paperSize="9" scale="70" orientation="portrait" horizontalDpi="4294967293" verticalDpi="4294967293" r:id="rId1"/>
  <rowBreaks count="1" manualBreakCount="1">
    <brk id="3" min="1" max="19" man="1"/>
  </rowBreaks>
  <colBreaks count="2" manualBreakCount="2">
    <brk id="12" max="54" man="1"/>
    <brk id="20" max="1048575" man="1"/>
  </colBreak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Blad3">
    <pageSetUpPr fitToPage="1"/>
  </sheetPr>
  <dimension ref="A1:BN55"/>
  <sheetViews>
    <sheetView view="pageBreakPreview" zoomScaleNormal="100" zoomScaleSheetLayoutView="100" workbookViewId="0">
      <selection activeCell="T14" sqref="T14"/>
    </sheetView>
  </sheetViews>
  <sheetFormatPr defaultRowHeight="15" x14ac:dyDescent="0.25"/>
  <cols>
    <col min="1" max="1" width="3" style="6" bestFit="1" customWidth="1"/>
    <col min="2" max="2" width="3.7109375" style="6" customWidth="1"/>
    <col min="3" max="3" width="27.7109375" style="6" customWidth="1"/>
    <col min="4" max="4" width="3.7109375" style="6" customWidth="1"/>
    <col min="5" max="5" width="6.7109375" style="6" customWidth="1"/>
    <col min="6" max="6" width="9.7109375" style="6" customWidth="1"/>
    <col min="7" max="7" width="6.7109375" style="6" customWidth="1"/>
    <col min="8" max="14" width="3.7109375" style="6" customWidth="1"/>
    <col min="15" max="17" width="3.7109375" style="6" hidden="1" customWidth="1"/>
    <col min="18" max="18" width="10.42578125" style="6" customWidth="1"/>
    <col min="19" max="19" width="7.42578125" style="6" customWidth="1"/>
    <col min="20" max="20" width="6.5703125" style="6" customWidth="1"/>
    <col min="21" max="21" width="3.7109375" style="6" customWidth="1"/>
    <col min="22" max="24" width="6.7109375" style="6" hidden="1" customWidth="1"/>
    <col min="25" max="25" width="8.5703125" style="6" hidden="1" customWidth="1"/>
    <col min="26" max="26" width="6.7109375" style="6" hidden="1" customWidth="1"/>
    <col min="27" max="27" width="8.5703125" style="6" hidden="1" customWidth="1"/>
    <col min="28" max="28" width="6.7109375" style="6" hidden="1" customWidth="1"/>
    <col min="29" max="29" width="8.5703125" style="6" hidden="1" customWidth="1"/>
    <col min="30" max="31" width="6.7109375" style="6" hidden="1" customWidth="1"/>
    <col min="32" max="32" width="8.5703125" style="6" hidden="1" customWidth="1"/>
    <col min="33" max="40" width="6.7109375" style="6" hidden="1" customWidth="1"/>
    <col min="41" max="44" width="9.140625" style="6" hidden="1" customWidth="1"/>
    <col min="45" max="46" width="4.42578125" style="6" hidden="1" customWidth="1"/>
    <col min="47" max="65" width="3.7109375" style="6" hidden="1" customWidth="1"/>
    <col min="66" max="66" width="9.140625" style="6" hidden="1" customWidth="1"/>
    <col min="67" max="68" width="9.140625" style="6" customWidth="1"/>
    <col min="69" max="16384" width="9.140625" style="6"/>
  </cols>
  <sheetData>
    <row r="1" spans="1:65" ht="26.25" x14ac:dyDescent="0.4">
      <c r="A1" s="24">
        <v>6</v>
      </c>
      <c r="B1" s="98" t="s">
        <v>31</v>
      </c>
      <c r="C1" s="98"/>
      <c r="D1" s="98"/>
      <c r="E1" s="98"/>
      <c r="F1" s="98"/>
      <c r="G1" s="82" t="s">
        <v>32</v>
      </c>
      <c r="H1" s="82"/>
      <c r="I1" s="81"/>
      <c r="J1" s="81"/>
      <c r="K1" s="83"/>
      <c r="L1" s="83"/>
      <c r="M1" s="83"/>
      <c r="N1" s="83"/>
      <c r="O1" s="83"/>
      <c r="P1" s="83"/>
      <c r="Q1" s="83"/>
      <c r="R1" s="83"/>
      <c r="T1" s="86" t="str">
        <f>"versie " &amp; Configuratie!B1</f>
        <v>versie 0.3.0</v>
      </c>
      <c r="U1" s="15"/>
      <c r="V1" s="15"/>
      <c r="W1" s="15"/>
      <c r="X1" s="15"/>
      <c r="Y1" s="15"/>
      <c r="Z1" s="15"/>
      <c r="AA1" s="15"/>
      <c r="AB1" s="15"/>
      <c r="AC1" s="15"/>
      <c r="AD1" s="15"/>
      <c r="AE1" s="15"/>
      <c r="AF1" s="15"/>
      <c r="AG1" s="15"/>
      <c r="AH1" s="15"/>
      <c r="AI1" s="15"/>
      <c r="AJ1" s="15"/>
      <c r="AK1" s="15"/>
      <c r="AL1" s="15"/>
      <c r="AM1" s="15"/>
      <c r="AN1" s="15"/>
    </row>
    <row r="2" spans="1:65" x14ac:dyDescent="0.25">
      <c r="AO2" s="16" t="s">
        <v>27</v>
      </c>
      <c r="AP2" s="16" t="s">
        <v>26</v>
      </c>
      <c r="AQ2" s="16" t="s">
        <v>28</v>
      </c>
      <c r="AT2" s="92" t="s">
        <v>22</v>
      </c>
      <c r="AU2" s="92"/>
      <c r="AV2" s="92"/>
      <c r="AW2" s="92"/>
      <c r="AX2" s="92"/>
      <c r="AY2" s="92"/>
      <c r="AZ2" s="92"/>
      <c r="BA2" s="92"/>
      <c r="BB2" s="92"/>
      <c r="BC2" s="17"/>
      <c r="BD2" s="18"/>
      <c r="BE2" s="92" t="s">
        <v>23</v>
      </c>
      <c r="BF2" s="92"/>
      <c r="BG2" s="92"/>
      <c r="BH2" s="92"/>
      <c r="BI2" s="92"/>
      <c r="BJ2" s="92"/>
      <c r="BK2" s="92"/>
      <c r="BL2" s="92"/>
      <c r="BM2" s="92"/>
    </row>
    <row r="3" spans="1:65" x14ac:dyDescent="0.25">
      <c r="B3" s="19" t="s">
        <v>4</v>
      </c>
      <c r="C3" s="19" t="s">
        <v>6</v>
      </c>
      <c r="D3" s="93" t="s">
        <v>7</v>
      </c>
      <c r="E3" s="93"/>
      <c r="F3" s="19" t="s">
        <v>8</v>
      </c>
      <c r="H3" s="7">
        <v>1</v>
      </c>
      <c r="I3" s="7">
        <v>2</v>
      </c>
      <c r="J3" s="7">
        <v>3</v>
      </c>
      <c r="K3" s="7">
        <v>4</v>
      </c>
      <c r="L3" s="7">
        <v>5</v>
      </c>
      <c r="M3" s="7">
        <v>6</v>
      </c>
      <c r="N3" s="107"/>
      <c r="O3" s="111"/>
      <c r="P3" s="49"/>
      <c r="Q3" s="50"/>
      <c r="R3" s="7" t="s">
        <v>17</v>
      </c>
      <c r="S3" s="7" t="s">
        <v>26</v>
      </c>
      <c r="T3" s="7" t="s">
        <v>69</v>
      </c>
      <c r="U3" s="21"/>
      <c r="V3" s="7" t="s">
        <v>34</v>
      </c>
      <c r="W3" s="7" t="s">
        <v>35</v>
      </c>
      <c r="X3" s="13"/>
      <c r="Y3" s="7" t="s">
        <v>60</v>
      </c>
      <c r="Z3" s="7" t="s">
        <v>61</v>
      </c>
      <c r="AA3" s="7" t="s">
        <v>62</v>
      </c>
      <c r="AB3" s="7" t="s">
        <v>63</v>
      </c>
      <c r="AC3" s="7" t="s">
        <v>64</v>
      </c>
      <c r="AD3" s="7" t="s">
        <v>65</v>
      </c>
      <c r="AE3" s="7"/>
      <c r="AF3" s="7" t="s">
        <v>66</v>
      </c>
      <c r="AG3" s="7" t="s">
        <v>67</v>
      </c>
      <c r="AH3" s="7" t="s">
        <v>68</v>
      </c>
      <c r="AI3" s="7" t="s">
        <v>69</v>
      </c>
      <c r="AJ3" s="13"/>
      <c r="AK3" s="13"/>
      <c r="AL3" s="13"/>
      <c r="AM3" s="21"/>
      <c r="AN3" s="7" t="s">
        <v>36</v>
      </c>
      <c r="AO3" s="23" t="s">
        <v>25</v>
      </c>
      <c r="AP3" s="16" t="s">
        <v>25</v>
      </c>
      <c r="AQ3" s="16" t="s">
        <v>25</v>
      </c>
      <c r="AS3" s="6" t="s">
        <v>30</v>
      </c>
      <c r="AT3" s="18">
        <v>1</v>
      </c>
      <c r="AU3" s="18">
        <v>2</v>
      </c>
      <c r="AV3" s="18">
        <v>3</v>
      </c>
      <c r="AW3" s="18">
        <v>4</v>
      </c>
      <c r="AX3" s="18">
        <v>5</v>
      </c>
      <c r="AY3" s="18">
        <v>6</v>
      </c>
      <c r="AZ3" s="18">
        <v>7</v>
      </c>
      <c r="BA3" s="18">
        <v>8</v>
      </c>
      <c r="BB3" s="18">
        <v>9</v>
      </c>
      <c r="BC3" s="18"/>
      <c r="BD3" s="6" t="s">
        <v>30</v>
      </c>
      <c r="BE3" s="18">
        <v>1</v>
      </c>
      <c r="BF3" s="18">
        <v>2</v>
      </c>
      <c r="BG3" s="18">
        <v>3</v>
      </c>
      <c r="BH3" s="18">
        <v>4</v>
      </c>
      <c r="BI3" s="18">
        <v>5</v>
      </c>
      <c r="BJ3" s="18">
        <v>6</v>
      </c>
      <c r="BK3" s="18">
        <v>7</v>
      </c>
      <c r="BL3" s="18">
        <v>8</v>
      </c>
      <c r="BM3" s="18">
        <v>9</v>
      </c>
    </row>
    <row r="4" spans="1:65" x14ac:dyDescent="0.25">
      <c r="A4" s="51">
        <f>T4</f>
        <v>1</v>
      </c>
      <c r="B4" s="25">
        <v>1</v>
      </c>
      <c r="C4" s="25" t="s">
        <v>40</v>
      </c>
      <c r="D4" s="110"/>
      <c r="E4" s="110"/>
      <c r="F4" s="25">
        <v>1000</v>
      </c>
      <c r="H4" s="26" t="str">
        <f t="shared" ref="H4:M9" si="0">IF((SUMIF($AS$11:$AS$36,$B4*100+H$3,$AQ$11:$AQ$36)+SUMIF($AS$11:$AS$36,$B4+H$3*100,$AQ$11:$AQ$36))=1,(SUMIF($AS$11:$AS$36,$B4*100+H$3,$J$11:$J$36)+SUMIF($AT$11:$AT$36,$B4*100+H$3,$M$11:$M$36)),"")</f>
        <v/>
      </c>
      <c r="I4" s="27" t="str">
        <f t="shared" si="0"/>
        <v/>
      </c>
      <c r="J4" s="27" t="str">
        <f t="shared" si="0"/>
        <v/>
      </c>
      <c r="K4" s="27" t="str">
        <f t="shared" si="0"/>
        <v/>
      </c>
      <c r="L4" s="27" t="str">
        <f t="shared" si="0"/>
        <v/>
      </c>
      <c r="M4" s="27" t="str">
        <f t="shared" si="0"/>
        <v/>
      </c>
      <c r="N4" s="112"/>
      <c r="O4" s="113"/>
      <c r="P4" s="52"/>
      <c r="Q4" s="53"/>
      <c r="R4" s="8">
        <f t="shared" ref="R4:R9" si="1">SUM(H4:Q4)</f>
        <v>0</v>
      </c>
      <c r="S4" s="8">
        <f>IF(H4="",0,H4)*$R$4+IF(I4="",0,I4)*$R$5+IF(J4="",0,J4)*$R$6+IF(K4="",0,K4)*$R$7+IF(L4="",0,L4)*$R$8+IF(M4="",0,M4)*$R$9</f>
        <v>0</v>
      </c>
      <c r="T4" s="54">
        <f>AI4</f>
        <v>1</v>
      </c>
      <c r="U4" s="30"/>
      <c r="V4" s="34">
        <f t="shared" ref="V4:V9" si="2">VLOOKUP($C42,$AN$4:$AQ$9,4,FALSE)</f>
        <v>0</v>
      </c>
      <c r="W4" s="35">
        <f t="shared" ref="W4:W9" si="3">VLOOKUP($C42,$B$4:$R$9,5,FALSE)</f>
        <v>1000</v>
      </c>
      <c r="X4" s="56"/>
      <c r="Y4" s="7">
        <f t="shared" ref="Y4:Y9" si="4">IF(R4=$R$4,IF(H4="",0,H4))+IF(R4=$R$5,IF(I4="",0,I4))+IF(R4=$R$6,IF(J4="",0,J4))+IF(R4=$R$7,IF(K4="",0,K4))+IF(R4=$R$8,IF(L4="",0,L4))+IF(R4=$R$9,IF(M4="",0,M4))</f>
        <v>0</v>
      </c>
      <c r="Z4" s="7">
        <f t="shared" ref="Z4:Z9" si="5">$Y$11*R4+Y4</f>
        <v>0</v>
      </c>
      <c r="AA4" s="7">
        <f t="shared" ref="AA4:AA9" si="6">IF(Z4=$Z$4,IF(H4="",0,H4))+IF(Z4=$Z$5,IF(I4="",0,I4))+IF(Z4=$Z$6,IF(J4="",0,J4))+IF(Z4=$Z$7,IF(K4="",0,K4))+IF(Z4=$Z$8,IF(L4="",0,L4))+IF(Z4=$Z$9,IF(M4="",0,M4))</f>
        <v>0</v>
      </c>
      <c r="AB4" s="7">
        <f>$AA$11*Z4+AA4</f>
        <v>0</v>
      </c>
      <c r="AC4" s="7">
        <f t="shared" ref="AC4:AC9" si="7">IF(AB4=$AB$4,IF(H4="",0,H4))+IF(AB4=$AB$5,IF(I4="",0,I4))+IF(AB4=$AB$6,IF(J4="",0,J4))+IF(AB4=$AB$7,IF(K4="",0,K4))+IF(AB4=$AB$8,IF(L4="",0,L4))+IF(AB4=$AB$9,IF(M4="",0,M4))</f>
        <v>0</v>
      </c>
      <c r="AD4" s="7">
        <f>$AC$11*AB4+AC4</f>
        <v>0</v>
      </c>
      <c r="AE4" s="56"/>
      <c r="AF4" s="56">
        <f>RANK(AD4,$AD$4:$AD$9,1)-1</f>
        <v>0</v>
      </c>
      <c r="AG4" s="56">
        <f t="shared" ref="AG4:AG9" si="8">RANK(S4,$S$4:$S$9,1)-1</f>
        <v>0</v>
      </c>
      <c r="AH4" s="56">
        <f>6*AF4+AG4</f>
        <v>0</v>
      </c>
      <c r="AI4" s="56">
        <f>RANK(AH4,$AH$4:$AH$9)</f>
        <v>1</v>
      </c>
      <c r="AJ4" s="56"/>
      <c r="AK4" s="56"/>
      <c r="AL4" s="56"/>
      <c r="AM4" s="30"/>
      <c r="AN4" s="37">
        <v>1</v>
      </c>
      <c r="AO4" s="38">
        <f t="shared" ref="AO4:AO9" si="9">SUMIF($AO$11:$AO$36,B4,$AU$11:$AU$36)+SUMIF($AP$11:$AP$36,B4,$AV$11:$AV$36)</f>
        <v>0</v>
      </c>
      <c r="AP4" s="39" t="e">
        <f t="shared" ref="AP4:AP9" si="10">SUMIF($AO$11:$AO$36,B4,$AW$11:$AW$36)+SUMIF($AP$11:$AP$36,B4,$AX$11:$AX$36)</f>
        <v>#VALUE!</v>
      </c>
      <c r="AQ4" s="39">
        <f>SUM(BE4:BM4)</f>
        <v>0</v>
      </c>
      <c r="AS4" s="6">
        <v>1</v>
      </c>
      <c r="AT4" s="6">
        <f t="shared" ref="AT4:BB9" si="11" xml:space="preserve"> SUMIFS( $J$14:$J$36, $AO$14:$AO$36,$AS4, $AN$14:$AN$36,AT$3) + SUMIFS( $M$14:$M$36, $AP$14:$AP$36,$AS4, $AN$14:$AN$36,AT$3)</f>
        <v>0</v>
      </c>
      <c r="AU4" s="6">
        <f t="shared" si="11"/>
        <v>0</v>
      </c>
      <c r="AV4" s="6">
        <f t="shared" si="11"/>
        <v>0</v>
      </c>
      <c r="AW4" s="6">
        <f t="shared" si="11"/>
        <v>0</v>
      </c>
      <c r="AX4" s="6">
        <f t="shared" si="11"/>
        <v>0</v>
      </c>
      <c r="AY4" s="6">
        <f t="shared" si="11"/>
        <v>0</v>
      </c>
      <c r="AZ4" s="6">
        <f t="shared" si="11"/>
        <v>0</v>
      </c>
      <c r="BA4" s="6">
        <f t="shared" si="11"/>
        <v>0</v>
      </c>
      <c r="BB4" s="6">
        <f t="shared" si="11"/>
        <v>0</v>
      </c>
      <c r="BD4" s="6">
        <v>1</v>
      </c>
      <c r="BE4" s="6">
        <f>AT4</f>
        <v>0</v>
      </c>
      <c r="BF4" s="6">
        <f t="shared" ref="BF4:BM9" si="12">BE4+AU4</f>
        <v>0</v>
      </c>
      <c r="BG4" s="6">
        <f t="shared" si="12"/>
        <v>0</v>
      </c>
      <c r="BH4" s="6">
        <f t="shared" si="12"/>
        <v>0</v>
      </c>
      <c r="BI4" s="6">
        <f t="shared" si="12"/>
        <v>0</v>
      </c>
      <c r="BJ4" s="6">
        <f t="shared" si="12"/>
        <v>0</v>
      </c>
      <c r="BK4" s="6">
        <f t="shared" si="12"/>
        <v>0</v>
      </c>
      <c r="BL4" s="6">
        <f t="shared" si="12"/>
        <v>0</v>
      </c>
      <c r="BM4" s="6">
        <f t="shared" si="12"/>
        <v>0</v>
      </c>
    </row>
    <row r="5" spans="1:65" x14ac:dyDescent="0.25">
      <c r="A5" s="51">
        <f t="shared" ref="A5:A9" si="13">T5</f>
        <v>1</v>
      </c>
      <c r="B5" s="25">
        <v>2</v>
      </c>
      <c r="C5" s="25" t="s">
        <v>41</v>
      </c>
      <c r="D5" s="110"/>
      <c r="E5" s="110"/>
      <c r="F5" s="25">
        <v>1000</v>
      </c>
      <c r="H5" s="27" t="str">
        <f t="shared" si="0"/>
        <v/>
      </c>
      <c r="I5" s="26" t="str">
        <f t="shared" si="0"/>
        <v/>
      </c>
      <c r="J5" s="27" t="str">
        <f t="shared" si="0"/>
        <v/>
      </c>
      <c r="K5" s="27" t="str">
        <f t="shared" si="0"/>
        <v/>
      </c>
      <c r="L5" s="27" t="str">
        <f t="shared" si="0"/>
        <v/>
      </c>
      <c r="M5" s="27" t="str">
        <f t="shared" si="0"/>
        <v/>
      </c>
      <c r="N5" s="112"/>
      <c r="O5" s="113"/>
      <c r="P5" s="52"/>
      <c r="Q5" s="53"/>
      <c r="R5" s="8">
        <f t="shared" si="1"/>
        <v>0</v>
      </c>
      <c r="S5" s="8">
        <f t="shared" ref="S5:S9" si="14">IF(H5="",0,H5)*$R$4+IF(I5="",0,I5)*$R$5+IF(J5="",0,J5)*$R$6+IF(K5="",0,K5)*$R$7+IF(L5="",0,L5)*$R$8+IF(M5="",0,M5)*$R$9</f>
        <v>0</v>
      </c>
      <c r="T5" s="54">
        <f t="shared" ref="T5:T9" si="15">AI5</f>
        <v>1</v>
      </c>
      <c r="U5" s="30"/>
      <c r="V5" s="34">
        <f t="shared" si="2"/>
        <v>0</v>
      </c>
      <c r="W5" s="35">
        <f t="shared" si="3"/>
        <v>1000</v>
      </c>
      <c r="X5" s="56"/>
      <c r="Y5" s="7">
        <f t="shared" si="4"/>
        <v>0</v>
      </c>
      <c r="Z5" s="7">
        <f t="shared" si="5"/>
        <v>0</v>
      </c>
      <c r="AA5" s="7">
        <f t="shared" si="6"/>
        <v>0</v>
      </c>
      <c r="AB5" s="7">
        <f t="shared" ref="AB5:AB9" si="16">$AA$11*Z5+AA5</f>
        <v>0</v>
      </c>
      <c r="AC5" s="7">
        <f t="shared" si="7"/>
        <v>0</v>
      </c>
      <c r="AD5" s="7">
        <f t="shared" ref="AD5:AD9" si="17">$AC$11*AB5+AC5</f>
        <v>0</v>
      </c>
      <c r="AE5" s="56"/>
      <c r="AF5" s="56">
        <f t="shared" ref="AF5:AF9" si="18">RANK(AD5,$AD$4:$AD$9,1)-1</f>
        <v>0</v>
      </c>
      <c r="AG5" s="56">
        <f t="shared" si="8"/>
        <v>0</v>
      </c>
      <c r="AH5" s="56">
        <f t="shared" ref="AH5:AH9" si="19">6*AF5+AG5</f>
        <v>0</v>
      </c>
      <c r="AI5" s="56">
        <f t="shared" ref="AI5:AI9" si="20">RANK(AH5,$AH$4:$AH$9)</f>
        <v>1</v>
      </c>
      <c r="AJ5" s="56"/>
      <c r="AK5" s="56"/>
      <c r="AL5" s="56"/>
      <c r="AM5" s="30"/>
      <c r="AN5" s="37">
        <v>2</v>
      </c>
      <c r="AO5" s="38">
        <f t="shared" si="9"/>
        <v>0</v>
      </c>
      <c r="AP5" s="39" t="e">
        <f t="shared" si="10"/>
        <v>#VALUE!</v>
      </c>
      <c r="AQ5" s="39">
        <f t="shared" ref="AQ5:AQ9" si="21">SUM(BE5:BM5)</f>
        <v>0</v>
      </c>
      <c r="AS5" s="6">
        <v>2</v>
      </c>
      <c r="AT5" s="6">
        <f t="shared" si="11"/>
        <v>0</v>
      </c>
      <c r="AU5" s="6">
        <f t="shared" si="11"/>
        <v>0</v>
      </c>
      <c r="AV5" s="6">
        <f t="shared" si="11"/>
        <v>0</v>
      </c>
      <c r="AW5" s="6">
        <f t="shared" si="11"/>
        <v>0</v>
      </c>
      <c r="AX5" s="6">
        <f t="shared" si="11"/>
        <v>0</v>
      </c>
      <c r="AY5" s="6">
        <f t="shared" si="11"/>
        <v>0</v>
      </c>
      <c r="AZ5" s="6">
        <f t="shared" si="11"/>
        <v>0</v>
      </c>
      <c r="BA5" s="6">
        <f t="shared" si="11"/>
        <v>0</v>
      </c>
      <c r="BB5" s="6">
        <f t="shared" si="11"/>
        <v>0</v>
      </c>
      <c r="BD5" s="6">
        <v>2</v>
      </c>
      <c r="BE5" s="6">
        <f t="shared" ref="BE5:BE9" si="22">AT5</f>
        <v>0</v>
      </c>
      <c r="BF5" s="6">
        <f t="shared" si="12"/>
        <v>0</v>
      </c>
      <c r="BG5" s="6">
        <f t="shared" si="12"/>
        <v>0</v>
      </c>
      <c r="BH5" s="6">
        <f t="shared" si="12"/>
        <v>0</v>
      </c>
      <c r="BI5" s="6">
        <f t="shared" si="12"/>
        <v>0</v>
      </c>
      <c r="BJ5" s="6">
        <f t="shared" si="12"/>
        <v>0</v>
      </c>
      <c r="BK5" s="6">
        <f t="shared" si="12"/>
        <v>0</v>
      </c>
      <c r="BL5" s="6">
        <f t="shared" si="12"/>
        <v>0</v>
      </c>
      <c r="BM5" s="6">
        <f t="shared" si="12"/>
        <v>0</v>
      </c>
    </row>
    <row r="6" spans="1:65" x14ac:dyDescent="0.25">
      <c r="A6" s="51">
        <f t="shared" si="13"/>
        <v>1</v>
      </c>
      <c r="B6" s="25">
        <v>3</v>
      </c>
      <c r="C6" s="25" t="s">
        <v>42</v>
      </c>
      <c r="D6" s="110"/>
      <c r="E6" s="110"/>
      <c r="F6" s="25">
        <v>1000</v>
      </c>
      <c r="H6" s="27" t="str">
        <f t="shared" si="0"/>
        <v/>
      </c>
      <c r="I6" s="27" t="str">
        <f t="shared" si="0"/>
        <v/>
      </c>
      <c r="J6" s="26" t="str">
        <f t="shared" si="0"/>
        <v/>
      </c>
      <c r="K6" s="27" t="str">
        <f t="shared" si="0"/>
        <v/>
      </c>
      <c r="L6" s="27" t="str">
        <f t="shared" si="0"/>
        <v/>
      </c>
      <c r="M6" s="27" t="str">
        <f t="shared" si="0"/>
        <v/>
      </c>
      <c r="N6" s="112"/>
      <c r="O6" s="113"/>
      <c r="P6" s="52"/>
      <c r="Q6" s="53"/>
      <c r="R6" s="8">
        <f t="shared" si="1"/>
        <v>0</v>
      </c>
      <c r="S6" s="8">
        <f t="shared" si="14"/>
        <v>0</v>
      </c>
      <c r="T6" s="54">
        <f t="shared" si="15"/>
        <v>1</v>
      </c>
      <c r="U6" s="30"/>
      <c r="V6" s="34">
        <f t="shared" si="2"/>
        <v>0</v>
      </c>
      <c r="W6" s="35">
        <f t="shared" si="3"/>
        <v>1000</v>
      </c>
      <c r="X6" s="56"/>
      <c r="Y6" s="7">
        <f t="shared" si="4"/>
        <v>0</v>
      </c>
      <c r="Z6" s="7">
        <f t="shared" si="5"/>
        <v>0</v>
      </c>
      <c r="AA6" s="7">
        <f t="shared" si="6"/>
        <v>0</v>
      </c>
      <c r="AB6" s="7">
        <f t="shared" si="16"/>
        <v>0</v>
      </c>
      <c r="AC6" s="7">
        <f t="shared" si="7"/>
        <v>0</v>
      </c>
      <c r="AD6" s="7">
        <f t="shared" si="17"/>
        <v>0</v>
      </c>
      <c r="AE6" s="56"/>
      <c r="AF6" s="56">
        <f t="shared" si="18"/>
        <v>0</v>
      </c>
      <c r="AG6" s="56">
        <f t="shared" si="8"/>
        <v>0</v>
      </c>
      <c r="AH6" s="56">
        <f t="shared" si="19"/>
        <v>0</v>
      </c>
      <c r="AI6" s="56">
        <f t="shared" si="20"/>
        <v>1</v>
      </c>
      <c r="AJ6" s="56"/>
      <c r="AK6" s="56"/>
      <c r="AL6" s="56"/>
      <c r="AM6" s="30"/>
      <c r="AN6" s="37">
        <v>3</v>
      </c>
      <c r="AO6" s="38">
        <f t="shared" si="9"/>
        <v>0</v>
      </c>
      <c r="AP6" s="39" t="e">
        <f t="shared" si="10"/>
        <v>#VALUE!</v>
      </c>
      <c r="AQ6" s="39">
        <f t="shared" si="21"/>
        <v>0</v>
      </c>
      <c r="AS6" s="6">
        <v>3</v>
      </c>
      <c r="AT6" s="6">
        <f t="shared" si="11"/>
        <v>0</v>
      </c>
      <c r="AU6" s="6">
        <f t="shared" si="11"/>
        <v>0</v>
      </c>
      <c r="AV6" s="6">
        <f t="shared" si="11"/>
        <v>0</v>
      </c>
      <c r="AW6" s="6">
        <f t="shared" si="11"/>
        <v>0</v>
      </c>
      <c r="AX6" s="6">
        <f t="shared" si="11"/>
        <v>0</v>
      </c>
      <c r="AY6" s="6">
        <f t="shared" si="11"/>
        <v>0</v>
      </c>
      <c r="AZ6" s="6">
        <f t="shared" si="11"/>
        <v>0</v>
      </c>
      <c r="BA6" s="6">
        <f t="shared" si="11"/>
        <v>0</v>
      </c>
      <c r="BB6" s="6">
        <f t="shared" si="11"/>
        <v>0</v>
      </c>
      <c r="BD6" s="6">
        <v>3</v>
      </c>
      <c r="BE6" s="6">
        <f t="shared" si="22"/>
        <v>0</v>
      </c>
      <c r="BF6" s="6">
        <f t="shared" si="12"/>
        <v>0</v>
      </c>
      <c r="BG6" s="6">
        <f t="shared" si="12"/>
        <v>0</v>
      </c>
      <c r="BH6" s="6">
        <f t="shared" si="12"/>
        <v>0</v>
      </c>
      <c r="BI6" s="6">
        <f t="shared" si="12"/>
        <v>0</v>
      </c>
      <c r="BJ6" s="6">
        <f t="shared" si="12"/>
        <v>0</v>
      </c>
      <c r="BK6" s="6">
        <f t="shared" si="12"/>
        <v>0</v>
      </c>
      <c r="BL6" s="6">
        <f t="shared" si="12"/>
        <v>0</v>
      </c>
      <c r="BM6" s="6">
        <f t="shared" si="12"/>
        <v>0</v>
      </c>
    </row>
    <row r="7" spans="1:65" x14ac:dyDescent="0.25">
      <c r="A7" s="51">
        <f t="shared" si="13"/>
        <v>1</v>
      </c>
      <c r="B7" s="25">
        <v>4</v>
      </c>
      <c r="C7" s="25" t="s">
        <v>43</v>
      </c>
      <c r="D7" s="110"/>
      <c r="E7" s="110"/>
      <c r="F7" s="25">
        <v>1000</v>
      </c>
      <c r="H7" s="27" t="str">
        <f t="shared" si="0"/>
        <v/>
      </c>
      <c r="I7" s="27" t="str">
        <f t="shared" si="0"/>
        <v/>
      </c>
      <c r="J7" s="27" t="str">
        <f t="shared" si="0"/>
        <v/>
      </c>
      <c r="K7" s="26" t="str">
        <f t="shared" si="0"/>
        <v/>
      </c>
      <c r="L7" s="27" t="str">
        <f t="shared" si="0"/>
        <v/>
      </c>
      <c r="M7" s="27" t="str">
        <f t="shared" si="0"/>
        <v/>
      </c>
      <c r="N7" s="112"/>
      <c r="O7" s="113"/>
      <c r="P7" s="52"/>
      <c r="Q7" s="53"/>
      <c r="R7" s="8">
        <f t="shared" si="1"/>
        <v>0</v>
      </c>
      <c r="S7" s="8">
        <f t="shared" si="14"/>
        <v>0</v>
      </c>
      <c r="T7" s="54">
        <f t="shared" si="15"/>
        <v>1</v>
      </c>
      <c r="U7" s="30"/>
      <c r="V7" s="34">
        <f t="shared" si="2"/>
        <v>0</v>
      </c>
      <c r="W7" s="35">
        <f t="shared" si="3"/>
        <v>1000</v>
      </c>
      <c r="X7" s="56"/>
      <c r="Y7" s="7">
        <f t="shared" si="4"/>
        <v>0</v>
      </c>
      <c r="Z7" s="7">
        <f t="shared" si="5"/>
        <v>0</v>
      </c>
      <c r="AA7" s="7">
        <f t="shared" si="6"/>
        <v>0</v>
      </c>
      <c r="AB7" s="7">
        <f t="shared" si="16"/>
        <v>0</v>
      </c>
      <c r="AC7" s="7">
        <f t="shared" si="7"/>
        <v>0</v>
      </c>
      <c r="AD7" s="7">
        <f t="shared" si="17"/>
        <v>0</v>
      </c>
      <c r="AE7" s="56"/>
      <c r="AF7" s="56">
        <f t="shared" si="18"/>
        <v>0</v>
      </c>
      <c r="AG7" s="56">
        <f t="shared" si="8"/>
        <v>0</v>
      </c>
      <c r="AH7" s="56">
        <f t="shared" si="19"/>
        <v>0</v>
      </c>
      <c r="AI7" s="56">
        <f t="shared" si="20"/>
        <v>1</v>
      </c>
      <c r="AJ7" s="56"/>
      <c r="AK7" s="56"/>
      <c r="AL7" s="56"/>
      <c r="AM7" s="30"/>
      <c r="AN7" s="37">
        <v>4</v>
      </c>
      <c r="AO7" s="38">
        <f t="shared" si="9"/>
        <v>0</v>
      </c>
      <c r="AP7" s="39" t="e">
        <f t="shared" si="10"/>
        <v>#VALUE!</v>
      </c>
      <c r="AQ7" s="39">
        <f t="shared" si="21"/>
        <v>0</v>
      </c>
      <c r="AS7" s="6">
        <v>4</v>
      </c>
      <c r="AT7" s="6">
        <f t="shared" si="11"/>
        <v>0</v>
      </c>
      <c r="AU7" s="6">
        <f t="shared" si="11"/>
        <v>0</v>
      </c>
      <c r="AV7" s="6">
        <f t="shared" si="11"/>
        <v>0</v>
      </c>
      <c r="AW7" s="6">
        <f t="shared" si="11"/>
        <v>0</v>
      </c>
      <c r="AX7" s="6">
        <f t="shared" si="11"/>
        <v>0</v>
      </c>
      <c r="AY7" s="6">
        <f t="shared" si="11"/>
        <v>0</v>
      </c>
      <c r="AZ7" s="6">
        <f t="shared" si="11"/>
        <v>0</v>
      </c>
      <c r="BA7" s="6">
        <f t="shared" si="11"/>
        <v>0</v>
      </c>
      <c r="BB7" s="6">
        <f t="shared" si="11"/>
        <v>0</v>
      </c>
      <c r="BD7" s="6">
        <v>4</v>
      </c>
      <c r="BE7" s="6">
        <f t="shared" si="22"/>
        <v>0</v>
      </c>
      <c r="BF7" s="6">
        <f t="shared" si="12"/>
        <v>0</v>
      </c>
      <c r="BG7" s="6">
        <f t="shared" si="12"/>
        <v>0</v>
      </c>
      <c r="BH7" s="6">
        <f t="shared" si="12"/>
        <v>0</v>
      </c>
      <c r="BI7" s="6">
        <f t="shared" si="12"/>
        <v>0</v>
      </c>
      <c r="BJ7" s="6">
        <f t="shared" si="12"/>
        <v>0</v>
      </c>
      <c r="BK7" s="6">
        <f t="shared" si="12"/>
        <v>0</v>
      </c>
      <c r="BL7" s="6">
        <f t="shared" si="12"/>
        <v>0</v>
      </c>
      <c r="BM7" s="6">
        <f t="shared" si="12"/>
        <v>0</v>
      </c>
    </row>
    <row r="8" spans="1:65" x14ac:dyDescent="0.25">
      <c r="A8" s="51">
        <f t="shared" si="13"/>
        <v>1</v>
      </c>
      <c r="B8" s="25">
        <v>5</v>
      </c>
      <c r="C8" s="25" t="s">
        <v>47</v>
      </c>
      <c r="D8" s="110"/>
      <c r="E8" s="110"/>
      <c r="F8" s="25">
        <v>1000</v>
      </c>
      <c r="H8" s="27" t="str">
        <f t="shared" si="0"/>
        <v/>
      </c>
      <c r="I8" s="27" t="str">
        <f t="shared" si="0"/>
        <v/>
      </c>
      <c r="J8" s="27" t="str">
        <f t="shared" si="0"/>
        <v/>
      </c>
      <c r="K8" s="27" t="str">
        <f t="shared" si="0"/>
        <v/>
      </c>
      <c r="L8" s="26" t="str">
        <f t="shared" si="0"/>
        <v/>
      </c>
      <c r="M8" s="27" t="str">
        <f t="shared" si="0"/>
        <v/>
      </c>
      <c r="N8" s="112"/>
      <c r="O8" s="113"/>
      <c r="P8" s="52"/>
      <c r="Q8" s="53"/>
      <c r="R8" s="8">
        <f t="shared" si="1"/>
        <v>0</v>
      </c>
      <c r="S8" s="8">
        <f t="shared" si="14"/>
        <v>0</v>
      </c>
      <c r="T8" s="54">
        <f t="shared" si="15"/>
        <v>1</v>
      </c>
      <c r="U8" s="30"/>
      <c r="V8" s="34">
        <f t="shared" si="2"/>
        <v>0</v>
      </c>
      <c r="W8" s="35">
        <f t="shared" si="3"/>
        <v>1000</v>
      </c>
      <c r="X8" s="56"/>
      <c r="Y8" s="7">
        <f t="shared" si="4"/>
        <v>0</v>
      </c>
      <c r="Z8" s="7">
        <f t="shared" si="5"/>
        <v>0</v>
      </c>
      <c r="AA8" s="7">
        <f t="shared" si="6"/>
        <v>0</v>
      </c>
      <c r="AB8" s="7">
        <f t="shared" si="16"/>
        <v>0</v>
      </c>
      <c r="AC8" s="7">
        <f t="shared" si="7"/>
        <v>0</v>
      </c>
      <c r="AD8" s="7">
        <f t="shared" si="17"/>
        <v>0</v>
      </c>
      <c r="AE8" s="56"/>
      <c r="AF8" s="56">
        <f t="shared" si="18"/>
        <v>0</v>
      </c>
      <c r="AG8" s="56">
        <f t="shared" si="8"/>
        <v>0</v>
      </c>
      <c r="AH8" s="56">
        <f t="shared" si="19"/>
        <v>0</v>
      </c>
      <c r="AI8" s="56">
        <f t="shared" si="20"/>
        <v>1</v>
      </c>
      <c r="AJ8" s="56"/>
      <c r="AK8" s="56"/>
      <c r="AL8" s="56"/>
      <c r="AM8" s="30"/>
      <c r="AN8" s="37">
        <v>5</v>
      </c>
      <c r="AO8" s="38">
        <f t="shared" si="9"/>
        <v>0</v>
      </c>
      <c r="AP8" s="39" t="e">
        <f t="shared" si="10"/>
        <v>#VALUE!</v>
      </c>
      <c r="AQ8" s="39">
        <f t="shared" si="21"/>
        <v>0</v>
      </c>
      <c r="AS8" s="6">
        <v>5</v>
      </c>
      <c r="AT8" s="6">
        <f t="shared" si="11"/>
        <v>0</v>
      </c>
      <c r="AU8" s="6">
        <f t="shared" si="11"/>
        <v>0</v>
      </c>
      <c r="AV8" s="6">
        <f t="shared" si="11"/>
        <v>0</v>
      </c>
      <c r="AW8" s="6">
        <f t="shared" si="11"/>
        <v>0</v>
      </c>
      <c r="AX8" s="6">
        <f t="shared" si="11"/>
        <v>0</v>
      </c>
      <c r="AY8" s="6">
        <f t="shared" si="11"/>
        <v>0</v>
      </c>
      <c r="AZ8" s="6">
        <f t="shared" si="11"/>
        <v>0</v>
      </c>
      <c r="BA8" s="6">
        <f t="shared" si="11"/>
        <v>0</v>
      </c>
      <c r="BB8" s="6">
        <f t="shared" si="11"/>
        <v>0</v>
      </c>
      <c r="BD8" s="6">
        <v>5</v>
      </c>
      <c r="BE8" s="6">
        <f t="shared" si="22"/>
        <v>0</v>
      </c>
      <c r="BF8" s="6">
        <f t="shared" si="12"/>
        <v>0</v>
      </c>
      <c r="BG8" s="6">
        <f t="shared" si="12"/>
        <v>0</v>
      </c>
      <c r="BH8" s="6">
        <f t="shared" si="12"/>
        <v>0</v>
      </c>
      <c r="BI8" s="6">
        <f t="shared" si="12"/>
        <v>0</v>
      </c>
      <c r="BJ8" s="6">
        <f t="shared" si="12"/>
        <v>0</v>
      </c>
      <c r="BK8" s="6">
        <f t="shared" si="12"/>
        <v>0</v>
      </c>
      <c r="BL8" s="6">
        <f t="shared" si="12"/>
        <v>0</v>
      </c>
      <c r="BM8" s="6">
        <f t="shared" si="12"/>
        <v>0</v>
      </c>
    </row>
    <row r="9" spans="1:65" x14ac:dyDescent="0.25">
      <c r="A9" s="51">
        <f t="shared" si="13"/>
        <v>1</v>
      </c>
      <c r="B9" s="25">
        <v>6</v>
      </c>
      <c r="C9" s="25" t="s">
        <v>44</v>
      </c>
      <c r="D9" s="110"/>
      <c r="E9" s="110"/>
      <c r="F9" s="25">
        <v>1000</v>
      </c>
      <c r="H9" s="27" t="str">
        <f t="shared" si="0"/>
        <v/>
      </c>
      <c r="I9" s="27" t="str">
        <f t="shared" si="0"/>
        <v/>
      </c>
      <c r="J9" s="27" t="str">
        <f t="shared" si="0"/>
        <v/>
      </c>
      <c r="K9" s="27" t="str">
        <f t="shared" si="0"/>
        <v/>
      </c>
      <c r="L9" s="27" t="str">
        <f t="shared" si="0"/>
        <v/>
      </c>
      <c r="M9" s="26" t="str">
        <f t="shared" si="0"/>
        <v/>
      </c>
      <c r="N9" s="112"/>
      <c r="O9" s="113"/>
      <c r="P9" s="52"/>
      <c r="Q9" s="53"/>
      <c r="R9" s="8">
        <f t="shared" si="1"/>
        <v>0</v>
      </c>
      <c r="S9" s="8">
        <f t="shared" si="14"/>
        <v>0</v>
      </c>
      <c r="T9" s="54">
        <f t="shared" si="15"/>
        <v>1</v>
      </c>
      <c r="U9" s="30"/>
      <c r="V9" s="34">
        <f t="shared" si="2"/>
        <v>0</v>
      </c>
      <c r="W9" s="35">
        <f t="shared" si="3"/>
        <v>1000</v>
      </c>
      <c r="X9" s="56"/>
      <c r="Y9" s="7">
        <f t="shared" si="4"/>
        <v>0</v>
      </c>
      <c r="Z9" s="7">
        <f t="shared" si="5"/>
        <v>0</v>
      </c>
      <c r="AA9" s="7">
        <f t="shared" si="6"/>
        <v>0</v>
      </c>
      <c r="AB9" s="7">
        <f t="shared" si="16"/>
        <v>0</v>
      </c>
      <c r="AC9" s="7">
        <f t="shared" si="7"/>
        <v>0</v>
      </c>
      <c r="AD9" s="7">
        <f t="shared" si="17"/>
        <v>0</v>
      </c>
      <c r="AE9" s="56"/>
      <c r="AF9" s="56">
        <f t="shared" si="18"/>
        <v>0</v>
      </c>
      <c r="AG9" s="56">
        <f t="shared" si="8"/>
        <v>0</v>
      </c>
      <c r="AH9" s="56">
        <f t="shared" si="19"/>
        <v>0</v>
      </c>
      <c r="AI9" s="56">
        <f t="shared" si="20"/>
        <v>1</v>
      </c>
      <c r="AJ9" s="56"/>
      <c r="AK9" s="56"/>
      <c r="AL9" s="56"/>
      <c r="AM9" s="30"/>
      <c r="AN9" s="37">
        <v>6</v>
      </c>
      <c r="AO9" s="38">
        <f t="shared" si="9"/>
        <v>0</v>
      </c>
      <c r="AP9" s="39" t="e">
        <f t="shared" si="10"/>
        <v>#VALUE!</v>
      </c>
      <c r="AQ9" s="39">
        <f t="shared" si="21"/>
        <v>0</v>
      </c>
      <c r="AS9" s="6">
        <v>6</v>
      </c>
      <c r="AT9" s="6">
        <f t="shared" si="11"/>
        <v>0</v>
      </c>
      <c r="AU9" s="6">
        <f t="shared" si="11"/>
        <v>0</v>
      </c>
      <c r="AV9" s="6">
        <f t="shared" si="11"/>
        <v>0</v>
      </c>
      <c r="AW9" s="6">
        <f t="shared" si="11"/>
        <v>0</v>
      </c>
      <c r="AX9" s="6">
        <f t="shared" si="11"/>
        <v>0</v>
      </c>
      <c r="AY9" s="6">
        <f t="shared" si="11"/>
        <v>0</v>
      </c>
      <c r="AZ9" s="6">
        <f t="shared" si="11"/>
        <v>0</v>
      </c>
      <c r="BA9" s="6">
        <f t="shared" si="11"/>
        <v>0</v>
      </c>
      <c r="BB9" s="6">
        <f t="shared" si="11"/>
        <v>0</v>
      </c>
      <c r="BD9" s="6">
        <v>6</v>
      </c>
      <c r="BE9" s="6">
        <f t="shared" si="22"/>
        <v>0</v>
      </c>
      <c r="BF9" s="6">
        <f t="shared" si="12"/>
        <v>0</v>
      </c>
      <c r="BG9" s="6">
        <f t="shared" si="12"/>
        <v>0</v>
      </c>
      <c r="BH9" s="6">
        <f t="shared" si="12"/>
        <v>0</v>
      </c>
      <c r="BI9" s="6">
        <f t="shared" si="12"/>
        <v>0</v>
      </c>
      <c r="BJ9" s="6">
        <f t="shared" si="12"/>
        <v>0</v>
      </c>
      <c r="BK9" s="6">
        <f t="shared" si="12"/>
        <v>0</v>
      </c>
      <c r="BL9" s="6">
        <f t="shared" si="12"/>
        <v>0</v>
      </c>
      <c r="BM9" s="6">
        <f t="shared" si="12"/>
        <v>0</v>
      </c>
    </row>
    <row r="10" spans="1:65" hidden="1" x14ac:dyDescent="0.25"/>
    <row r="11" spans="1:65" x14ac:dyDescent="0.25">
      <c r="Y11" s="57">
        <f>2*MAX(Y4:Y9)+1</f>
        <v>1</v>
      </c>
      <c r="AA11" s="57">
        <f>2*MAX(AA4:AA9)+1</f>
        <v>1</v>
      </c>
      <c r="AC11" s="57">
        <f>2*MAX(AC4:AC9)+1</f>
        <v>1</v>
      </c>
      <c r="AN11" s="41" t="s">
        <v>39</v>
      </c>
      <c r="AO11" s="41" t="s">
        <v>0</v>
      </c>
      <c r="AP11" s="41" t="s">
        <v>1</v>
      </c>
      <c r="AQ11" s="41" t="s">
        <v>2</v>
      </c>
      <c r="AS11" s="42" t="s">
        <v>37</v>
      </c>
      <c r="AT11" s="42" t="s">
        <v>38</v>
      </c>
      <c r="AU11" s="6" t="s">
        <v>18</v>
      </c>
      <c r="AV11" s="6" t="s">
        <v>19</v>
      </c>
      <c r="AW11" s="6" t="s">
        <v>20</v>
      </c>
      <c r="AX11" s="6" t="s">
        <v>21</v>
      </c>
    </row>
    <row r="12" spans="1:65" ht="3" customHeight="1" x14ac:dyDescent="0.25">
      <c r="B12" s="11"/>
      <c r="C12" s="11"/>
      <c r="D12" s="11"/>
      <c r="E12" s="11"/>
      <c r="F12" s="11"/>
      <c r="G12" s="11"/>
      <c r="H12" s="11"/>
      <c r="I12" s="11"/>
      <c r="J12" s="11"/>
      <c r="K12" s="11"/>
      <c r="L12" s="11"/>
      <c r="M12" s="11"/>
      <c r="N12" s="11"/>
      <c r="O12" s="11"/>
      <c r="P12" s="11"/>
      <c r="Q12" s="11"/>
      <c r="R12" s="11"/>
      <c r="S12" s="11"/>
      <c r="T12" s="11"/>
      <c r="AS12" s="43"/>
      <c r="AT12" s="43"/>
      <c r="AU12" s="44"/>
      <c r="AV12" s="44"/>
      <c r="AW12" s="44"/>
      <c r="AX12" s="44"/>
    </row>
    <row r="13" spans="1:65" x14ac:dyDescent="0.25">
      <c r="B13" s="45" t="s">
        <v>3</v>
      </c>
      <c r="AS13" s="42"/>
      <c r="AT13" s="42"/>
    </row>
    <row r="14" spans="1:65" x14ac:dyDescent="0.25">
      <c r="B14" s="6">
        <v>1</v>
      </c>
      <c r="C14" s="6" t="str">
        <f>VLOOKUP(AO14,$B$4:$F$9,2,FALSE)</f>
        <v>F</v>
      </c>
      <c r="D14" s="46" t="s">
        <v>5</v>
      </c>
      <c r="E14" s="90" t="str">
        <f>VLOOKUP(AP14,$B$4:$F$9,2,FALSE)</f>
        <v>A</v>
      </c>
      <c r="F14" s="90"/>
      <c r="G14" s="90"/>
      <c r="H14" s="90"/>
      <c r="J14" s="90" t="str">
        <f>IF(T14="","",VLOOKUP(T14,Configuratie!$B$2:$E$11,3,FALSE))</f>
        <v/>
      </c>
      <c r="K14" s="90"/>
      <c r="L14" s="6" t="s">
        <v>5</v>
      </c>
      <c r="M14" s="90" t="str">
        <f>IF(T14="","",VLOOKUP(T14,Configuratie!$B$2:$E$11,4,FALSE))</f>
        <v/>
      </c>
      <c r="N14" s="90"/>
      <c r="R14" s="6" t="str">
        <f>IF(T14="","",VLOOKUP(T14,Configuratie!$B$2:$E$11,2,FALSE))</f>
        <v/>
      </c>
      <c r="T14" s="5"/>
      <c r="AC14" s="7"/>
      <c r="AN14" s="6">
        <v>1</v>
      </c>
      <c r="AO14" s="6">
        <v>6</v>
      </c>
      <c r="AP14" s="6">
        <v>1</v>
      </c>
      <c r="AQ14" s="6" t="str">
        <f>IF(AND(ISNUMBER(J14),ISNUMBER(M14)),IF(J14+M14=1,1,0),"")</f>
        <v/>
      </c>
      <c r="AS14" s="48">
        <f>AO14*100+AP14</f>
        <v>601</v>
      </c>
      <c r="AT14" s="48">
        <f>AP14*100+AO14</f>
        <v>106</v>
      </c>
      <c r="AU14" s="6">
        <v>0</v>
      </c>
      <c r="AV14" s="6">
        <v>0</v>
      </c>
      <c r="AW14" s="6" t="e">
        <f>J14*AV14</f>
        <v>#VALUE!</v>
      </c>
      <c r="AX14" s="6" t="e">
        <f>M14*AU14</f>
        <v>#VALUE!</v>
      </c>
    </row>
    <row r="15" spans="1:65" x14ac:dyDescent="0.25">
      <c r="B15" s="6">
        <v>2</v>
      </c>
      <c r="C15" s="6" t="str">
        <f>VLOOKUP(AO15,$B$4:$F$9,2,FALSE)</f>
        <v>E</v>
      </c>
      <c r="D15" s="46" t="s">
        <v>5</v>
      </c>
      <c r="E15" s="90" t="str">
        <f>VLOOKUP(AP15,$B$4:$F$9,2,FALSE)</f>
        <v>B</v>
      </c>
      <c r="F15" s="90"/>
      <c r="G15" s="90"/>
      <c r="H15" s="90"/>
      <c r="J15" s="90" t="str">
        <f>IF(T15="","",VLOOKUP(T15,Configuratie!$B$2:$E$11,3,FALSE))</f>
        <v/>
      </c>
      <c r="K15" s="90"/>
      <c r="L15" s="6" t="s">
        <v>5</v>
      </c>
      <c r="M15" s="90" t="str">
        <f>IF(T15="","",VLOOKUP(T15,Configuratie!$B$2:$E$11,4,FALSE))</f>
        <v/>
      </c>
      <c r="N15" s="90"/>
      <c r="R15" s="6" t="str">
        <f>IF(T15="","",VLOOKUP(T15,Configuratie!$B$2:$E$11,2,FALSE))</f>
        <v/>
      </c>
      <c r="T15" s="5"/>
      <c r="AC15" s="56"/>
      <c r="AN15" s="6">
        <v>1</v>
      </c>
      <c r="AO15" s="6">
        <v>5</v>
      </c>
      <c r="AP15" s="6">
        <v>2</v>
      </c>
      <c r="AQ15" s="6" t="str">
        <f>IF(AND(ISNUMBER(J15),ISNUMBER(M15)),IF(J15+M15=1,1,0),"")</f>
        <v/>
      </c>
      <c r="AS15" s="48">
        <f>AO15*100+AP15</f>
        <v>502</v>
      </c>
      <c r="AT15" s="48">
        <f>AP15*100+AO15</f>
        <v>205</v>
      </c>
      <c r="AU15" s="6">
        <v>0</v>
      </c>
      <c r="AV15" s="6">
        <v>0</v>
      </c>
      <c r="AW15" s="6" t="e">
        <f>J15*AV15</f>
        <v>#VALUE!</v>
      </c>
      <c r="AX15" s="6" t="e">
        <f>M15*AU15</f>
        <v>#VALUE!</v>
      </c>
    </row>
    <row r="16" spans="1:65" x14ac:dyDescent="0.25">
      <c r="B16" s="6">
        <v>3</v>
      </c>
      <c r="C16" s="6" t="str">
        <f>VLOOKUP(AO16,$B$4:$F$9,2,FALSE)</f>
        <v>D</v>
      </c>
      <c r="D16" s="46" t="s">
        <v>5</v>
      </c>
      <c r="E16" s="90" t="str">
        <f>VLOOKUP(AP16,$B$4:$F$9,2,FALSE)</f>
        <v>C</v>
      </c>
      <c r="F16" s="90"/>
      <c r="G16" s="90"/>
      <c r="H16" s="90"/>
      <c r="J16" s="90" t="str">
        <f>IF(T16="","",VLOOKUP(T16,Configuratie!$B$2:$E$11,3,FALSE))</f>
        <v/>
      </c>
      <c r="K16" s="90"/>
      <c r="L16" s="6" t="s">
        <v>5</v>
      </c>
      <c r="M16" s="90" t="str">
        <f>IF(T16="","",VLOOKUP(T16,Configuratie!$B$2:$E$11,4,FALSE))</f>
        <v/>
      </c>
      <c r="N16" s="90"/>
      <c r="R16" s="6" t="str">
        <f>IF(T16="","",VLOOKUP(T16,Configuratie!$B$2:$E$11,2,FALSE))</f>
        <v/>
      </c>
      <c r="T16" s="5"/>
      <c r="AC16" s="56"/>
      <c r="AN16" s="6">
        <v>1</v>
      </c>
      <c r="AO16" s="6">
        <v>4</v>
      </c>
      <c r="AP16" s="6">
        <v>3</v>
      </c>
      <c r="AQ16" s="6" t="str">
        <f>IF(AND(ISNUMBER(J16),ISNUMBER(M16)),IF(J16+M16=1,1,0),"")</f>
        <v/>
      </c>
      <c r="AS16" s="48">
        <f>AO16*100+AP16</f>
        <v>403</v>
      </c>
      <c r="AT16" s="48">
        <f>AP16*100+AO16</f>
        <v>304</v>
      </c>
      <c r="AU16" s="6">
        <v>0</v>
      </c>
      <c r="AV16" s="6">
        <v>0</v>
      </c>
      <c r="AW16" s="6" t="e">
        <f>J16*AV16</f>
        <v>#VALUE!</v>
      </c>
      <c r="AX16" s="6" t="e">
        <f>M16*AU16</f>
        <v>#VALUE!</v>
      </c>
    </row>
    <row r="17" spans="2:50" ht="3" customHeight="1" x14ac:dyDescent="0.25">
      <c r="B17" s="11"/>
      <c r="C17" s="11"/>
      <c r="D17" s="11"/>
      <c r="E17" s="11"/>
      <c r="F17" s="11"/>
      <c r="G17" s="11"/>
      <c r="H17" s="11"/>
      <c r="I17" s="11"/>
      <c r="J17" s="11"/>
      <c r="K17" s="11"/>
      <c r="L17" s="11"/>
      <c r="M17" s="11"/>
      <c r="N17" s="11"/>
      <c r="O17" s="11"/>
      <c r="P17" s="11"/>
      <c r="Q17" s="11"/>
      <c r="R17" s="11"/>
      <c r="S17" s="11"/>
      <c r="T17" s="11"/>
      <c r="AC17" s="56"/>
      <c r="AS17" s="42"/>
      <c r="AT17" s="42"/>
    </row>
    <row r="18" spans="2:50" x14ac:dyDescent="0.25">
      <c r="B18" s="45" t="s">
        <v>9</v>
      </c>
      <c r="AC18" s="56"/>
      <c r="AS18" s="42"/>
      <c r="AT18" s="42"/>
    </row>
    <row r="19" spans="2:50" x14ac:dyDescent="0.25">
      <c r="B19" s="6">
        <v>1</v>
      </c>
      <c r="C19" s="6" t="str">
        <f>VLOOKUP(AO19,$B$4:$F$9,2,FALSE)</f>
        <v>F</v>
      </c>
      <c r="D19" s="46" t="s">
        <v>5</v>
      </c>
      <c r="E19" s="90" t="str">
        <f>VLOOKUP(AP19,$B$4:$F$9,2,FALSE)</f>
        <v>C</v>
      </c>
      <c r="F19" s="90"/>
      <c r="G19" s="90"/>
      <c r="H19" s="90"/>
      <c r="J19" s="90" t="str">
        <f>IF(T19="","",VLOOKUP(T19,Configuratie!$B$2:$E$11,3,FALSE))</f>
        <v/>
      </c>
      <c r="K19" s="90"/>
      <c r="L19" s="6" t="s">
        <v>5</v>
      </c>
      <c r="M19" s="90" t="str">
        <f>IF(T19="","",VLOOKUP(T19,Configuratie!$B$2:$E$11,4,FALSE))</f>
        <v/>
      </c>
      <c r="N19" s="90"/>
      <c r="R19" s="6" t="str">
        <f>IF(T19="","",VLOOKUP(T19,Configuratie!$B$2:$E$11,2,FALSE))</f>
        <v/>
      </c>
      <c r="T19" s="5"/>
      <c r="AC19" s="56"/>
      <c r="AN19" s="6">
        <v>2</v>
      </c>
      <c r="AO19" s="6">
        <v>6</v>
      </c>
      <c r="AP19" s="6">
        <v>3</v>
      </c>
      <c r="AQ19" s="6" t="str">
        <f>IF(AND(ISNUMBER(J19),ISNUMBER(M19)),IF(J19+M19=1,1,0),"")</f>
        <v/>
      </c>
      <c r="AS19" s="48">
        <f>AO19*100+AP19</f>
        <v>603</v>
      </c>
      <c r="AT19" s="48">
        <f>AP19*100+AO19</f>
        <v>306</v>
      </c>
      <c r="AU19" s="6">
        <f t="shared" ref="AU19:AV21" si="23">VLOOKUP(AO19,$BD$3:$BM$9,$AN19,FALSE)</f>
        <v>0</v>
      </c>
      <c r="AV19" s="6">
        <f t="shared" si="23"/>
        <v>0</v>
      </c>
      <c r="AW19" s="6" t="e">
        <f>J19*AV19</f>
        <v>#VALUE!</v>
      </c>
      <c r="AX19" s="6" t="e">
        <f>M19*AU19</f>
        <v>#VALUE!</v>
      </c>
    </row>
    <row r="20" spans="2:50" x14ac:dyDescent="0.25">
      <c r="B20" s="6">
        <v>2</v>
      </c>
      <c r="C20" s="6" t="str">
        <f>VLOOKUP(AO20,$B$4:$F$9,2,FALSE)</f>
        <v>B</v>
      </c>
      <c r="D20" s="46" t="s">
        <v>5</v>
      </c>
      <c r="E20" s="90" t="str">
        <f>VLOOKUP(AP20,$B$4:$F$9,2,FALSE)</f>
        <v>D</v>
      </c>
      <c r="F20" s="90"/>
      <c r="G20" s="90"/>
      <c r="H20" s="90"/>
      <c r="J20" s="90" t="str">
        <f>IF(T20="","",VLOOKUP(T20,Configuratie!$B$2:$E$11,3,FALSE))</f>
        <v/>
      </c>
      <c r="K20" s="90"/>
      <c r="L20" s="6" t="s">
        <v>5</v>
      </c>
      <c r="M20" s="90" t="str">
        <f>IF(T20="","",VLOOKUP(T20,Configuratie!$B$2:$E$11,4,FALSE))</f>
        <v/>
      </c>
      <c r="N20" s="90"/>
      <c r="R20" s="6" t="str">
        <f>IF(T20="","",VLOOKUP(T20,Configuratie!$B$2:$E$11,2,FALSE))</f>
        <v/>
      </c>
      <c r="T20" s="5"/>
      <c r="AN20" s="6">
        <v>2</v>
      </c>
      <c r="AO20" s="6">
        <v>2</v>
      </c>
      <c r="AP20" s="6">
        <v>4</v>
      </c>
      <c r="AQ20" s="6" t="str">
        <f>IF(AND(ISNUMBER(J20),ISNUMBER(M20)),IF(J20+M20=1,1,0),"")</f>
        <v/>
      </c>
      <c r="AS20" s="48">
        <f>AO20*100+AP20</f>
        <v>204</v>
      </c>
      <c r="AT20" s="48">
        <f>AP20*100+AO20</f>
        <v>402</v>
      </c>
      <c r="AU20" s="6">
        <f t="shared" si="23"/>
        <v>0</v>
      </c>
      <c r="AV20" s="6">
        <f t="shared" si="23"/>
        <v>0</v>
      </c>
      <c r="AW20" s="6" t="e">
        <f>J20*AV20</f>
        <v>#VALUE!</v>
      </c>
      <c r="AX20" s="6" t="e">
        <f>M20*AU20</f>
        <v>#VALUE!</v>
      </c>
    </row>
    <row r="21" spans="2:50" x14ac:dyDescent="0.25">
      <c r="B21" s="6">
        <v>3</v>
      </c>
      <c r="C21" s="6" t="str">
        <f>VLOOKUP(AO21,$B$4:$F$9,2,FALSE)</f>
        <v>A</v>
      </c>
      <c r="D21" s="46" t="s">
        <v>5</v>
      </c>
      <c r="E21" s="90" t="str">
        <f>VLOOKUP(AP21,$B$4:$F$9,2,FALSE)</f>
        <v>E</v>
      </c>
      <c r="F21" s="90"/>
      <c r="G21" s="90"/>
      <c r="H21" s="90"/>
      <c r="J21" s="90" t="str">
        <f>IF(T21="","",VLOOKUP(T21,Configuratie!$B$2:$E$11,3,FALSE))</f>
        <v/>
      </c>
      <c r="K21" s="90"/>
      <c r="L21" s="6" t="s">
        <v>5</v>
      </c>
      <c r="M21" s="90" t="str">
        <f>IF(T21="","",VLOOKUP(T21,Configuratie!$B$2:$E$11,4,FALSE))</f>
        <v/>
      </c>
      <c r="N21" s="90"/>
      <c r="R21" s="6" t="str">
        <f>IF(T21="","",VLOOKUP(T21,Configuratie!$B$2:$E$11,2,FALSE))</f>
        <v/>
      </c>
      <c r="T21" s="5"/>
      <c r="AN21" s="6">
        <v>2</v>
      </c>
      <c r="AO21" s="6">
        <v>1</v>
      </c>
      <c r="AP21" s="6">
        <v>5</v>
      </c>
      <c r="AQ21" s="6" t="str">
        <f>IF(AND(ISNUMBER(J21),ISNUMBER(M21)),IF(J21+M21=1,1,0),"")</f>
        <v/>
      </c>
      <c r="AS21" s="48">
        <f>AO21*100+AP21</f>
        <v>105</v>
      </c>
      <c r="AT21" s="48">
        <f>AP21*100+AO21</f>
        <v>501</v>
      </c>
      <c r="AU21" s="6">
        <f t="shared" si="23"/>
        <v>0</v>
      </c>
      <c r="AV21" s="6">
        <f t="shared" si="23"/>
        <v>0</v>
      </c>
      <c r="AW21" s="6" t="e">
        <f>J21*AV21</f>
        <v>#VALUE!</v>
      </c>
      <c r="AX21" s="6" t="e">
        <f>M21*AU21</f>
        <v>#VALUE!</v>
      </c>
    </row>
    <row r="22" spans="2:50" ht="3" customHeight="1" x14ac:dyDescent="0.25">
      <c r="B22" s="11"/>
      <c r="C22" s="11"/>
      <c r="D22" s="11"/>
      <c r="E22" s="11"/>
      <c r="F22" s="11"/>
      <c r="G22" s="11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1"/>
      <c r="T22" s="11"/>
      <c r="AS22" s="42"/>
      <c r="AT22" s="42"/>
    </row>
    <row r="23" spans="2:50" x14ac:dyDescent="0.25">
      <c r="B23" s="45" t="s">
        <v>10</v>
      </c>
      <c r="AS23" s="42"/>
      <c r="AT23" s="42"/>
    </row>
    <row r="24" spans="2:50" x14ac:dyDescent="0.25">
      <c r="B24" s="6">
        <v>1</v>
      </c>
      <c r="C24" s="6" t="str">
        <f>VLOOKUP(AO24,$B$4:$F$9,2,FALSE)</f>
        <v>E</v>
      </c>
      <c r="D24" s="46" t="s">
        <v>5</v>
      </c>
      <c r="E24" s="90" t="str">
        <f>VLOOKUP(AP24,$B$4:$F$9,2,FALSE)</f>
        <v>F</v>
      </c>
      <c r="F24" s="90"/>
      <c r="G24" s="90"/>
      <c r="H24" s="90"/>
      <c r="J24" s="90" t="str">
        <f>IF(T24="","",VLOOKUP(T24,Configuratie!$B$2:$E$11,3,FALSE))</f>
        <v/>
      </c>
      <c r="K24" s="90"/>
      <c r="L24" s="6" t="s">
        <v>5</v>
      </c>
      <c r="M24" s="90" t="str">
        <f>IF(T24="","",VLOOKUP(T24,Configuratie!$B$2:$E$11,4,FALSE))</f>
        <v/>
      </c>
      <c r="N24" s="90"/>
      <c r="R24" s="6" t="str">
        <f>IF(T24="","",VLOOKUP(T24,Configuratie!$B$2:$E$11,2,FALSE))</f>
        <v/>
      </c>
      <c r="T24" s="5"/>
      <c r="AN24" s="6">
        <v>3</v>
      </c>
      <c r="AO24" s="6">
        <v>5</v>
      </c>
      <c r="AP24" s="6">
        <v>6</v>
      </c>
      <c r="AQ24" s="6" t="str">
        <f>IF(AND(ISNUMBER(J24),ISNUMBER(M24)),IF(J24+M24=1,1,0),"")</f>
        <v/>
      </c>
      <c r="AS24" s="48">
        <f>AO24*100+AP24</f>
        <v>506</v>
      </c>
      <c r="AT24" s="48">
        <f>AP24*100+AO24</f>
        <v>605</v>
      </c>
      <c r="AU24" s="6">
        <f t="shared" ref="AU24:AV26" si="24">VLOOKUP(AO24,$BD$3:$BM$9,$AN24,FALSE)</f>
        <v>0</v>
      </c>
      <c r="AV24" s="6">
        <f t="shared" si="24"/>
        <v>0</v>
      </c>
      <c r="AW24" s="6" t="e">
        <f>J24*AV24</f>
        <v>#VALUE!</v>
      </c>
      <c r="AX24" s="6" t="e">
        <f>M24*AU24</f>
        <v>#VALUE!</v>
      </c>
    </row>
    <row r="25" spans="2:50" x14ac:dyDescent="0.25">
      <c r="B25" s="6">
        <v>2</v>
      </c>
      <c r="C25" s="6" t="str">
        <f>VLOOKUP(AO25,$B$4:$F$9,2,FALSE)</f>
        <v>D</v>
      </c>
      <c r="D25" s="46" t="s">
        <v>5</v>
      </c>
      <c r="E25" s="90" t="str">
        <f>VLOOKUP(AP25,$B$4:$F$9,2,FALSE)</f>
        <v>A</v>
      </c>
      <c r="F25" s="90"/>
      <c r="G25" s="90"/>
      <c r="H25" s="90"/>
      <c r="J25" s="90" t="str">
        <f>IF(T25="","",VLOOKUP(T25,Configuratie!$B$2:$E$11,3,FALSE))</f>
        <v/>
      </c>
      <c r="K25" s="90"/>
      <c r="L25" s="6" t="s">
        <v>5</v>
      </c>
      <c r="M25" s="90" t="str">
        <f>IF(T25="","",VLOOKUP(T25,Configuratie!$B$2:$E$11,4,FALSE))</f>
        <v/>
      </c>
      <c r="N25" s="90"/>
      <c r="R25" s="6" t="str">
        <f>IF(T25="","",VLOOKUP(T25,Configuratie!$B$2:$E$11,2,FALSE))</f>
        <v/>
      </c>
      <c r="T25" s="5"/>
      <c r="AN25" s="6">
        <v>3</v>
      </c>
      <c r="AO25" s="6">
        <v>4</v>
      </c>
      <c r="AP25" s="6">
        <v>1</v>
      </c>
      <c r="AQ25" s="6" t="str">
        <f>IF(AND(ISNUMBER(J25),ISNUMBER(M25)),IF(J25+M25=1,1,0),"")</f>
        <v/>
      </c>
      <c r="AS25" s="48">
        <f>AO25*100+AP25</f>
        <v>401</v>
      </c>
      <c r="AT25" s="48">
        <f>AP25*100+AO25</f>
        <v>104</v>
      </c>
      <c r="AU25" s="6">
        <f t="shared" si="24"/>
        <v>0</v>
      </c>
      <c r="AV25" s="6">
        <f t="shared" si="24"/>
        <v>0</v>
      </c>
      <c r="AW25" s="6" t="e">
        <f>J25*AV25</f>
        <v>#VALUE!</v>
      </c>
      <c r="AX25" s="6" t="e">
        <f>M25*AU25</f>
        <v>#VALUE!</v>
      </c>
    </row>
    <row r="26" spans="2:50" x14ac:dyDescent="0.25">
      <c r="B26" s="6">
        <v>3</v>
      </c>
      <c r="C26" s="6" t="str">
        <f>VLOOKUP(AO26,$B$4:$F$9,2,FALSE)</f>
        <v>C</v>
      </c>
      <c r="D26" s="46" t="s">
        <v>5</v>
      </c>
      <c r="E26" s="90" t="str">
        <f>VLOOKUP(AP26,$B$4:$F$9,2,FALSE)</f>
        <v>B</v>
      </c>
      <c r="F26" s="90"/>
      <c r="G26" s="90"/>
      <c r="H26" s="90"/>
      <c r="J26" s="90" t="str">
        <f>IF(T26="","",VLOOKUP(T26,Configuratie!$B$2:$E$11,3,FALSE))</f>
        <v/>
      </c>
      <c r="K26" s="90"/>
      <c r="L26" s="6" t="s">
        <v>5</v>
      </c>
      <c r="M26" s="90" t="str">
        <f>IF(T26="","",VLOOKUP(T26,Configuratie!$B$2:$E$11,4,FALSE))</f>
        <v/>
      </c>
      <c r="N26" s="90"/>
      <c r="R26" s="6" t="str">
        <f>IF(T26="","",VLOOKUP(T26,Configuratie!$B$2:$E$11,2,FALSE))</f>
        <v/>
      </c>
      <c r="T26" s="5"/>
      <c r="AN26" s="6">
        <v>3</v>
      </c>
      <c r="AO26" s="6">
        <v>3</v>
      </c>
      <c r="AP26" s="6">
        <v>2</v>
      </c>
      <c r="AQ26" s="6" t="str">
        <f>IF(AND(ISNUMBER(J26),ISNUMBER(M26)),IF(J26+M26=1,1,0),"")</f>
        <v/>
      </c>
      <c r="AS26" s="48">
        <f>AO26*100+AP26</f>
        <v>302</v>
      </c>
      <c r="AT26" s="48">
        <f>AP26*100+AO26</f>
        <v>203</v>
      </c>
      <c r="AU26" s="6">
        <f t="shared" si="24"/>
        <v>0</v>
      </c>
      <c r="AV26" s="6">
        <f t="shared" si="24"/>
        <v>0</v>
      </c>
      <c r="AW26" s="6" t="e">
        <f>J26*AV26</f>
        <v>#VALUE!</v>
      </c>
      <c r="AX26" s="6" t="e">
        <f>M26*AU26</f>
        <v>#VALUE!</v>
      </c>
    </row>
    <row r="27" spans="2:50" ht="3" customHeight="1" x14ac:dyDescent="0.25">
      <c r="B27" s="11"/>
      <c r="C27" s="11"/>
      <c r="D27" s="11"/>
      <c r="E27" s="11"/>
      <c r="F27" s="11"/>
      <c r="G27" s="11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1"/>
      <c r="S27" s="11"/>
      <c r="T27" s="11"/>
      <c r="AS27" s="42"/>
      <c r="AT27" s="42"/>
    </row>
    <row r="28" spans="2:50" x14ac:dyDescent="0.25">
      <c r="B28" s="45" t="s">
        <v>11</v>
      </c>
      <c r="AS28" s="42"/>
      <c r="AT28" s="42"/>
    </row>
    <row r="29" spans="2:50" x14ac:dyDescent="0.25">
      <c r="B29" s="6">
        <v>1</v>
      </c>
      <c r="C29" s="6" t="str">
        <f>VLOOKUP(AO29,$B$4:$F$9,2,FALSE)</f>
        <v>F</v>
      </c>
      <c r="D29" s="46" t="s">
        <v>5</v>
      </c>
      <c r="E29" s="90" t="str">
        <f>VLOOKUP(AP29,$B$4:$F$9,2,FALSE)</f>
        <v>B</v>
      </c>
      <c r="F29" s="90"/>
      <c r="G29" s="90"/>
      <c r="H29" s="90"/>
      <c r="J29" s="90" t="str">
        <f>IF(T29="","",VLOOKUP(T29,Configuratie!$B$2:$E$11,3,FALSE))</f>
        <v/>
      </c>
      <c r="K29" s="90"/>
      <c r="L29" s="6" t="s">
        <v>5</v>
      </c>
      <c r="M29" s="90" t="str">
        <f>IF(T29="","",VLOOKUP(T29,Configuratie!$B$2:$E$11,4,FALSE))</f>
        <v/>
      </c>
      <c r="N29" s="90"/>
      <c r="R29" s="6" t="str">
        <f>IF(T29="","",VLOOKUP(T29,Configuratie!$B$2:$E$11,2,FALSE))</f>
        <v/>
      </c>
      <c r="T29" s="5"/>
      <c r="AN29" s="6">
        <v>4</v>
      </c>
      <c r="AO29" s="6">
        <v>6</v>
      </c>
      <c r="AP29" s="6">
        <v>2</v>
      </c>
      <c r="AQ29" s="6" t="str">
        <f>IF(AND(ISNUMBER(J29),ISNUMBER(M29)),IF(J29+M29=1,1,0),"")</f>
        <v/>
      </c>
      <c r="AS29" s="48">
        <f>AO29*100+AP29</f>
        <v>602</v>
      </c>
      <c r="AT29" s="48">
        <f>AP29*100+AO29</f>
        <v>206</v>
      </c>
      <c r="AU29" s="6">
        <f t="shared" ref="AU29:AV31" si="25">VLOOKUP(AO29,$BD$3:$BM$9,$AN29,FALSE)</f>
        <v>0</v>
      </c>
      <c r="AV29" s="6">
        <f t="shared" si="25"/>
        <v>0</v>
      </c>
      <c r="AW29" s="6" t="e">
        <f>J29*AV29</f>
        <v>#VALUE!</v>
      </c>
      <c r="AX29" s="6" t="e">
        <f>M29*AU29</f>
        <v>#VALUE!</v>
      </c>
    </row>
    <row r="30" spans="2:50" x14ac:dyDescent="0.25">
      <c r="B30" s="6">
        <v>2</v>
      </c>
      <c r="C30" s="6" t="str">
        <f>VLOOKUP(AO30,$B$4:$F$9,2,FALSE)</f>
        <v>A</v>
      </c>
      <c r="D30" s="46" t="s">
        <v>5</v>
      </c>
      <c r="E30" s="90" t="str">
        <f>VLOOKUP(AP30,$B$4:$F$9,2,FALSE)</f>
        <v>C</v>
      </c>
      <c r="F30" s="90"/>
      <c r="G30" s="90"/>
      <c r="H30" s="90"/>
      <c r="J30" s="90" t="str">
        <f>IF(T30="","",VLOOKUP(T30,Configuratie!$B$2:$E$11,3,FALSE))</f>
        <v/>
      </c>
      <c r="K30" s="90"/>
      <c r="L30" s="6" t="s">
        <v>5</v>
      </c>
      <c r="M30" s="90" t="str">
        <f>IF(T30="","",VLOOKUP(T30,Configuratie!$B$2:$E$11,4,FALSE))</f>
        <v/>
      </c>
      <c r="N30" s="90"/>
      <c r="R30" s="6" t="str">
        <f>IF(T30="","",VLOOKUP(T30,Configuratie!$B$2:$E$11,2,FALSE))</f>
        <v/>
      </c>
      <c r="T30" s="5"/>
      <c r="AN30" s="6">
        <v>4</v>
      </c>
      <c r="AO30" s="6">
        <v>1</v>
      </c>
      <c r="AP30" s="6">
        <v>3</v>
      </c>
      <c r="AQ30" s="6" t="str">
        <f>IF(AND(ISNUMBER(J30),ISNUMBER(M30)),IF(J30+M30=1,1,0),"")</f>
        <v/>
      </c>
      <c r="AS30" s="48">
        <f>AO30*100+AP30</f>
        <v>103</v>
      </c>
      <c r="AT30" s="48">
        <f>AP30*100+AO30</f>
        <v>301</v>
      </c>
      <c r="AU30" s="6">
        <f t="shared" si="25"/>
        <v>0</v>
      </c>
      <c r="AV30" s="6">
        <f t="shared" si="25"/>
        <v>0</v>
      </c>
      <c r="AW30" s="6" t="e">
        <f>J30*AV30</f>
        <v>#VALUE!</v>
      </c>
      <c r="AX30" s="6" t="e">
        <f>M30*AU30</f>
        <v>#VALUE!</v>
      </c>
    </row>
    <row r="31" spans="2:50" x14ac:dyDescent="0.25">
      <c r="B31" s="6">
        <v>3</v>
      </c>
      <c r="C31" s="6" t="str">
        <f>VLOOKUP(AO31,$B$4:$F$9,2,FALSE)</f>
        <v>E</v>
      </c>
      <c r="D31" s="46" t="s">
        <v>5</v>
      </c>
      <c r="E31" s="90" t="str">
        <f>VLOOKUP(AP31,$B$4:$F$9,2,FALSE)</f>
        <v>D</v>
      </c>
      <c r="F31" s="90"/>
      <c r="G31" s="90"/>
      <c r="H31" s="90"/>
      <c r="J31" s="90" t="str">
        <f>IF(T31="","",VLOOKUP(T31,Configuratie!$B$2:$E$11,3,FALSE))</f>
        <v/>
      </c>
      <c r="K31" s="90"/>
      <c r="L31" s="6" t="s">
        <v>5</v>
      </c>
      <c r="M31" s="90" t="str">
        <f>IF(T31="","",VLOOKUP(T31,Configuratie!$B$2:$E$11,4,FALSE))</f>
        <v/>
      </c>
      <c r="N31" s="90"/>
      <c r="R31" s="6" t="str">
        <f>IF(T31="","",VLOOKUP(T31,Configuratie!$B$2:$E$11,2,FALSE))</f>
        <v/>
      </c>
      <c r="T31" s="5"/>
      <c r="AN31" s="6">
        <v>4</v>
      </c>
      <c r="AO31" s="6">
        <v>5</v>
      </c>
      <c r="AP31" s="6">
        <v>4</v>
      </c>
      <c r="AQ31" s="6" t="str">
        <f>IF(AND(ISNUMBER(J31),ISNUMBER(M31)),IF(J31+M31=1,1,0),"")</f>
        <v/>
      </c>
      <c r="AS31" s="48">
        <f>AO31*100+AP31</f>
        <v>504</v>
      </c>
      <c r="AT31" s="48">
        <f>AP31*100+AO31</f>
        <v>405</v>
      </c>
      <c r="AU31" s="6">
        <f t="shared" si="25"/>
        <v>0</v>
      </c>
      <c r="AV31" s="6">
        <f t="shared" si="25"/>
        <v>0</v>
      </c>
      <c r="AW31" s="6" t="e">
        <f>J31*AV31</f>
        <v>#VALUE!</v>
      </c>
      <c r="AX31" s="6" t="e">
        <f>M31*AU31</f>
        <v>#VALUE!</v>
      </c>
    </row>
    <row r="32" spans="2:50" ht="3" customHeight="1" x14ac:dyDescent="0.25">
      <c r="B32" s="11"/>
      <c r="C32" s="11"/>
      <c r="D32" s="11"/>
      <c r="E32" s="11"/>
      <c r="F32" s="11"/>
      <c r="G32" s="11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  <c r="AS32" s="42"/>
      <c r="AT32" s="42"/>
    </row>
    <row r="33" spans="2:50" x14ac:dyDescent="0.25">
      <c r="B33" s="45" t="s">
        <v>12</v>
      </c>
      <c r="AS33" s="42"/>
      <c r="AT33" s="42"/>
    </row>
    <row r="34" spans="2:50" x14ac:dyDescent="0.25">
      <c r="B34" s="6">
        <v>1</v>
      </c>
      <c r="C34" s="6" t="str">
        <f>VLOOKUP(AO34,$B$4:$F$9,2,FALSE)</f>
        <v>D</v>
      </c>
      <c r="D34" s="46" t="s">
        <v>5</v>
      </c>
      <c r="E34" s="90" t="str">
        <f>VLOOKUP(AP34,$B$4:$F$9,2,FALSE)</f>
        <v>F</v>
      </c>
      <c r="F34" s="90"/>
      <c r="G34" s="90"/>
      <c r="H34" s="90"/>
      <c r="J34" s="90" t="str">
        <f>IF(T34="","",VLOOKUP(T34,Configuratie!$B$2:$E$11,3,FALSE))</f>
        <v/>
      </c>
      <c r="K34" s="90"/>
      <c r="L34" s="6" t="s">
        <v>5</v>
      </c>
      <c r="M34" s="90" t="str">
        <f>IF(T34="","",VLOOKUP(T34,Configuratie!$B$2:$E$11,4,FALSE))</f>
        <v/>
      </c>
      <c r="N34" s="90"/>
      <c r="R34" s="6" t="str">
        <f>IF(T34="","",VLOOKUP(T34,Configuratie!$B$2:$E$11,2,FALSE))</f>
        <v/>
      </c>
      <c r="T34" s="5"/>
      <c r="AN34" s="6">
        <v>5</v>
      </c>
      <c r="AO34" s="6">
        <v>4</v>
      </c>
      <c r="AP34" s="6">
        <v>6</v>
      </c>
      <c r="AQ34" s="6" t="str">
        <f>IF(AND(ISNUMBER(J34),ISNUMBER(M34)),IF(J34+M34=1,1,0),"")</f>
        <v/>
      </c>
      <c r="AS34" s="48">
        <f>AO34*100+AP34</f>
        <v>406</v>
      </c>
      <c r="AT34" s="48">
        <f>AP34*100+AO34</f>
        <v>604</v>
      </c>
      <c r="AU34" s="6">
        <f t="shared" ref="AU34:AV36" si="26">VLOOKUP(AO34,$BD$3:$BM$9,$AN34,FALSE)</f>
        <v>0</v>
      </c>
      <c r="AV34" s="6">
        <f t="shared" si="26"/>
        <v>0</v>
      </c>
      <c r="AW34" s="6" t="e">
        <f>J34*AV34</f>
        <v>#VALUE!</v>
      </c>
      <c r="AX34" s="6" t="e">
        <f>M34*AU34</f>
        <v>#VALUE!</v>
      </c>
    </row>
    <row r="35" spans="2:50" x14ac:dyDescent="0.25">
      <c r="B35" s="6">
        <v>2</v>
      </c>
      <c r="C35" s="6" t="str">
        <f>VLOOKUP(AO35,$B$4:$F$9,2,FALSE)</f>
        <v>C</v>
      </c>
      <c r="D35" s="46" t="s">
        <v>5</v>
      </c>
      <c r="E35" s="90" t="str">
        <f>VLOOKUP(AP35,$B$4:$F$9,2,FALSE)</f>
        <v>E</v>
      </c>
      <c r="F35" s="90"/>
      <c r="G35" s="90"/>
      <c r="H35" s="90"/>
      <c r="J35" s="90" t="str">
        <f>IF(T35="","",VLOOKUP(T35,Configuratie!$B$2:$E$11,3,FALSE))</f>
        <v/>
      </c>
      <c r="K35" s="90"/>
      <c r="L35" s="6" t="s">
        <v>5</v>
      </c>
      <c r="M35" s="90" t="str">
        <f>IF(T35="","",VLOOKUP(T35,Configuratie!$B$2:$E$11,4,FALSE))</f>
        <v/>
      </c>
      <c r="N35" s="90"/>
      <c r="R35" s="6" t="str">
        <f>IF(T35="","",VLOOKUP(T35,Configuratie!$B$2:$E$11,2,FALSE))</f>
        <v/>
      </c>
      <c r="T35" s="5"/>
      <c r="AN35" s="6">
        <v>5</v>
      </c>
      <c r="AO35" s="6">
        <v>3</v>
      </c>
      <c r="AP35" s="6">
        <v>5</v>
      </c>
      <c r="AQ35" s="6" t="str">
        <f t="shared" ref="AQ35:AQ36" si="27">IF(AND(ISNUMBER(J35),ISNUMBER(M35)),IF(J35+M35=1,1,0),"")</f>
        <v/>
      </c>
      <c r="AS35" s="48">
        <f>AO35*100+AP35</f>
        <v>305</v>
      </c>
      <c r="AT35" s="48">
        <f>AP35*100+AO35</f>
        <v>503</v>
      </c>
      <c r="AU35" s="6">
        <f t="shared" si="26"/>
        <v>0</v>
      </c>
      <c r="AV35" s="6">
        <f t="shared" si="26"/>
        <v>0</v>
      </c>
      <c r="AW35" s="6" t="e">
        <f>J35*AV35</f>
        <v>#VALUE!</v>
      </c>
      <c r="AX35" s="6" t="e">
        <f>M35*AU35</f>
        <v>#VALUE!</v>
      </c>
    </row>
    <row r="36" spans="2:50" x14ac:dyDescent="0.25">
      <c r="B36" s="6">
        <v>3</v>
      </c>
      <c r="C36" s="6" t="str">
        <f>VLOOKUP(AO36,$B$4:$F$9,2,FALSE)</f>
        <v>B</v>
      </c>
      <c r="D36" s="46" t="s">
        <v>5</v>
      </c>
      <c r="E36" s="90" t="str">
        <f>VLOOKUP(AP36,$B$4:$F$9,2,FALSE)</f>
        <v>A</v>
      </c>
      <c r="F36" s="90"/>
      <c r="G36" s="90"/>
      <c r="H36" s="90"/>
      <c r="J36" s="90" t="str">
        <f>IF(T36="","",VLOOKUP(T36,Configuratie!$B$2:$E$11,3,FALSE))</f>
        <v/>
      </c>
      <c r="K36" s="90"/>
      <c r="L36" s="6" t="s">
        <v>5</v>
      </c>
      <c r="M36" s="90" t="str">
        <f>IF(T36="","",VLOOKUP(T36,Configuratie!$B$2:$E$11,4,FALSE))</f>
        <v/>
      </c>
      <c r="N36" s="90"/>
      <c r="R36" s="6" t="str">
        <f>IF(T36="","",VLOOKUP(T36,Configuratie!$B$2:$E$11,2,FALSE))</f>
        <v/>
      </c>
      <c r="T36" s="5"/>
      <c r="AN36" s="6">
        <v>5</v>
      </c>
      <c r="AO36" s="6">
        <v>2</v>
      </c>
      <c r="AP36" s="6">
        <v>1</v>
      </c>
      <c r="AQ36" s="6" t="str">
        <f t="shared" si="27"/>
        <v/>
      </c>
      <c r="AS36" s="48">
        <f>AO36*100+AP36</f>
        <v>201</v>
      </c>
      <c r="AT36" s="48">
        <f>AP36*100+AO36</f>
        <v>102</v>
      </c>
      <c r="AU36" s="6">
        <f t="shared" si="26"/>
        <v>0</v>
      </c>
      <c r="AV36" s="6">
        <f t="shared" si="26"/>
        <v>0</v>
      </c>
      <c r="AW36" s="6" t="e">
        <f>J36*AV36</f>
        <v>#VALUE!</v>
      </c>
      <c r="AX36" s="6" t="e">
        <f>M36*AU36</f>
        <v>#VALUE!</v>
      </c>
    </row>
    <row r="37" spans="2:50" x14ac:dyDescent="0.25">
      <c r="D37" s="46"/>
      <c r="E37" s="79"/>
      <c r="F37" s="79"/>
      <c r="G37" s="79"/>
      <c r="H37" s="79"/>
      <c r="J37" s="79"/>
      <c r="K37" s="79"/>
      <c r="M37" s="79"/>
      <c r="N37" s="79"/>
      <c r="T37" s="80"/>
      <c r="AS37" s="48"/>
      <c r="AT37" s="48"/>
    </row>
    <row r="39" spans="2:50" ht="26.25" x14ac:dyDescent="0.4">
      <c r="B39" s="91" t="str">
        <f>"UITSLAG "&amp; G1</f>
        <v>UITSLAG GROEP A</v>
      </c>
      <c r="C39" s="92"/>
      <c r="D39" s="92"/>
      <c r="E39" s="92"/>
      <c r="F39" s="92"/>
      <c r="G39" s="92"/>
    </row>
    <row r="41" spans="2:50" x14ac:dyDescent="0.25">
      <c r="B41" s="7" t="s">
        <v>33</v>
      </c>
      <c r="C41" s="22" t="s">
        <v>30</v>
      </c>
      <c r="D41" s="7" t="s">
        <v>6</v>
      </c>
      <c r="E41" s="7" t="s">
        <v>29</v>
      </c>
      <c r="F41" s="7" t="s">
        <v>24</v>
      </c>
      <c r="G41" s="7" t="s">
        <v>26</v>
      </c>
    </row>
    <row r="42" spans="2:50" x14ac:dyDescent="0.25">
      <c r="B42" s="31">
        <v>1</v>
      </c>
      <c r="C42" s="32">
        <v>6</v>
      </c>
      <c r="D42" s="33" t="str">
        <f>IF(ISNA(VLOOKUP(B42,$A$4:$T$11,3,FALSE)),C4,VLOOKUP(B42,$A$4:$T$11,3,FALSE))</f>
        <v>A</v>
      </c>
      <c r="E42" s="34">
        <f>IF(ISNA(VLOOKUP(B4,$A$4:$S$11,18,FALSE)),0,VLOOKUP(B4,$A$4:$S$11,18,FALSE))</f>
        <v>0</v>
      </c>
      <c r="F42" s="34">
        <f t="shared" ref="F42:F47" si="28">VLOOKUP($C42,$AN$4:$AQ$9,2,FALSE)</f>
        <v>0</v>
      </c>
      <c r="G42" s="55">
        <f t="shared" ref="G42:G47" si="29">IF(ISNA(VLOOKUP(B4,$A$4:$S$11,19,FALSE)),0,VLOOKUP(B4,$A$4:$S$11,19,FALSE))</f>
        <v>0</v>
      </c>
    </row>
    <row r="43" spans="2:50" x14ac:dyDescent="0.25">
      <c r="B43" s="31">
        <v>2</v>
      </c>
      <c r="C43" s="32">
        <v>5</v>
      </c>
      <c r="D43" s="33" t="str">
        <f t="shared" ref="D43:D47" si="30">IF(ISNA(VLOOKUP(B43,$A$4:$T$11,3,FALSE)),C5,VLOOKUP(B43,$A$4:$T$11,3,FALSE))</f>
        <v>B</v>
      </c>
      <c r="E43" s="34">
        <f t="shared" ref="E43:E47" si="31">IF(ISNA(VLOOKUP(B5,$A$4:$S$11,18,FALSE)),0,VLOOKUP(B5,$A$4:$S$11,18,FALSE))</f>
        <v>0</v>
      </c>
      <c r="F43" s="34">
        <f t="shared" si="28"/>
        <v>0</v>
      </c>
      <c r="G43" s="55">
        <f t="shared" si="29"/>
        <v>0</v>
      </c>
    </row>
    <row r="44" spans="2:50" x14ac:dyDescent="0.25">
      <c r="B44" s="31">
        <v>3</v>
      </c>
      <c r="C44" s="32">
        <v>4</v>
      </c>
      <c r="D44" s="33" t="str">
        <f t="shared" si="30"/>
        <v>C</v>
      </c>
      <c r="E44" s="34">
        <f t="shared" si="31"/>
        <v>0</v>
      </c>
      <c r="F44" s="34">
        <f t="shared" si="28"/>
        <v>0</v>
      </c>
      <c r="G44" s="55">
        <f t="shared" si="29"/>
        <v>0</v>
      </c>
    </row>
    <row r="45" spans="2:50" x14ac:dyDescent="0.25">
      <c r="B45" s="31">
        <v>4</v>
      </c>
      <c r="C45" s="32">
        <v>3</v>
      </c>
      <c r="D45" s="33" t="str">
        <f t="shared" si="30"/>
        <v>D</v>
      </c>
      <c r="E45" s="34">
        <f t="shared" si="31"/>
        <v>0</v>
      </c>
      <c r="F45" s="34">
        <f t="shared" si="28"/>
        <v>0</v>
      </c>
      <c r="G45" s="55">
        <f t="shared" si="29"/>
        <v>0</v>
      </c>
    </row>
    <row r="46" spans="2:50" x14ac:dyDescent="0.25">
      <c r="B46" s="31">
        <v>5</v>
      </c>
      <c r="C46" s="32">
        <v>2</v>
      </c>
      <c r="D46" s="33" t="str">
        <f t="shared" si="30"/>
        <v>E</v>
      </c>
      <c r="E46" s="34">
        <f t="shared" si="31"/>
        <v>0</v>
      </c>
      <c r="F46" s="34">
        <f t="shared" si="28"/>
        <v>0</v>
      </c>
      <c r="G46" s="55">
        <f t="shared" si="29"/>
        <v>0</v>
      </c>
    </row>
    <row r="47" spans="2:50" x14ac:dyDescent="0.25">
      <c r="B47" s="31">
        <v>6</v>
      </c>
      <c r="C47" s="32">
        <v>1</v>
      </c>
      <c r="D47" s="33" t="str">
        <f t="shared" si="30"/>
        <v>F</v>
      </c>
      <c r="E47" s="34">
        <f t="shared" si="31"/>
        <v>0</v>
      </c>
      <c r="F47" s="34">
        <f t="shared" si="28"/>
        <v>0</v>
      </c>
      <c r="G47" s="55">
        <f t="shared" si="29"/>
        <v>0</v>
      </c>
    </row>
    <row r="48" spans="2:50" x14ac:dyDescent="0.25">
      <c r="D48" s="33">
        <f>IF(ISNA(VLOOKUP(B10,$A$4:$T$11,3,FALSE)),C10,VLOOKUP(B10,$A$4:$T$11,3,FALSE))</f>
        <v>0</v>
      </c>
    </row>
    <row r="49" spans="4:14" x14ac:dyDescent="0.25">
      <c r="D49" s="33"/>
    </row>
    <row r="53" spans="4:14" x14ac:dyDescent="0.25">
      <c r="M53" s="90"/>
      <c r="N53" s="90"/>
    </row>
    <row r="54" spans="4:14" x14ac:dyDescent="0.25">
      <c r="M54" s="90"/>
      <c r="N54" s="90"/>
    </row>
    <row r="55" spans="4:14" x14ac:dyDescent="0.25">
      <c r="M55" s="90"/>
      <c r="N55" s="90"/>
    </row>
  </sheetData>
  <sheetProtection algorithmName="SHA-512" hashValue="SIDG0QAlKSDLOnesrUICPs1MXbjMoKiI3KPLySHMQCslKJ2KViD7/tv/zScjYorZQmOUCQXyrstoNXFtsH1Rhg==" saltValue="C+0sXBVWc/h9CVWKuPxWyw==" spinCount="100000" sheet="1" selectLockedCells="1"/>
  <mergeCells count="66">
    <mergeCell ref="M53:N53"/>
    <mergeCell ref="M54:N54"/>
    <mergeCell ref="M55:N55"/>
    <mergeCell ref="N7:O7"/>
    <mergeCell ref="N8:O8"/>
    <mergeCell ref="N9:O9"/>
    <mergeCell ref="E36:H36"/>
    <mergeCell ref="M36:N36"/>
    <mergeCell ref="E34:H34"/>
    <mergeCell ref="M34:N34"/>
    <mergeCell ref="E35:H35"/>
    <mergeCell ref="M35:N35"/>
    <mergeCell ref="J34:K34"/>
    <mergeCell ref="J35:K35"/>
    <mergeCell ref="J36:K36"/>
    <mergeCell ref="E31:H31"/>
    <mergeCell ref="J31:K31"/>
    <mergeCell ref="M31:N31"/>
    <mergeCell ref="E29:H29"/>
    <mergeCell ref="M29:N29"/>
    <mergeCell ref="E30:H30"/>
    <mergeCell ref="J30:K30"/>
    <mergeCell ref="M30:N30"/>
    <mergeCell ref="J29:K29"/>
    <mergeCell ref="E26:H26"/>
    <mergeCell ref="J26:K26"/>
    <mergeCell ref="M26:N26"/>
    <mergeCell ref="E24:H24"/>
    <mergeCell ref="J24:K24"/>
    <mergeCell ref="M24:N24"/>
    <mergeCell ref="E25:H25"/>
    <mergeCell ref="J25:K25"/>
    <mergeCell ref="M25:N25"/>
    <mergeCell ref="J21:K21"/>
    <mergeCell ref="M21:N21"/>
    <mergeCell ref="E19:H19"/>
    <mergeCell ref="J19:K19"/>
    <mergeCell ref="M19:N19"/>
    <mergeCell ref="E20:H20"/>
    <mergeCell ref="J20:K20"/>
    <mergeCell ref="M20:N20"/>
    <mergeCell ref="BE2:BM2"/>
    <mergeCell ref="D3:E3"/>
    <mergeCell ref="N3:O3"/>
    <mergeCell ref="N4:O4"/>
    <mergeCell ref="E15:H15"/>
    <mergeCell ref="J15:K15"/>
    <mergeCell ref="M15:N15"/>
    <mergeCell ref="N5:O5"/>
    <mergeCell ref="N6:O6"/>
    <mergeCell ref="B39:G39"/>
    <mergeCell ref="D4:E4"/>
    <mergeCell ref="B1:F1"/>
    <mergeCell ref="AT2:BB2"/>
    <mergeCell ref="D5:E5"/>
    <mergeCell ref="D6:E6"/>
    <mergeCell ref="D7:E7"/>
    <mergeCell ref="D8:E8"/>
    <mergeCell ref="D9:E9"/>
    <mergeCell ref="E16:H16"/>
    <mergeCell ref="J16:K16"/>
    <mergeCell ref="M16:N16"/>
    <mergeCell ref="E14:H14"/>
    <mergeCell ref="J14:K14"/>
    <mergeCell ref="M14:N14"/>
    <mergeCell ref="E21:H21"/>
  </mergeCells>
  <conditionalFormatting sqref="H4:N9 P4:Q9">
    <cfRule type="cellIs" dxfId="7" priority="4" stopIfTrue="1" operator="between">
      <formula>0</formula>
      <formula>1</formula>
    </cfRule>
  </conditionalFormatting>
  <conditionalFormatting sqref="T4:T9">
    <cfRule type="cellIs" dxfId="6" priority="1" operator="equal">
      <formula>3</formula>
    </cfRule>
    <cfRule type="cellIs" dxfId="5" priority="2" operator="equal">
      <formula>2</formula>
    </cfRule>
    <cfRule type="cellIs" dxfId="4" priority="3" operator="equal">
      <formula>1</formula>
    </cfRule>
  </conditionalFormatting>
  <printOptions horizontalCentered="1"/>
  <pageMargins left="0.78740157480314965" right="0.78740157480314965" top="0.74803149606299213" bottom="0.74803149606299213" header="0" footer="0"/>
  <pageSetup paperSize="9" scale="78" orientation="portrait" horizontalDpi="4294967293" verticalDpi="4294967293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Blad4">
    <pageSetUpPr fitToPage="1"/>
  </sheetPr>
  <dimension ref="A1:BK29"/>
  <sheetViews>
    <sheetView view="pageBreakPreview" zoomScaleNormal="100" zoomScaleSheetLayoutView="100" workbookViewId="0">
      <selection activeCell="S12" sqref="S12"/>
    </sheetView>
  </sheetViews>
  <sheetFormatPr defaultRowHeight="15" x14ac:dyDescent="0.25"/>
  <cols>
    <col min="1" max="1" width="3" style="6" bestFit="1" customWidth="1"/>
    <col min="2" max="2" width="3.7109375" style="6" customWidth="1"/>
    <col min="3" max="3" width="27.7109375" style="6" customWidth="1"/>
    <col min="4" max="4" width="3.7109375" style="6" customWidth="1"/>
    <col min="5" max="5" width="6.7109375" style="6" customWidth="1"/>
    <col min="6" max="6" width="9.7109375" style="6" customWidth="1"/>
    <col min="7" max="7" width="6.7109375" style="6" customWidth="1"/>
    <col min="8" max="12" width="3.7109375" style="6" customWidth="1"/>
    <col min="13" max="13" width="3.85546875" style="6" customWidth="1"/>
    <col min="14" max="14" width="4.28515625" style="6" customWidth="1"/>
    <col min="15" max="15" width="5.28515625" style="6" customWidth="1"/>
    <col min="16" max="16" width="3.7109375" style="6" customWidth="1"/>
    <col min="17" max="17" width="10.140625" style="6" customWidth="1"/>
    <col min="18" max="18" width="9.28515625" style="6" customWidth="1"/>
    <col min="19" max="19" width="8.42578125" style="6" customWidth="1"/>
    <col min="20" max="20" width="3.7109375" style="6" customWidth="1"/>
    <col min="21" max="22" width="6.7109375" style="6" hidden="1" customWidth="1"/>
    <col min="23" max="23" width="3.5703125" style="6" hidden="1" customWidth="1"/>
    <col min="24" max="24" width="8.85546875" style="6" hidden="1" customWidth="1"/>
    <col min="25" max="25" width="6.140625" style="6" hidden="1" customWidth="1"/>
    <col min="26" max="26" width="8.5703125" style="6" hidden="1" customWidth="1"/>
    <col min="27" max="27" width="6.140625" style="6" hidden="1" customWidth="1"/>
    <col min="28" max="28" width="8.5703125" style="6" hidden="1" customWidth="1"/>
    <col min="29" max="30" width="6.7109375" style="6" hidden="1" customWidth="1"/>
    <col min="31" max="31" width="10.42578125" style="6" hidden="1" customWidth="1"/>
    <col min="32" max="36" width="6.7109375" style="6" hidden="1" customWidth="1"/>
    <col min="37" max="40" width="9.140625" style="6" hidden="1" customWidth="1"/>
    <col min="41" max="42" width="4.42578125" style="6" hidden="1" customWidth="1"/>
    <col min="43" max="61" width="3.7109375" style="6" hidden="1" customWidth="1"/>
    <col min="62" max="63" width="9.140625" style="6" hidden="1" customWidth="1"/>
    <col min="64" max="79" width="9.140625" style="6" customWidth="1"/>
    <col min="80" max="16384" width="9.140625" style="6"/>
  </cols>
  <sheetData>
    <row r="1" spans="1:61" ht="26.25" x14ac:dyDescent="0.4">
      <c r="A1" s="24">
        <v>4</v>
      </c>
      <c r="B1" s="98" t="s">
        <v>31</v>
      </c>
      <c r="C1" s="98"/>
      <c r="D1" s="98"/>
      <c r="E1" s="98"/>
      <c r="F1" s="98"/>
      <c r="G1" s="82" t="s">
        <v>32</v>
      </c>
      <c r="H1" s="83"/>
      <c r="I1" s="83"/>
      <c r="J1" s="83"/>
      <c r="K1" s="83"/>
      <c r="L1" s="83"/>
      <c r="M1" s="83"/>
      <c r="N1" s="83"/>
      <c r="O1" s="83"/>
      <c r="P1" s="83"/>
      <c r="Q1" s="83"/>
      <c r="S1" s="86" t="str">
        <f>"versie " &amp; Configuratie!B1</f>
        <v>versie 0.3.0</v>
      </c>
      <c r="T1" s="15"/>
      <c r="U1" s="15"/>
      <c r="V1" s="15"/>
      <c r="W1" s="15"/>
      <c r="X1" s="15"/>
      <c r="Y1" s="15"/>
      <c r="Z1" s="15"/>
      <c r="AA1" s="15"/>
      <c r="AB1" s="15"/>
      <c r="AC1" s="15"/>
      <c r="AD1" s="15"/>
      <c r="AE1" s="15"/>
      <c r="AF1" s="15"/>
      <c r="AG1" s="15"/>
      <c r="AH1" s="15"/>
      <c r="AI1" s="15"/>
      <c r="AJ1" s="15"/>
    </row>
    <row r="2" spans="1:61" x14ac:dyDescent="0.25">
      <c r="AK2" s="16" t="s">
        <v>27</v>
      </c>
      <c r="AL2" s="16" t="s">
        <v>26</v>
      </c>
      <c r="AM2" s="16" t="s">
        <v>28</v>
      </c>
      <c r="AP2" s="92" t="s">
        <v>22</v>
      </c>
      <c r="AQ2" s="92"/>
      <c r="AR2" s="92"/>
      <c r="AS2" s="92"/>
      <c r="AT2" s="92"/>
      <c r="AU2" s="92"/>
      <c r="AV2" s="92"/>
      <c r="AW2" s="92"/>
      <c r="AX2" s="92"/>
      <c r="AY2" s="17"/>
      <c r="AZ2" s="18"/>
      <c r="BA2" s="92" t="s">
        <v>23</v>
      </c>
      <c r="BB2" s="92"/>
      <c r="BC2" s="92"/>
      <c r="BD2" s="92"/>
      <c r="BE2" s="92"/>
      <c r="BF2" s="92"/>
      <c r="BG2" s="92"/>
      <c r="BH2" s="92"/>
      <c r="BI2" s="92"/>
    </row>
    <row r="3" spans="1:61" x14ac:dyDescent="0.25">
      <c r="B3" s="19" t="s">
        <v>4</v>
      </c>
      <c r="C3" s="19" t="s">
        <v>6</v>
      </c>
      <c r="D3" s="93" t="s">
        <v>7</v>
      </c>
      <c r="E3" s="93"/>
      <c r="F3" s="19" t="s">
        <v>8</v>
      </c>
      <c r="M3" s="7">
        <v>1</v>
      </c>
      <c r="N3" s="7">
        <v>2</v>
      </c>
      <c r="O3" s="7">
        <v>3</v>
      </c>
      <c r="P3" s="7">
        <v>4</v>
      </c>
      <c r="Q3" s="20" t="s">
        <v>17</v>
      </c>
      <c r="R3" s="7" t="s">
        <v>26</v>
      </c>
      <c r="S3" s="7" t="s">
        <v>69</v>
      </c>
      <c r="T3" s="21"/>
      <c r="U3" s="7" t="s">
        <v>34</v>
      </c>
      <c r="V3" s="7" t="s">
        <v>35</v>
      </c>
      <c r="W3" s="21"/>
      <c r="X3" s="7" t="s">
        <v>60</v>
      </c>
      <c r="Y3" s="7" t="s">
        <v>61</v>
      </c>
      <c r="Z3" s="7" t="s">
        <v>62</v>
      </c>
      <c r="AA3" s="7" t="s">
        <v>63</v>
      </c>
      <c r="AB3" s="7" t="s">
        <v>64</v>
      </c>
      <c r="AC3" s="7" t="s">
        <v>65</v>
      </c>
      <c r="AD3" s="7"/>
      <c r="AE3" s="7" t="s">
        <v>66</v>
      </c>
      <c r="AF3" s="7" t="s">
        <v>67</v>
      </c>
      <c r="AG3" s="7" t="s">
        <v>68</v>
      </c>
      <c r="AH3" s="7" t="s">
        <v>69</v>
      </c>
      <c r="AI3" s="21"/>
      <c r="AJ3" s="7" t="s">
        <v>36</v>
      </c>
      <c r="AK3" s="23" t="s">
        <v>25</v>
      </c>
      <c r="AL3" s="16" t="s">
        <v>25</v>
      </c>
      <c r="AM3" s="16" t="s">
        <v>25</v>
      </c>
      <c r="AO3" s="6" t="s">
        <v>30</v>
      </c>
      <c r="AP3" s="18">
        <v>1</v>
      </c>
      <c r="AQ3" s="18">
        <v>2</v>
      </c>
      <c r="AR3" s="18">
        <v>3</v>
      </c>
      <c r="AS3" s="18">
        <v>4</v>
      </c>
      <c r="AT3" s="18">
        <v>5</v>
      </c>
      <c r="AU3" s="18">
        <v>6</v>
      </c>
      <c r="AV3" s="18">
        <v>7</v>
      </c>
      <c r="AW3" s="18">
        <v>8</v>
      </c>
      <c r="AX3" s="18">
        <v>9</v>
      </c>
      <c r="AY3" s="18"/>
      <c r="AZ3" s="6" t="s">
        <v>30</v>
      </c>
      <c r="BA3" s="18">
        <v>1</v>
      </c>
      <c r="BB3" s="18">
        <v>2</v>
      </c>
      <c r="BC3" s="18">
        <v>3</v>
      </c>
      <c r="BD3" s="18">
        <v>4</v>
      </c>
      <c r="BE3" s="18">
        <v>5</v>
      </c>
      <c r="BF3" s="18">
        <v>6</v>
      </c>
      <c r="BG3" s="18">
        <v>7</v>
      </c>
      <c r="BH3" s="18">
        <v>8</v>
      </c>
      <c r="BI3" s="18">
        <v>9</v>
      </c>
    </row>
    <row r="4" spans="1:61" x14ac:dyDescent="0.25">
      <c r="A4" s="24">
        <f>S4</f>
        <v>1</v>
      </c>
      <c r="B4" s="25">
        <v>1</v>
      </c>
      <c r="C4" s="25" t="s">
        <v>40</v>
      </c>
      <c r="D4" s="110"/>
      <c r="E4" s="110"/>
      <c r="F4" s="25">
        <v>1000</v>
      </c>
      <c r="M4" s="26" t="str">
        <f t="shared" ref="M4:P7" si="0">IF((SUMIF($AO$9:$AO$21,$B4*100+M$3,$AM$9:$AM$21)+SUMIF($AO$9:$AO$21,$B4+M$3*100,$AM$9:$AM$21))=1,(SUMIF($AO$9:$AO$21,$B4*100+M$3,$J$9:$J$21)+SUMIF($AP$9:$AP$21,$B4*100+M$3,$N$9:$N$21)),"")</f>
        <v/>
      </c>
      <c r="N4" s="27" t="str">
        <f t="shared" si="0"/>
        <v/>
      </c>
      <c r="O4" s="27" t="str">
        <f t="shared" si="0"/>
        <v/>
      </c>
      <c r="P4" s="27" t="str">
        <f t="shared" si="0"/>
        <v/>
      </c>
      <c r="Q4" s="28">
        <f>SUM(M4:P4)</f>
        <v>0</v>
      </c>
      <c r="R4" s="29">
        <f>IF(M4="",0,M4)*$Q$4+IF(N4="",0,N4)*$Q$5+IF(O4="",0,O4)*$Q$6+IF(P4="",0,P4)*$Q$7</f>
        <v>0</v>
      </c>
      <c r="S4" s="27">
        <f>AH4</f>
        <v>1</v>
      </c>
      <c r="T4" s="30"/>
      <c r="U4" s="34">
        <f>VLOOKUP($C26,$AJ$4:$AM$7,4,FALSE)</f>
        <v>0</v>
      </c>
      <c r="V4" s="35">
        <f>VLOOKUP($C26,$B$4:$K$7,5,FALSE)</f>
        <v>1000</v>
      </c>
      <c r="W4" s="30"/>
      <c r="X4" s="36">
        <f>IF(Q4=$Q$4,IF(M4="",0,M4))+IF(Q4=$Q$5,IF(N4="",0,N4))+IF(Q4=$Q$6,IF(O4="",0,O4))+IF(Q4=$Q$7,IF(P4="",0,P4))</f>
        <v>0</v>
      </c>
      <c r="Y4" s="30">
        <f>$X$9*Q4+X4</f>
        <v>0</v>
      </c>
      <c r="Z4" s="30">
        <f>IF(Y4=$ADY$4,IF(M4="",0,M4))+IF(Y4=$Y$5,IF(N4="",0,N4))+IF(Y4=$Y$6,IF(O4="",0,O4))+IF(Y4=$Y$7,IF(P4="",0,P4))</f>
        <v>0</v>
      </c>
      <c r="AA4" s="30">
        <f>$Z$9*Y4+Z4</f>
        <v>0</v>
      </c>
      <c r="AB4" s="30">
        <f>IF(AA4=$AA$4,IF(M4="",0,M4))+IF(AA4=$AA$5,IF(N4="",0,N4))+IF(AA4=$AA$6,IF(O4="",0,O4))+IF(AA4=$AA$7,IF(O4="",0,O4))</f>
        <v>0</v>
      </c>
      <c r="AC4" s="30">
        <f>$AB$9*AA4+AD4</f>
        <v>0</v>
      </c>
      <c r="AD4" s="30"/>
      <c r="AE4" s="30">
        <f>RANK(AC4,$AC$4:$AC$7,1)-1</f>
        <v>0</v>
      </c>
      <c r="AF4" s="30">
        <f>RANK(R4,$R$4:$R$7,1)-1</f>
        <v>0</v>
      </c>
      <c r="AG4" s="30">
        <f>4*AE4+AF4</f>
        <v>0</v>
      </c>
      <c r="AH4" s="30">
        <f>RANK(AG4,$AG$4:$AG$7)</f>
        <v>1</v>
      </c>
      <c r="AI4" s="30"/>
      <c r="AJ4" s="37">
        <v>1</v>
      </c>
      <c r="AK4" s="38">
        <f>SUMIF($AK$9:$AK$21,B4,$AQ$9:$AQ$21)+SUMIF($AL$9:$AL$21,B4,$AR$9:$AR$21)</f>
        <v>0</v>
      </c>
      <c r="AL4" s="39" t="e">
        <f>SUMIF($AK$9:$AK$21,B4,$AS$9:$AS$21)+SUMIF($AL$9:$AL$21,B4,$AT$9:$AT$21)</f>
        <v>#VALUE!</v>
      </c>
      <c r="AM4" s="39">
        <f>SUM(BA4:BI4)</f>
        <v>0</v>
      </c>
      <c r="AO4" s="6">
        <v>1</v>
      </c>
      <c r="AP4" s="6">
        <f t="shared" ref="AP4:AX7" si="1" xml:space="preserve"> SUMIFS( $J$12:$J$21, $AK$12:$AK$21,$AO4, $AJ$12:$AJ$21,AP$3) + SUMIFS( $N$12:$N$21, $AL$12:$AL$21,$AO4, $AJ$12:$AJ$21,AP$3)</f>
        <v>0</v>
      </c>
      <c r="AQ4" s="6">
        <f t="shared" si="1"/>
        <v>0</v>
      </c>
      <c r="AR4" s="6">
        <f t="shared" si="1"/>
        <v>0</v>
      </c>
      <c r="AS4" s="6">
        <f t="shared" si="1"/>
        <v>0</v>
      </c>
      <c r="AT4" s="6">
        <f t="shared" si="1"/>
        <v>0</v>
      </c>
      <c r="AU4" s="6">
        <f t="shared" si="1"/>
        <v>0</v>
      </c>
      <c r="AV4" s="6">
        <f t="shared" si="1"/>
        <v>0</v>
      </c>
      <c r="AW4" s="6">
        <f t="shared" si="1"/>
        <v>0</v>
      </c>
      <c r="AX4" s="6">
        <f t="shared" si="1"/>
        <v>0</v>
      </c>
      <c r="AZ4" s="6">
        <v>1</v>
      </c>
      <c r="BA4" s="6">
        <f>AP4</f>
        <v>0</v>
      </c>
      <c r="BB4" s="6">
        <f t="shared" ref="BB4:BI7" si="2">BA4+AQ4</f>
        <v>0</v>
      </c>
      <c r="BC4" s="6">
        <f t="shared" si="2"/>
        <v>0</v>
      </c>
      <c r="BD4" s="6">
        <f t="shared" si="2"/>
        <v>0</v>
      </c>
      <c r="BE4" s="6">
        <f t="shared" si="2"/>
        <v>0</v>
      </c>
      <c r="BF4" s="6">
        <f t="shared" si="2"/>
        <v>0</v>
      </c>
      <c r="BG4" s="6">
        <f t="shared" si="2"/>
        <v>0</v>
      </c>
      <c r="BH4" s="6">
        <f t="shared" si="2"/>
        <v>0</v>
      </c>
      <c r="BI4" s="6">
        <f t="shared" si="2"/>
        <v>0</v>
      </c>
    </row>
    <row r="5" spans="1:61" x14ac:dyDescent="0.25">
      <c r="A5" s="24">
        <f t="shared" ref="A5:A7" si="3">S5</f>
        <v>1</v>
      </c>
      <c r="B5" s="25">
        <v>2</v>
      </c>
      <c r="C5" s="25" t="s">
        <v>41</v>
      </c>
      <c r="D5" s="110"/>
      <c r="E5" s="110"/>
      <c r="F5" s="25">
        <v>1000</v>
      </c>
      <c r="M5" s="27" t="str">
        <f t="shared" si="0"/>
        <v/>
      </c>
      <c r="N5" s="26" t="str">
        <f t="shared" si="0"/>
        <v/>
      </c>
      <c r="O5" s="27" t="str">
        <f t="shared" si="0"/>
        <v/>
      </c>
      <c r="P5" s="27" t="str">
        <f t="shared" si="0"/>
        <v/>
      </c>
      <c r="Q5" s="28">
        <f>SUM(M5:P5)</f>
        <v>0</v>
      </c>
      <c r="R5" s="29">
        <f t="shared" ref="R5:R7" si="4">IF(M5="",0,M5)*$Q$4+IF(N5="",0,N5)*$Q$5+IF(O5="",0,O5)*$Q$6+IF(P5="",0,P5)*$Q$7</f>
        <v>0</v>
      </c>
      <c r="S5" s="27">
        <f t="shared" ref="S5:S8" si="5">AH5</f>
        <v>1</v>
      </c>
      <c r="T5" s="30"/>
      <c r="U5" s="34">
        <f>VLOOKUP($C27,$AJ$4:$AM$7,4,FALSE)</f>
        <v>0</v>
      </c>
      <c r="V5" s="35">
        <f>VLOOKUP($C27,$B$4:$K$7,5,FALSE)</f>
        <v>1000</v>
      </c>
      <c r="W5" s="30"/>
      <c r="X5" s="36">
        <f>IF(Q5=$Q$4,IF(M5="",0,M5))+IF(Q5=$Q$5,IF(N5="",0,N5))+IF(Q5=$Q$6,IF(O5="",0,O5))+IF(Q5=$Q$7,IF(P5="",0,P5))</f>
        <v>0</v>
      </c>
      <c r="Y5" s="30">
        <f>$X$9*Q5+X5</f>
        <v>0</v>
      </c>
      <c r="Z5" s="30">
        <f>IF(Y5=$ADY$4,IF(M5="",0,M5))+IF(Y5=$Y$5,IF(N5="",0,N5))+IF(Y5=$Y$6,IF(O5="",0,O5))+IF(Y5=$Y$7,IF(P5="",0,P5))</f>
        <v>0</v>
      </c>
      <c r="AA5" s="30">
        <f t="shared" ref="AA5:AA7" si="6">$Z$9*Y5+Z5</f>
        <v>0</v>
      </c>
      <c r="AB5" s="30">
        <f>IF(AA5=$AA$4,IF(M5="",0,M5))+IF(AA5=$AA$5,IF(N5="",0,N5))+IF(AA5=$AA$6,IF(O5="",0,O5))+IF(AA5=$AA$7,IF(O5="",0,O5))</f>
        <v>0</v>
      </c>
      <c r="AC5" s="30">
        <f t="shared" ref="AC5:AC7" si="7">$AB$9*AA5+AD5</f>
        <v>0</v>
      </c>
      <c r="AD5" s="30"/>
      <c r="AE5" s="30">
        <f t="shared" ref="AE5:AE7" si="8">RANK(AC5,$AC$4:$AC$7,1)-1</f>
        <v>0</v>
      </c>
      <c r="AF5" s="30">
        <f>RANK(R5,$R$4:$R$7,1)-1</f>
        <v>0</v>
      </c>
      <c r="AG5" s="30">
        <f t="shared" ref="AG5:AG7" si="9">4*AE5+AF5</f>
        <v>0</v>
      </c>
      <c r="AH5" s="30">
        <f t="shared" ref="AH5:AH7" si="10">RANK(AG5,$AG$4:$AG$7)</f>
        <v>1</v>
      </c>
      <c r="AI5" s="30"/>
      <c r="AJ5" s="37">
        <v>2</v>
      </c>
      <c r="AK5" s="38">
        <f>SUMIF($AK$9:$AK$21,B5,$AQ$9:$AQ$21)+SUMIF($AL$9:$AL$21,B5,$AR$9:$AR$21)</f>
        <v>0</v>
      </c>
      <c r="AL5" s="39" t="e">
        <f>SUMIF($AK$9:$AK$21,B5,$AS$9:$AS$21)+SUMIF($AL$9:$AL$21,B5,$AT$9:$AT$21)</f>
        <v>#VALUE!</v>
      </c>
      <c r="AM5" s="39">
        <f t="shared" ref="AM5:AM7" si="11">SUM(BA5:BI5)</f>
        <v>0</v>
      </c>
      <c r="AO5" s="6">
        <v>2</v>
      </c>
      <c r="AP5" s="6">
        <f t="shared" si="1"/>
        <v>0</v>
      </c>
      <c r="AQ5" s="6">
        <f t="shared" si="1"/>
        <v>0</v>
      </c>
      <c r="AR5" s="6">
        <f t="shared" si="1"/>
        <v>0</v>
      </c>
      <c r="AS5" s="6">
        <f t="shared" si="1"/>
        <v>0</v>
      </c>
      <c r="AT5" s="6">
        <f t="shared" si="1"/>
        <v>0</v>
      </c>
      <c r="AU5" s="6">
        <f t="shared" si="1"/>
        <v>0</v>
      </c>
      <c r="AV5" s="6">
        <f t="shared" si="1"/>
        <v>0</v>
      </c>
      <c r="AW5" s="6">
        <f t="shared" si="1"/>
        <v>0</v>
      </c>
      <c r="AX5" s="6">
        <f t="shared" si="1"/>
        <v>0</v>
      </c>
      <c r="AZ5" s="6">
        <v>2</v>
      </c>
      <c r="BA5" s="6">
        <f t="shared" ref="BA5:BA7" si="12">AP5</f>
        <v>0</v>
      </c>
      <c r="BB5" s="6">
        <f t="shared" si="2"/>
        <v>0</v>
      </c>
      <c r="BC5" s="6">
        <f t="shared" si="2"/>
        <v>0</v>
      </c>
      <c r="BD5" s="6">
        <f t="shared" si="2"/>
        <v>0</v>
      </c>
      <c r="BE5" s="6">
        <f t="shared" si="2"/>
        <v>0</v>
      </c>
      <c r="BF5" s="6">
        <f t="shared" si="2"/>
        <v>0</v>
      </c>
      <c r="BG5" s="6">
        <f t="shared" si="2"/>
        <v>0</v>
      </c>
      <c r="BH5" s="6">
        <f t="shared" si="2"/>
        <v>0</v>
      </c>
      <c r="BI5" s="6">
        <f t="shared" si="2"/>
        <v>0</v>
      </c>
    </row>
    <row r="6" spans="1:61" x14ac:dyDescent="0.25">
      <c r="A6" s="24">
        <f t="shared" si="3"/>
        <v>1</v>
      </c>
      <c r="B6" s="25">
        <v>3</v>
      </c>
      <c r="C6" s="25" t="s">
        <v>42</v>
      </c>
      <c r="D6" s="110"/>
      <c r="E6" s="110"/>
      <c r="F6" s="25">
        <v>1000</v>
      </c>
      <c r="M6" s="27" t="str">
        <f t="shared" si="0"/>
        <v/>
      </c>
      <c r="N6" s="27" t="str">
        <f t="shared" si="0"/>
        <v/>
      </c>
      <c r="O6" s="26" t="str">
        <f t="shared" si="0"/>
        <v/>
      </c>
      <c r="P6" s="27" t="str">
        <f t="shared" si="0"/>
        <v/>
      </c>
      <c r="Q6" s="28">
        <f>SUM(M6:P6)</f>
        <v>0</v>
      </c>
      <c r="R6" s="29">
        <f t="shared" si="4"/>
        <v>0</v>
      </c>
      <c r="S6" s="27">
        <f t="shared" si="5"/>
        <v>1</v>
      </c>
      <c r="T6" s="30"/>
      <c r="U6" s="34">
        <f>VLOOKUP($C28,$AJ$4:$AM$7,4,FALSE)</f>
        <v>0</v>
      </c>
      <c r="V6" s="35">
        <f>VLOOKUP($C28,$B$4:$K$7,5,FALSE)</f>
        <v>1000</v>
      </c>
      <c r="W6" s="30"/>
      <c r="X6" s="36">
        <f>IF(Q6=$Q$4,IF(M6="",0,M6))+IF(Q6=$Q$5,IF(N6="",0,N6))+IF(Q6=$Q$6,IF(O6="",0,O6))+IF(Q6=$Q$7,IF(P6="",0,P6))</f>
        <v>0</v>
      </c>
      <c r="Y6" s="30">
        <f>$X$9*Q6+X6</f>
        <v>0</v>
      </c>
      <c r="Z6" s="30">
        <f>IF(Y6=$ADY$4,IF(M6="",0,M6))+IF(Y6=$Y$5,IF(N6="",0,N6))+IF(Y6=$Y$6,IF(O6="",0,O6))+IF(Y6=$Y$7,IF(P6="",0,P6))</f>
        <v>0</v>
      </c>
      <c r="AA6" s="30">
        <f t="shared" si="6"/>
        <v>0</v>
      </c>
      <c r="AB6" s="30">
        <f>IF(AA6=$AA$4,IF(M6="",0,M6))+IF(AA6=$AA$5,IF(N6="",0,N6))+IF(AA6=$AA$6,IF(O6="",0,O6))+IF(AA6=$AA$7,IF(O6="",0,O6))</f>
        <v>0</v>
      </c>
      <c r="AC6" s="30">
        <f t="shared" si="7"/>
        <v>0</v>
      </c>
      <c r="AD6" s="30"/>
      <c r="AE6" s="30">
        <f t="shared" si="8"/>
        <v>0</v>
      </c>
      <c r="AF6" s="30">
        <f>RANK(R6,$R$4:$R$7,1)-1</f>
        <v>0</v>
      </c>
      <c r="AG6" s="30">
        <f t="shared" si="9"/>
        <v>0</v>
      </c>
      <c r="AH6" s="30">
        <f t="shared" si="10"/>
        <v>1</v>
      </c>
      <c r="AI6" s="30"/>
      <c r="AJ6" s="37">
        <v>3</v>
      </c>
      <c r="AK6" s="38">
        <f>SUMIF($AK$9:$AK$21,B6,$AQ$9:$AQ$21)+SUMIF($AL$9:$AL$21,B6,$AR$9:$AR$21)</f>
        <v>0</v>
      </c>
      <c r="AL6" s="39" t="e">
        <f>SUMIF($AK$9:$AK$21,B6,$AS$9:$AS$21)+SUMIF($AL$9:$AL$21,B6,$AT$9:$AT$21)</f>
        <v>#VALUE!</v>
      </c>
      <c r="AM6" s="39">
        <f t="shared" si="11"/>
        <v>0</v>
      </c>
      <c r="AO6" s="6">
        <v>3</v>
      </c>
      <c r="AP6" s="6">
        <f t="shared" si="1"/>
        <v>0</v>
      </c>
      <c r="AQ6" s="6">
        <f t="shared" si="1"/>
        <v>0</v>
      </c>
      <c r="AR6" s="6">
        <f t="shared" si="1"/>
        <v>0</v>
      </c>
      <c r="AS6" s="6">
        <f t="shared" si="1"/>
        <v>0</v>
      </c>
      <c r="AT6" s="6">
        <f t="shared" si="1"/>
        <v>0</v>
      </c>
      <c r="AU6" s="6">
        <f t="shared" si="1"/>
        <v>0</v>
      </c>
      <c r="AV6" s="6">
        <f t="shared" si="1"/>
        <v>0</v>
      </c>
      <c r="AW6" s="6">
        <f t="shared" si="1"/>
        <v>0</v>
      </c>
      <c r="AX6" s="6">
        <f t="shared" si="1"/>
        <v>0</v>
      </c>
      <c r="AZ6" s="6">
        <v>3</v>
      </c>
      <c r="BA6" s="6">
        <f t="shared" si="12"/>
        <v>0</v>
      </c>
      <c r="BB6" s="6">
        <f t="shared" si="2"/>
        <v>0</v>
      </c>
      <c r="BC6" s="6">
        <f t="shared" si="2"/>
        <v>0</v>
      </c>
      <c r="BD6" s="6">
        <f t="shared" si="2"/>
        <v>0</v>
      </c>
      <c r="BE6" s="6">
        <f t="shared" si="2"/>
        <v>0</v>
      </c>
      <c r="BF6" s="6">
        <f t="shared" si="2"/>
        <v>0</v>
      </c>
      <c r="BG6" s="6">
        <f t="shared" si="2"/>
        <v>0</v>
      </c>
      <c r="BH6" s="6">
        <f t="shared" si="2"/>
        <v>0</v>
      </c>
      <c r="BI6" s="6">
        <f t="shared" si="2"/>
        <v>0</v>
      </c>
    </row>
    <row r="7" spans="1:61" x14ac:dyDescent="0.25">
      <c r="A7" s="24">
        <f t="shared" si="3"/>
        <v>1</v>
      </c>
      <c r="B7" s="25">
        <v>4</v>
      </c>
      <c r="C7" s="25" t="s">
        <v>43</v>
      </c>
      <c r="D7" s="110"/>
      <c r="E7" s="110"/>
      <c r="F7" s="25">
        <v>1000</v>
      </c>
      <c r="M7" s="27" t="str">
        <f t="shared" si="0"/>
        <v/>
      </c>
      <c r="N7" s="27" t="str">
        <f t="shared" si="0"/>
        <v/>
      </c>
      <c r="O7" s="27" t="str">
        <f t="shared" si="0"/>
        <v/>
      </c>
      <c r="P7" s="26" t="str">
        <f t="shared" si="0"/>
        <v/>
      </c>
      <c r="Q7" s="28">
        <f>SUM(M7:P7)</f>
        <v>0</v>
      </c>
      <c r="R7" s="29">
        <f t="shared" si="4"/>
        <v>0</v>
      </c>
      <c r="S7" s="27">
        <f t="shared" si="5"/>
        <v>1</v>
      </c>
      <c r="T7" s="30"/>
      <c r="U7" s="34">
        <f>VLOOKUP($C29,$AJ$4:$AM$7,4,FALSE)</f>
        <v>0</v>
      </c>
      <c r="V7" s="35">
        <f>VLOOKUP($C29,$B$4:$K$7,5,FALSE)</f>
        <v>1000</v>
      </c>
      <c r="W7" s="30"/>
      <c r="X7" s="36">
        <f>IF(Q7=$Q$4,IF(M7="",0,M7))+IF(Q7=$Q$5,IF(N7="",0,N7))+IF(Q7=$Q$6,IF(O7="",0,O7))+IF(Q7=$Q$7,IF(P7="",0,P7))</f>
        <v>0</v>
      </c>
      <c r="Y7" s="30">
        <f>$X$9*Q7+X7</f>
        <v>0</v>
      </c>
      <c r="Z7" s="30">
        <f>IF(Y7=$ADY$4,IF(M7="",0,M7))+IF(Y7=$Y$5,IF(N7="",0,N7))+IF(Y7=$Y$6,IF(O7="",0,O7))+IF(Y7=$Y$7,IF(P7="",0,P7))</f>
        <v>0</v>
      </c>
      <c r="AA7" s="30">
        <f t="shared" si="6"/>
        <v>0</v>
      </c>
      <c r="AB7" s="30">
        <f>IF(AA7=$AA$4,IF(M7="",0,M7))+IF(AA7=$AA$5,IF(N7="",0,N7))+IF(AA7=$AA$6,IF(O7="",0,O7))+IF(AA7=$AA$7,IF(O7="",0,O7))</f>
        <v>0</v>
      </c>
      <c r="AC7" s="30">
        <f t="shared" si="7"/>
        <v>0</v>
      </c>
      <c r="AD7" s="30"/>
      <c r="AE7" s="30">
        <f t="shared" si="8"/>
        <v>0</v>
      </c>
      <c r="AF7" s="30">
        <f>RANK(R7,$R$4:$R$7,1)-1</f>
        <v>0</v>
      </c>
      <c r="AG7" s="30">
        <f t="shared" si="9"/>
        <v>0</v>
      </c>
      <c r="AH7" s="30">
        <f t="shared" si="10"/>
        <v>1</v>
      </c>
      <c r="AI7" s="30"/>
      <c r="AJ7" s="37">
        <v>4</v>
      </c>
      <c r="AK7" s="38">
        <f>SUMIF($AK$9:$AK$21,B7,$AQ$9:$AQ$21)+SUMIF($AL$9:$AL$21,B7,$AR$9:$AR$21)</f>
        <v>0</v>
      </c>
      <c r="AL7" s="39" t="e">
        <f>SUMIF($AK$9:$AK$21,B7,$AS$9:$AS$21)+SUMIF($AL$9:$AL$21,B7,$AT$9:$AT$21)</f>
        <v>#VALUE!</v>
      </c>
      <c r="AM7" s="39">
        <f t="shared" si="11"/>
        <v>0</v>
      </c>
      <c r="AO7" s="6">
        <v>4</v>
      </c>
      <c r="AP7" s="6">
        <f t="shared" si="1"/>
        <v>0</v>
      </c>
      <c r="AQ7" s="6">
        <f t="shared" si="1"/>
        <v>0</v>
      </c>
      <c r="AR7" s="6">
        <f t="shared" si="1"/>
        <v>0</v>
      </c>
      <c r="AS7" s="6">
        <f t="shared" si="1"/>
        <v>0</v>
      </c>
      <c r="AT7" s="6">
        <f t="shared" si="1"/>
        <v>0</v>
      </c>
      <c r="AU7" s="6">
        <f t="shared" si="1"/>
        <v>0</v>
      </c>
      <c r="AV7" s="6">
        <f t="shared" si="1"/>
        <v>0</v>
      </c>
      <c r="AW7" s="6">
        <f t="shared" si="1"/>
        <v>0</v>
      </c>
      <c r="AX7" s="6">
        <f t="shared" si="1"/>
        <v>0</v>
      </c>
      <c r="AZ7" s="6">
        <v>4</v>
      </c>
      <c r="BA7" s="6">
        <f t="shared" si="12"/>
        <v>0</v>
      </c>
      <c r="BB7" s="6">
        <f t="shared" si="2"/>
        <v>0</v>
      </c>
      <c r="BC7" s="6">
        <f t="shared" si="2"/>
        <v>0</v>
      </c>
      <c r="BD7" s="6">
        <f t="shared" si="2"/>
        <v>0</v>
      </c>
      <c r="BE7" s="6">
        <f t="shared" si="2"/>
        <v>0</v>
      </c>
      <c r="BF7" s="6">
        <f t="shared" si="2"/>
        <v>0</v>
      </c>
      <c r="BG7" s="6">
        <f t="shared" si="2"/>
        <v>0</v>
      </c>
      <c r="BH7" s="6">
        <f t="shared" si="2"/>
        <v>0</v>
      </c>
      <c r="BI7" s="6">
        <f t="shared" si="2"/>
        <v>0</v>
      </c>
    </row>
    <row r="8" spans="1:61" hidden="1" x14ac:dyDescent="0.25">
      <c r="R8" s="27">
        <f>IF(L8="",0,L8)*$Q$4+IF(M8="",0,M8)*$Q$5+IF(N8="",N8)*$Q$6+IF(O8="",O8)*$Q$7</f>
        <v>0</v>
      </c>
      <c r="S8" s="27">
        <f t="shared" si="5"/>
        <v>0</v>
      </c>
      <c r="X8" s="40"/>
      <c r="AF8" s="30">
        <f t="shared" ref="AF8" si="13">RANK(R8,R8:R11,1)-1</f>
        <v>0</v>
      </c>
    </row>
    <row r="9" spans="1:61" x14ac:dyDescent="0.25">
      <c r="X9" s="36">
        <f>2*MAX(X4:X7)+1</f>
        <v>1</v>
      </c>
      <c r="Z9" s="30">
        <f>2*MAX(Z4:Z7)+1</f>
        <v>1</v>
      </c>
      <c r="AB9" s="30">
        <f>2*MAX(AB4:AB7)+1</f>
        <v>1</v>
      </c>
      <c r="AJ9" s="41" t="s">
        <v>39</v>
      </c>
      <c r="AK9" s="41" t="s">
        <v>0</v>
      </c>
      <c r="AL9" s="41" t="s">
        <v>1</v>
      </c>
      <c r="AM9" s="41" t="s">
        <v>2</v>
      </c>
      <c r="AO9" s="42" t="s">
        <v>37</v>
      </c>
      <c r="AP9" s="42" t="s">
        <v>38</v>
      </c>
      <c r="AQ9" s="6" t="s">
        <v>18</v>
      </c>
      <c r="AR9" s="6" t="s">
        <v>19</v>
      </c>
      <c r="AS9" s="6" t="s">
        <v>20</v>
      </c>
      <c r="AT9" s="6" t="s">
        <v>21</v>
      </c>
    </row>
    <row r="10" spans="1:61" ht="3" customHeight="1" x14ac:dyDescent="0.25">
      <c r="B10" s="11"/>
      <c r="C10" s="11"/>
      <c r="D10" s="11"/>
      <c r="E10" s="11"/>
      <c r="F10" s="11"/>
      <c r="G10" s="11"/>
      <c r="H10" s="11"/>
      <c r="I10" s="11"/>
      <c r="J10" s="11"/>
      <c r="K10" s="11"/>
      <c r="L10" s="11"/>
      <c r="M10" s="11"/>
      <c r="N10" s="11"/>
      <c r="O10" s="11"/>
      <c r="P10" s="11"/>
      <c r="Q10" s="11"/>
      <c r="R10" s="11"/>
      <c r="S10" s="11"/>
      <c r="AO10" s="43"/>
      <c r="AP10" s="43"/>
      <c r="AQ10" s="44"/>
      <c r="AR10" s="44"/>
      <c r="AS10" s="44"/>
      <c r="AT10" s="44"/>
    </row>
    <row r="11" spans="1:61" x14ac:dyDescent="0.25">
      <c r="B11" s="45" t="s">
        <v>3</v>
      </c>
      <c r="AO11" s="42"/>
      <c r="AP11" s="42"/>
    </row>
    <row r="12" spans="1:61" x14ac:dyDescent="0.25">
      <c r="B12" s="6">
        <v>1</v>
      </c>
      <c r="C12" s="6" t="str">
        <f>VLOOKUP(AK12,$B$4:$F$7,2,FALSE)</f>
        <v>D</v>
      </c>
      <c r="D12" s="46" t="s">
        <v>5</v>
      </c>
      <c r="E12" s="90" t="str">
        <f>VLOOKUP(AL12,$B$4:$F$7,2,FALSE)</f>
        <v>A</v>
      </c>
      <c r="F12" s="90"/>
      <c r="G12" s="90"/>
      <c r="H12" s="90"/>
      <c r="J12" s="90" t="str">
        <f>IF(S12="","",VLOOKUP(S12,Configuratie!$B$2:$E$11,3,FALSE))</f>
        <v/>
      </c>
      <c r="K12" s="90"/>
      <c r="L12" s="47" t="s">
        <v>5</v>
      </c>
      <c r="N12" s="90" t="str">
        <f>IF(S12="","",VLOOKUP(S12,Configuratie!$B$2:$E$11,4,FALSE))</f>
        <v/>
      </c>
      <c r="O12" s="90"/>
      <c r="Q12" s="6" t="str">
        <f>IF(S12="","",VLOOKUP(S12,Configuratie!$B$2:$E$11,2,FALSE))</f>
        <v/>
      </c>
      <c r="S12" s="5"/>
      <c r="AJ12" s="6">
        <v>1</v>
      </c>
      <c r="AK12" s="6">
        <v>4</v>
      </c>
      <c r="AL12" s="6">
        <v>1</v>
      </c>
      <c r="AM12" s="6" t="str">
        <f>IF(AND(ISNUMBER(J12),ISNUMBER(N12)),IF(J12+N12=1,1,0),"")</f>
        <v/>
      </c>
      <c r="AO12" s="48">
        <f>AK12*100+AL12</f>
        <v>401</v>
      </c>
      <c r="AP12" s="48">
        <f>AL12*100+AK12</f>
        <v>104</v>
      </c>
      <c r="AQ12" s="6">
        <v>0</v>
      </c>
      <c r="AR12" s="6">
        <v>0</v>
      </c>
      <c r="AS12" s="6" t="e">
        <f>J12*AR12</f>
        <v>#VALUE!</v>
      </c>
      <c r="AT12" s="6" t="e">
        <f>N12*AQ12</f>
        <v>#VALUE!</v>
      </c>
    </row>
    <row r="13" spans="1:61" x14ac:dyDescent="0.25">
      <c r="B13" s="6">
        <v>2</v>
      </c>
      <c r="C13" s="6" t="str">
        <f>VLOOKUP(AK13,$B$4:$F$7,2,FALSE)</f>
        <v>C</v>
      </c>
      <c r="D13" s="46" t="s">
        <v>5</v>
      </c>
      <c r="E13" s="90" t="str">
        <f>VLOOKUP(AL13,$B$4:$F$7,2,FALSE)</f>
        <v>B</v>
      </c>
      <c r="F13" s="90"/>
      <c r="G13" s="90"/>
      <c r="H13" s="90"/>
      <c r="J13" s="90" t="str">
        <f>IF(S13="","",VLOOKUP(S13,Configuratie!$B$2:$E$11,3,FALSE))</f>
        <v/>
      </c>
      <c r="K13" s="90"/>
      <c r="L13" s="47" t="s">
        <v>5</v>
      </c>
      <c r="N13" s="90" t="str">
        <f>IF(S13="","",VLOOKUP(S13,Configuratie!$B$2:$E$11,4,FALSE))</f>
        <v/>
      </c>
      <c r="O13" s="90"/>
      <c r="Q13" s="6" t="str">
        <f>IF(S13="","",VLOOKUP(S13,Configuratie!$B$2:$E$11,2,FALSE))</f>
        <v/>
      </c>
      <c r="S13" s="5"/>
      <c r="AJ13" s="6">
        <v>1</v>
      </c>
      <c r="AK13" s="6">
        <v>3</v>
      </c>
      <c r="AL13" s="6">
        <v>2</v>
      </c>
      <c r="AM13" s="6" t="str">
        <f>IF(AND(ISNUMBER(J13),ISNUMBER(N13)),IF(J13+N13=1,1,0),"")</f>
        <v/>
      </c>
      <c r="AO13" s="48">
        <f>AK13*100+AL13</f>
        <v>302</v>
      </c>
      <c r="AP13" s="48">
        <f>AL13*100+AK13</f>
        <v>203</v>
      </c>
      <c r="AQ13" s="6">
        <v>0</v>
      </c>
      <c r="AR13" s="6">
        <v>0</v>
      </c>
      <c r="AS13" s="6" t="e">
        <f>J13*AR13</f>
        <v>#VALUE!</v>
      </c>
      <c r="AT13" s="6" t="e">
        <f>N13*AQ13</f>
        <v>#VALUE!</v>
      </c>
    </row>
    <row r="14" spans="1:61" ht="3" customHeight="1" x14ac:dyDescent="0.25">
      <c r="B14" s="11"/>
      <c r="C14" s="11"/>
      <c r="D14" s="11"/>
      <c r="E14" s="11"/>
      <c r="F14" s="11"/>
      <c r="G14" s="11"/>
      <c r="H14" s="11"/>
      <c r="I14" s="11"/>
      <c r="J14" s="11"/>
      <c r="K14" s="11"/>
      <c r="L14" s="11"/>
      <c r="M14" s="11"/>
      <c r="N14" s="11"/>
      <c r="O14" s="11"/>
      <c r="P14" s="11"/>
      <c r="Q14" s="11"/>
      <c r="R14" s="11"/>
      <c r="S14" s="11"/>
      <c r="AO14" s="42"/>
      <c r="AP14" s="42"/>
    </row>
    <row r="15" spans="1:61" x14ac:dyDescent="0.25">
      <c r="B15" s="45" t="s">
        <v>9</v>
      </c>
      <c r="AO15" s="42"/>
      <c r="AP15" s="42"/>
    </row>
    <row r="16" spans="1:61" x14ac:dyDescent="0.25">
      <c r="B16" s="6">
        <v>1</v>
      </c>
      <c r="C16" s="6" t="str">
        <f>VLOOKUP(AK16,$B$4:$F$7,2,FALSE)</f>
        <v>D</v>
      </c>
      <c r="D16" s="46" t="s">
        <v>5</v>
      </c>
      <c r="E16" s="90" t="str">
        <f>VLOOKUP(AL16,$B$4:$F$7,2,FALSE)</f>
        <v>B</v>
      </c>
      <c r="F16" s="90"/>
      <c r="G16" s="90"/>
      <c r="H16" s="90"/>
      <c r="J16" s="90" t="str">
        <f>IF(S16="","",VLOOKUP(S16,Configuratie!$B$2:$E$11,3,FALSE))</f>
        <v/>
      </c>
      <c r="K16" s="90"/>
      <c r="L16" s="47" t="s">
        <v>5</v>
      </c>
      <c r="N16" s="90" t="str">
        <f>IF(S16="","",VLOOKUP(S16,Configuratie!$B$2:$E$11,4,FALSE))</f>
        <v/>
      </c>
      <c r="O16" s="90"/>
      <c r="Q16" s="6" t="str">
        <f>IF(S16="","",VLOOKUP(S16,Configuratie!$B$2:$E$11,2,FALSE))</f>
        <v/>
      </c>
      <c r="S16" s="5"/>
      <c r="AJ16" s="6">
        <v>2</v>
      </c>
      <c r="AK16" s="6">
        <v>4</v>
      </c>
      <c r="AL16" s="6">
        <v>2</v>
      </c>
      <c r="AM16" s="6" t="str">
        <f>IF(AND(ISNUMBER(J16),ISNUMBER(N16)),IF(J16+N16=1,1,0),"")</f>
        <v/>
      </c>
      <c r="AO16" s="48">
        <f>AK16*100+AL16</f>
        <v>402</v>
      </c>
      <c r="AP16" s="48">
        <f>AL16*100+AK16</f>
        <v>204</v>
      </c>
      <c r="AQ16" s="6">
        <f>VLOOKUP(AK16,$AZ$3:$BI$7,$AJ16,FALSE)</f>
        <v>0</v>
      </c>
      <c r="AR16" s="6">
        <f>VLOOKUP(AL16,$AZ$3:$BI$7,$AJ16,FALSE)</f>
        <v>0</v>
      </c>
      <c r="AS16" s="6" t="e">
        <f>J16*AR16</f>
        <v>#VALUE!</v>
      </c>
      <c r="AT16" s="6" t="e">
        <f>N16*AQ16</f>
        <v>#VALUE!</v>
      </c>
    </row>
    <row r="17" spans="2:46" x14ac:dyDescent="0.25">
      <c r="B17" s="6">
        <v>2</v>
      </c>
      <c r="C17" s="6" t="str">
        <f>VLOOKUP(AK17,$B$4:$F$7,2,FALSE)</f>
        <v>A</v>
      </c>
      <c r="D17" s="46" t="s">
        <v>5</v>
      </c>
      <c r="E17" s="90" t="str">
        <f>VLOOKUP(AL17,$B$4:$F$7,2,FALSE)</f>
        <v>C</v>
      </c>
      <c r="F17" s="90"/>
      <c r="G17" s="90"/>
      <c r="H17" s="90"/>
      <c r="J17" s="90" t="str">
        <f>IF(S17="","",VLOOKUP(S17,Configuratie!$B$2:$E$11,3,FALSE))</f>
        <v/>
      </c>
      <c r="K17" s="90"/>
      <c r="L17" s="47" t="s">
        <v>5</v>
      </c>
      <c r="N17" s="90" t="str">
        <f>IF(S17="","",VLOOKUP(S17,Configuratie!$B$2:$E$11,4,FALSE))</f>
        <v/>
      </c>
      <c r="O17" s="90"/>
      <c r="Q17" s="6" t="str">
        <f>IF(S17="","",VLOOKUP(S17,Configuratie!$B$2:$E$11,2,FALSE))</f>
        <v/>
      </c>
      <c r="S17" s="5"/>
      <c r="AJ17" s="6">
        <v>2</v>
      </c>
      <c r="AK17" s="6">
        <v>1</v>
      </c>
      <c r="AL17" s="6">
        <v>3</v>
      </c>
      <c r="AM17" s="6" t="str">
        <f>IF(AND(ISNUMBER(J17),ISNUMBER(N17)),IF(J17+N17=1,1,0),"")</f>
        <v/>
      </c>
      <c r="AO17" s="48">
        <f>AK17*100+AL17</f>
        <v>103</v>
      </c>
      <c r="AP17" s="48">
        <f>AL17*100+AK17</f>
        <v>301</v>
      </c>
      <c r="AQ17" s="6">
        <f>VLOOKUP(AK17,$AZ$3:$BI$7,$AJ17,FALSE)</f>
        <v>0</v>
      </c>
      <c r="AR17" s="6">
        <f>VLOOKUP(AL17,$AZ$3:$BI$7,$AJ17,FALSE)</f>
        <v>0</v>
      </c>
      <c r="AS17" s="6" t="e">
        <f>J17*AR17</f>
        <v>#VALUE!</v>
      </c>
      <c r="AT17" s="6" t="e">
        <f>N17*AQ17</f>
        <v>#VALUE!</v>
      </c>
    </row>
    <row r="18" spans="2:46" ht="3" customHeight="1" x14ac:dyDescent="0.25">
      <c r="B18" s="11"/>
      <c r="C18" s="11"/>
      <c r="D18" s="11"/>
      <c r="E18" s="11"/>
      <c r="F18" s="11"/>
      <c r="G18" s="11"/>
      <c r="H18" s="11"/>
      <c r="I18" s="11"/>
      <c r="J18" s="11"/>
      <c r="K18" s="11"/>
      <c r="L18" s="11"/>
      <c r="M18" s="11"/>
      <c r="N18" s="11"/>
      <c r="O18" s="11"/>
      <c r="P18" s="11"/>
      <c r="Q18" s="11"/>
      <c r="R18" s="11"/>
      <c r="S18" s="11"/>
      <c r="AO18" s="42"/>
      <c r="AP18" s="42"/>
    </row>
    <row r="19" spans="2:46" x14ac:dyDescent="0.25">
      <c r="B19" s="45" t="s">
        <v>10</v>
      </c>
      <c r="AO19" s="42"/>
      <c r="AP19" s="42"/>
    </row>
    <row r="20" spans="2:46" x14ac:dyDescent="0.25">
      <c r="B20" s="6">
        <v>1</v>
      </c>
      <c r="C20" s="6" t="str">
        <f>VLOOKUP(AK20,$B$4:$F$7,2,FALSE)</f>
        <v>C</v>
      </c>
      <c r="D20" s="46" t="s">
        <v>5</v>
      </c>
      <c r="E20" s="90" t="str">
        <f>VLOOKUP(AL20,$B$4:$F$7,2,FALSE)</f>
        <v>D</v>
      </c>
      <c r="F20" s="90"/>
      <c r="G20" s="90"/>
      <c r="H20" s="90"/>
      <c r="J20" s="90" t="str">
        <f>IF(S20="","",VLOOKUP(S20,Configuratie!$B$2:$E$11,3,FALSE))</f>
        <v/>
      </c>
      <c r="K20" s="90"/>
      <c r="L20" s="47" t="s">
        <v>5</v>
      </c>
      <c r="N20" s="90" t="str">
        <f>IF(S20="","",VLOOKUP(S20,Configuratie!$B$2:$E$11,4,FALSE))</f>
        <v/>
      </c>
      <c r="O20" s="90"/>
      <c r="Q20" s="6" t="str">
        <f>IF(S20="","",VLOOKUP(S20,Configuratie!$B$2:$E$11,2,FALSE))</f>
        <v/>
      </c>
      <c r="S20" s="5"/>
      <c r="AJ20" s="6">
        <v>3</v>
      </c>
      <c r="AK20" s="6">
        <v>3</v>
      </c>
      <c r="AL20" s="6">
        <v>4</v>
      </c>
      <c r="AM20" s="6" t="str">
        <f>IF(AND(ISNUMBER(J20),ISNUMBER(N20)),IF(J20+N20=1,1,0),"")</f>
        <v/>
      </c>
      <c r="AO20" s="48">
        <f>AK20*100+AL20</f>
        <v>304</v>
      </c>
      <c r="AP20" s="48">
        <f>AL20*100+AK20</f>
        <v>403</v>
      </c>
      <c r="AQ20" s="6">
        <f>VLOOKUP(AK20,$AZ$3:$BI$7,$AJ20,FALSE)</f>
        <v>0</v>
      </c>
      <c r="AR20" s="6">
        <f>VLOOKUP(AL20,$AZ$3:$BI$7,$AJ20,FALSE)</f>
        <v>0</v>
      </c>
      <c r="AS20" s="6" t="e">
        <f>J20*AR20</f>
        <v>#VALUE!</v>
      </c>
      <c r="AT20" s="6" t="e">
        <f>N20*AQ20</f>
        <v>#VALUE!</v>
      </c>
    </row>
    <row r="21" spans="2:46" x14ac:dyDescent="0.25">
      <c r="B21" s="6">
        <v>2</v>
      </c>
      <c r="C21" s="6" t="str">
        <f>VLOOKUP(AK21,$B$4:$F$7,2,FALSE)</f>
        <v>B</v>
      </c>
      <c r="D21" s="46" t="s">
        <v>5</v>
      </c>
      <c r="E21" s="90" t="str">
        <f>VLOOKUP(AL21,$B$4:$F$7,2,FALSE)</f>
        <v>A</v>
      </c>
      <c r="F21" s="90"/>
      <c r="G21" s="90"/>
      <c r="H21" s="90"/>
      <c r="J21" s="90" t="str">
        <f>IF(S21="","",VLOOKUP(S21,Configuratie!$B$2:$E$11,3,FALSE))</f>
        <v/>
      </c>
      <c r="K21" s="90"/>
      <c r="L21" s="47" t="s">
        <v>5</v>
      </c>
      <c r="N21" s="90" t="str">
        <f>IF(S21="","",VLOOKUP(S21,Configuratie!$B$2:$E$11,4,FALSE))</f>
        <v/>
      </c>
      <c r="O21" s="90"/>
      <c r="Q21" s="6" t="str">
        <f>IF(S21="","",VLOOKUP(S21,Configuratie!$B$2:$E$11,2,FALSE))</f>
        <v/>
      </c>
      <c r="S21" s="5"/>
      <c r="AJ21" s="6">
        <v>3</v>
      </c>
      <c r="AK21" s="6">
        <v>2</v>
      </c>
      <c r="AL21" s="6">
        <v>1</v>
      </c>
      <c r="AM21" s="6" t="str">
        <f>IF(AND(ISNUMBER(J21),ISNUMBER(N21)),IF(J21+N21=1,1,0),"")</f>
        <v/>
      </c>
      <c r="AO21" s="48">
        <f>AK21*100+AL21</f>
        <v>201</v>
      </c>
      <c r="AP21" s="48">
        <f>AL21*100+AK21</f>
        <v>102</v>
      </c>
      <c r="AQ21" s="6">
        <f>VLOOKUP(AK21,$AZ$3:$BI$7,$AJ21,FALSE)</f>
        <v>0</v>
      </c>
      <c r="AR21" s="6">
        <f>VLOOKUP(AL21,$AZ$3:$BI$7,$AJ21,FALSE)</f>
        <v>0</v>
      </c>
      <c r="AS21" s="6" t="e">
        <f>J21*AR21</f>
        <v>#VALUE!</v>
      </c>
      <c r="AT21" s="6" t="e">
        <f>N21*AQ21</f>
        <v>#VALUE!</v>
      </c>
    </row>
    <row r="23" spans="2:46" ht="26.25" x14ac:dyDescent="0.4">
      <c r="B23" s="91" t="str">
        <f>"UITSLAG " &amp; G1</f>
        <v>UITSLAG GROEP A</v>
      </c>
      <c r="C23" s="92"/>
      <c r="D23" s="92"/>
      <c r="E23" s="92"/>
      <c r="F23" s="92"/>
      <c r="G23" s="92"/>
    </row>
    <row r="25" spans="2:46" x14ac:dyDescent="0.25">
      <c r="B25" s="7" t="s">
        <v>33</v>
      </c>
      <c r="C25" s="22" t="s">
        <v>30</v>
      </c>
      <c r="D25" s="7" t="s">
        <v>6</v>
      </c>
      <c r="E25" s="7" t="s">
        <v>29</v>
      </c>
      <c r="F25" s="7" t="s">
        <v>24</v>
      </c>
      <c r="G25" s="7" t="s">
        <v>26</v>
      </c>
    </row>
    <row r="26" spans="2:46" x14ac:dyDescent="0.25">
      <c r="B26" s="31">
        <v>1</v>
      </c>
      <c r="C26" s="32">
        <v>4</v>
      </c>
      <c r="D26" s="33" t="str">
        <f>IF(ISNA(VLOOKUP(B26,$A$4:$T$7,3,FALSE)),C4,VLOOKUP(B26,$A$4:$T$7,3,FALSE))</f>
        <v>A</v>
      </c>
      <c r="E26" s="34">
        <f t="shared" ref="E26:F29" si="14">IF(ISNA(VLOOKUP($B4,$A$4:$S$7,17,FALSE)),0,VLOOKUP($B4,$A$4:$S$7,17,FALSE))</f>
        <v>0</v>
      </c>
      <c r="F26" s="34">
        <f t="shared" si="14"/>
        <v>0</v>
      </c>
      <c r="G26" s="34">
        <f>IF(ISNA(VLOOKUP($B4,$A$4:$S$7,18,FALSE)),0,VLOOKUP($B4,$A$4:$S$7,18,FALSE))</f>
        <v>0</v>
      </c>
    </row>
    <row r="27" spans="2:46" x14ac:dyDescent="0.25">
      <c r="B27" s="31">
        <v>2</v>
      </c>
      <c r="C27" s="32">
        <v>3</v>
      </c>
      <c r="D27" s="33" t="str">
        <f>IF(ISNA(VLOOKUP(B27,$A$4:$T$7,3,FALSE)),C5,VLOOKUP(B27,$A$4:$T$7,3,FALSE))</f>
        <v>B</v>
      </c>
      <c r="E27" s="34">
        <f t="shared" si="14"/>
        <v>0</v>
      </c>
      <c r="F27" s="34">
        <f t="shared" si="14"/>
        <v>0</v>
      </c>
      <c r="G27" s="34">
        <f>IF(ISNA(VLOOKUP($B5,$A$4:$S$7,18,FALSE)),0,VLOOKUP($B5,$A$4:$S$7,18,FALSE))</f>
        <v>0</v>
      </c>
    </row>
    <row r="28" spans="2:46" x14ac:dyDescent="0.25">
      <c r="B28" s="31">
        <v>3</v>
      </c>
      <c r="C28" s="32">
        <v>2</v>
      </c>
      <c r="D28" s="33" t="str">
        <f>IF(ISNA(VLOOKUP(B28,$A$4:$T$7,3,FALSE)),C6,VLOOKUP(B28,$A$4:$T$7,3,FALSE))</f>
        <v>C</v>
      </c>
      <c r="E28" s="34">
        <f t="shared" si="14"/>
        <v>0</v>
      </c>
      <c r="F28" s="34">
        <f t="shared" si="14"/>
        <v>0</v>
      </c>
      <c r="G28" s="34">
        <f>IF(ISNA(VLOOKUP($B6,$A$4:$S$7,18,FALSE)),0,VLOOKUP($B6,$A$4:$S$7,18,FALSE))</f>
        <v>0</v>
      </c>
    </row>
    <row r="29" spans="2:46" x14ac:dyDescent="0.25">
      <c r="B29" s="31">
        <v>4</v>
      </c>
      <c r="C29" s="32">
        <v>1</v>
      </c>
      <c r="D29" s="33" t="str">
        <f>IF(ISNA(VLOOKUP(B29,$A$4:$T$7,3,FALSE)),C7,VLOOKUP(B29,$A$4:$T$7,3,FALSE))</f>
        <v>D</v>
      </c>
      <c r="E29" s="34">
        <f t="shared" si="14"/>
        <v>0</v>
      </c>
      <c r="F29" s="34">
        <f t="shared" si="14"/>
        <v>0</v>
      </c>
      <c r="G29" s="34">
        <f>IF(ISNA(VLOOKUP($B7,$A$4:$S$7,18,FALSE)),0,VLOOKUP($B7,$A$4:$S$7,18,FALSE))</f>
        <v>0</v>
      </c>
    </row>
  </sheetData>
  <sheetProtection algorithmName="SHA-512" hashValue="wCfSh4Ag0tDotQUNV0M0HLTHv99DHn7YTKoQvYoTDMVimubEIrOSyBVaGIG2qx1v0NehkRTixGIPy9bnLtysMA==" saltValue="QovuQAfUC1Hp0isMTE/f4g==" spinCount="100000" sheet="1" objects="1" scenarios="1" selectLockedCells="1"/>
  <sortState xmlns:xlrd2="http://schemas.microsoft.com/office/spreadsheetml/2017/richdata2" ref="U4:U7">
    <sortCondition descending="1" ref="U4:U7"/>
  </sortState>
  <mergeCells count="27">
    <mergeCell ref="E16:H16"/>
    <mergeCell ref="J16:K16"/>
    <mergeCell ref="N16:O16"/>
    <mergeCell ref="B1:F1"/>
    <mergeCell ref="N20:O20"/>
    <mergeCell ref="E21:H21"/>
    <mergeCell ref="J21:K21"/>
    <mergeCell ref="N21:O21"/>
    <mergeCell ref="E17:H17"/>
    <mergeCell ref="J17:K17"/>
    <mergeCell ref="N17:O17"/>
    <mergeCell ref="B23:G23"/>
    <mergeCell ref="AP2:AX2"/>
    <mergeCell ref="BA2:BI2"/>
    <mergeCell ref="D3:E3"/>
    <mergeCell ref="D7:E7"/>
    <mergeCell ref="D4:E4"/>
    <mergeCell ref="D5:E5"/>
    <mergeCell ref="D6:E6"/>
    <mergeCell ref="E12:H12"/>
    <mergeCell ref="J12:K12"/>
    <mergeCell ref="N12:O12"/>
    <mergeCell ref="E13:H13"/>
    <mergeCell ref="J13:K13"/>
    <mergeCell ref="N13:O13"/>
    <mergeCell ref="E20:H20"/>
    <mergeCell ref="J20:K20"/>
  </mergeCells>
  <conditionalFormatting sqref="M4:Q7 R4:S8">
    <cfRule type="cellIs" dxfId="3" priority="5" stopIfTrue="1" operator="between">
      <formula>0</formula>
      <formula>1</formula>
    </cfRule>
  </conditionalFormatting>
  <conditionalFormatting sqref="S4:S7">
    <cfRule type="cellIs" dxfId="2" priority="1" operator="equal">
      <formula>3</formula>
    </cfRule>
    <cfRule type="cellIs" dxfId="1" priority="2" operator="equal">
      <formula>2</formula>
    </cfRule>
    <cfRule type="cellIs" dxfId="0" priority="3" operator="equal">
      <formula>1</formula>
    </cfRule>
  </conditionalFormatting>
  <printOptions horizontalCentered="1"/>
  <pageMargins left="0.78740157480314965" right="0.78740157480314965" top="0.74803149606299213" bottom="0.74803149606299213" header="0" footer="0"/>
  <pageSetup paperSize="9" scale="69" orientation="portrait" horizontalDpi="4294967293" verticalDpi="4294967293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Blad5"/>
  <dimension ref="A1:K241"/>
  <sheetViews>
    <sheetView workbookViewId="0">
      <selection activeCell="G13" sqref="G13"/>
    </sheetView>
  </sheetViews>
  <sheetFormatPr defaultRowHeight="15" x14ac:dyDescent="0.25"/>
  <cols>
    <col min="2" max="2" width="42.5703125" customWidth="1"/>
  </cols>
  <sheetData>
    <row r="1" spans="1:11" ht="26.25" x14ac:dyDescent="0.4">
      <c r="A1" s="114" t="s">
        <v>51</v>
      </c>
      <c r="B1" s="114"/>
      <c r="C1" s="114"/>
      <c r="D1" s="114"/>
      <c r="E1" s="114"/>
    </row>
    <row r="2" spans="1:11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</row>
    <row r="3" spans="1:11" x14ac:dyDescent="0.25">
      <c r="A3" s="2"/>
      <c r="B3" s="2"/>
      <c r="C3" s="2"/>
      <c r="D3" s="2"/>
      <c r="E3" s="2"/>
      <c r="F3" s="1"/>
      <c r="G3" s="1"/>
      <c r="H3" s="1"/>
      <c r="I3" s="1"/>
      <c r="J3" s="1"/>
      <c r="K3" s="1"/>
    </row>
    <row r="4" spans="1:11" x14ac:dyDescent="0.25">
      <c r="A4" s="3"/>
      <c r="B4" s="3"/>
      <c r="C4" s="3"/>
      <c r="D4" s="3"/>
      <c r="E4" s="3"/>
      <c r="F4" s="1"/>
      <c r="G4" s="1"/>
      <c r="H4" s="1"/>
      <c r="I4" s="1"/>
      <c r="J4" s="1"/>
      <c r="K4" s="1"/>
    </row>
    <row r="5" spans="1:11" x14ac:dyDescent="0.25">
      <c r="A5" s="1"/>
      <c r="B5" s="1"/>
      <c r="C5" s="1"/>
      <c r="D5" s="1"/>
      <c r="E5" s="1"/>
      <c r="F5" s="1"/>
      <c r="G5" s="1"/>
      <c r="H5" s="1"/>
      <c r="I5" s="1"/>
      <c r="J5" s="1"/>
      <c r="K5" s="1"/>
    </row>
    <row r="6" spans="1:11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</row>
    <row r="7" spans="1:11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</row>
    <row r="8" spans="1:11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</row>
    <row r="9" spans="1:11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</row>
    <row r="10" spans="1:11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</row>
    <row r="11" spans="1:11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</row>
    <row r="12" spans="1:11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</row>
    <row r="13" spans="1:11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</row>
    <row r="14" spans="1:11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</row>
    <row r="15" spans="1:11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</row>
    <row r="16" spans="1:11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</row>
    <row r="17" spans="1:11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</row>
    <row r="18" spans="1:11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</row>
    <row r="19" spans="1:11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</row>
    <row r="20" spans="1:11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</row>
    <row r="21" spans="1:11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</row>
    <row r="22" spans="1:11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</row>
    <row r="23" spans="1:11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</row>
    <row r="24" spans="1:11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</row>
    <row r="25" spans="1:11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</row>
    <row r="26" spans="1:11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</row>
    <row r="27" spans="1:11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</row>
    <row r="28" spans="1:11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</row>
    <row r="29" spans="1:11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</row>
    <row r="30" spans="1:11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</row>
    <row r="31" spans="1:11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</row>
    <row r="32" spans="1:11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</row>
    <row r="33" spans="1:11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</row>
    <row r="34" spans="1:11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</row>
    <row r="35" spans="1:11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</row>
    <row r="36" spans="1:11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</row>
    <row r="37" spans="1:11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</row>
    <row r="38" spans="1:11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</row>
    <row r="39" spans="1:11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</row>
    <row r="40" spans="1:11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</row>
    <row r="41" spans="1:11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</row>
    <row r="42" spans="1:11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</row>
    <row r="43" spans="1:11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</row>
    <row r="44" spans="1:11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</row>
    <row r="45" spans="1:11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</row>
    <row r="46" spans="1:11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</row>
    <row r="47" spans="1:11" x14ac:dyDescent="0.25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</row>
    <row r="48" spans="1:11" x14ac:dyDescent="0.2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</row>
    <row r="49" spans="1:11" x14ac:dyDescent="0.25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</row>
    <row r="50" spans="1:11" x14ac:dyDescent="0.25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</row>
    <row r="51" spans="1:11" x14ac:dyDescent="0.25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</row>
    <row r="52" spans="1:11" x14ac:dyDescent="0.25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</row>
    <row r="53" spans="1:11" x14ac:dyDescent="0.25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</row>
    <row r="54" spans="1:11" x14ac:dyDescent="0.25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</row>
    <row r="55" spans="1:11" x14ac:dyDescent="0.25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</row>
    <row r="56" spans="1:11" x14ac:dyDescent="0.25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</row>
    <row r="57" spans="1:11" x14ac:dyDescent="0.25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</row>
    <row r="58" spans="1:11" x14ac:dyDescent="0.25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</row>
    <row r="59" spans="1:11" x14ac:dyDescent="0.25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</row>
    <row r="60" spans="1:11" x14ac:dyDescent="0.25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</row>
    <row r="61" spans="1:11" x14ac:dyDescent="0.25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</row>
    <row r="62" spans="1:11" x14ac:dyDescent="0.25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</row>
    <row r="63" spans="1:11" x14ac:dyDescent="0.25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</row>
    <row r="64" spans="1:11" x14ac:dyDescent="0.25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</row>
    <row r="65" spans="1:11" x14ac:dyDescent="0.25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</row>
    <row r="66" spans="1:11" x14ac:dyDescent="0.25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</row>
    <row r="67" spans="1:11" x14ac:dyDescent="0.25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</row>
    <row r="68" spans="1:11" x14ac:dyDescent="0.25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</row>
    <row r="69" spans="1:11" x14ac:dyDescent="0.25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</row>
    <row r="70" spans="1:11" x14ac:dyDescent="0.25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</row>
    <row r="71" spans="1:11" x14ac:dyDescent="0.25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</row>
    <row r="72" spans="1:11" x14ac:dyDescent="0.25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</row>
    <row r="73" spans="1:11" x14ac:dyDescent="0.25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</row>
    <row r="74" spans="1:11" x14ac:dyDescent="0.25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</row>
    <row r="75" spans="1:11" x14ac:dyDescent="0.25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</row>
    <row r="76" spans="1:11" x14ac:dyDescent="0.25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</row>
    <row r="77" spans="1:11" x14ac:dyDescent="0.25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</row>
    <row r="78" spans="1:11" x14ac:dyDescent="0.25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</row>
    <row r="79" spans="1:11" x14ac:dyDescent="0.25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</row>
    <row r="80" spans="1:11" x14ac:dyDescent="0.25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</row>
    <row r="81" spans="1:11" x14ac:dyDescent="0.25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</row>
    <row r="82" spans="1:11" x14ac:dyDescent="0.25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</row>
    <row r="83" spans="1:11" x14ac:dyDescent="0.25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</row>
    <row r="84" spans="1:11" x14ac:dyDescent="0.25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</row>
    <row r="85" spans="1:11" x14ac:dyDescent="0.25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</row>
    <row r="86" spans="1:11" x14ac:dyDescent="0.25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</row>
    <row r="87" spans="1:11" x14ac:dyDescent="0.25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</row>
    <row r="88" spans="1:11" x14ac:dyDescent="0.25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</row>
    <row r="89" spans="1:11" x14ac:dyDescent="0.25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</row>
    <row r="90" spans="1:11" x14ac:dyDescent="0.25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</row>
    <row r="91" spans="1:11" x14ac:dyDescent="0.25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</row>
    <row r="92" spans="1:11" x14ac:dyDescent="0.25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</row>
    <row r="93" spans="1:11" x14ac:dyDescent="0.25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</row>
    <row r="94" spans="1:11" x14ac:dyDescent="0.25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</row>
    <row r="95" spans="1:11" x14ac:dyDescent="0.25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</row>
    <row r="96" spans="1:11" x14ac:dyDescent="0.25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</row>
    <row r="97" spans="1:11" x14ac:dyDescent="0.25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</row>
    <row r="98" spans="1:11" x14ac:dyDescent="0.25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</row>
    <row r="99" spans="1:11" x14ac:dyDescent="0.25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</row>
    <row r="100" spans="1:11" x14ac:dyDescent="0.25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</row>
    <row r="101" spans="1:11" x14ac:dyDescent="0.25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</row>
    <row r="102" spans="1:11" x14ac:dyDescent="0.25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</row>
    <row r="103" spans="1:11" x14ac:dyDescent="0.25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</row>
    <row r="104" spans="1:11" x14ac:dyDescent="0.25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</row>
    <row r="105" spans="1:11" x14ac:dyDescent="0.25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</row>
    <row r="106" spans="1:11" x14ac:dyDescent="0.25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</row>
    <row r="107" spans="1:11" x14ac:dyDescent="0.25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</row>
    <row r="108" spans="1:11" x14ac:dyDescent="0.25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</row>
    <row r="109" spans="1:11" x14ac:dyDescent="0.25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</row>
    <row r="110" spans="1:11" x14ac:dyDescent="0.25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</row>
    <row r="111" spans="1:11" x14ac:dyDescent="0.25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</row>
    <row r="112" spans="1:11" x14ac:dyDescent="0.25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</row>
    <row r="113" spans="1:11" x14ac:dyDescent="0.25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</row>
    <row r="114" spans="1:11" x14ac:dyDescent="0.25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</row>
    <row r="115" spans="1:11" x14ac:dyDescent="0.25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</row>
    <row r="116" spans="1:11" x14ac:dyDescent="0.25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</row>
    <row r="117" spans="1:11" x14ac:dyDescent="0.25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</row>
    <row r="118" spans="1:11" x14ac:dyDescent="0.25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</row>
    <row r="119" spans="1:11" x14ac:dyDescent="0.25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</row>
    <row r="120" spans="1:11" x14ac:dyDescent="0.25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</row>
    <row r="121" spans="1:11" x14ac:dyDescent="0.25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</row>
    <row r="122" spans="1:11" x14ac:dyDescent="0.25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</row>
    <row r="123" spans="1:11" x14ac:dyDescent="0.25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</row>
    <row r="124" spans="1:11" x14ac:dyDescent="0.25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</row>
    <row r="125" spans="1:11" x14ac:dyDescent="0.25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</row>
    <row r="126" spans="1:11" x14ac:dyDescent="0.25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</row>
    <row r="127" spans="1:11" x14ac:dyDescent="0.25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</row>
    <row r="128" spans="1:11" x14ac:dyDescent="0.25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</row>
    <row r="129" spans="1:11" x14ac:dyDescent="0.25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</row>
    <row r="130" spans="1:11" x14ac:dyDescent="0.25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</row>
    <row r="131" spans="1:11" x14ac:dyDescent="0.25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</row>
    <row r="132" spans="1:11" x14ac:dyDescent="0.25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</row>
    <row r="133" spans="1:11" x14ac:dyDescent="0.25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</row>
    <row r="134" spans="1:11" x14ac:dyDescent="0.25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</row>
    <row r="135" spans="1:11" x14ac:dyDescent="0.25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</row>
    <row r="136" spans="1:11" x14ac:dyDescent="0.25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</row>
    <row r="137" spans="1:11" x14ac:dyDescent="0.25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</row>
    <row r="138" spans="1:11" x14ac:dyDescent="0.25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</row>
    <row r="139" spans="1:11" x14ac:dyDescent="0.25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</row>
    <row r="140" spans="1:11" x14ac:dyDescent="0.25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</row>
    <row r="141" spans="1:11" x14ac:dyDescent="0.25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</row>
    <row r="142" spans="1:11" x14ac:dyDescent="0.25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</row>
    <row r="143" spans="1:11" x14ac:dyDescent="0.25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</row>
    <row r="144" spans="1:11" x14ac:dyDescent="0.25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</row>
    <row r="145" spans="1:11" x14ac:dyDescent="0.25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</row>
    <row r="146" spans="1:11" x14ac:dyDescent="0.25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</row>
    <row r="147" spans="1:11" x14ac:dyDescent="0.25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</row>
    <row r="148" spans="1:11" x14ac:dyDescent="0.25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</row>
    <row r="149" spans="1:11" x14ac:dyDescent="0.25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</row>
    <row r="150" spans="1:11" x14ac:dyDescent="0.25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</row>
    <row r="151" spans="1:11" x14ac:dyDescent="0.25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</row>
    <row r="152" spans="1:11" x14ac:dyDescent="0.25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</row>
    <row r="153" spans="1:11" x14ac:dyDescent="0.25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</row>
    <row r="154" spans="1:11" x14ac:dyDescent="0.25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</row>
    <row r="155" spans="1:11" x14ac:dyDescent="0.25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</row>
    <row r="156" spans="1:11" x14ac:dyDescent="0.25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</row>
    <row r="157" spans="1:11" x14ac:dyDescent="0.25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</row>
    <row r="158" spans="1:11" x14ac:dyDescent="0.25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</row>
    <row r="159" spans="1:11" x14ac:dyDescent="0.25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</row>
    <row r="160" spans="1:11" x14ac:dyDescent="0.25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</row>
    <row r="161" spans="1:11" x14ac:dyDescent="0.25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</row>
    <row r="162" spans="1:11" x14ac:dyDescent="0.25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</row>
    <row r="163" spans="1:11" x14ac:dyDescent="0.25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</row>
    <row r="164" spans="1:11" x14ac:dyDescent="0.25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</row>
    <row r="165" spans="1:11" x14ac:dyDescent="0.25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</row>
    <row r="166" spans="1:11" x14ac:dyDescent="0.25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</row>
    <row r="167" spans="1:11" x14ac:dyDescent="0.25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</row>
    <row r="168" spans="1:11" x14ac:dyDescent="0.25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</row>
    <row r="169" spans="1:11" x14ac:dyDescent="0.25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</row>
    <row r="170" spans="1:11" x14ac:dyDescent="0.25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</row>
    <row r="171" spans="1:11" x14ac:dyDescent="0.25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</row>
    <row r="172" spans="1:11" x14ac:dyDescent="0.25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</row>
    <row r="173" spans="1:11" x14ac:dyDescent="0.25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</row>
    <row r="174" spans="1:11" x14ac:dyDescent="0.25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</row>
    <row r="175" spans="1:11" x14ac:dyDescent="0.25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</row>
    <row r="176" spans="1:11" x14ac:dyDescent="0.25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</row>
    <row r="177" spans="1:11" x14ac:dyDescent="0.25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</row>
    <row r="178" spans="1:11" x14ac:dyDescent="0.25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</row>
    <row r="179" spans="1:11" x14ac:dyDescent="0.25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</row>
    <row r="180" spans="1:11" x14ac:dyDescent="0.25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</row>
    <row r="181" spans="1:11" x14ac:dyDescent="0.25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</row>
    <row r="182" spans="1:11" x14ac:dyDescent="0.25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</row>
    <row r="183" spans="1:11" x14ac:dyDescent="0.25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</row>
    <row r="184" spans="1:11" x14ac:dyDescent="0.25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</row>
    <row r="185" spans="1:11" x14ac:dyDescent="0.25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</row>
    <row r="186" spans="1:11" x14ac:dyDescent="0.25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</row>
    <row r="187" spans="1:11" x14ac:dyDescent="0.25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</row>
    <row r="188" spans="1:11" x14ac:dyDescent="0.25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</row>
    <row r="189" spans="1:11" x14ac:dyDescent="0.25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</row>
    <row r="190" spans="1:11" x14ac:dyDescent="0.25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</row>
    <row r="191" spans="1:11" x14ac:dyDescent="0.25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</row>
    <row r="192" spans="1:11" x14ac:dyDescent="0.25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</row>
    <row r="193" spans="1:11" x14ac:dyDescent="0.25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</row>
    <row r="194" spans="1:11" x14ac:dyDescent="0.25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</row>
    <row r="195" spans="1:11" x14ac:dyDescent="0.25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</row>
    <row r="196" spans="1:11" x14ac:dyDescent="0.25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</row>
    <row r="197" spans="1:11" x14ac:dyDescent="0.25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</row>
    <row r="198" spans="1:11" x14ac:dyDescent="0.25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</row>
    <row r="199" spans="1:11" x14ac:dyDescent="0.25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</row>
    <row r="200" spans="1:11" x14ac:dyDescent="0.25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</row>
    <row r="201" spans="1:11" x14ac:dyDescent="0.25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</row>
    <row r="202" spans="1:11" x14ac:dyDescent="0.25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</row>
    <row r="203" spans="1:11" x14ac:dyDescent="0.25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</row>
    <row r="204" spans="1:11" x14ac:dyDescent="0.25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</row>
    <row r="205" spans="1:11" x14ac:dyDescent="0.25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</row>
    <row r="206" spans="1:11" x14ac:dyDescent="0.25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</row>
    <row r="207" spans="1:11" x14ac:dyDescent="0.25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</row>
    <row r="208" spans="1:11" x14ac:dyDescent="0.25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</row>
    <row r="209" spans="1:11" x14ac:dyDescent="0.25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</row>
    <row r="210" spans="1:11" x14ac:dyDescent="0.25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</row>
    <row r="211" spans="1:11" x14ac:dyDescent="0.25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</row>
    <row r="212" spans="1:11" x14ac:dyDescent="0.25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</row>
    <row r="213" spans="1:11" x14ac:dyDescent="0.25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</row>
    <row r="214" spans="1:11" x14ac:dyDescent="0.25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</row>
    <row r="215" spans="1:11" x14ac:dyDescent="0.25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</row>
    <row r="216" spans="1:11" x14ac:dyDescent="0.25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</row>
    <row r="217" spans="1:11" x14ac:dyDescent="0.25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</row>
    <row r="218" spans="1:11" x14ac:dyDescent="0.25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</row>
    <row r="219" spans="1:11" x14ac:dyDescent="0.25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</row>
    <row r="220" spans="1:11" x14ac:dyDescent="0.25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</row>
    <row r="221" spans="1:11" x14ac:dyDescent="0.25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</row>
    <row r="222" spans="1:11" x14ac:dyDescent="0.25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</row>
    <row r="223" spans="1:11" x14ac:dyDescent="0.25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</row>
    <row r="224" spans="1:11" x14ac:dyDescent="0.25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</row>
    <row r="225" spans="1:11" x14ac:dyDescent="0.25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</row>
    <row r="226" spans="1:11" x14ac:dyDescent="0.25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</row>
    <row r="227" spans="1:11" x14ac:dyDescent="0.25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</row>
    <row r="228" spans="1:11" x14ac:dyDescent="0.25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</row>
    <row r="229" spans="1:11" x14ac:dyDescent="0.25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</row>
    <row r="230" spans="1:11" x14ac:dyDescent="0.25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</row>
    <row r="231" spans="1:11" x14ac:dyDescent="0.25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</row>
    <row r="232" spans="1:11" x14ac:dyDescent="0.25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</row>
    <row r="233" spans="1:11" x14ac:dyDescent="0.25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</row>
    <row r="234" spans="1:11" x14ac:dyDescent="0.25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</row>
    <row r="235" spans="1:11" x14ac:dyDescent="0.25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</row>
    <row r="236" spans="1:11" x14ac:dyDescent="0.25">
      <c r="A236" s="1"/>
      <c r="B236" s="1"/>
      <c r="C236" s="1"/>
      <c r="D236" s="1"/>
      <c r="E236" s="1"/>
      <c r="F236" s="1"/>
      <c r="G236" s="1"/>
    </row>
    <row r="237" spans="1:11" x14ac:dyDescent="0.25">
      <c r="A237" s="1"/>
      <c r="B237" s="1"/>
      <c r="C237" s="1"/>
      <c r="D237" s="1"/>
      <c r="E237" s="1"/>
      <c r="F237" s="1"/>
      <c r="G237" s="1"/>
    </row>
    <row r="238" spans="1:11" x14ac:dyDescent="0.25">
      <c r="A238" s="1"/>
      <c r="B238" s="1"/>
      <c r="C238" s="1"/>
      <c r="D238" s="1"/>
      <c r="E238" s="1"/>
      <c r="F238" s="1"/>
      <c r="G238" s="1"/>
    </row>
    <row r="239" spans="1:11" x14ac:dyDescent="0.25">
      <c r="A239" s="1"/>
      <c r="B239" s="1"/>
      <c r="C239" s="1"/>
      <c r="D239" s="1"/>
      <c r="E239" s="1"/>
      <c r="F239" s="1"/>
      <c r="G239" s="1"/>
    </row>
    <row r="240" spans="1:11" x14ac:dyDescent="0.25">
      <c r="A240" s="1"/>
      <c r="B240" s="1"/>
      <c r="C240" s="1"/>
      <c r="D240" s="1"/>
      <c r="E240" s="1"/>
      <c r="F240" s="1"/>
      <c r="G240" s="1"/>
    </row>
    <row r="241" spans="1:7" x14ac:dyDescent="0.25">
      <c r="A241" s="1"/>
      <c r="B241" s="1"/>
      <c r="C241" s="1"/>
      <c r="D241" s="1"/>
      <c r="E241" s="1"/>
      <c r="F241" s="1"/>
      <c r="G241" s="1"/>
    </row>
  </sheetData>
  <sheetProtection algorithmName="SHA-512" hashValue="K4/wDuDGUdSyi7DVCFER1rH8lqQrMdRD3uGHoOSb+ruScAW1vLPp+2D30X6k8lO1JYpyD+TU1ZTKZWitI4jn3g==" saltValue="+hCWdnQ8qGYiNImoLVx4sw==" spinCount="100000" sheet="1" selectLockedCells="1"/>
  <mergeCells count="1">
    <mergeCell ref="A1:E1"/>
  </mergeCells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Blad6"/>
  <dimension ref="A1:H223"/>
  <sheetViews>
    <sheetView workbookViewId="0">
      <selection activeCell="B27" sqref="B27"/>
    </sheetView>
  </sheetViews>
  <sheetFormatPr defaultRowHeight="15" x14ac:dyDescent="0.25"/>
  <cols>
    <col min="1" max="1" width="41" customWidth="1"/>
    <col min="2" max="2" width="13.42578125" customWidth="1"/>
  </cols>
  <sheetData>
    <row r="1" spans="1:8" ht="26.25" x14ac:dyDescent="0.4">
      <c r="A1" s="114" t="s">
        <v>50</v>
      </c>
      <c r="B1" s="114"/>
      <c r="C1" s="114"/>
      <c r="D1" s="114"/>
      <c r="E1" s="114"/>
    </row>
    <row r="2" spans="1:8" x14ac:dyDescent="0.25">
      <c r="A2" s="1"/>
      <c r="B2" s="1"/>
      <c r="C2" s="1"/>
      <c r="D2" s="1"/>
      <c r="E2" s="1"/>
      <c r="F2" s="1"/>
      <c r="G2" s="1"/>
      <c r="H2" s="1"/>
    </row>
    <row r="3" spans="1:8" x14ac:dyDescent="0.25">
      <c r="A3" s="2"/>
      <c r="B3" s="2"/>
      <c r="C3" s="2"/>
      <c r="D3" s="2"/>
      <c r="E3" s="2"/>
      <c r="F3" s="1"/>
      <c r="G3" s="1"/>
      <c r="H3" s="1"/>
    </row>
    <row r="4" spans="1:8" x14ac:dyDescent="0.25">
      <c r="A4" s="3"/>
      <c r="B4" s="3"/>
      <c r="C4" s="3"/>
      <c r="D4" s="3"/>
      <c r="E4" s="3"/>
      <c r="F4" s="1"/>
      <c r="G4" s="1"/>
      <c r="H4" s="1"/>
    </row>
    <row r="5" spans="1:8" x14ac:dyDescent="0.25">
      <c r="A5" s="1"/>
      <c r="B5" s="1"/>
      <c r="C5" s="1"/>
      <c r="D5" s="1"/>
      <c r="E5" s="1"/>
      <c r="F5" s="1"/>
      <c r="G5" s="1"/>
      <c r="H5" s="1"/>
    </row>
    <row r="6" spans="1:8" x14ac:dyDescent="0.25">
      <c r="A6" s="1"/>
      <c r="B6" s="1"/>
      <c r="C6" s="1"/>
      <c r="D6" s="1"/>
      <c r="E6" s="1"/>
      <c r="F6" s="1"/>
      <c r="G6" s="1"/>
      <c r="H6" s="1"/>
    </row>
    <row r="7" spans="1:8" x14ac:dyDescent="0.25">
      <c r="A7" s="1"/>
      <c r="B7" s="1"/>
      <c r="C7" s="1"/>
      <c r="D7" s="1"/>
      <c r="E7" s="1"/>
      <c r="F7" s="1"/>
      <c r="G7" s="1"/>
      <c r="H7" s="1"/>
    </row>
    <row r="8" spans="1:8" x14ac:dyDescent="0.25">
      <c r="A8" s="1"/>
      <c r="B8" s="1"/>
      <c r="C8" s="1"/>
      <c r="D8" s="1"/>
      <c r="E8" s="1"/>
      <c r="F8" s="1"/>
      <c r="G8" s="1"/>
      <c r="H8" s="1"/>
    </row>
    <row r="9" spans="1:8" x14ac:dyDescent="0.25">
      <c r="A9" s="1"/>
      <c r="B9" s="1"/>
      <c r="C9" s="1"/>
      <c r="D9" s="1"/>
      <c r="E9" s="1"/>
      <c r="F9" s="1"/>
      <c r="G9" s="1"/>
      <c r="H9" s="1"/>
    </row>
    <row r="10" spans="1:8" x14ac:dyDescent="0.25">
      <c r="A10" s="1"/>
      <c r="B10" s="1"/>
      <c r="C10" s="1"/>
      <c r="D10" s="1"/>
      <c r="E10" s="1"/>
      <c r="F10" s="1"/>
      <c r="G10" s="1"/>
      <c r="H10" s="1"/>
    </row>
    <row r="11" spans="1:8" x14ac:dyDescent="0.25">
      <c r="A11" s="1"/>
      <c r="B11" s="1"/>
      <c r="C11" s="1"/>
      <c r="D11" s="1"/>
      <c r="E11" s="1"/>
      <c r="F11" s="1"/>
      <c r="G11" s="1"/>
      <c r="H11" s="1"/>
    </row>
    <row r="12" spans="1:8" x14ac:dyDescent="0.25">
      <c r="A12" s="1"/>
      <c r="B12" s="1"/>
      <c r="C12" s="1"/>
      <c r="D12" s="1"/>
      <c r="E12" s="1"/>
      <c r="F12" s="1"/>
      <c r="G12" s="1"/>
      <c r="H12" s="1"/>
    </row>
    <row r="13" spans="1:8" x14ac:dyDescent="0.25">
      <c r="A13" s="1"/>
      <c r="B13" s="1"/>
      <c r="C13" s="1"/>
      <c r="D13" s="1"/>
      <c r="E13" s="1"/>
      <c r="F13" s="1"/>
      <c r="G13" s="1"/>
      <c r="H13" s="1"/>
    </row>
    <row r="14" spans="1:8" x14ac:dyDescent="0.25">
      <c r="A14" s="1"/>
      <c r="B14" s="1"/>
      <c r="C14" s="1"/>
      <c r="D14" s="1"/>
      <c r="E14" s="1"/>
      <c r="F14" s="1"/>
      <c r="G14" s="1"/>
      <c r="H14" s="1"/>
    </row>
    <row r="15" spans="1:8" x14ac:dyDescent="0.25">
      <c r="A15" s="1"/>
      <c r="B15" s="1"/>
      <c r="C15" s="1"/>
      <c r="D15" s="1"/>
      <c r="E15" s="1"/>
      <c r="F15" s="1"/>
      <c r="G15" s="1"/>
      <c r="H15" s="1"/>
    </row>
    <row r="16" spans="1:8" x14ac:dyDescent="0.25">
      <c r="A16" s="1"/>
      <c r="B16" s="1"/>
      <c r="C16" s="1"/>
      <c r="D16" s="1"/>
      <c r="E16" s="1"/>
      <c r="F16" s="1"/>
      <c r="G16" s="1"/>
      <c r="H16" s="1"/>
    </row>
    <row r="17" spans="1:8" x14ac:dyDescent="0.25">
      <c r="A17" s="1"/>
      <c r="B17" s="1"/>
      <c r="C17" s="1"/>
      <c r="D17" s="1"/>
      <c r="E17" s="1"/>
      <c r="F17" s="1"/>
      <c r="G17" s="1"/>
      <c r="H17" s="1"/>
    </row>
    <row r="18" spans="1:8" x14ac:dyDescent="0.25">
      <c r="A18" s="1"/>
      <c r="B18" s="1"/>
      <c r="C18" s="1"/>
      <c r="D18" s="1"/>
      <c r="E18" s="1"/>
      <c r="F18" s="1"/>
      <c r="G18" s="1"/>
      <c r="H18" s="1"/>
    </row>
    <row r="19" spans="1:8" x14ac:dyDescent="0.25">
      <c r="A19" s="1"/>
      <c r="B19" s="1"/>
      <c r="C19" s="1"/>
      <c r="D19" s="1"/>
      <c r="E19" s="1"/>
      <c r="F19" s="1"/>
      <c r="G19" s="1"/>
      <c r="H19" s="1"/>
    </row>
    <row r="20" spans="1:8" x14ac:dyDescent="0.25">
      <c r="A20" s="1"/>
      <c r="B20" s="1"/>
      <c r="C20" s="1"/>
      <c r="D20" s="1"/>
      <c r="E20" s="1"/>
      <c r="F20" s="1"/>
      <c r="G20" s="1"/>
      <c r="H20" s="1"/>
    </row>
    <row r="21" spans="1:8" x14ac:dyDescent="0.25">
      <c r="A21" s="1"/>
      <c r="B21" s="1"/>
      <c r="C21" s="1"/>
      <c r="D21" s="1"/>
      <c r="E21" s="1"/>
      <c r="F21" s="1"/>
      <c r="G21" s="1"/>
      <c r="H21" s="1"/>
    </row>
    <row r="22" spans="1:8" x14ac:dyDescent="0.25">
      <c r="A22" s="1"/>
      <c r="B22" s="1"/>
      <c r="C22" s="1"/>
      <c r="D22" s="1"/>
      <c r="E22" s="1"/>
      <c r="F22" s="1"/>
      <c r="G22" s="1"/>
      <c r="H22" s="1"/>
    </row>
    <row r="23" spans="1:8" x14ac:dyDescent="0.25">
      <c r="A23" s="1"/>
      <c r="B23" s="1"/>
      <c r="C23" s="1"/>
      <c r="D23" s="1"/>
      <c r="E23" s="1"/>
      <c r="F23" s="1"/>
      <c r="G23" s="1"/>
      <c r="H23" s="1"/>
    </row>
    <row r="24" spans="1:8" x14ac:dyDescent="0.25">
      <c r="A24" s="1"/>
      <c r="B24" s="1"/>
      <c r="C24" s="1"/>
      <c r="D24" s="1"/>
      <c r="E24" s="1"/>
      <c r="F24" s="1"/>
      <c r="G24" s="1"/>
      <c r="H24" s="1"/>
    </row>
    <row r="25" spans="1:8" x14ac:dyDescent="0.25">
      <c r="A25" s="1"/>
      <c r="B25" s="1"/>
      <c r="C25" s="1"/>
      <c r="D25" s="1"/>
      <c r="E25" s="1"/>
      <c r="F25" s="1"/>
      <c r="G25" s="1"/>
      <c r="H25" s="1"/>
    </row>
    <row r="26" spans="1:8" x14ac:dyDescent="0.25">
      <c r="A26" s="1"/>
      <c r="B26" s="1"/>
      <c r="C26" s="1"/>
      <c r="D26" s="1"/>
      <c r="E26" s="1"/>
      <c r="F26" s="1"/>
      <c r="G26" s="1"/>
      <c r="H26" s="1"/>
    </row>
    <row r="27" spans="1:8" x14ac:dyDescent="0.25">
      <c r="A27" s="1"/>
      <c r="B27" s="1"/>
      <c r="C27" s="1"/>
      <c r="D27" s="1"/>
      <c r="E27" s="1"/>
      <c r="F27" s="1"/>
      <c r="G27" s="1"/>
      <c r="H27" s="1"/>
    </row>
    <row r="28" spans="1:8" x14ac:dyDescent="0.25">
      <c r="A28" s="1"/>
      <c r="B28" s="1"/>
      <c r="C28" s="1"/>
      <c r="D28" s="1"/>
      <c r="E28" s="1"/>
      <c r="F28" s="1"/>
      <c r="G28" s="1"/>
      <c r="H28" s="1"/>
    </row>
    <row r="29" spans="1:8" x14ac:dyDescent="0.25">
      <c r="A29" s="1"/>
      <c r="B29" s="1"/>
      <c r="C29" s="1"/>
      <c r="D29" s="1"/>
      <c r="E29" s="1"/>
      <c r="F29" s="1"/>
      <c r="G29" s="1"/>
      <c r="H29" s="1"/>
    </row>
    <row r="30" spans="1:8" x14ac:dyDescent="0.25">
      <c r="A30" s="1"/>
      <c r="B30" s="1"/>
      <c r="C30" s="1"/>
      <c r="D30" s="1"/>
      <c r="E30" s="1"/>
      <c r="F30" s="1"/>
      <c r="G30" s="1"/>
      <c r="H30" s="1"/>
    </row>
    <row r="31" spans="1:8" x14ac:dyDescent="0.25">
      <c r="A31" s="1"/>
      <c r="B31" s="1"/>
      <c r="C31" s="1"/>
      <c r="D31" s="1"/>
      <c r="E31" s="1"/>
      <c r="F31" s="1"/>
      <c r="G31" s="1"/>
      <c r="H31" s="1"/>
    </row>
    <row r="32" spans="1:8" x14ac:dyDescent="0.25">
      <c r="A32" s="1"/>
      <c r="B32" s="1"/>
      <c r="C32" s="1"/>
      <c r="D32" s="1"/>
      <c r="E32" s="1"/>
      <c r="F32" s="1"/>
      <c r="G32" s="1"/>
      <c r="H32" s="1"/>
    </row>
    <row r="33" spans="1:8" x14ac:dyDescent="0.25">
      <c r="A33" s="1"/>
      <c r="B33" s="1"/>
      <c r="C33" s="1"/>
      <c r="D33" s="1"/>
      <c r="E33" s="1"/>
      <c r="F33" s="1"/>
      <c r="G33" s="1"/>
      <c r="H33" s="1"/>
    </row>
    <row r="34" spans="1:8" x14ac:dyDescent="0.25">
      <c r="A34" s="1"/>
      <c r="B34" s="1"/>
      <c r="C34" s="1"/>
      <c r="D34" s="1"/>
      <c r="E34" s="1"/>
      <c r="F34" s="1"/>
      <c r="G34" s="1"/>
      <c r="H34" s="1"/>
    </row>
    <row r="35" spans="1:8" x14ac:dyDescent="0.25">
      <c r="A35" s="1"/>
      <c r="B35" s="1"/>
      <c r="C35" s="1"/>
      <c r="D35" s="1"/>
      <c r="E35" s="1"/>
      <c r="F35" s="1"/>
      <c r="G35" s="1"/>
      <c r="H35" s="1"/>
    </row>
    <row r="36" spans="1:8" x14ac:dyDescent="0.25">
      <c r="A36" s="1"/>
      <c r="B36" s="1"/>
      <c r="C36" s="1"/>
      <c r="D36" s="1"/>
      <c r="E36" s="1"/>
      <c r="F36" s="1"/>
      <c r="G36" s="1"/>
      <c r="H36" s="1"/>
    </row>
    <row r="37" spans="1:8" x14ac:dyDescent="0.25">
      <c r="A37" s="1"/>
      <c r="B37" s="1"/>
      <c r="C37" s="1"/>
      <c r="D37" s="1"/>
      <c r="E37" s="1"/>
      <c r="F37" s="1"/>
      <c r="G37" s="1"/>
      <c r="H37" s="1"/>
    </row>
    <row r="38" spans="1:8" x14ac:dyDescent="0.25">
      <c r="A38" s="1"/>
      <c r="B38" s="1"/>
      <c r="C38" s="1"/>
      <c r="D38" s="1"/>
      <c r="E38" s="1"/>
      <c r="F38" s="1"/>
      <c r="G38" s="1"/>
      <c r="H38" s="1"/>
    </row>
    <row r="39" spans="1:8" x14ac:dyDescent="0.25">
      <c r="A39" s="1"/>
      <c r="B39" s="1"/>
      <c r="C39" s="1"/>
      <c r="D39" s="1"/>
      <c r="E39" s="1"/>
      <c r="F39" s="1"/>
      <c r="G39" s="1"/>
      <c r="H39" s="1"/>
    </row>
    <row r="40" spans="1:8" x14ac:dyDescent="0.25">
      <c r="A40" s="1"/>
      <c r="B40" s="1"/>
      <c r="C40" s="1"/>
      <c r="D40" s="1"/>
      <c r="E40" s="1"/>
      <c r="F40" s="1"/>
      <c r="G40" s="1"/>
      <c r="H40" s="1"/>
    </row>
    <row r="41" spans="1:8" x14ac:dyDescent="0.25">
      <c r="A41" s="1"/>
      <c r="B41" s="1"/>
      <c r="C41" s="1"/>
      <c r="D41" s="1"/>
      <c r="E41" s="1"/>
      <c r="F41" s="1"/>
      <c r="G41" s="1"/>
      <c r="H41" s="1"/>
    </row>
    <row r="42" spans="1:8" x14ac:dyDescent="0.25">
      <c r="A42" s="1"/>
      <c r="B42" s="1"/>
      <c r="C42" s="1"/>
      <c r="D42" s="1"/>
      <c r="E42" s="1"/>
      <c r="F42" s="1"/>
      <c r="G42" s="1"/>
      <c r="H42" s="1"/>
    </row>
    <row r="43" spans="1:8" x14ac:dyDescent="0.25">
      <c r="A43" s="1"/>
      <c r="B43" s="1"/>
      <c r="C43" s="1"/>
      <c r="D43" s="1"/>
      <c r="E43" s="1"/>
      <c r="F43" s="1"/>
      <c r="G43" s="1"/>
      <c r="H43" s="1"/>
    </row>
    <row r="44" spans="1:8" x14ac:dyDescent="0.25">
      <c r="A44" s="1"/>
      <c r="B44" s="1"/>
      <c r="C44" s="1"/>
      <c r="D44" s="1"/>
      <c r="E44" s="1"/>
      <c r="F44" s="1"/>
      <c r="G44" s="1"/>
      <c r="H44" s="1"/>
    </row>
    <row r="45" spans="1:8" x14ac:dyDescent="0.25">
      <c r="A45" s="1"/>
      <c r="B45" s="1"/>
      <c r="C45" s="1"/>
      <c r="D45" s="1"/>
      <c r="E45" s="1"/>
      <c r="F45" s="1"/>
      <c r="G45" s="1"/>
      <c r="H45" s="1"/>
    </row>
    <row r="46" spans="1:8" x14ac:dyDescent="0.25">
      <c r="A46" s="1"/>
      <c r="B46" s="1"/>
      <c r="C46" s="1"/>
      <c r="D46" s="1"/>
      <c r="E46" s="1"/>
      <c r="F46" s="1"/>
      <c r="G46" s="1"/>
      <c r="H46" s="1"/>
    </row>
    <row r="47" spans="1:8" x14ac:dyDescent="0.25">
      <c r="A47" s="1"/>
      <c r="B47" s="1"/>
      <c r="C47" s="1"/>
      <c r="D47" s="1"/>
      <c r="E47" s="1"/>
      <c r="F47" s="1"/>
      <c r="G47" s="1"/>
      <c r="H47" s="1"/>
    </row>
    <row r="48" spans="1:8" x14ac:dyDescent="0.25">
      <c r="A48" s="1"/>
      <c r="B48" s="1"/>
      <c r="C48" s="1"/>
      <c r="D48" s="1"/>
      <c r="E48" s="1"/>
      <c r="F48" s="1"/>
      <c r="G48" s="1"/>
      <c r="H48" s="1"/>
    </row>
    <row r="49" spans="1:8" x14ac:dyDescent="0.25">
      <c r="A49" s="1"/>
      <c r="B49" s="1"/>
      <c r="C49" s="1"/>
      <c r="D49" s="1"/>
      <c r="E49" s="1"/>
      <c r="F49" s="1"/>
      <c r="G49" s="1"/>
      <c r="H49" s="1"/>
    </row>
    <row r="50" spans="1:8" x14ac:dyDescent="0.25">
      <c r="A50" s="1"/>
      <c r="B50" s="1"/>
      <c r="C50" s="1"/>
      <c r="D50" s="1"/>
      <c r="E50" s="1"/>
      <c r="F50" s="1"/>
      <c r="G50" s="1"/>
      <c r="H50" s="1"/>
    </row>
    <row r="51" spans="1:8" x14ac:dyDescent="0.25">
      <c r="A51" s="1"/>
      <c r="B51" s="1"/>
      <c r="C51" s="1"/>
      <c r="D51" s="1"/>
      <c r="E51" s="1"/>
      <c r="F51" s="1"/>
      <c r="G51" s="1"/>
      <c r="H51" s="1"/>
    </row>
    <row r="52" spans="1:8" x14ac:dyDescent="0.25">
      <c r="A52" s="1"/>
      <c r="B52" s="1"/>
      <c r="C52" s="1"/>
      <c r="D52" s="1"/>
      <c r="E52" s="1"/>
      <c r="F52" s="1"/>
      <c r="G52" s="1"/>
      <c r="H52" s="1"/>
    </row>
    <row r="53" spans="1:8" x14ac:dyDescent="0.25">
      <c r="A53" s="1"/>
      <c r="B53" s="1"/>
      <c r="C53" s="1"/>
      <c r="D53" s="1"/>
      <c r="E53" s="1"/>
      <c r="F53" s="1"/>
      <c r="G53" s="1"/>
      <c r="H53" s="1"/>
    </row>
    <row r="54" spans="1:8" x14ac:dyDescent="0.25">
      <c r="A54" s="1"/>
      <c r="B54" s="1"/>
      <c r="C54" s="1"/>
      <c r="D54" s="1"/>
      <c r="E54" s="1"/>
      <c r="F54" s="1"/>
      <c r="G54" s="1"/>
      <c r="H54" s="1"/>
    </row>
    <row r="55" spans="1:8" x14ac:dyDescent="0.25">
      <c r="A55" s="1"/>
      <c r="B55" s="1"/>
      <c r="C55" s="1"/>
      <c r="D55" s="1"/>
      <c r="E55" s="1"/>
      <c r="F55" s="1"/>
      <c r="G55" s="1"/>
      <c r="H55" s="1"/>
    </row>
    <row r="56" spans="1:8" x14ac:dyDescent="0.25">
      <c r="A56" s="1"/>
      <c r="B56" s="1"/>
      <c r="C56" s="1"/>
      <c r="D56" s="1"/>
      <c r="E56" s="1"/>
      <c r="F56" s="1"/>
      <c r="G56" s="1"/>
      <c r="H56" s="1"/>
    </row>
    <row r="57" spans="1:8" x14ac:dyDescent="0.25">
      <c r="A57" s="1"/>
      <c r="B57" s="1"/>
      <c r="C57" s="1"/>
      <c r="D57" s="1"/>
      <c r="E57" s="1"/>
      <c r="F57" s="1"/>
      <c r="G57" s="1"/>
      <c r="H57" s="1"/>
    </row>
    <row r="58" spans="1:8" x14ac:dyDescent="0.25">
      <c r="A58" s="1"/>
      <c r="B58" s="1"/>
      <c r="C58" s="1"/>
      <c r="D58" s="1"/>
      <c r="E58" s="1"/>
      <c r="F58" s="1"/>
      <c r="G58" s="1"/>
      <c r="H58" s="1"/>
    </row>
    <row r="59" spans="1:8" x14ac:dyDescent="0.25">
      <c r="A59" s="1"/>
      <c r="B59" s="1"/>
      <c r="C59" s="1"/>
      <c r="D59" s="1"/>
      <c r="E59" s="1"/>
      <c r="F59" s="1"/>
      <c r="G59" s="1"/>
      <c r="H59" s="1"/>
    </row>
    <row r="60" spans="1:8" x14ac:dyDescent="0.25">
      <c r="A60" s="1"/>
      <c r="B60" s="1"/>
      <c r="C60" s="1"/>
      <c r="D60" s="1"/>
      <c r="E60" s="1"/>
      <c r="F60" s="1"/>
      <c r="G60" s="1"/>
      <c r="H60" s="1"/>
    </row>
    <row r="61" spans="1:8" x14ac:dyDescent="0.25">
      <c r="A61" s="1"/>
      <c r="B61" s="1"/>
      <c r="C61" s="1"/>
      <c r="D61" s="1"/>
      <c r="E61" s="1"/>
      <c r="F61" s="1"/>
      <c r="G61" s="1"/>
      <c r="H61" s="1"/>
    </row>
    <row r="62" spans="1:8" x14ac:dyDescent="0.25">
      <c r="A62" s="1"/>
      <c r="B62" s="1"/>
      <c r="C62" s="1"/>
      <c r="D62" s="1"/>
      <c r="E62" s="1"/>
      <c r="F62" s="1"/>
      <c r="G62" s="1"/>
      <c r="H62" s="1"/>
    </row>
    <row r="63" spans="1:8" x14ac:dyDescent="0.25">
      <c r="A63" s="1"/>
      <c r="B63" s="1"/>
      <c r="C63" s="1"/>
      <c r="D63" s="1"/>
      <c r="E63" s="1"/>
      <c r="F63" s="1"/>
      <c r="G63" s="1"/>
      <c r="H63" s="1"/>
    </row>
    <row r="64" spans="1:8" x14ac:dyDescent="0.25">
      <c r="A64" s="1"/>
      <c r="B64" s="1"/>
      <c r="C64" s="1"/>
      <c r="D64" s="1"/>
      <c r="E64" s="1"/>
      <c r="F64" s="1"/>
      <c r="G64" s="1"/>
      <c r="H64" s="1"/>
    </row>
    <row r="65" spans="1:8" x14ac:dyDescent="0.25">
      <c r="A65" s="1"/>
      <c r="B65" s="1"/>
      <c r="C65" s="1"/>
      <c r="D65" s="1"/>
      <c r="E65" s="1"/>
      <c r="F65" s="1"/>
      <c r="G65" s="1"/>
      <c r="H65" s="1"/>
    </row>
    <row r="66" spans="1:8" x14ac:dyDescent="0.25">
      <c r="A66" s="1"/>
      <c r="B66" s="1"/>
      <c r="C66" s="1"/>
      <c r="D66" s="1"/>
      <c r="E66" s="1"/>
      <c r="F66" s="1"/>
      <c r="G66" s="1"/>
      <c r="H66" s="1"/>
    </row>
    <row r="67" spans="1:8" x14ac:dyDescent="0.25">
      <c r="A67" s="1"/>
      <c r="B67" s="1"/>
      <c r="C67" s="1"/>
      <c r="D67" s="1"/>
      <c r="E67" s="1"/>
      <c r="F67" s="1"/>
      <c r="G67" s="1"/>
      <c r="H67" s="1"/>
    </row>
    <row r="68" spans="1:8" x14ac:dyDescent="0.25">
      <c r="A68" s="1"/>
      <c r="B68" s="1"/>
      <c r="C68" s="1"/>
      <c r="D68" s="1"/>
      <c r="E68" s="1"/>
      <c r="F68" s="1"/>
      <c r="G68" s="1"/>
      <c r="H68" s="1"/>
    </row>
    <row r="69" spans="1:8" x14ac:dyDescent="0.25">
      <c r="A69" s="1"/>
      <c r="B69" s="1"/>
      <c r="C69" s="1"/>
      <c r="D69" s="1"/>
      <c r="E69" s="1"/>
      <c r="F69" s="1"/>
      <c r="G69" s="1"/>
      <c r="H69" s="1"/>
    </row>
    <row r="70" spans="1:8" x14ac:dyDescent="0.25">
      <c r="A70" s="1"/>
      <c r="B70" s="1"/>
      <c r="C70" s="1"/>
      <c r="D70" s="1"/>
      <c r="E70" s="1"/>
      <c r="F70" s="1"/>
      <c r="G70" s="1"/>
      <c r="H70" s="1"/>
    </row>
    <row r="71" spans="1:8" x14ac:dyDescent="0.25">
      <c r="A71" s="1"/>
      <c r="B71" s="1"/>
      <c r="C71" s="1"/>
      <c r="D71" s="1"/>
      <c r="E71" s="1"/>
      <c r="F71" s="1"/>
      <c r="G71" s="1"/>
      <c r="H71" s="1"/>
    </row>
    <row r="72" spans="1:8" x14ac:dyDescent="0.25">
      <c r="A72" s="1"/>
      <c r="B72" s="1"/>
      <c r="C72" s="1"/>
      <c r="D72" s="1"/>
      <c r="E72" s="1"/>
      <c r="F72" s="1"/>
      <c r="G72" s="1"/>
      <c r="H72" s="1"/>
    </row>
    <row r="73" spans="1:8" x14ac:dyDescent="0.25">
      <c r="A73" s="1"/>
      <c r="B73" s="1"/>
      <c r="C73" s="1"/>
      <c r="D73" s="1"/>
      <c r="E73" s="1"/>
      <c r="F73" s="1"/>
      <c r="G73" s="1"/>
      <c r="H73" s="1"/>
    </row>
    <row r="74" spans="1:8" x14ac:dyDescent="0.25">
      <c r="A74" s="1"/>
      <c r="B74" s="1"/>
      <c r="C74" s="1"/>
      <c r="D74" s="1"/>
      <c r="E74" s="1"/>
      <c r="F74" s="1"/>
      <c r="G74" s="1"/>
      <c r="H74" s="1"/>
    </row>
    <row r="75" spans="1:8" x14ac:dyDescent="0.25">
      <c r="A75" s="1"/>
      <c r="B75" s="1"/>
      <c r="C75" s="1"/>
      <c r="D75" s="1"/>
      <c r="E75" s="1"/>
      <c r="F75" s="1"/>
      <c r="G75" s="1"/>
      <c r="H75" s="1"/>
    </row>
    <row r="76" spans="1:8" x14ac:dyDescent="0.25">
      <c r="A76" s="1"/>
      <c r="B76" s="1"/>
      <c r="C76" s="1"/>
      <c r="D76" s="1"/>
      <c r="E76" s="1"/>
      <c r="F76" s="1"/>
      <c r="G76" s="1"/>
      <c r="H76" s="1"/>
    </row>
    <row r="77" spans="1:8" x14ac:dyDescent="0.25">
      <c r="A77" s="1"/>
      <c r="B77" s="1"/>
      <c r="C77" s="1"/>
      <c r="D77" s="1"/>
      <c r="E77" s="1"/>
      <c r="F77" s="1"/>
      <c r="G77" s="1"/>
      <c r="H77" s="1"/>
    </row>
    <row r="78" spans="1:8" x14ac:dyDescent="0.25">
      <c r="A78" s="1"/>
      <c r="B78" s="1"/>
      <c r="C78" s="1"/>
      <c r="D78" s="1"/>
      <c r="E78" s="1"/>
      <c r="F78" s="1"/>
      <c r="G78" s="1"/>
      <c r="H78" s="1"/>
    </row>
    <row r="79" spans="1:8" x14ac:dyDescent="0.25">
      <c r="A79" s="1"/>
      <c r="B79" s="1"/>
      <c r="C79" s="1"/>
      <c r="D79" s="1"/>
      <c r="E79" s="1"/>
      <c r="F79" s="1"/>
      <c r="G79" s="1"/>
      <c r="H79" s="1"/>
    </row>
    <row r="80" spans="1:8" x14ac:dyDescent="0.25">
      <c r="A80" s="1"/>
      <c r="B80" s="1"/>
      <c r="C80" s="1"/>
      <c r="D80" s="1"/>
      <c r="E80" s="1"/>
      <c r="F80" s="1"/>
      <c r="G80" s="1"/>
      <c r="H80" s="1"/>
    </row>
    <row r="81" spans="1:8" x14ac:dyDescent="0.25">
      <c r="A81" s="1"/>
      <c r="B81" s="1"/>
      <c r="C81" s="1"/>
      <c r="D81" s="1"/>
      <c r="E81" s="1"/>
      <c r="F81" s="1"/>
      <c r="G81" s="1"/>
      <c r="H81" s="1"/>
    </row>
    <row r="82" spans="1:8" x14ac:dyDescent="0.25">
      <c r="A82" s="1"/>
      <c r="B82" s="1"/>
      <c r="C82" s="1"/>
      <c r="D82" s="1"/>
      <c r="E82" s="1"/>
      <c r="F82" s="1"/>
      <c r="G82" s="1"/>
      <c r="H82" s="1"/>
    </row>
    <row r="83" spans="1:8" x14ac:dyDescent="0.25">
      <c r="A83" s="1"/>
      <c r="B83" s="1"/>
      <c r="C83" s="1"/>
      <c r="D83" s="1"/>
      <c r="E83" s="1"/>
      <c r="F83" s="1"/>
      <c r="G83" s="1"/>
      <c r="H83" s="1"/>
    </row>
    <row r="84" spans="1:8" x14ac:dyDescent="0.25">
      <c r="A84" s="1"/>
      <c r="B84" s="1"/>
      <c r="C84" s="1"/>
      <c r="D84" s="1"/>
      <c r="E84" s="1"/>
      <c r="F84" s="1"/>
      <c r="G84" s="1"/>
      <c r="H84" s="1"/>
    </row>
    <row r="85" spans="1:8" x14ac:dyDescent="0.25">
      <c r="A85" s="1"/>
      <c r="B85" s="1"/>
      <c r="C85" s="1"/>
      <c r="D85" s="1"/>
      <c r="E85" s="1"/>
      <c r="F85" s="1"/>
      <c r="G85" s="1"/>
      <c r="H85" s="1"/>
    </row>
    <row r="86" spans="1:8" x14ac:dyDescent="0.25">
      <c r="A86" s="1"/>
      <c r="B86" s="1"/>
      <c r="C86" s="1"/>
      <c r="D86" s="1"/>
      <c r="E86" s="1"/>
      <c r="F86" s="1"/>
      <c r="G86" s="1"/>
      <c r="H86" s="1"/>
    </row>
    <row r="87" spans="1:8" x14ac:dyDescent="0.25">
      <c r="A87" s="1"/>
      <c r="B87" s="1"/>
      <c r="C87" s="1"/>
      <c r="D87" s="1"/>
      <c r="E87" s="1"/>
      <c r="F87" s="1"/>
      <c r="G87" s="1"/>
      <c r="H87" s="1"/>
    </row>
    <row r="88" spans="1:8" x14ac:dyDescent="0.25">
      <c r="A88" s="1"/>
      <c r="B88" s="1"/>
      <c r="C88" s="1"/>
      <c r="D88" s="1"/>
      <c r="E88" s="1"/>
      <c r="F88" s="1"/>
      <c r="G88" s="1"/>
      <c r="H88" s="1"/>
    </row>
    <row r="89" spans="1:8" x14ac:dyDescent="0.25">
      <c r="A89" s="1"/>
      <c r="B89" s="1"/>
      <c r="C89" s="1"/>
      <c r="D89" s="1"/>
      <c r="E89" s="1"/>
      <c r="F89" s="1"/>
      <c r="G89" s="1"/>
      <c r="H89" s="1"/>
    </row>
    <row r="90" spans="1:8" x14ac:dyDescent="0.25">
      <c r="A90" s="1"/>
      <c r="B90" s="1"/>
      <c r="C90" s="1"/>
      <c r="D90" s="1"/>
      <c r="E90" s="1"/>
      <c r="F90" s="1"/>
      <c r="G90" s="1"/>
      <c r="H90" s="1"/>
    </row>
    <row r="91" spans="1:8" x14ac:dyDescent="0.25">
      <c r="A91" s="1"/>
      <c r="B91" s="1"/>
      <c r="C91" s="1"/>
      <c r="D91" s="1"/>
      <c r="E91" s="1"/>
      <c r="F91" s="1"/>
      <c r="G91" s="1"/>
      <c r="H91" s="1"/>
    </row>
    <row r="92" spans="1:8" x14ac:dyDescent="0.25">
      <c r="A92" s="1"/>
      <c r="B92" s="1"/>
      <c r="C92" s="1"/>
      <c r="D92" s="1"/>
      <c r="E92" s="1"/>
      <c r="F92" s="1"/>
      <c r="G92" s="1"/>
      <c r="H92" s="1"/>
    </row>
    <row r="93" spans="1:8" x14ac:dyDescent="0.25">
      <c r="A93" s="1"/>
      <c r="B93" s="1"/>
      <c r="C93" s="1"/>
      <c r="D93" s="1"/>
      <c r="E93" s="1"/>
      <c r="F93" s="1"/>
      <c r="G93" s="1"/>
      <c r="H93" s="1"/>
    </row>
    <row r="94" spans="1:8" x14ac:dyDescent="0.25">
      <c r="A94" s="1"/>
      <c r="B94" s="1"/>
      <c r="C94" s="1"/>
      <c r="D94" s="1"/>
      <c r="E94" s="1"/>
      <c r="F94" s="1"/>
      <c r="G94" s="1"/>
      <c r="H94" s="1"/>
    </row>
    <row r="95" spans="1:8" x14ac:dyDescent="0.25">
      <c r="A95" s="1"/>
      <c r="B95" s="1"/>
      <c r="C95" s="1"/>
      <c r="D95" s="1"/>
      <c r="E95" s="1"/>
      <c r="F95" s="1"/>
      <c r="G95" s="1"/>
      <c r="H95" s="1"/>
    </row>
    <row r="96" spans="1:8" x14ac:dyDescent="0.25">
      <c r="A96" s="1"/>
      <c r="B96" s="1"/>
      <c r="C96" s="1"/>
      <c r="D96" s="1"/>
      <c r="E96" s="1"/>
      <c r="F96" s="1"/>
      <c r="G96" s="1"/>
      <c r="H96" s="1"/>
    </row>
    <row r="97" spans="1:8" x14ac:dyDescent="0.25">
      <c r="A97" s="1"/>
      <c r="B97" s="1"/>
      <c r="C97" s="1"/>
      <c r="D97" s="1"/>
      <c r="E97" s="1"/>
      <c r="F97" s="1"/>
      <c r="G97" s="1"/>
      <c r="H97" s="1"/>
    </row>
    <row r="98" spans="1:8" x14ac:dyDescent="0.25">
      <c r="A98" s="1"/>
      <c r="B98" s="1"/>
      <c r="C98" s="1"/>
      <c r="D98" s="1"/>
      <c r="E98" s="1"/>
      <c r="F98" s="1"/>
      <c r="G98" s="1"/>
      <c r="H98" s="1"/>
    </row>
    <row r="99" spans="1:8" x14ac:dyDescent="0.25">
      <c r="A99" s="1"/>
      <c r="B99" s="1"/>
      <c r="C99" s="1"/>
      <c r="D99" s="1"/>
      <c r="E99" s="1"/>
      <c r="F99" s="1"/>
      <c r="G99" s="1"/>
      <c r="H99" s="1"/>
    </row>
    <row r="100" spans="1:8" x14ac:dyDescent="0.25">
      <c r="A100" s="1"/>
      <c r="B100" s="1"/>
      <c r="C100" s="1"/>
      <c r="D100" s="1"/>
      <c r="E100" s="1"/>
      <c r="F100" s="1"/>
      <c r="G100" s="1"/>
      <c r="H100" s="1"/>
    </row>
    <row r="101" spans="1:8" x14ac:dyDescent="0.25">
      <c r="A101" s="1"/>
      <c r="B101" s="1"/>
      <c r="C101" s="1"/>
      <c r="D101" s="1"/>
      <c r="E101" s="1"/>
      <c r="F101" s="1"/>
      <c r="G101" s="1"/>
      <c r="H101" s="1"/>
    </row>
    <row r="102" spans="1:8" x14ac:dyDescent="0.25">
      <c r="A102" s="1"/>
      <c r="B102" s="1"/>
      <c r="C102" s="1"/>
      <c r="D102" s="1"/>
      <c r="E102" s="1"/>
      <c r="F102" s="1"/>
      <c r="G102" s="1"/>
      <c r="H102" s="1"/>
    </row>
    <row r="103" spans="1:8" x14ac:dyDescent="0.25">
      <c r="A103" s="1"/>
      <c r="B103" s="1"/>
      <c r="C103" s="1"/>
      <c r="D103" s="1"/>
      <c r="E103" s="1"/>
      <c r="F103" s="1"/>
      <c r="G103" s="1"/>
      <c r="H103" s="1"/>
    </row>
    <row r="104" spans="1:8" x14ac:dyDescent="0.25">
      <c r="A104" s="1"/>
      <c r="B104" s="1"/>
      <c r="C104" s="1"/>
      <c r="D104" s="1"/>
      <c r="E104" s="1"/>
      <c r="F104" s="1"/>
      <c r="G104" s="1"/>
      <c r="H104" s="1"/>
    </row>
    <row r="105" spans="1:8" x14ac:dyDescent="0.25">
      <c r="A105" s="1"/>
      <c r="B105" s="1"/>
      <c r="C105" s="1"/>
      <c r="D105" s="1"/>
      <c r="E105" s="1"/>
      <c r="F105" s="1"/>
      <c r="G105" s="1"/>
      <c r="H105" s="1"/>
    </row>
    <row r="106" spans="1:8" x14ac:dyDescent="0.25">
      <c r="A106" s="1"/>
      <c r="B106" s="1"/>
      <c r="C106" s="1"/>
      <c r="D106" s="1"/>
      <c r="E106" s="1"/>
      <c r="F106" s="1"/>
      <c r="G106" s="1"/>
      <c r="H106" s="1"/>
    </row>
    <row r="107" spans="1:8" x14ac:dyDescent="0.25">
      <c r="A107" s="1"/>
      <c r="B107" s="1"/>
      <c r="C107" s="1"/>
      <c r="D107" s="1"/>
      <c r="E107" s="1"/>
      <c r="F107" s="1"/>
      <c r="G107" s="1"/>
      <c r="H107" s="1"/>
    </row>
    <row r="108" spans="1:8" x14ac:dyDescent="0.25">
      <c r="A108" s="1"/>
      <c r="B108" s="1"/>
      <c r="C108" s="1"/>
      <c r="D108" s="1"/>
      <c r="E108" s="1"/>
      <c r="F108" s="1"/>
      <c r="G108" s="1"/>
      <c r="H108" s="1"/>
    </row>
    <row r="109" spans="1:8" x14ac:dyDescent="0.25">
      <c r="A109" s="1"/>
      <c r="B109" s="1"/>
      <c r="C109" s="1"/>
      <c r="D109" s="1"/>
      <c r="E109" s="1"/>
      <c r="F109" s="1"/>
      <c r="G109" s="1"/>
      <c r="H109" s="1"/>
    </row>
    <row r="110" spans="1:8" x14ac:dyDescent="0.25">
      <c r="A110" s="1"/>
      <c r="B110" s="1"/>
      <c r="C110" s="1"/>
      <c r="D110" s="1"/>
      <c r="E110" s="1"/>
      <c r="F110" s="1"/>
      <c r="G110" s="1"/>
      <c r="H110" s="1"/>
    </row>
    <row r="111" spans="1:8" x14ac:dyDescent="0.25">
      <c r="A111" s="1"/>
      <c r="B111" s="1"/>
      <c r="C111" s="1"/>
      <c r="D111" s="1"/>
      <c r="E111" s="1"/>
      <c r="F111" s="1"/>
      <c r="G111" s="1"/>
      <c r="H111" s="1"/>
    </row>
    <row r="112" spans="1:8" x14ac:dyDescent="0.25">
      <c r="A112" s="1"/>
      <c r="B112" s="1"/>
      <c r="C112" s="1"/>
      <c r="D112" s="1"/>
      <c r="E112" s="1"/>
      <c r="F112" s="1"/>
      <c r="G112" s="1"/>
      <c r="H112" s="1"/>
    </row>
    <row r="113" spans="1:8" x14ac:dyDescent="0.25">
      <c r="A113" s="1"/>
      <c r="B113" s="1"/>
      <c r="C113" s="1"/>
      <c r="D113" s="1"/>
      <c r="E113" s="1"/>
      <c r="F113" s="1"/>
      <c r="G113" s="1"/>
      <c r="H113" s="1"/>
    </row>
    <row r="114" spans="1:8" x14ac:dyDescent="0.25">
      <c r="A114" s="1"/>
      <c r="B114" s="1"/>
      <c r="C114" s="1"/>
      <c r="D114" s="1"/>
      <c r="E114" s="1"/>
      <c r="F114" s="1"/>
      <c r="G114" s="1"/>
      <c r="H114" s="1"/>
    </row>
    <row r="115" spans="1:8" x14ac:dyDescent="0.25">
      <c r="A115" s="1"/>
      <c r="B115" s="1"/>
      <c r="C115" s="1"/>
      <c r="D115" s="1"/>
      <c r="E115" s="1"/>
      <c r="F115" s="1"/>
      <c r="G115" s="1"/>
      <c r="H115" s="1"/>
    </row>
    <row r="116" spans="1:8" x14ac:dyDescent="0.25">
      <c r="A116" s="1"/>
      <c r="B116" s="1"/>
      <c r="C116" s="1"/>
      <c r="D116" s="1"/>
      <c r="E116" s="1"/>
      <c r="F116" s="1"/>
      <c r="G116" s="1"/>
      <c r="H116" s="1"/>
    </row>
    <row r="117" spans="1:8" x14ac:dyDescent="0.25">
      <c r="A117" s="1"/>
      <c r="B117" s="1"/>
      <c r="C117" s="1"/>
      <c r="D117" s="1"/>
      <c r="E117" s="1"/>
      <c r="F117" s="1"/>
      <c r="G117" s="1"/>
      <c r="H117" s="1"/>
    </row>
    <row r="118" spans="1:8" x14ac:dyDescent="0.25">
      <c r="A118" s="1"/>
      <c r="B118" s="1"/>
      <c r="C118" s="1"/>
      <c r="D118" s="1"/>
      <c r="E118" s="1"/>
      <c r="F118" s="1"/>
      <c r="G118" s="1"/>
      <c r="H118" s="1"/>
    </row>
    <row r="119" spans="1:8" x14ac:dyDescent="0.25">
      <c r="A119" s="1"/>
      <c r="B119" s="1"/>
      <c r="C119" s="1"/>
      <c r="D119" s="1"/>
      <c r="E119" s="1"/>
      <c r="F119" s="1"/>
      <c r="G119" s="1"/>
      <c r="H119" s="1"/>
    </row>
    <row r="120" spans="1:8" x14ac:dyDescent="0.25">
      <c r="A120" s="1"/>
      <c r="B120" s="1"/>
      <c r="C120" s="1"/>
      <c r="D120" s="1"/>
      <c r="E120" s="1"/>
      <c r="F120" s="1"/>
      <c r="G120" s="1"/>
      <c r="H120" s="1"/>
    </row>
    <row r="121" spans="1:8" x14ac:dyDescent="0.25">
      <c r="A121" s="1"/>
      <c r="B121" s="1"/>
      <c r="C121" s="1"/>
      <c r="D121" s="1"/>
      <c r="E121" s="1"/>
      <c r="F121" s="1"/>
      <c r="G121" s="1"/>
      <c r="H121" s="1"/>
    </row>
    <row r="122" spans="1:8" x14ac:dyDescent="0.25">
      <c r="A122" s="1"/>
      <c r="B122" s="1"/>
      <c r="C122" s="1"/>
      <c r="D122" s="1"/>
      <c r="E122" s="1"/>
      <c r="F122" s="1"/>
      <c r="G122" s="1"/>
      <c r="H122" s="1"/>
    </row>
    <row r="123" spans="1:8" x14ac:dyDescent="0.25">
      <c r="A123" s="1"/>
      <c r="B123" s="1"/>
      <c r="C123" s="1"/>
      <c r="D123" s="1"/>
      <c r="E123" s="1"/>
      <c r="F123" s="1"/>
      <c r="G123" s="1"/>
      <c r="H123" s="1"/>
    </row>
    <row r="124" spans="1:8" x14ac:dyDescent="0.25">
      <c r="A124" s="1"/>
      <c r="B124" s="1"/>
      <c r="C124" s="1"/>
      <c r="D124" s="1"/>
      <c r="E124" s="1"/>
      <c r="F124" s="1"/>
      <c r="G124" s="1"/>
      <c r="H124" s="1"/>
    </row>
    <row r="125" spans="1:8" x14ac:dyDescent="0.25">
      <c r="A125" s="1"/>
      <c r="B125" s="1"/>
      <c r="C125" s="1"/>
      <c r="D125" s="1"/>
      <c r="E125" s="1"/>
      <c r="F125" s="1"/>
      <c r="G125" s="1"/>
      <c r="H125" s="1"/>
    </row>
    <row r="126" spans="1:8" x14ac:dyDescent="0.25">
      <c r="A126" s="1"/>
      <c r="B126" s="1"/>
      <c r="C126" s="1"/>
      <c r="D126" s="1"/>
      <c r="E126" s="1"/>
      <c r="F126" s="1"/>
      <c r="G126" s="1"/>
      <c r="H126" s="1"/>
    </row>
    <row r="127" spans="1:8" x14ac:dyDescent="0.25">
      <c r="A127" s="1"/>
      <c r="B127" s="1"/>
      <c r="C127" s="1"/>
      <c r="D127" s="1"/>
      <c r="E127" s="1"/>
      <c r="F127" s="1"/>
      <c r="G127" s="1"/>
      <c r="H127" s="1"/>
    </row>
    <row r="128" spans="1:8" x14ac:dyDescent="0.25">
      <c r="A128" s="1"/>
      <c r="B128" s="1"/>
      <c r="C128" s="1"/>
      <c r="D128" s="1"/>
      <c r="E128" s="1"/>
      <c r="F128" s="1"/>
      <c r="G128" s="1"/>
      <c r="H128" s="1"/>
    </row>
    <row r="129" spans="1:8" x14ac:dyDescent="0.25">
      <c r="A129" s="1"/>
      <c r="B129" s="1"/>
      <c r="C129" s="1"/>
      <c r="D129" s="1"/>
      <c r="E129" s="1"/>
      <c r="F129" s="1"/>
      <c r="G129" s="1"/>
      <c r="H129" s="1"/>
    </row>
    <row r="130" spans="1:8" x14ac:dyDescent="0.25">
      <c r="A130" s="1"/>
      <c r="B130" s="1"/>
      <c r="C130" s="1"/>
      <c r="D130" s="1"/>
      <c r="E130" s="1"/>
      <c r="F130" s="1"/>
      <c r="G130" s="1"/>
      <c r="H130" s="1"/>
    </row>
    <row r="131" spans="1:8" x14ac:dyDescent="0.25">
      <c r="A131" s="1"/>
      <c r="B131" s="1"/>
      <c r="C131" s="1"/>
      <c r="D131" s="1"/>
      <c r="E131" s="1"/>
      <c r="F131" s="1"/>
      <c r="G131" s="1"/>
      <c r="H131" s="1"/>
    </row>
    <row r="132" spans="1:8" x14ac:dyDescent="0.25">
      <c r="A132" s="1"/>
      <c r="B132" s="1"/>
      <c r="C132" s="1"/>
      <c r="D132" s="1"/>
      <c r="E132" s="1"/>
      <c r="F132" s="1"/>
      <c r="G132" s="1"/>
      <c r="H132" s="1"/>
    </row>
    <row r="133" spans="1:8" x14ac:dyDescent="0.25">
      <c r="A133" s="1"/>
      <c r="B133" s="1"/>
      <c r="C133" s="1"/>
      <c r="D133" s="1"/>
      <c r="E133" s="1"/>
      <c r="F133" s="1"/>
      <c r="G133" s="1"/>
      <c r="H133" s="1"/>
    </row>
    <row r="134" spans="1:8" x14ac:dyDescent="0.25">
      <c r="A134" s="1"/>
      <c r="B134" s="1"/>
      <c r="C134" s="1"/>
      <c r="D134" s="1"/>
      <c r="E134" s="1"/>
      <c r="F134" s="1"/>
      <c r="G134" s="1"/>
      <c r="H134" s="1"/>
    </row>
    <row r="135" spans="1:8" x14ac:dyDescent="0.25">
      <c r="A135" s="1"/>
      <c r="B135" s="1"/>
      <c r="C135" s="1"/>
      <c r="D135" s="1"/>
      <c r="E135" s="1"/>
      <c r="F135" s="1"/>
      <c r="G135" s="1"/>
      <c r="H135" s="1"/>
    </row>
    <row r="136" spans="1:8" x14ac:dyDescent="0.25">
      <c r="A136" s="1"/>
      <c r="B136" s="1"/>
      <c r="C136" s="1"/>
      <c r="D136" s="1"/>
      <c r="E136" s="1"/>
      <c r="F136" s="1"/>
      <c r="G136" s="1"/>
      <c r="H136" s="1"/>
    </row>
    <row r="137" spans="1:8" x14ac:dyDescent="0.25">
      <c r="A137" s="1"/>
      <c r="B137" s="1"/>
      <c r="C137" s="1"/>
      <c r="D137" s="1"/>
      <c r="E137" s="1"/>
      <c r="F137" s="1"/>
      <c r="G137" s="1"/>
      <c r="H137" s="1"/>
    </row>
    <row r="138" spans="1:8" x14ac:dyDescent="0.25">
      <c r="A138" s="1"/>
      <c r="B138" s="1"/>
      <c r="C138" s="1"/>
      <c r="D138" s="1"/>
      <c r="E138" s="1"/>
      <c r="F138" s="1"/>
      <c r="G138" s="1"/>
      <c r="H138" s="1"/>
    </row>
    <row r="139" spans="1:8" x14ac:dyDescent="0.25">
      <c r="A139" s="1"/>
      <c r="B139" s="1"/>
      <c r="C139" s="1"/>
      <c r="D139" s="1"/>
      <c r="E139" s="1"/>
      <c r="F139" s="1"/>
      <c r="G139" s="1"/>
      <c r="H139" s="1"/>
    </row>
    <row r="140" spans="1:8" x14ac:dyDescent="0.25">
      <c r="A140" s="1"/>
      <c r="B140" s="1"/>
      <c r="C140" s="1"/>
      <c r="D140" s="1"/>
      <c r="E140" s="1"/>
      <c r="F140" s="1"/>
      <c r="G140" s="1"/>
      <c r="H140" s="1"/>
    </row>
    <row r="141" spans="1:8" x14ac:dyDescent="0.25">
      <c r="A141" s="1"/>
      <c r="B141" s="1"/>
      <c r="C141" s="1"/>
      <c r="D141" s="1"/>
      <c r="E141" s="1"/>
      <c r="F141" s="1"/>
      <c r="G141" s="1"/>
      <c r="H141" s="1"/>
    </row>
    <row r="142" spans="1:8" x14ac:dyDescent="0.25">
      <c r="A142" s="1"/>
      <c r="B142" s="1"/>
      <c r="C142" s="1"/>
      <c r="D142" s="1"/>
      <c r="E142" s="1"/>
      <c r="F142" s="1"/>
      <c r="G142" s="1"/>
      <c r="H142" s="1"/>
    </row>
    <row r="143" spans="1:8" x14ac:dyDescent="0.25">
      <c r="A143" s="1"/>
      <c r="B143" s="1"/>
      <c r="C143" s="1"/>
      <c r="D143" s="1"/>
      <c r="E143" s="1"/>
      <c r="F143" s="1"/>
      <c r="G143" s="1"/>
      <c r="H143" s="1"/>
    </row>
    <row r="144" spans="1:8" x14ac:dyDescent="0.25">
      <c r="A144" s="1"/>
      <c r="B144" s="1"/>
      <c r="C144" s="1"/>
      <c r="D144" s="1"/>
      <c r="E144" s="1"/>
      <c r="F144" s="1"/>
      <c r="G144" s="1"/>
      <c r="H144" s="1"/>
    </row>
    <row r="145" spans="1:8" x14ac:dyDescent="0.25">
      <c r="A145" s="1"/>
      <c r="B145" s="1"/>
      <c r="C145" s="1"/>
      <c r="D145" s="1"/>
      <c r="E145" s="1"/>
      <c r="F145" s="1"/>
      <c r="G145" s="1"/>
      <c r="H145" s="1"/>
    </row>
    <row r="146" spans="1:8" x14ac:dyDescent="0.25">
      <c r="A146" s="1"/>
      <c r="B146" s="1"/>
      <c r="C146" s="1"/>
      <c r="D146" s="1"/>
      <c r="E146" s="1"/>
      <c r="F146" s="1"/>
      <c r="G146" s="1"/>
      <c r="H146" s="1"/>
    </row>
    <row r="147" spans="1:8" x14ac:dyDescent="0.25">
      <c r="A147" s="1"/>
      <c r="B147" s="1"/>
      <c r="C147" s="1"/>
      <c r="D147" s="1"/>
      <c r="E147" s="1"/>
      <c r="F147" s="1"/>
      <c r="G147" s="1"/>
      <c r="H147" s="1"/>
    </row>
    <row r="148" spans="1:8" x14ac:dyDescent="0.25">
      <c r="A148" s="1"/>
      <c r="B148" s="1"/>
      <c r="C148" s="1"/>
      <c r="D148" s="1"/>
      <c r="E148" s="1"/>
      <c r="F148" s="1"/>
      <c r="G148" s="1"/>
      <c r="H148" s="1"/>
    </row>
    <row r="149" spans="1:8" x14ac:dyDescent="0.25">
      <c r="A149" s="1"/>
      <c r="B149" s="1"/>
      <c r="C149" s="1"/>
      <c r="D149" s="1"/>
      <c r="E149" s="1"/>
      <c r="F149" s="1"/>
      <c r="G149" s="1"/>
      <c r="H149" s="1"/>
    </row>
    <row r="150" spans="1:8" x14ac:dyDescent="0.25">
      <c r="A150" s="1"/>
      <c r="B150" s="1"/>
      <c r="C150" s="1"/>
      <c r="D150" s="1"/>
      <c r="E150" s="1"/>
      <c r="F150" s="1"/>
      <c r="G150" s="1"/>
      <c r="H150" s="1"/>
    </row>
    <row r="151" spans="1:8" x14ac:dyDescent="0.25">
      <c r="A151" s="1"/>
      <c r="B151" s="1"/>
      <c r="C151" s="1"/>
      <c r="D151" s="1"/>
      <c r="E151" s="1"/>
      <c r="F151" s="1"/>
      <c r="G151" s="1"/>
      <c r="H151" s="1"/>
    </row>
    <row r="152" spans="1:8" x14ac:dyDescent="0.25">
      <c r="A152" s="1"/>
      <c r="B152" s="1"/>
      <c r="C152" s="1"/>
      <c r="D152" s="1"/>
      <c r="E152" s="1"/>
      <c r="F152" s="1"/>
      <c r="G152" s="1"/>
      <c r="H152" s="1"/>
    </row>
    <row r="153" spans="1:8" x14ac:dyDescent="0.25">
      <c r="A153" s="1"/>
      <c r="B153" s="1"/>
      <c r="C153" s="1"/>
      <c r="D153" s="1"/>
      <c r="E153" s="1"/>
      <c r="F153" s="1"/>
      <c r="G153" s="1"/>
      <c r="H153" s="1"/>
    </row>
    <row r="154" spans="1:8" x14ac:dyDescent="0.25">
      <c r="A154" s="1"/>
      <c r="B154" s="1"/>
      <c r="C154" s="1"/>
      <c r="D154" s="1"/>
      <c r="E154" s="1"/>
      <c r="F154" s="1"/>
      <c r="G154" s="1"/>
      <c r="H154" s="1"/>
    </row>
    <row r="155" spans="1:8" x14ac:dyDescent="0.25">
      <c r="A155" s="1"/>
      <c r="B155" s="1"/>
      <c r="C155" s="1"/>
      <c r="D155" s="1"/>
      <c r="E155" s="1"/>
      <c r="F155" s="1"/>
      <c r="G155" s="1"/>
      <c r="H155" s="1"/>
    </row>
    <row r="156" spans="1:8" x14ac:dyDescent="0.25">
      <c r="A156" s="1"/>
      <c r="B156" s="1"/>
      <c r="C156" s="1"/>
      <c r="D156" s="1"/>
      <c r="E156" s="1"/>
      <c r="F156" s="1"/>
      <c r="G156" s="1"/>
      <c r="H156" s="1"/>
    </row>
    <row r="157" spans="1:8" x14ac:dyDescent="0.25">
      <c r="A157" s="1"/>
      <c r="B157" s="1"/>
      <c r="C157" s="1"/>
      <c r="D157" s="1"/>
      <c r="E157" s="1"/>
      <c r="F157" s="1"/>
      <c r="G157" s="1"/>
      <c r="H157" s="1"/>
    </row>
    <row r="158" spans="1:8" x14ac:dyDescent="0.25">
      <c r="A158" s="1"/>
      <c r="B158" s="1"/>
      <c r="C158" s="1"/>
      <c r="D158" s="1"/>
      <c r="E158" s="1"/>
      <c r="F158" s="1"/>
      <c r="G158" s="1"/>
      <c r="H158" s="1"/>
    </row>
    <row r="159" spans="1:8" x14ac:dyDescent="0.25">
      <c r="A159" s="1"/>
      <c r="B159" s="1"/>
      <c r="C159" s="1"/>
      <c r="D159" s="1"/>
      <c r="E159" s="1"/>
      <c r="F159" s="1"/>
      <c r="G159" s="1"/>
      <c r="H159" s="1"/>
    </row>
    <row r="160" spans="1:8" x14ac:dyDescent="0.25">
      <c r="A160" s="1"/>
      <c r="B160" s="1"/>
      <c r="C160" s="1"/>
      <c r="D160" s="1"/>
      <c r="E160" s="1"/>
      <c r="F160" s="1"/>
      <c r="G160" s="1"/>
      <c r="H160" s="1"/>
    </row>
    <row r="161" spans="1:8" x14ac:dyDescent="0.25">
      <c r="A161" s="1"/>
      <c r="B161" s="1"/>
      <c r="C161" s="1"/>
      <c r="D161" s="1"/>
      <c r="E161" s="1"/>
      <c r="F161" s="1"/>
      <c r="G161" s="1"/>
      <c r="H161" s="1"/>
    </row>
    <row r="162" spans="1:8" x14ac:dyDescent="0.25">
      <c r="A162" s="1"/>
      <c r="B162" s="1"/>
      <c r="C162" s="1"/>
      <c r="D162" s="1"/>
      <c r="E162" s="1"/>
      <c r="F162" s="1"/>
      <c r="G162" s="1"/>
      <c r="H162" s="1"/>
    </row>
    <row r="163" spans="1:8" x14ac:dyDescent="0.25">
      <c r="A163" s="1"/>
      <c r="B163" s="1"/>
      <c r="C163" s="1"/>
      <c r="D163" s="1"/>
      <c r="E163" s="1"/>
      <c r="F163" s="1"/>
      <c r="G163" s="1"/>
      <c r="H163" s="1"/>
    </row>
    <row r="164" spans="1:8" x14ac:dyDescent="0.25">
      <c r="A164" s="1"/>
      <c r="B164" s="1"/>
      <c r="C164" s="1"/>
      <c r="D164" s="1"/>
      <c r="E164" s="1"/>
      <c r="F164" s="1"/>
      <c r="G164" s="1"/>
      <c r="H164" s="1"/>
    </row>
    <row r="165" spans="1:8" x14ac:dyDescent="0.25">
      <c r="A165" s="1"/>
      <c r="B165" s="1"/>
      <c r="C165" s="1"/>
      <c r="D165" s="1"/>
      <c r="E165" s="1"/>
      <c r="F165" s="1"/>
      <c r="G165" s="1"/>
      <c r="H165" s="1"/>
    </row>
    <row r="166" spans="1:8" x14ac:dyDescent="0.25">
      <c r="A166" s="1"/>
      <c r="B166" s="1"/>
      <c r="C166" s="1"/>
      <c r="D166" s="1"/>
      <c r="E166" s="1"/>
      <c r="F166" s="1"/>
      <c r="G166" s="1"/>
      <c r="H166" s="1"/>
    </row>
    <row r="167" spans="1:8" x14ac:dyDescent="0.25">
      <c r="A167" s="1"/>
      <c r="B167" s="1"/>
      <c r="C167" s="1"/>
      <c r="D167" s="1"/>
      <c r="E167" s="1"/>
      <c r="F167" s="1"/>
      <c r="G167" s="1"/>
      <c r="H167" s="1"/>
    </row>
    <row r="168" spans="1:8" x14ac:dyDescent="0.25">
      <c r="A168" s="1"/>
      <c r="B168" s="1"/>
      <c r="C168" s="1"/>
      <c r="D168" s="1"/>
      <c r="E168" s="1"/>
      <c r="F168" s="1"/>
      <c r="G168" s="1"/>
      <c r="H168" s="1"/>
    </row>
    <row r="169" spans="1:8" x14ac:dyDescent="0.25">
      <c r="A169" s="1"/>
      <c r="B169" s="1"/>
      <c r="C169" s="1"/>
      <c r="D169" s="1"/>
      <c r="E169" s="1"/>
      <c r="F169" s="1"/>
      <c r="G169" s="1"/>
      <c r="H169" s="1"/>
    </row>
    <row r="170" spans="1:8" x14ac:dyDescent="0.25">
      <c r="A170" s="1"/>
      <c r="B170" s="1"/>
      <c r="C170" s="1"/>
      <c r="D170" s="1"/>
      <c r="E170" s="1"/>
      <c r="F170" s="1"/>
      <c r="G170" s="1"/>
      <c r="H170" s="1"/>
    </row>
    <row r="171" spans="1:8" x14ac:dyDescent="0.25">
      <c r="A171" s="1"/>
      <c r="B171" s="1"/>
      <c r="C171" s="1"/>
      <c r="D171" s="1"/>
      <c r="E171" s="1"/>
      <c r="F171" s="1"/>
      <c r="G171" s="1"/>
      <c r="H171" s="1"/>
    </row>
    <row r="172" spans="1:8" x14ac:dyDescent="0.25">
      <c r="A172" s="1"/>
      <c r="B172" s="1"/>
      <c r="C172" s="1"/>
      <c r="D172" s="1"/>
      <c r="E172" s="1"/>
      <c r="F172" s="1"/>
      <c r="G172" s="1"/>
      <c r="H172" s="1"/>
    </row>
    <row r="173" spans="1:8" x14ac:dyDescent="0.25">
      <c r="A173" s="1"/>
      <c r="B173" s="1"/>
      <c r="C173" s="1"/>
      <c r="D173" s="1"/>
      <c r="E173" s="1"/>
      <c r="F173" s="1"/>
      <c r="G173" s="1"/>
      <c r="H173" s="1"/>
    </row>
    <row r="174" spans="1:8" x14ac:dyDescent="0.25">
      <c r="A174" s="1"/>
      <c r="B174" s="1"/>
      <c r="C174" s="1"/>
      <c r="D174" s="1"/>
      <c r="E174" s="1"/>
      <c r="F174" s="1"/>
      <c r="G174" s="1"/>
      <c r="H174" s="1"/>
    </row>
    <row r="175" spans="1:8" x14ac:dyDescent="0.25">
      <c r="A175" s="1"/>
      <c r="B175" s="1"/>
      <c r="C175" s="1"/>
      <c r="D175" s="1"/>
      <c r="E175" s="1"/>
      <c r="F175" s="1"/>
      <c r="G175" s="1"/>
      <c r="H175" s="1"/>
    </row>
    <row r="176" spans="1:8" x14ac:dyDescent="0.25">
      <c r="A176" s="1"/>
      <c r="B176" s="1"/>
      <c r="C176" s="1"/>
      <c r="D176" s="1"/>
      <c r="E176" s="1"/>
      <c r="F176" s="1"/>
      <c r="G176" s="1"/>
      <c r="H176" s="1"/>
    </row>
    <row r="177" spans="1:8" x14ac:dyDescent="0.25">
      <c r="A177" s="1"/>
      <c r="B177" s="1"/>
      <c r="C177" s="1"/>
      <c r="D177" s="1"/>
      <c r="E177" s="1"/>
      <c r="F177" s="1"/>
      <c r="G177" s="1"/>
      <c r="H177" s="1"/>
    </row>
    <row r="178" spans="1:8" x14ac:dyDescent="0.25">
      <c r="A178" s="1"/>
      <c r="B178" s="1"/>
      <c r="C178" s="1"/>
      <c r="D178" s="1"/>
      <c r="E178" s="1"/>
      <c r="F178" s="1"/>
      <c r="G178" s="1"/>
      <c r="H178" s="1"/>
    </row>
    <row r="179" spans="1:8" x14ac:dyDescent="0.25">
      <c r="A179" s="1"/>
      <c r="B179" s="1"/>
      <c r="C179" s="1"/>
      <c r="D179" s="1"/>
      <c r="E179" s="1"/>
      <c r="F179" s="1"/>
      <c r="G179" s="1"/>
      <c r="H179" s="1"/>
    </row>
    <row r="180" spans="1:8" x14ac:dyDescent="0.25">
      <c r="A180" s="1"/>
      <c r="B180" s="1"/>
      <c r="C180" s="1"/>
      <c r="D180" s="1"/>
      <c r="E180" s="1"/>
      <c r="F180" s="1"/>
      <c r="G180" s="1"/>
      <c r="H180" s="1"/>
    </row>
    <row r="181" spans="1:8" x14ac:dyDescent="0.25">
      <c r="A181" s="1"/>
      <c r="B181" s="1"/>
      <c r="C181" s="1"/>
      <c r="D181" s="1"/>
      <c r="E181" s="1"/>
      <c r="F181" s="1"/>
      <c r="G181" s="1"/>
      <c r="H181" s="1"/>
    </row>
    <row r="182" spans="1:8" x14ac:dyDescent="0.25">
      <c r="A182" s="1"/>
      <c r="B182" s="1"/>
      <c r="C182" s="1"/>
      <c r="D182" s="1"/>
      <c r="E182" s="1"/>
      <c r="F182" s="1"/>
      <c r="G182" s="1"/>
      <c r="H182" s="1"/>
    </row>
    <row r="183" spans="1:8" x14ac:dyDescent="0.25">
      <c r="A183" s="1"/>
      <c r="B183" s="1"/>
      <c r="C183" s="1"/>
      <c r="D183" s="1"/>
      <c r="E183" s="1"/>
      <c r="F183" s="1"/>
      <c r="G183" s="1"/>
      <c r="H183" s="1"/>
    </row>
    <row r="184" spans="1:8" x14ac:dyDescent="0.25">
      <c r="A184" s="1"/>
      <c r="B184" s="1"/>
      <c r="C184" s="1"/>
      <c r="D184" s="1"/>
      <c r="E184" s="1"/>
      <c r="F184" s="1"/>
      <c r="G184" s="1"/>
      <c r="H184" s="1"/>
    </row>
    <row r="185" spans="1:8" x14ac:dyDescent="0.25">
      <c r="A185" s="1"/>
      <c r="B185" s="1"/>
      <c r="C185" s="1"/>
      <c r="D185" s="1"/>
      <c r="E185" s="1"/>
      <c r="F185" s="1"/>
      <c r="G185" s="1"/>
      <c r="H185" s="1"/>
    </row>
    <row r="186" spans="1:8" x14ac:dyDescent="0.25">
      <c r="A186" s="1"/>
      <c r="B186" s="1"/>
      <c r="C186" s="1"/>
      <c r="D186" s="1"/>
      <c r="E186" s="1"/>
      <c r="F186" s="1"/>
      <c r="G186" s="1"/>
      <c r="H186" s="1"/>
    </row>
    <row r="187" spans="1:8" x14ac:dyDescent="0.25">
      <c r="A187" s="1"/>
      <c r="B187" s="1"/>
      <c r="C187" s="1"/>
      <c r="D187" s="1"/>
      <c r="E187" s="1"/>
      <c r="F187" s="1"/>
      <c r="G187" s="1"/>
      <c r="H187" s="1"/>
    </row>
    <row r="188" spans="1:8" x14ac:dyDescent="0.25">
      <c r="A188" s="1"/>
      <c r="B188" s="1"/>
      <c r="C188" s="1"/>
      <c r="D188" s="1"/>
      <c r="E188" s="1"/>
      <c r="F188" s="1"/>
      <c r="G188" s="1"/>
      <c r="H188" s="1"/>
    </row>
    <row r="189" spans="1:8" x14ac:dyDescent="0.25">
      <c r="A189" s="1"/>
      <c r="B189" s="1"/>
      <c r="C189" s="1"/>
      <c r="D189" s="1"/>
      <c r="E189" s="1"/>
      <c r="F189" s="1"/>
      <c r="G189" s="1"/>
      <c r="H189" s="1"/>
    </row>
    <row r="190" spans="1:8" x14ac:dyDescent="0.25">
      <c r="A190" s="1"/>
      <c r="B190" s="1"/>
      <c r="C190" s="1"/>
      <c r="D190" s="1"/>
      <c r="E190" s="1"/>
      <c r="F190" s="1"/>
      <c r="G190" s="1"/>
      <c r="H190" s="1"/>
    </row>
    <row r="191" spans="1:8" x14ac:dyDescent="0.25">
      <c r="A191" s="1"/>
      <c r="B191" s="1"/>
      <c r="C191" s="1"/>
      <c r="D191" s="1"/>
      <c r="E191" s="1"/>
      <c r="F191" s="1"/>
      <c r="G191" s="1"/>
      <c r="H191" s="1"/>
    </row>
    <row r="192" spans="1:8" x14ac:dyDescent="0.25">
      <c r="A192" s="1"/>
      <c r="B192" s="1"/>
      <c r="C192" s="1"/>
      <c r="D192" s="1"/>
      <c r="E192" s="1"/>
      <c r="F192" s="1"/>
      <c r="G192" s="1"/>
      <c r="H192" s="1"/>
    </row>
    <row r="193" spans="1:8" x14ac:dyDescent="0.25">
      <c r="A193" s="1"/>
      <c r="B193" s="1"/>
      <c r="C193" s="1"/>
      <c r="D193" s="1"/>
      <c r="E193" s="1"/>
      <c r="F193" s="1"/>
      <c r="G193" s="1"/>
      <c r="H193" s="1"/>
    </row>
    <row r="194" spans="1:8" x14ac:dyDescent="0.25">
      <c r="A194" s="1"/>
      <c r="B194" s="1"/>
      <c r="C194" s="1"/>
      <c r="D194" s="1"/>
      <c r="E194" s="1"/>
      <c r="F194" s="1"/>
      <c r="G194" s="1"/>
      <c r="H194" s="1"/>
    </row>
    <row r="195" spans="1:8" x14ac:dyDescent="0.25">
      <c r="A195" s="1"/>
      <c r="B195" s="1"/>
      <c r="C195" s="1"/>
      <c r="D195" s="1"/>
      <c r="E195" s="1"/>
      <c r="F195" s="1"/>
      <c r="G195" s="1"/>
      <c r="H195" s="1"/>
    </row>
    <row r="196" spans="1:8" x14ac:dyDescent="0.25">
      <c r="A196" s="1"/>
      <c r="B196" s="1"/>
      <c r="C196" s="1"/>
      <c r="D196" s="1"/>
      <c r="E196" s="1"/>
      <c r="F196" s="1"/>
      <c r="G196" s="1"/>
      <c r="H196" s="1"/>
    </row>
    <row r="197" spans="1:8" x14ac:dyDescent="0.25">
      <c r="A197" s="1"/>
      <c r="B197" s="1"/>
      <c r="C197" s="1"/>
      <c r="D197" s="1"/>
      <c r="E197" s="1"/>
      <c r="F197" s="1"/>
      <c r="G197" s="1"/>
      <c r="H197" s="1"/>
    </row>
    <row r="198" spans="1:8" x14ac:dyDescent="0.25">
      <c r="A198" s="1"/>
      <c r="B198" s="1"/>
      <c r="C198" s="1"/>
      <c r="D198" s="1"/>
      <c r="E198" s="1"/>
      <c r="F198" s="1"/>
      <c r="G198" s="1"/>
      <c r="H198" s="1"/>
    </row>
    <row r="199" spans="1:8" x14ac:dyDescent="0.25">
      <c r="A199" s="1"/>
      <c r="B199" s="1"/>
      <c r="C199" s="1"/>
      <c r="D199" s="1"/>
      <c r="E199" s="1"/>
      <c r="F199" s="1"/>
      <c r="G199" s="1"/>
      <c r="H199" s="1"/>
    </row>
    <row r="200" spans="1:8" x14ac:dyDescent="0.25">
      <c r="A200" s="1"/>
      <c r="B200" s="1"/>
      <c r="C200" s="1"/>
      <c r="D200" s="1"/>
      <c r="E200" s="1"/>
      <c r="F200" s="1"/>
      <c r="G200" s="1"/>
      <c r="H200" s="1"/>
    </row>
    <row r="201" spans="1:8" x14ac:dyDescent="0.25">
      <c r="A201" s="1"/>
      <c r="B201" s="1"/>
      <c r="C201" s="1"/>
      <c r="D201" s="1"/>
      <c r="E201" s="1"/>
      <c r="F201" s="1"/>
      <c r="G201" s="1"/>
      <c r="H201" s="1"/>
    </row>
    <row r="202" spans="1:8" x14ac:dyDescent="0.25">
      <c r="A202" s="1"/>
      <c r="B202" s="1"/>
      <c r="C202" s="1"/>
      <c r="D202" s="1"/>
      <c r="E202" s="1"/>
      <c r="F202" s="1"/>
      <c r="G202" s="1"/>
      <c r="H202" s="1"/>
    </row>
    <row r="203" spans="1:8" x14ac:dyDescent="0.25">
      <c r="A203" s="1"/>
      <c r="B203" s="1"/>
      <c r="C203" s="1"/>
      <c r="D203" s="1"/>
      <c r="E203" s="1"/>
      <c r="F203" s="1"/>
      <c r="G203" s="1"/>
      <c r="H203" s="1"/>
    </row>
    <row r="204" spans="1:8" x14ac:dyDescent="0.25">
      <c r="A204" s="1"/>
      <c r="B204" s="1"/>
      <c r="C204" s="1"/>
      <c r="D204" s="1"/>
      <c r="E204" s="1"/>
      <c r="F204" s="1"/>
      <c r="G204" s="1"/>
      <c r="H204" s="1"/>
    </row>
    <row r="205" spans="1:8" x14ac:dyDescent="0.25">
      <c r="A205" s="1"/>
      <c r="B205" s="1"/>
      <c r="C205" s="1"/>
      <c r="D205" s="1"/>
      <c r="E205" s="1"/>
      <c r="F205" s="1"/>
      <c r="G205" s="1"/>
      <c r="H205" s="1"/>
    </row>
    <row r="206" spans="1:8" x14ac:dyDescent="0.25">
      <c r="A206" s="1"/>
      <c r="B206" s="1"/>
      <c r="C206" s="1"/>
      <c r="D206" s="1"/>
      <c r="E206" s="1"/>
      <c r="F206" s="1"/>
      <c r="G206" s="1"/>
      <c r="H206" s="1"/>
    </row>
    <row r="207" spans="1:8" x14ac:dyDescent="0.25">
      <c r="A207" s="1"/>
      <c r="B207" s="1"/>
      <c r="C207" s="1"/>
      <c r="D207" s="1"/>
      <c r="E207" s="1"/>
      <c r="F207" s="1"/>
      <c r="G207" s="1"/>
      <c r="H207" s="1"/>
    </row>
    <row r="208" spans="1:8" x14ac:dyDescent="0.25">
      <c r="A208" s="1"/>
      <c r="B208" s="1"/>
      <c r="C208" s="1"/>
      <c r="D208" s="1"/>
      <c r="E208" s="1"/>
      <c r="F208" s="1"/>
      <c r="G208" s="1"/>
      <c r="H208" s="1"/>
    </row>
    <row r="209" spans="1:8" x14ac:dyDescent="0.25">
      <c r="A209" s="1"/>
      <c r="B209" s="1"/>
      <c r="C209" s="1"/>
      <c r="D209" s="1"/>
      <c r="E209" s="1"/>
      <c r="F209" s="1"/>
      <c r="G209" s="1"/>
      <c r="H209" s="1"/>
    </row>
    <row r="210" spans="1:8" x14ac:dyDescent="0.25">
      <c r="A210" s="1"/>
      <c r="B210" s="1"/>
      <c r="C210" s="1"/>
      <c r="D210" s="1"/>
      <c r="E210" s="1"/>
      <c r="F210" s="1"/>
      <c r="G210" s="1"/>
      <c r="H210" s="1"/>
    </row>
    <row r="211" spans="1:8" x14ac:dyDescent="0.25">
      <c r="A211" s="1"/>
      <c r="B211" s="1"/>
      <c r="C211" s="1"/>
      <c r="D211" s="1"/>
      <c r="E211" s="1"/>
      <c r="F211" s="1"/>
      <c r="G211" s="1"/>
      <c r="H211" s="1"/>
    </row>
    <row r="212" spans="1:8" x14ac:dyDescent="0.25">
      <c r="A212" s="1"/>
      <c r="B212" s="1"/>
      <c r="C212" s="1"/>
      <c r="D212" s="1"/>
      <c r="E212" s="1"/>
      <c r="F212" s="1"/>
      <c r="G212" s="1"/>
      <c r="H212" s="1"/>
    </row>
    <row r="213" spans="1:8" x14ac:dyDescent="0.25">
      <c r="A213" s="1"/>
      <c r="B213" s="1"/>
      <c r="C213" s="1"/>
      <c r="D213" s="1"/>
      <c r="E213" s="1"/>
      <c r="F213" s="1"/>
      <c r="G213" s="1"/>
      <c r="H213" s="1"/>
    </row>
    <row r="214" spans="1:8" x14ac:dyDescent="0.25">
      <c r="A214" s="1"/>
      <c r="B214" s="1"/>
      <c r="C214" s="1"/>
      <c r="D214" s="1"/>
      <c r="E214" s="1"/>
      <c r="F214" s="1"/>
      <c r="G214" s="1"/>
      <c r="H214" s="1"/>
    </row>
    <row r="215" spans="1:8" x14ac:dyDescent="0.25">
      <c r="A215" s="1"/>
      <c r="B215" s="1"/>
      <c r="C215" s="1"/>
      <c r="D215" s="1"/>
      <c r="E215" s="1"/>
      <c r="F215" s="1"/>
      <c r="G215" s="1"/>
      <c r="H215" s="1"/>
    </row>
    <row r="216" spans="1:8" x14ac:dyDescent="0.25">
      <c r="A216" s="1"/>
      <c r="B216" s="1"/>
      <c r="C216" s="1"/>
      <c r="D216" s="1"/>
      <c r="E216" s="1"/>
      <c r="F216" s="1"/>
      <c r="G216" s="1"/>
      <c r="H216" s="1"/>
    </row>
    <row r="217" spans="1:8" x14ac:dyDescent="0.25">
      <c r="A217" s="1"/>
      <c r="B217" s="1"/>
      <c r="C217" s="1"/>
      <c r="D217" s="1"/>
      <c r="E217" s="1"/>
      <c r="F217" s="1"/>
      <c r="G217" s="1"/>
      <c r="H217" s="1"/>
    </row>
    <row r="218" spans="1:8" x14ac:dyDescent="0.25">
      <c r="A218" s="1"/>
      <c r="B218" s="1"/>
      <c r="C218" s="1"/>
      <c r="D218" s="1"/>
      <c r="E218" s="1"/>
      <c r="F218" s="1"/>
      <c r="G218" s="1"/>
      <c r="H218" s="1"/>
    </row>
    <row r="219" spans="1:8" x14ac:dyDescent="0.25">
      <c r="A219" s="1"/>
      <c r="B219" s="1"/>
      <c r="C219" s="1"/>
      <c r="D219" s="1"/>
      <c r="E219" s="1"/>
      <c r="F219" s="1"/>
      <c r="G219" s="1"/>
      <c r="H219" s="1"/>
    </row>
    <row r="220" spans="1:8" x14ac:dyDescent="0.25">
      <c r="A220" s="1"/>
      <c r="B220" s="1"/>
      <c r="C220" s="1"/>
      <c r="D220" s="1"/>
      <c r="E220" s="1"/>
      <c r="F220" s="1"/>
      <c r="G220" s="1"/>
      <c r="H220" s="1"/>
    </row>
    <row r="221" spans="1:8" x14ac:dyDescent="0.25">
      <c r="A221" s="1"/>
      <c r="B221" s="1"/>
      <c r="C221" s="1"/>
      <c r="D221" s="1"/>
      <c r="E221" s="1"/>
      <c r="F221" s="1"/>
      <c r="G221" s="1"/>
      <c r="H221" s="1"/>
    </row>
    <row r="222" spans="1:8" x14ac:dyDescent="0.25">
      <c r="A222" s="1"/>
      <c r="B222" s="1"/>
      <c r="C222" s="1"/>
      <c r="D222" s="1"/>
      <c r="E222" s="1"/>
      <c r="F222" s="1"/>
      <c r="G222" s="1"/>
      <c r="H222" s="1"/>
    </row>
    <row r="223" spans="1:8" x14ac:dyDescent="0.25">
      <c r="A223" s="1"/>
      <c r="B223" s="1"/>
      <c r="C223" s="1"/>
      <c r="D223" s="1"/>
      <c r="E223" s="1"/>
      <c r="F223" s="1"/>
      <c r="G223" s="1"/>
      <c r="H223" s="1"/>
    </row>
  </sheetData>
  <sheetProtection selectLockedCells="1"/>
  <mergeCells count="1">
    <mergeCell ref="A1:E1"/>
  </mergeCells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Blad7"/>
  <dimension ref="A1:E11"/>
  <sheetViews>
    <sheetView zoomScale="110" zoomScaleNormal="110" workbookViewId="0">
      <selection activeCell="H16" sqref="H16"/>
    </sheetView>
  </sheetViews>
  <sheetFormatPr defaultRowHeight="15" x14ac:dyDescent="0.25"/>
  <cols>
    <col min="1" max="1" width="20.7109375" bestFit="1" customWidth="1"/>
    <col min="6" max="6" width="9.140625" bestFit="1" customWidth="1"/>
  </cols>
  <sheetData>
    <row r="1" spans="1:5" x14ac:dyDescent="0.25">
      <c r="A1" t="s">
        <v>84</v>
      </c>
      <c r="B1" t="s">
        <v>85</v>
      </c>
    </row>
    <row r="2" spans="1:5" x14ac:dyDescent="0.25">
      <c r="A2" s="4" t="s">
        <v>52</v>
      </c>
      <c r="B2">
        <v>0</v>
      </c>
      <c r="C2" s="4" t="s">
        <v>54</v>
      </c>
      <c r="D2">
        <v>0</v>
      </c>
      <c r="E2">
        <v>1</v>
      </c>
    </row>
    <row r="3" spans="1:5" x14ac:dyDescent="0.25">
      <c r="A3" t="s">
        <v>74</v>
      </c>
      <c r="B3">
        <v>1</v>
      </c>
      <c r="C3" s="4" t="s">
        <v>53</v>
      </c>
      <c r="D3">
        <v>1</v>
      </c>
      <c r="E3">
        <v>0</v>
      </c>
    </row>
    <row r="4" spans="1:5" x14ac:dyDescent="0.25">
      <c r="B4">
        <v>2</v>
      </c>
      <c r="C4" s="4" t="s">
        <v>55</v>
      </c>
      <c r="D4">
        <v>0.5</v>
      </c>
      <c r="E4">
        <v>0.5</v>
      </c>
    </row>
    <row r="5" spans="1:5" x14ac:dyDescent="0.25">
      <c r="B5">
        <v>3</v>
      </c>
      <c r="C5" s="4" t="s">
        <v>72</v>
      </c>
      <c r="D5">
        <v>0</v>
      </c>
      <c r="E5">
        <v>1</v>
      </c>
    </row>
    <row r="6" spans="1:5" x14ac:dyDescent="0.25">
      <c r="B6">
        <v>4</v>
      </c>
      <c r="C6" s="4" t="s">
        <v>71</v>
      </c>
      <c r="D6">
        <v>1</v>
      </c>
      <c r="E6">
        <v>0</v>
      </c>
    </row>
    <row r="7" spans="1:5" x14ac:dyDescent="0.25">
      <c r="B7">
        <v>5</v>
      </c>
      <c r="C7" s="4" t="s">
        <v>73</v>
      </c>
      <c r="D7">
        <v>0.5</v>
      </c>
      <c r="E7">
        <v>0.5</v>
      </c>
    </row>
    <row r="8" spans="1:5" x14ac:dyDescent="0.25">
      <c r="B8">
        <v>6</v>
      </c>
      <c r="C8" s="4" t="s">
        <v>57</v>
      </c>
      <c r="D8">
        <v>0</v>
      </c>
      <c r="E8">
        <v>0</v>
      </c>
    </row>
    <row r="9" spans="1:5" x14ac:dyDescent="0.25">
      <c r="B9">
        <v>7</v>
      </c>
      <c r="C9" s="4" t="s">
        <v>58</v>
      </c>
      <c r="D9">
        <v>0</v>
      </c>
      <c r="E9">
        <v>1</v>
      </c>
    </row>
    <row r="10" spans="1:5" x14ac:dyDescent="0.25">
      <c r="B10">
        <v>8</v>
      </c>
      <c r="C10" s="4" t="s">
        <v>56</v>
      </c>
      <c r="D10">
        <v>1</v>
      </c>
      <c r="E10">
        <v>0</v>
      </c>
    </row>
    <row r="11" spans="1:5" x14ac:dyDescent="0.25">
      <c r="B11">
        <v>9</v>
      </c>
      <c r="C11" s="4" t="s">
        <v>59</v>
      </c>
      <c r="D11">
        <v>0.5</v>
      </c>
      <c r="E11">
        <v>0.5</v>
      </c>
    </row>
  </sheetData>
  <sheetProtection algorithmName="SHA-512" hashValue="XvVxuNur6NSnybvREsn9E6Gz/YPAMLWZ1llO+0ipi9ZVkpNVTTX9GfvM73K/xaaHn9O020LglIe3RuSHx0hAVA==" saltValue="Ski6AePdiY+f20aXJPQ+jw==" spinCount="100000" sheet="1" objects="1" scenarios="1" selectLockedCell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9</vt:i4>
      </vt:variant>
      <vt:variant>
        <vt:lpstr>Benoemde bereiken</vt:lpstr>
      </vt:variant>
      <vt:variant>
        <vt:i4>12</vt:i4>
      </vt:variant>
    </vt:vector>
  </HeadingPairs>
  <TitlesOfParts>
    <vt:vector size="21" baseType="lpstr">
      <vt:lpstr>14</vt:lpstr>
      <vt:lpstr>12</vt:lpstr>
      <vt:lpstr>10</vt:lpstr>
      <vt:lpstr>8</vt:lpstr>
      <vt:lpstr>6</vt:lpstr>
      <vt:lpstr>4</vt:lpstr>
      <vt:lpstr>Groepsindeling</vt:lpstr>
      <vt:lpstr>Deelnemerslijst</vt:lpstr>
      <vt:lpstr>Configuratie</vt:lpstr>
      <vt:lpstr>'10'!Afdrukbereik</vt:lpstr>
      <vt:lpstr>'12'!Afdrukbereik</vt:lpstr>
      <vt:lpstr>'14'!Afdrukbereik</vt:lpstr>
      <vt:lpstr>'4'!Afdrukbereik</vt:lpstr>
      <vt:lpstr>'6'!Afdrukbereik</vt:lpstr>
      <vt:lpstr>'8'!Afdrukbereik</vt:lpstr>
      <vt:lpstr>uitslag1_1</vt:lpstr>
      <vt:lpstr>uitslag1_2</vt:lpstr>
      <vt:lpstr>uitslag2_1</vt:lpstr>
      <vt:lpstr>uitslag2_2</vt:lpstr>
      <vt:lpstr>uitslag3_1</vt:lpstr>
      <vt:lpstr>uitslag3_2</vt:lpstr>
    </vt:vector>
  </TitlesOfParts>
  <Company>NS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Lars Dam</dc:creator>
  <cp:lastModifiedBy>Lars Dam</cp:lastModifiedBy>
  <cp:lastPrinted>2019-05-15T20:57:50Z</cp:lastPrinted>
  <dcterms:created xsi:type="dcterms:W3CDTF">2017-03-20T06:37:04Z</dcterms:created>
  <dcterms:modified xsi:type="dcterms:W3CDTF">2019-05-19T09:47:28Z</dcterms:modified>
</cp:coreProperties>
</file>