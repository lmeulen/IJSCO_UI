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9875" windowHeight="7650"/>
  </bookViews>
  <sheets>
    <sheet name="10" sheetId="1" r:id="rId1"/>
    <sheet name="8" sheetId="2" r:id="rId2"/>
    <sheet name="6" sheetId="3" r:id="rId3"/>
    <sheet name="4" sheetId="4" r:id="rId4"/>
  </sheets>
  <definedNames>
    <definedName name="_xlnm.Print_Area" localSheetId="0">'10'!$B$1:$R$78,'10'!$T$1:$AA$78</definedName>
    <definedName name="_xlnm.Print_Area" localSheetId="3">'4'!$B$1:$R$21,'4'!$T$1:$AA$21</definedName>
    <definedName name="_xlnm.Print_Area" localSheetId="2">'6'!$B$1:$R$36,'6'!$T$1:$AA$36</definedName>
    <definedName name="_xlnm.Print_Area" localSheetId="1">'8'!$B$1:$R$55,'8'!$T$1:$AA$55</definedName>
  </definedNames>
  <calcPr calcId="145621"/>
</workbook>
</file>

<file path=xl/calcChain.xml><?xml version="1.0" encoding="utf-8"?>
<calcChain xmlns="http://schemas.openxmlformats.org/spreadsheetml/2006/main">
  <c r="AI21" i="4" l="1"/>
  <c r="AH21" i="4"/>
  <c r="AF21" i="4"/>
  <c r="E21" i="4"/>
  <c r="C21" i="4"/>
  <c r="AI20" i="4"/>
  <c r="AH20" i="4"/>
  <c r="AF20" i="4"/>
  <c r="E20" i="4"/>
  <c r="C20" i="4"/>
  <c r="AI17" i="4"/>
  <c r="AH17" i="4"/>
  <c r="AF17" i="4"/>
  <c r="E17" i="4"/>
  <c r="C17" i="4"/>
  <c r="AI16" i="4"/>
  <c r="AH16" i="4"/>
  <c r="AF16" i="4"/>
  <c r="E16" i="4"/>
  <c r="C16" i="4"/>
  <c r="AM13" i="4"/>
  <c r="AL13" i="4"/>
  <c r="AI13" i="4"/>
  <c r="AH13" i="4"/>
  <c r="AF13" i="4"/>
  <c r="E13" i="4"/>
  <c r="C13" i="4"/>
  <c r="AM12" i="4"/>
  <c r="AL12" i="4"/>
  <c r="AI12" i="4"/>
  <c r="AH12" i="4"/>
  <c r="AF12" i="4"/>
  <c r="E12" i="4"/>
  <c r="C12" i="4"/>
  <c r="AA6" i="4"/>
  <c r="V6" i="4"/>
  <c r="AQ7" i="4"/>
  <c r="AP7" i="4"/>
  <c r="AO7" i="4"/>
  <c r="AN7" i="4"/>
  <c r="AM7" i="4"/>
  <c r="AL7" i="4"/>
  <c r="AK7" i="4"/>
  <c r="AJ7" i="4"/>
  <c r="AI7" i="4"/>
  <c r="AT7" i="4" s="1"/>
  <c r="AA7" i="4"/>
  <c r="V7" i="4"/>
  <c r="AQ6" i="4"/>
  <c r="AP6" i="4"/>
  <c r="AO6" i="4"/>
  <c r="AN6" i="4"/>
  <c r="AM6" i="4"/>
  <c r="AL6" i="4"/>
  <c r="AK6" i="4"/>
  <c r="AJ6" i="4"/>
  <c r="AI6" i="4"/>
  <c r="AT6" i="4" s="1"/>
  <c r="AQ5" i="4"/>
  <c r="AP5" i="4"/>
  <c r="AO5" i="4"/>
  <c r="AN5" i="4"/>
  <c r="AM5" i="4"/>
  <c r="AL5" i="4"/>
  <c r="AK5" i="4"/>
  <c r="AJ5" i="4"/>
  <c r="AI5" i="4"/>
  <c r="AT5" i="4" s="1"/>
  <c r="AA4" i="4"/>
  <c r="V4" i="4"/>
  <c r="AQ4" i="4"/>
  <c r="AP4" i="4"/>
  <c r="AO4" i="4"/>
  <c r="AN4" i="4"/>
  <c r="AM4" i="4"/>
  <c r="AL4" i="4"/>
  <c r="AK4" i="4"/>
  <c r="AJ4" i="4"/>
  <c r="AI4" i="4"/>
  <c r="AT4" i="4" s="1"/>
  <c r="AA5" i="4"/>
  <c r="V5" i="4"/>
  <c r="W1" i="4"/>
  <c r="V7" i="3"/>
  <c r="AA7" i="3"/>
  <c r="AI36" i="3"/>
  <c r="AH36" i="3"/>
  <c r="AF36" i="3"/>
  <c r="E36" i="3"/>
  <c r="C36" i="3"/>
  <c r="AI35" i="3"/>
  <c r="AH35" i="3"/>
  <c r="AF35" i="3"/>
  <c r="E35" i="3"/>
  <c r="C35" i="3"/>
  <c r="AI34" i="3"/>
  <c r="AH34" i="3"/>
  <c r="AF34" i="3"/>
  <c r="E34" i="3"/>
  <c r="C34" i="3"/>
  <c r="AI31" i="3"/>
  <c r="AH31" i="3"/>
  <c r="AF31" i="3"/>
  <c r="E31" i="3"/>
  <c r="C31" i="3"/>
  <c r="AI30" i="3"/>
  <c r="AH30" i="3"/>
  <c r="AF30" i="3"/>
  <c r="E30" i="3"/>
  <c r="C30" i="3"/>
  <c r="AI29" i="3"/>
  <c r="AH29" i="3"/>
  <c r="AF29" i="3"/>
  <c r="E29" i="3"/>
  <c r="C29" i="3"/>
  <c r="AI26" i="3"/>
  <c r="AH26" i="3"/>
  <c r="AF26" i="3"/>
  <c r="E26" i="3"/>
  <c r="C26" i="3"/>
  <c r="AI25" i="3"/>
  <c r="AH25" i="3"/>
  <c r="AF25" i="3"/>
  <c r="E25" i="3"/>
  <c r="C25" i="3"/>
  <c r="AI24" i="3"/>
  <c r="AH24" i="3"/>
  <c r="AF24" i="3"/>
  <c r="E24" i="3"/>
  <c r="C24" i="3"/>
  <c r="AI21" i="3"/>
  <c r="AH21" i="3"/>
  <c r="AF21" i="3"/>
  <c r="E21" i="3"/>
  <c r="C21" i="3"/>
  <c r="AI20" i="3"/>
  <c r="AH20" i="3"/>
  <c r="AF20" i="3"/>
  <c r="E20" i="3"/>
  <c r="C20" i="3"/>
  <c r="AI19" i="3"/>
  <c r="AH19" i="3"/>
  <c r="AF19" i="3"/>
  <c r="E19" i="3"/>
  <c r="C19" i="3"/>
  <c r="AM16" i="3"/>
  <c r="AL16" i="3"/>
  <c r="AI16" i="3"/>
  <c r="AH16" i="3"/>
  <c r="AF16" i="3"/>
  <c r="E16" i="3"/>
  <c r="C16" i="3"/>
  <c r="AM15" i="3"/>
  <c r="AL15" i="3"/>
  <c r="AI15" i="3"/>
  <c r="AH15" i="3"/>
  <c r="AF15" i="3"/>
  <c r="E15" i="3"/>
  <c r="C15" i="3"/>
  <c r="AM14" i="3"/>
  <c r="AL14" i="3"/>
  <c r="AI14" i="3"/>
  <c r="AH14" i="3"/>
  <c r="AF14" i="3"/>
  <c r="E14" i="3"/>
  <c r="C14" i="3"/>
  <c r="AQ9" i="3"/>
  <c r="AP9" i="3"/>
  <c r="AO9" i="3"/>
  <c r="AN9" i="3"/>
  <c r="AM9" i="3"/>
  <c r="AL9" i="3"/>
  <c r="AK9" i="3"/>
  <c r="AJ9" i="3"/>
  <c r="AI9" i="3"/>
  <c r="AT9" i="3" s="1"/>
  <c r="AA5" i="3"/>
  <c r="V5" i="3"/>
  <c r="AQ8" i="3"/>
  <c r="AP8" i="3"/>
  <c r="AO8" i="3"/>
  <c r="AN8" i="3"/>
  <c r="AM8" i="3"/>
  <c r="AL8" i="3"/>
  <c r="AK8" i="3"/>
  <c r="AJ8" i="3"/>
  <c r="AI8" i="3"/>
  <c r="AT8" i="3" s="1"/>
  <c r="AA8" i="3"/>
  <c r="V8" i="3"/>
  <c r="AQ7" i="3"/>
  <c r="AP7" i="3"/>
  <c r="AO7" i="3"/>
  <c r="AN7" i="3"/>
  <c r="AM7" i="3"/>
  <c r="AL7" i="3"/>
  <c r="AK7" i="3"/>
  <c r="AJ7" i="3"/>
  <c r="AI7" i="3"/>
  <c r="AT7" i="3" s="1"/>
  <c r="AA9" i="3"/>
  <c r="V9" i="3"/>
  <c r="AQ6" i="3"/>
  <c r="AP6" i="3"/>
  <c r="AO6" i="3"/>
  <c r="AN6" i="3"/>
  <c r="AM6" i="3"/>
  <c r="AL6" i="3"/>
  <c r="AK6" i="3"/>
  <c r="AJ6" i="3"/>
  <c r="AI6" i="3"/>
  <c r="AT6" i="3" s="1"/>
  <c r="AA4" i="3"/>
  <c r="V4" i="3"/>
  <c r="AQ5" i="3"/>
  <c r="AP5" i="3"/>
  <c r="AO5" i="3"/>
  <c r="AN5" i="3"/>
  <c r="AM5" i="3"/>
  <c r="AL5" i="3"/>
  <c r="AK5" i="3"/>
  <c r="AJ5" i="3"/>
  <c r="AI5" i="3"/>
  <c r="AT5" i="3" s="1"/>
  <c r="AQ4" i="3"/>
  <c r="AP4" i="3"/>
  <c r="AO4" i="3"/>
  <c r="AN4" i="3"/>
  <c r="AM4" i="3"/>
  <c r="AL4" i="3"/>
  <c r="AK4" i="3"/>
  <c r="AJ4" i="3"/>
  <c r="AI4" i="3"/>
  <c r="AT4" i="3" s="1"/>
  <c r="AJ21" i="3" s="1"/>
  <c r="AA6" i="3"/>
  <c r="V6" i="3"/>
  <c r="W1" i="3"/>
  <c r="AI55" i="2"/>
  <c r="AH55" i="2"/>
  <c r="AF55" i="2"/>
  <c r="E55" i="2"/>
  <c r="C55" i="2"/>
  <c r="AI54" i="2"/>
  <c r="AH54" i="2"/>
  <c r="AF54" i="2"/>
  <c r="E54" i="2"/>
  <c r="C54" i="2"/>
  <c r="AI53" i="2"/>
  <c r="AH53" i="2"/>
  <c r="AF53" i="2"/>
  <c r="E53" i="2"/>
  <c r="C53" i="2"/>
  <c r="AI52" i="2"/>
  <c r="AH52" i="2"/>
  <c r="AF52" i="2"/>
  <c r="E52" i="2"/>
  <c r="C52" i="2"/>
  <c r="AI49" i="2"/>
  <c r="AH49" i="2"/>
  <c r="AF49" i="2"/>
  <c r="E49" i="2"/>
  <c r="C49" i="2"/>
  <c r="AI48" i="2"/>
  <c r="AH48" i="2"/>
  <c r="AF48" i="2"/>
  <c r="E48" i="2"/>
  <c r="C48" i="2"/>
  <c r="AI47" i="2"/>
  <c r="AH47" i="2"/>
  <c r="AF47" i="2"/>
  <c r="E47" i="2"/>
  <c r="C47" i="2"/>
  <c r="AI46" i="2"/>
  <c r="AH46" i="2"/>
  <c r="AF46" i="2"/>
  <c r="E46" i="2"/>
  <c r="C46" i="2"/>
  <c r="AI43" i="2"/>
  <c r="AH43" i="2"/>
  <c r="AF43" i="2"/>
  <c r="E43" i="2"/>
  <c r="C43" i="2"/>
  <c r="AI42" i="2"/>
  <c r="AH42" i="2"/>
  <c r="AF42" i="2"/>
  <c r="E42" i="2"/>
  <c r="C42" i="2"/>
  <c r="AI41" i="2"/>
  <c r="AH41" i="2"/>
  <c r="AF41" i="2"/>
  <c r="E41" i="2"/>
  <c r="C41" i="2"/>
  <c r="AI40" i="2"/>
  <c r="AH40" i="2"/>
  <c r="AF40" i="2"/>
  <c r="E40" i="2"/>
  <c r="C40" i="2"/>
  <c r="AI37" i="2"/>
  <c r="AH37" i="2"/>
  <c r="AF37" i="2"/>
  <c r="E37" i="2"/>
  <c r="C37" i="2"/>
  <c r="AI36" i="2"/>
  <c r="AH36" i="2"/>
  <c r="AF36" i="2"/>
  <c r="E36" i="2"/>
  <c r="C36" i="2"/>
  <c r="AI35" i="2"/>
  <c r="AH35" i="2"/>
  <c r="AF35" i="2"/>
  <c r="E35" i="2"/>
  <c r="C35" i="2"/>
  <c r="AI34" i="2"/>
  <c r="AH34" i="2"/>
  <c r="AF34" i="2"/>
  <c r="E34" i="2"/>
  <c r="C34" i="2"/>
  <c r="AI31" i="2"/>
  <c r="AH31" i="2"/>
  <c r="AF31" i="2"/>
  <c r="E31" i="2"/>
  <c r="C31" i="2"/>
  <c r="AI30" i="2"/>
  <c r="AH30" i="2"/>
  <c r="AF30" i="2"/>
  <c r="E30" i="2"/>
  <c r="C30" i="2"/>
  <c r="AI29" i="2"/>
  <c r="AH29" i="2"/>
  <c r="AF29" i="2"/>
  <c r="E29" i="2"/>
  <c r="C29" i="2"/>
  <c r="AI28" i="2"/>
  <c r="AH28" i="2"/>
  <c r="AF28" i="2"/>
  <c r="E28" i="2"/>
  <c r="C28" i="2"/>
  <c r="AI25" i="2"/>
  <c r="AH25" i="2"/>
  <c r="AF25" i="2"/>
  <c r="E25" i="2"/>
  <c r="C25" i="2"/>
  <c r="AI24" i="2"/>
  <c r="AH24" i="2"/>
  <c r="AF24" i="2"/>
  <c r="E24" i="2"/>
  <c r="C24" i="2"/>
  <c r="AI23" i="2"/>
  <c r="AH23" i="2"/>
  <c r="AF23" i="2"/>
  <c r="E23" i="2"/>
  <c r="C23" i="2"/>
  <c r="AI22" i="2"/>
  <c r="AH22" i="2"/>
  <c r="AF22" i="2"/>
  <c r="E22" i="2"/>
  <c r="C22" i="2"/>
  <c r="AM19" i="2"/>
  <c r="AL19" i="2"/>
  <c r="AI19" i="2"/>
  <c r="AH19" i="2"/>
  <c r="AF19" i="2"/>
  <c r="E19" i="2"/>
  <c r="C19" i="2"/>
  <c r="AM18" i="2"/>
  <c r="AL18" i="2"/>
  <c r="AI18" i="2"/>
  <c r="AH18" i="2"/>
  <c r="AF18" i="2"/>
  <c r="E18" i="2"/>
  <c r="C18" i="2"/>
  <c r="AM17" i="2"/>
  <c r="AL17" i="2"/>
  <c r="AI17" i="2"/>
  <c r="AH17" i="2"/>
  <c r="AF17" i="2"/>
  <c r="E17" i="2"/>
  <c r="C17" i="2"/>
  <c r="AM16" i="2"/>
  <c r="AL16" i="2"/>
  <c r="AI16" i="2"/>
  <c r="AH16" i="2"/>
  <c r="AF16" i="2"/>
  <c r="E16" i="2"/>
  <c r="C16" i="2"/>
  <c r="AA6" i="2"/>
  <c r="V6" i="2"/>
  <c r="AQ11" i="2"/>
  <c r="AP11" i="2"/>
  <c r="AO11" i="2"/>
  <c r="AN11" i="2"/>
  <c r="AM11" i="2"/>
  <c r="AL11" i="2"/>
  <c r="AK11" i="2"/>
  <c r="AJ11" i="2"/>
  <c r="AI11" i="2"/>
  <c r="AT11" i="2" s="1"/>
  <c r="AA10" i="2"/>
  <c r="V10" i="2"/>
  <c r="AQ10" i="2"/>
  <c r="AP10" i="2"/>
  <c r="AO10" i="2"/>
  <c r="AN10" i="2"/>
  <c r="AM10" i="2"/>
  <c r="AL10" i="2"/>
  <c r="AK10" i="2"/>
  <c r="AJ10" i="2"/>
  <c r="AI10" i="2"/>
  <c r="AT10" i="2" s="1"/>
  <c r="AA8" i="2"/>
  <c r="V8" i="2"/>
  <c r="AQ9" i="2"/>
  <c r="AP9" i="2"/>
  <c r="AO9" i="2"/>
  <c r="AN9" i="2"/>
  <c r="AM9" i="2"/>
  <c r="AL9" i="2"/>
  <c r="AK9" i="2"/>
  <c r="AJ9" i="2"/>
  <c r="AI9" i="2"/>
  <c r="AT9" i="2" s="1"/>
  <c r="AA9" i="2"/>
  <c r="V9" i="2"/>
  <c r="AQ8" i="2"/>
  <c r="AP8" i="2"/>
  <c r="AO8" i="2"/>
  <c r="AN8" i="2"/>
  <c r="AM8" i="2"/>
  <c r="AL8" i="2"/>
  <c r="AK8" i="2"/>
  <c r="AJ8" i="2"/>
  <c r="AI8" i="2"/>
  <c r="AT8" i="2" s="1"/>
  <c r="AQ7" i="2"/>
  <c r="AP7" i="2"/>
  <c r="AO7" i="2"/>
  <c r="AN7" i="2"/>
  <c r="AM7" i="2"/>
  <c r="AL7" i="2"/>
  <c r="AK7" i="2"/>
  <c r="AJ7" i="2"/>
  <c r="AI7" i="2"/>
  <c r="AT7" i="2" s="1"/>
  <c r="AA5" i="2"/>
  <c r="V5" i="2"/>
  <c r="AQ6" i="2"/>
  <c r="AP6" i="2"/>
  <c r="AO6" i="2"/>
  <c r="AN6" i="2"/>
  <c r="AM6" i="2"/>
  <c r="AL6" i="2"/>
  <c r="AK6" i="2"/>
  <c r="AJ6" i="2"/>
  <c r="AI6" i="2"/>
  <c r="AT6" i="2" s="1"/>
  <c r="AA4" i="2"/>
  <c r="V4" i="2"/>
  <c r="AQ5" i="2"/>
  <c r="AP5" i="2"/>
  <c r="AO5" i="2"/>
  <c r="AN5" i="2"/>
  <c r="AM5" i="2"/>
  <c r="AL5" i="2"/>
  <c r="AK5" i="2"/>
  <c r="AJ5" i="2"/>
  <c r="AI5" i="2"/>
  <c r="AT5" i="2" s="1"/>
  <c r="AA11" i="2"/>
  <c r="V11" i="2"/>
  <c r="AQ4" i="2"/>
  <c r="AP4" i="2"/>
  <c r="AO4" i="2"/>
  <c r="AN4" i="2"/>
  <c r="AM4" i="2"/>
  <c r="AL4" i="2"/>
  <c r="AK4" i="2"/>
  <c r="AJ4" i="2"/>
  <c r="AI4" i="2"/>
  <c r="AT4" i="2" s="1"/>
  <c r="AA7" i="2"/>
  <c r="V7" i="2"/>
  <c r="W1" i="2"/>
  <c r="I4" i="4" l="1"/>
  <c r="J4" i="4"/>
  <c r="K5" i="4"/>
  <c r="I6" i="4"/>
  <c r="K7" i="4"/>
  <c r="AJ16" i="4"/>
  <c r="AK17" i="4"/>
  <c r="AL17" i="4" s="1"/>
  <c r="AU6" i="4"/>
  <c r="AU7" i="4"/>
  <c r="AK16" i="4"/>
  <c r="AL16" i="4" s="1"/>
  <c r="AU4" i="4"/>
  <c r="AU5" i="4"/>
  <c r="AJ17" i="4"/>
  <c r="H5" i="4"/>
  <c r="J6" i="4"/>
  <c r="H7" i="4"/>
  <c r="K4" i="4"/>
  <c r="I5" i="4"/>
  <c r="K6" i="4"/>
  <c r="I7" i="4"/>
  <c r="H4" i="4"/>
  <c r="J5" i="4"/>
  <c r="H6" i="4"/>
  <c r="J7" i="4"/>
  <c r="AK20" i="3"/>
  <c r="AL20" i="3" s="1"/>
  <c r="AK19" i="3"/>
  <c r="AL19" i="3" s="1"/>
  <c r="AJ20" i="3"/>
  <c r="AM20" i="3" s="1"/>
  <c r="AJ19" i="3"/>
  <c r="AM19" i="3" s="1"/>
  <c r="I9" i="3"/>
  <c r="AU5" i="3"/>
  <c r="AU6" i="3"/>
  <c r="AV6" i="3" s="1"/>
  <c r="AW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R7" i="3" s="1"/>
  <c r="H6" i="3"/>
  <c r="H5" i="3"/>
  <c r="H4" i="3"/>
  <c r="M9" i="3"/>
  <c r="M8" i="3"/>
  <c r="M7" i="3"/>
  <c r="M6" i="3"/>
  <c r="M5" i="3"/>
  <c r="M4" i="3"/>
  <c r="L7" i="3"/>
  <c r="L5" i="3"/>
  <c r="I4" i="3"/>
  <c r="I6" i="3"/>
  <c r="I5" i="3"/>
  <c r="I7" i="3"/>
  <c r="AM21" i="3"/>
  <c r="AK21" i="3"/>
  <c r="AL21" i="3" s="1"/>
  <c r="AU4" i="3"/>
  <c r="AU7" i="3"/>
  <c r="AU8" i="3"/>
  <c r="AU9" i="3"/>
  <c r="AK23" i="2"/>
  <c r="AL23" i="2" s="1"/>
  <c r="AJ23" i="2"/>
  <c r="AM23" i="2" s="1"/>
  <c r="M10" i="2"/>
  <c r="J7" i="2"/>
  <c r="N5" i="2"/>
  <c r="J6" i="2"/>
  <c r="M9" i="2"/>
  <c r="AK30" i="2"/>
  <c r="AL30" i="2" s="1"/>
  <c r="AJ25" i="2"/>
  <c r="AM25" i="2" s="1"/>
  <c r="AU8" i="2"/>
  <c r="AV8" i="2" s="1"/>
  <c r="J4" i="2"/>
  <c r="O7" i="2"/>
  <c r="K8" i="2"/>
  <c r="H9" i="2"/>
  <c r="N6" i="2"/>
  <c r="J10" i="2"/>
  <c r="L4" i="2"/>
  <c r="N4" i="2"/>
  <c r="J5" i="2"/>
  <c r="L5" i="2"/>
  <c r="L6" i="2"/>
  <c r="L7" i="2"/>
  <c r="AU7" i="2"/>
  <c r="AK24" i="2"/>
  <c r="AL24" i="2" s="1"/>
  <c r="I8" i="2"/>
  <c r="O10" i="2"/>
  <c r="L11" i="2"/>
  <c r="AK25" i="2"/>
  <c r="AL25" i="2" s="1"/>
  <c r="AU11" i="2"/>
  <c r="AJ24" i="2"/>
  <c r="H4" i="2"/>
  <c r="AU4" i="2"/>
  <c r="H5" i="2"/>
  <c r="AU5" i="2"/>
  <c r="H6" i="2"/>
  <c r="AU6" i="2"/>
  <c r="H7" i="2"/>
  <c r="N8" i="2"/>
  <c r="K9" i="2"/>
  <c r="AK22" i="2"/>
  <c r="AL22" i="2" s="1"/>
  <c r="AU9" i="2"/>
  <c r="M6" i="2"/>
  <c r="I6" i="2"/>
  <c r="O5" i="2"/>
  <c r="K5" i="2"/>
  <c r="M4" i="2"/>
  <c r="I4" i="2"/>
  <c r="O11" i="2"/>
  <c r="I11" i="2"/>
  <c r="AJ22" i="2"/>
  <c r="N11" i="2"/>
  <c r="J11" i="2"/>
  <c r="L10" i="2"/>
  <c r="H10" i="2"/>
  <c r="N9" i="2"/>
  <c r="J9" i="2"/>
  <c r="L8" i="2"/>
  <c r="H8" i="2"/>
  <c r="N7" i="2"/>
  <c r="K4" i="2"/>
  <c r="O4" i="2"/>
  <c r="I5" i="2"/>
  <c r="M5" i="2"/>
  <c r="K6" i="2"/>
  <c r="O6" i="2"/>
  <c r="I7" i="2"/>
  <c r="M7" i="2"/>
  <c r="J8" i="2"/>
  <c r="O8" i="2"/>
  <c r="I9" i="2"/>
  <c r="O9" i="2"/>
  <c r="K10" i="2"/>
  <c r="AU10" i="2"/>
  <c r="K11" i="2"/>
  <c r="K7" i="2"/>
  <c r="M8" i="2"/>
  <c r="L9" i="2"/>
  <c r="I10" i="2"/>
  <c r="N10" i="2"/>
  <c r="H11" i="2"/>
  <c r="M11" i="2"/>
  <c r="W1" i="1"/>
  <c r="AA8" i="1"/>
  <c r="AA7" i="1"/>
  <c r="AA11" i="1"/>
  <c r="AA10" i="1"/>
  <c r="AA13" i="1"/>
  <c r="AA9" i="1"/>
  <c r="AA5" i="1"/>
  <c r="AA12" i="1"/>
  <c r="AA6" i="1"/>
  <c r="AA4" i="1"/>
  <c r="V6" i="1"/>
  <c r="V10" i="1"/>
  <c r="V11" i="1"/>
  <c r="V9" i="1"/>
  <c r="V4" i="1"/>
  <c r="V7" i="1"/>
  <c r="V5" i="1"/>
  <c r="V8" i="1"/>
  <c r="V12" i="1"/>
  <c r="V13" i="1"/>
  <c r="AM22" i="1"/>
  <c r="AL22" i="1"/>
  <c r="AM21" i="1"/>
  <c r="AL21" i="1"/>
  <c r="AM20" i="1"/>
  <c r="AL20" i="1"/>
  <c r="AM19" i="1"/>
  <c r="AL19" i="1"/>
  <c r="AM18" i="1"/>
  <c r="AL18" i="1"/>
  <c r="AQ13" i="1"/>
  <c r="AQ12" i="1"/>
  <c r="AQ11" i="1"/>
  <c r="AQ10" i="1"/>
  <c r="AQ9" i="1"/>
  <c r="AQ8" i="1"/>
  <c r="AQ7" i="1"/>
  <c r="AQ6" i="1"/>
  <c r="AQ5" i="1"/>
  <c r="AQ4" i="1"/>
  <c r="AP13" i="1"/>
  <c r="AP12" i="1"/>
  <c r="AP11" i="1"/>
  <c r="AP10" i="1"/>
  <c r="AP9" i="1"/>
  <c r="AP8" i="1"/>
  <c r="AP7" i="1"/>
  <c r="AP6" i="1"/>
  <c r="AP5" i="1"/>
  <c r="AP4" i="1"/>
  <c r="AO13" i="1"/>
  <c r="AO12" i="1"/>
  <c r="AO11" i="1"/>
  <c r="AO10" i="1"/>
  <c r="AO9" i="1"/>
  <c r="AO8" i="1"/>
  <c r="AO7" i="1"/>
  <c r="AO6" i="1"/>
  <c r="AO5" i="1"/>
  <c r="AO4" i="1"/>
  <c r="AN13" i="1"/>
  <c r="AN12" i="1"/>
  <c r="AN11" i="1"/>
  <c r="AN10" i="1"/>
  <c r="AN9" i="1"/>
  <c r="AN8" i="1"/>
  <c r="AN7" i="1"/>
  <c r="AN6" i="1"/>
  <c r="AN5" i="1"/>
  <c r="AN4" i="1"/>
  <c r="AM13" i="1"/>
  <c r="AM12" i="1"/>
  <c r="AM11" i="1"/>
  <c r="AM10" i="1"/>
  <c r="AM9" i="1"/>
  <c r="AM8" i="1"/>
  <c r="AM7" i="1"/>
  <c r="AM6" i="1"/>
  <c r="AM5" i="1"/>
  <c r="AM4" i="1"/>
  <c r="AL13" i="1"/>
  <c r="AL12" i="1"/>
  <c r="AL11" i="1"/>
  <c r="AL10" i="1"/>
  <c r="AL9" i="1"/>
  <c r="AL8" i="1"/>
  <c r="AL7" i="1"/>
  <c r="AL6" i="1"/>
  <c r="AL5" i="1"/>
  <c r="AL4" i="1"/>
  <c r="AK13" i="1"/>
  <c r="AK12" i="1"/>
  <c r="AK11" i="1"/>
  <c r="AK10" i="1"/>
  <c r="AK9" i="1"/>
  <c r="AK8" i="1"/>
  <c r="AK7" i="1"/>
  <c r="AK6" i="1"/>
  <c r="AK5" i="1"/>
  <c r="AK4" i="1"/>
  <c r="AJ13" i="1"/>
  <c r="AJ12" i="1"/>
  <c r="AJ11" i="1"/>
  <c r="AJ10" i="1"/>
  <c r="AJ9" i="1"/>
  <c r="AJ8" i="1"/>
  <c r="AJ7" i="1"/>
  <c r="AJ6" i="1"/>
  <c r="AJ5" i="1"/>
  <c r="AJ4" i="1"/>
  <c r="AI13" i="1"/>
  <c r="AT13" i="1" s="1"/>
  <c r="AI12" i="1"/>
  <c r="AT12" i="1" s="1"/>
  <c r="AJ28" i="1" s="1"/>
  <c r="AI11" i="1"/>
  <c r="AT11" i="1" s="1"/>
  <c r="AJ27" i="1" s="1"/>
  <c r="AI10" i="1"/>
  <c r="AT10" i="1" s="1"/>
  <c r="AJ26" i="1" s="1"/>
  <c r="AI9" i="1"/>
  <c r="AT9" i="1" s="1"/>
  <c r="AI8" i="1"/>
  <c r="AT8" i="1" s="1"/>
  <c r="AI7" i="1"/>
  <c r="AT7" i="1" s="1"/>
  <c r="AK27" i="1" s="1"/>
  <c r="AL27" i="1" s="1"/>
  <c r="AI6" i="1"/>
  <c r="AT6" i="1" s="1"/>
  <c r="AK28" i="1" s="1"/>
  <c r="AL28" i="1" s="1"/>
  <c r="AI5" i="1"/>
  <c r="AT5" i="1" s="1"/>
  <c r="AI4" i="1"/>
  <c r="AT4" i="1" s="1"/>
  <c r="AI78" i="1"/>
  <c r="AH78" i="1"/>
  <c r="AI77" i="1"/>
  <c r="AH77" i="1"/>
  <c r="AI76" i="1"/>
  <c r="AH76" i="1"/>
  <c r="AI75" i="1"/>
  <c r="AH75" i="1"/>
  <c r="AI74" i="1"/>
  <c r="AH74" i="1"/>
  <c r="AI71" i="1"/>
  <c r="AH71" i="1"/>
  <c r="AI70" i="1"/>
  <c r="AH70" i="1"/>
  <c r="AI69" i="1"/>
  <c r="AH69" i="1"/>
  <c r="AI68" i="1"/>
  <c r="AH68" i="1"/>
  <c r="AI67" i="1"/>
  <c r="AH67" i="1"/>
  <c r="AI64" i="1"/>
  <c r="AH64" i="1"/>
  <c r="AI63" i="1"/>
  <c r="AH63" i="1"/>
  <c r="AI62" i="1"/>
  <c r="AH62" i="1"/>
  <c r="AI61" i="1"/>
  <c r="AH61" i="1"/>
  <c r="AI60" i="1"/>
  <c r="AH60" i="1"/>
  <c r="AI57" i="1"/>
  <c r="AH57" i="1"/>
  <c r="AI56" i="1"/>
  <c r="AH56" i="1"/>
  <c r="AI55" i="1"/>
  <c r="AH55" i="1"/>
  <c r="AI54" i="1"/>
  <c r="AH54" i="1"/>
  <c r="AI53" i="1"/>
  <c r="AH53" i="1"/>
  <c r="AI50" i="1"/>
  <c r="AH50" i="1"/>
  <c r="AI49" i="1"/>
  <c r="AH49" i="1"/>
  <c r="AI48" i="1"/>
  <c r="AH48" i="1"/>
  <c r="AI47" i="1"/>
  <c r="AH47" i="1"/>
  <c r="AI46" i="1"/>
  <c r="AH46" i="1"/>
  <c r="AI43" i="1"/>
  <c r="AH43" i="1"/>
  <c r="AI42" i="1"/>
  <c r="AH42" i="1"/>
  <c r="AI41" i="1"/>
  <c r="AH41" i="1"/>
  <c r="AI40" i="1"/>
  <c r="AH40" i="1"/>
  <c r="AI39" i="1"/>
  <c r="AH39" i="1"/>
  <c r="AI36" i="1"/>
  <c r="AH36" i="1"/>
  <c r="AI35" i="1"/>
  <c r="AH35" i="1"/>
  <c r="AI34" i="1"/>
  <c r="AH34" i="1"/>
  <c r="AI33" i="1"/>
  <c r="AH33" i="1"/>
  <c r="AI32" i="1"/>
  <c r="AH32" i="1"/>
  <c r="AI29" i="1"/>
  <c r="AH29" i="1"/>
  <c r="AI28" i="1"/>
  <c r="AH28" i="1"/>
  <c r="AI27" i="1"/>
  <c r="AH27" i="1"/>
  <c r="AI26" i="1"/>
  <c r="AH26" i="1"/>
  <c r="AI25" i="1"/>
  <c r="AH25" i="1"/>
  <c r="AI22" i="1"/>
  <c r="AH22" i="1"/>
  <c r="AI21" i="1"/>
  <c r="AH21" i="1"/>
  <c r="AI20" i="1"/>
  <c r="AH20" i="1"/>
  <c r="AI19" i="1"/>
  <c r="AH19" i="1"/>
  <c r="AI18" i="1"/>
  <c r="AH18" i="1"/>
  <c r="AF78" i="1"/>
  <c r="AF77" i="1"/>
  <c r="AF76" i="1"/>
  <c r="AF75" i="1"/>
  <c r="AF74" i="1"/>
  <c r="AF71" i="1"/>
  <c r="AF70" i="1"/>
  <c r="AF69" i="1"/>
  <c r="AF68" i="1"/>
  <c r="AF67" i="1"/>
  <c r="AF64" i="1"/>
  <c r="AF63" i="1"/>
  <c r="AF62" i="1"/>
  <c r="AF61" i="1"/>
  <c r="AF60" i="1"/>
  <c r="AF57" i="1"/>
  <c r="AF56" i="1"/>
  <c r="AF55" i="1"/>
  <c r="AF54" i="1"/>
  <c r="AF53" i="1"/>
  <c r="AF50" i="1"/>
  <c r="AF49" i="1"/>
  <c r="AF48" i="1"/>
  <c r="AF47" i="1"/>
  <c r="AF46" i="1"/>
  <c r="AF43" i="1"/>
  <c r="AF42" i="1"/>
  <c r="AF41" i="1"/>
  <c r="AF40" i="1"/>
  <c r="AF39" i="1"/>
  <c r="AF36" i="1"/>
  <c r="AF35" i="1"/>
  <c r="AF34" i="1"/>
  <c r="AF33" i="1"/>
  <c r="AF32" i="1"/>
  <c r="AF29" i="1"/>
  <c r="AF28" i="1"/>
  <c r="AF27" i="1"/>
  <c r="AF26" i="1"/>
  <c r="AF25" i="1"/>
  <c r="AF22" i="1"/>
  <c r="AF21" i="1"/>
  <c r="AF20" i="1"/>
  <c r="AF19" i="1"/>
  <c r="AF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R4" i="3" l="1"/>
  <c r="R8" i="3"/>
  <c r="R6" i="3"/>
  <c r="R5" i="3"/>
  <c r="R9" i="3"/>
  <c r="R7" i="4"/>
  <c r="W6" i="4" s="1"/>
  <c r="AM17" i="4"/>
  <c r="AK21" i="4"/>
  <c r="AL21" i="4" s="1"/>
  <c r="AV4" i="4"/>
  <c r="AM16" i="4"/>
  <c r="R4" i="4"/>
  <c r="W4" i="4" s="1"/>
  <c r="R5" i="4"/>
  <c r="W5" i="4" s="1"/>
  <c r="AK20" i="4"/>
  <c r="AL20" i="4" s="1"/>
  <c r="AV7" i="4"/>
  <c r="AV6" i="4"/>
  <c r="AJ21" i="4"/>
  <c r="R6" i="4"/>
  <c r="W7" i="4" s="1"/>
  <c r="AJ20" i="4"/>
  <c r="AV5" i="4"/>
  <c r="AJ25" i="3"/>
  <c r="AM25" i="3" s="1"/>
  <c r="AV5" i="3"/>
  <c r="AJ24" i="3"/>
  <c r="AM24" i="3" s="1"/>
  <c r="AV8" i="3"/>
  <c r="AK26" i="3"/>
  <c r="AL26" i="3" s="1"/>
  <c r="AK25" i="3"/>
  <c r="AL25" i="3" s="1"/>
  <c r="AV4" i="3"/>
  <c r="AV9" i="3"/>
  <c r="AK24" i="3"/>
  <c r="AL24" i="3" s="1"/>
  <c r="AJ26" i="3"/>
  <c r="AV7" i="3"/>
  <c r="AX6" i="3"/>
  <c r="AJ34" i="3"/>
  <c r="AM34" i="3" s="1"/>
  <c r="AJ31" i="2"/>
  <c r="AM31" i="2" s="1"/>
  <c r="R11" i="2"/>
  <c r="W11" i="2" s="1"/>
  <c r="R9" i="2"/>
  <c r="W7" i="2" s="1"/>
  <c r="R8" i="2"/>
  <c r="W9" i="2" s="1"/>
  <c r="R5" i="2"/>
  <c r="W4" i="2" s="1"/>
  <c r="AJ30" i="2"/>
  <c r="AV7" i="2"/>
  <c r="AK36" i="2" s="1"/>
  <c r="AL36" i="2" s="1"/>
  <c r="R10" i="2"/>
  <c r="W5" i="2" s="1"/>
  <c r="AK28" i="2"/>
  <c r="AL28" i="2" s="1"/>
  <c r="R6" i="2"/>
  <c r="W8" i="2" s="1"/>
  <c r="AV4" i="2"/>
  <c r="AK29" i="2"/>
  <c r="AL29" i="2" s="1"/>
  <c r="AM24" i="2"/>
  <c r="AM22" i="2"/>
  <c r="AV9" i="2"/>
  <c r="AW8" i="2"/>
  <c r="R7" i="2"/>
  <c r="W10" i="2" s="1"/>
  <c r="AJ28" i="2"/>
  <c r="AV5" i="2"/>
  <c r="AK31" i="2"/>
  <c r="AL31" i="2" s="1"/>
  <c r="AV11" i="2"/>
  <c r="AV10" i="2"/>
  <c r="AJ29" i="2"/>
  <c r="AV6" i="2"/>
  <c r="R4" i="2"/>
  <c r="W6" i="2" s="1"/>
  <c r="AJ29" i="1"/>
  <c r="AM27" i="1"/>
  <c r="AM28" i="1"/>
  <c r="AK26" i="1"/>
  <c r="AL26" i="1" s="1"/>
  <c r="AM26" i="1"/>
  <c r="AJ25" i="1"/>
  <c r="AK25" i="1"/>
  <c r="AL25" i="1" s="1"/>
  <c r="AK29" i="1"/>
  <c r="AL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I4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AU5" i="1"/>
  <c r="AU9" i="1"/>
  <c r="AU13" i="1"/>
  <c r="AU6" i="1"/>
  <c r="AU10" i="1"/>
  <c r="AU7" i="1"/>
  <c r="AU11" i="1"/>
  <c r="AU4" i="1"/>
  <c r="AU8" i="1"/>
  <c r="AU12" i="1"/>
  <c r="AM20" i="4" l="1"/>
  <c r="AM21" i="4"/>
  <c r="AW6" i="4"/>
  <c r="AW4" i="4"/>
  <c r="AW5" i="4"/>
  <c r="AW7" i="4"/>
  <c r="AW5" i="3"/>
  <c r="AM26" i="3"/>
  <c r="AK29" i="3"/>
  <c r="AL29" i="3" s="1"/>
  <c r="AW9" i="3"/>
  <c r="AJ29" i="3"/>
  <c r="AJ30" i="3"/>
  <c r="AW7" i="3"/>
  <c r="AK31" i="3"/>
  <c r="AL31" i="3" s="1"/>
  <c r="AK30" i="3"/>
  <c r="AL30" i="3" s="1"/>
  <c r="AW8" i="3"/>
  <c r="AJ31" i="3"/>
  <c r="AW4" i="3"/>
  <c r="AY6" i="3"/>
  <c r="AJ36" i="2"/>
  <c r="AM36" i="2" s="1"/>
  <c r="AM29" i="2"/>
  <c r="AJ42" i="2"/>
  <c r="AX8" i="2"/>
  <c r="AM30" i="2"/>
  <c r="AW5" i="2"/>
  <c r="AJ34" i="2"/>
  <c r="AW10" i="2"/>
  <c r="AK43" i="2" s="1"/>
  <c r="AL43" i="2" s="1"/>
  <c r="AK34" i="2"/>
  <c r="AL34" i="2" s="1"/>
  <c r="AM28" i="2"/>
  <c r="AJ37" i="2"/>
  <c r="AW4" i="2"/>
  <c r="AW6" i="2"/>
  <c r="AW11" i="2"/>
  <c r="AJ35" i="2"/>
  <c r="AK35" i="2"/>
  <c r="AL35" i="2" s="1"/>
  <c r="AW9" i="2"/>
  <c r="AW7" i="2"/>
  <c r="AK37" i="2"/>
  <c r="AL37" i="2" s="1"/>
  <c r="AM25" i="1"/>
  <c r="AV4" i="1"/>
  <c r="AK33" i="1"/>
  <c r="AL33" i="1" s="1"/>
  <c r="AV6" i="1"/>
  <c r="AJ33" i="1"/>
  <c r="AV12" i="1"/>
  <c r="AK34" i="1"/>
  <c r="AL34" i="1" s="1"/>
  <c r="AV7" i="1"/>
  <c r="AJ34" i="1"/>
  <c r="AV9" i="1"/>
  <c r="AJ36" i="1"/>
  <c r="AV8" i="1"/>
  <c r="AJ35" i="1"/>
  <c r="AV10" i="1"/>
  <c r="AK36" i="1"/>
  <c r="AL36" i="1" s="1"/>
  <c r="AV5" i="1"/>
  <c r="AJ32" i="1"/>
  <c r="AM29" i="1"/>
  <c r="AV11" i="1"/>
  <c r="AK35" i="1"/>
  <c r="AL35" i="1" s="1"/>
  <c r="AV13" i="1"/>
  <c r="AK32" i="1"/>
  <c r="AL32" i="1" s="1"/>
  <c r="R10" i="1"/>
  <c r="R11" i="1"/>
  <c r="R4" i="1"/>
  <c r="R12" i="1"/>
  <c r="R6" i="1"/>
  <c r="R5" i="1"/>
  <c r="R9" i="1"/>
  <c r="R8" i="1"/>
  <c r="R13" i="1"/>
  <c r="R7" i="1"/>
  <c r="AX5" i="4" l="1"/>
  <c r="AY5" i="4" s="1"/>
  <c r="AZ5" i="4" s="1"/>
  <c r="BA5" i="4" s="1"/>
  <c r="BB5" i="4" s="1"/>
  <c r="AE7" i="4"/>
  <c r="Y6" i="4" s="1"/>
  <c r="AX4" i="4"/>
  <c r="AE6" i="4"/>
  <c r="Y7" i="4" s="1"/>
  <c r="AX7" i="4"/>
  <c r="AY7" i="4" s="1"/>
  <c r="AZ7" i="4" s="1"/>
  <c r="BA7" i="4" s="1"/>
  <c r="BB7" i="4" s="1"/>
  <c r="AX6" i="4"/>
  <c r="AK35" i="3"/>
  <c r="AL35" i="3" s="1"/>
  <c r="AX5" i="3"/>
  <c r="AM31" i="3"/>
  <c r="AK34" i="3"/>
  <c r="AL34" i="3" s="1"/>
  <c r="AX4" i="3"/>
  <c r="AK36" i="3"/>
  <c r="AL36" i="3" s="1"/>
  <c r="AM30" i="3"/>
  <c r="AZ6" i="3"/>
  <c r="AJ36" i="3"/>
  <c r="AX8" i="3"/>
  <c r="AX7" i="3"/>
  <c r="AJ35" i="3"/>
  <c r="AM29" i="3"/>
  <c r="AX9" i="3"/>
  <c r="AM34" i="2"/>
  <c r="AK41" i="2"/>
  <c r="AL41" i="2" s="1"/>
  <c r="AX5" i="2"/>
  <c r="AX4" i="2"/>
  <c r="AJ47" i="2" s="1"/>
  <c r="AK42" i="2"/>
  <c r="AL42" i="2" s="1"/>
  <c r="AM35" i="2"/>
  <c r="AX6" i="2"/>
  <c r="AJ40" i="2"/>
  <c r="AM37" i="2"/>
  <c r="AX10" i="2"/>
  <c r="AY8" i="2"/>
  <c r="AJ43" i="2"/>
  <c r="AX9" i="2"/>
  <c r="AJ41" i="2"/>
  <c r="AX7" i="2"/>
  <c r="AK49" i="2" s="1"/>
  <c r="AL49" i="2" s="1"/>
  <c r="AX11" i="2"/>
  <c r="AK40" i="2"/>
  <c r="AL40" i="2" s="1"/>
  <c r="AM42" i="2"/>
  <c r="W13" i="1"/>
  <c r="W11" i="1"/>
  <c r="W6" i="1"/>
  <c r="W5" i="1"/>
  <c r="W12" i="1"/>
  <c r="W10" i="1"/>
  <c r="W7" i="1"/>
  <c r="W9" i="1"/>
  <c r="W8" i="1"/>
  <c r="W4" i="1"/>
  <c r="AW11" i="1"/>
  <c r="AJ40" i="1"/>
  <c r="AW10" i="1"/>
  <c r="AK39" i="1"/>
  <c r="AL39" i="1" s="1"/>
  <c r="AM33" i="1"/>
  <c r="AM36" i="1"/>
  <c r="AW7" i="1"/>
  <c r="AK42" i="1"/>
  <c r="AL42" i="1" s="1"/>
  <c r="AW6" i="1"/>
  <c r="AK43" i="1"/>
  <c r="AL43" i="1" s="1"/>
  <c r="AW13" i="1"/>
  <c r="AJ39" i="1"/>
  <c r="AM32" i="1"/>
  <c r="AM35" i="1"/>
  <c r="AW9" i="1"/>
  <c r="AK40" i="1"/>
  <c r="AL40" i="1" s="1"/>
  <c r="AW5" i="1"/>
  <c r="AJ43" i="1"/>
  <c r="AM43" i="1" s="1"/>
  <c r="AW8" i="1"/>
  <c r="AK41" i="1"/>
  <c r="AL41" i="1" s="1"/>
  <c r="AM34" i="1"/>
  <c r="AW12" i="1"/>
  <c r="AJ41" i="1"/>
  <c r="AW4" i="1"/>
  <c r="AJ42" i="1"/>
  <c r="AD4" i="4" l="1"/>
  <c r="X4" i="4" s="1"/>
  <c r="AF7" i="4"/>
  <c r="Z6" i="4" s="1"/>
  <c r="AE4" i="4"/>
  <c r="Y4" i="4" s="1"/>
  <c r="AY4" i="4"/>
  <c r="AZ4" i="4" s="1"/>
  <c r="BA4" i="4" s="1"/>
  <c r="BB4" i="4" s="1"/>
  <c r="AE5" i="4"/>
  <c r="Y5" i="4" s="1"/>
  <c r="AD7" i="4"/>
  <c r="X6" i="4" s="1"/>
  <c r="AY6" i="4"/>
  <c r="AZ6" i="4" s="1"/>
  <c r="BA6" i="4" s="1"/>
  <c r="BB6" i="4" s="1"/>
  <c r="AF6" i="4" s="1"/>
  <c r="Z7" i="4" s="1"/>
  <c r="AD6" i="4"/>
  <c r="X7" i="4" s="1"/>
  <c r="AD5" i="4"/>
  <c r="X5" i="4" s="1"/>
  <c r="AF5" i="4"/>
  <c r="Z5" i="4" s="1"/>
  <c r="AY5" i="3"/>
  <c r="AE8" i="3"/>
  <c r="Y5" i="3" s="1"/>
  <c r="AY9" i="3"/>
  <c r="AY7" i="3"/>
  <c r="AM36" i="3"/>
  <c r="AM35" i="3"/>
  <c r="BA6" i="3"/>
  <c r="BB6" i="3" s="1"/>
  <c r="AY4" i="3"/>
  <c r="AY8" i="3"/>
  <c r="AD6" i="3"/>
  <c r="X8" i="3" s="1"/>
  <c r="AY9" i="2"/>
  <c r="AK48" i="2"/>
  <c r="AL48" i="2" s="1"/>
  <c r="AJ48" i="2"/>
  <c r="AY4" i="2"/>
  <c r="AM47" i="2"/>
  <c r="AY7" i="2"/>
  <c r="AM43" i="2"/>
  <c r="AM40" i="2"/>
  <c r="AK46" i="2"/>
  <c r="AL46" i="2" s="1"/>
  <c r="AY11" i="2"/>
  <c r="AM41" i="2"/>
  <c r="AJ53" i="2"/>
  <c r="AZ8" i="2"/>
  <c r="AK47" i="2"/>
  <c r="AL47" i="2" s="1"/>
  <c r="AY10" i="2"/>
  <c r="AY6" i="2"/>
  <c r="AJ46" i="2"/>
  <c r="AJ49" i="2"/>
  <c r="AY5" i="2"/>
  <c r="AM39" i="1"/>
  <c r="AX11" i="1"/>
  <c r="AK50" i="1"/>
  <c r="AL50" i="1" s="1"/>
  <c r="AX12" i="1"/>
  <c r="AK49" i="1"/>
  <c r="AL49" i="1" s="1"/>
  <c r="AX8" i="1"/>
  <c r="AJ48" i="1"/>
  <c r="AX13" i="1"/>
  <c r="AK46" i="1"/>
  <c r="AL46" i="1" s="1"/>
  <c r="AX7" i="1"/>
  <c r="AJ47" i="1"/>
  <c r="AM42" i="1"/>
  <c r="AX4" i="1"/>
  <c r="AK48" i="1"/>
  <c r="AL48" i="1" s="1"/>
  <c r="AX5" i="1"/>
  <c r="AK47" i="1"/>
  <c r="AL47" i="1" s="1"/>
  <c r="AX6" i="1"/>
  <c r="AJ46" i="1"/>
  <c r="AM40" i="1"/>
  <c r="AM41" i="1"/>
  <c r="AX9" i="1"/>
  <c r="AJ49" i="1"/>
  <c r="AX10" i="1"/>
  <c r="AJ50" i="1"/>
  <c r="AF4" i="4" l="1"/>
  <c r="Z4" i="4" s="1"/>
  <c r="AZ5" i="3"/>
  <c r="BA5" i="3" s="1"/>
  <c r="BB5" i="3" s="1"/>
  <c r="AF5" i="3" s="1"/>
  <c r="Z6" i="3" s="1"/>
  <c r="AZ9" i="3"/>
  <c r="AE7" i="3"/>
  <c r="Y7" i="3" s="1"/>
  <c r="AZ7" i="3"/>
  <c r="AZ8" i="3"/>
  <c r="BA8" i="3" s="1"/>
  <c r="BB8" i="3" s="1"/>
  <c r="AZ4" i="3"/>
  <c r="BA4" i="3" s="1"/>
  <c r="BB4" i="3" s="1"/>
  <c r="AF4" i="3" s="1"/>
  <c r="Z4" i="3" s="1"/>
  <c r="AF6" i="3"/>
  <c r="Z8" i="3" s="1"/>
  <c r="AM46" i="2"/>
  <c r="BA8" i="2"/>
  <c r="AZ11" i="2"/>
  <c r="AJ52" i="2"/>
  <c r="AZ7" i="2"/>
  <c r="AJ55" i="2"/>
  <c r="AZ10" i="2"/>
  <c r="AM53" i="2"/>
  <c r="AJ54" i="2"/>
  <c r="AZ9" i="2"/>
  <c r="AK54" i="2"/>
  <c r="AL54" i="2" s="1"/>
  <c r="AZ5" i="2"/>
  <c r="AK55" i="2"/>
  <c r="AL55" i="2" s="1"/>
  <c r="AZ4" i="2"/>
  <c r="AM49" i="2"/>
  <c r="AK52" i="2"/>
  <c r="AL52" i="2" s="1"/>
  <c r="AZ6" i="2"/>
  <c r="AK53" i="2"/>
  <c r="AL53" i="2" s="1"/>
  <c r="AM48" i="2"/>
  <c r="AY9" i="1"/>
  <c r="AK55" i="1"/>
  <c r="AL55" i="1" s="1"/>
  <c r="AY13" i="1"/>
  <c r="AJ53" i="1"/>
  <c r="AY8" i="1"/>
  <c r="AK56" i="1"/>
  <c r="AL56" i="1" s="1"/>
  <c r="AM50" i="1"/>
  <c r="AY10" i="1"/>
  <c r="AK54" i="1"/>
  <c r="AL54" i="1" s="1"/>
  <c r="AY6" i="1"/>
  <c r="AJ57" i="1"/>
  <c r="AM57" i="1" s="1"/>
  <c r="AY5" i="1"/>
  <c r="AJ56" i="1"/>
  <c r="AY7" i="1"/>
  <c r="AK57" i="1"/>
  <c r="AL57" i="1" s="1"/>
  <c r="AM49" i="1"/>
  <c r="AM48" i="1"/>
  <c r="AY12" i="1"/>
  <c r="AJ54" i="1"/>
  <c r="AM46" i="1"/>
  <c r="AY4" i="1"/>
  <c r="AJ55" i="1"/>
  <c r="AM47" i="1"/>
  <c r="AY11" i="1"/>
  <c r="AK53" i="1"/>
  <c r="AL53" i="1" s="1"/>
  <c r="AE9" i="3" l="1"/>
  <c r="Y9" i="3" s="1"/>
  <c r="AD5" i="3"/>
  <c r="X6" i="3" s="1"/>
  <c r="BA7" i="3"/>
  <c r="BB7" i="3" s="1"/>
  <c r="BA9" i="3"/>
  <c r="BB9" i="3" s="1"/>
  <c r="AF8" i="3"/>
  <c r="Z5" i="3" s="1"/>
  <c r="AE6" i="3"/>
  <c r="Y8" i="3" s="1"/>
  <c r="AD8" i="3"/>
  <c r="X5" i="3" s="1"/>
  <c r="AE5" i="3"/>
  <c r="Y6" i="3" s="1"/>
  <c r="AD9" i="3"/>
  <c r="X9" i="3" s="1"/>
  <c r="AD4" i="3"/>
  <c r="X4" i="3" s="1"/>
  <c r="AD7" i="3"/>
  <c r="X7" i="3" s="1"/>
  <c r="BA4" i="2"/>
  <c r="BA5" i="2"/>
  <c r="AM54" i="2"/>
  <c r="BA10" i="2"/>
  <c r="AM52" i="2"/>
  <c r="BB8" i="2"/>
  <c r="AF8" i="2" s="1"/>
  <c r="Z9" i="2" s="1"/>
  <c r="AM55" i="2"/>
  <c r="BA11" i="2"/>
  <c r="BA6" i="2"/>
  <c r="BA9" i="2"/>
  <c r="BA7" i="2"/>
  <c r="AM54" i="1"/>
  <c r="AZ12" i="1"/>
  <c r="AK64" i="1"/>
  <c r="AL64" i="1" s="1"/>
  <c r="AZ4" i="1"/>
  <c r="AK63" i="1"/>
  <c r="AL63" i="1" s="1"/>
  <c r="AZ5" i="1"/>
  <c r="AK62" i="1"/>
  <c r="AL62" i="1" s="1"/>
  <c r="AZ13" i="1"/>
  <c r="AK60" i="1"/>
  <c r="AL60" i="1" s="1"/>
  <c r="AZ10" i="1"/>
  <c r="AJ63" i="1"/>
  <c r="AZ7" i="1"/>
  <c r="AJ60" i="1"/>
  <c r="AZ8" i="1"/>
  <c r="AJ61" i="1"/>
  <c r="AZ11" i="1"/>
  <c r="AJ64" i="1"/>
  <c r="AM55" i="1"/>
  <c r="AM56" i="1"/>
  <c r="AZ6" i="1"/>
  <c r="AK61" i="1"/>
  <c r="AL61" i="1" s="1"/>
  <c r="AM53" i="1"/>
  <c r="AZ9" i="1"/>
  <c r="AJ62" i="1"/>
  <c r="AE4" i="3" l="1"/>
  <c r="Y4" i="3" s="1"/>
  <c r="AF9" i="3"/>
  <c r="Z9" i="3" s="1"/>
  <c r="AF7" i="3"/>
  <c r="Z7" i="3" s="1"/>
  <c r="BB11" i="2"/>
  <c r="AF11" i="2" s="1"/>
  <c r="Z11" i="2" s="1"/>
  <c r="BB7" i="2"/>
  <c r="AF7" i="2" s="1"/>
  <c r="Z10" i="2" s="1"/>
  <c r="BB9" i="2"/>
  <c r="AF9" i="2" s="1"/>
  <c r="Z7" i="2" s="1"/>
  <c r="AD8" i="2"/>
  <c r="X9" i="2" s="1"/>
  <c r="BB4" i="2"/>
  <c r="AF4" i="2" s="1"/>
  <c r="Z6" i="2" s="1"/>
  <c r="BB6" i="2"/>
  <c r="AF6" i="2" s="1"/>
  <c r="Z8" i="2" s="1"/>
  <c r="BB10" i="2"/>
  <c r="AF10" i="2" s="1"/>
  <c r="Z5" i="2" s="1"/>
  <c r="BB5" i="2"/>
  <c r="AF5" i="2" s="1"/>
  <c r="Z4" i="2" s="1"/>
  <c r="BA9" i="1"/>
  <c r="AK70" i="1"/>
  <c r="AL70" i="1" s="1"/>
  <c r="BA6" i="1"/>
  <c r="AJ70" i="1"/>
  <c r="BA12" i="1"/>
  <c r="AK67" i="1"/>
  <c r="AL67" i="1" s="1"/>
  <c r="AM61" i="1"/>
  <c r="BA7" i="1"/>
  <c r="AJ71" i="1"/>
  <c r="AM71" i="1" s="1"/>
  <c r="AM64" i="1"/>
  <c r="BA8" i="1"/>
  <c r="AK71" i="1"/>
  <c r="AL71" i="1" s="1"/>
  <c r="BA4" i="1"/>
  <c r="AJ68" i="1"/>
  <c r="AM60" i="1"/>
  <c r="BA10" i="1"/>
  <c r="AK69" i="1"/>
  <c r="AL69" i="1" s="1"/>
  <c r="AM62" i="1"/>
  <c r="BA11" i="1"/>
  <c r="AK68" i="1"/>
  <c r="AL68" i="1" s="1"/>
  <c r="AM63" i="1"/>
  <c r="BA13" i="1"/>
  <c r="AJ67" i="1"/>
  <c r="BA5" i="1"/>
  <c r="AJ69" i="1"/>
  <c r="AE11" i="2" l="1"/>
  <c r="Y11" i="2" s="1"/>
  <c r="AE4" i="2"/>
  <c r="Y6" i="2" s="1"/>
  <c r="AE10" i="2"/>
  <c r="Y5" i="2" s="1"/>
  <c r="AE8" i="2"/>
  <c r="Y9" i="2" s="1"/>
  <c r="AD10" i="2"/>
  <c r="X5" i="2" s="1"/>
  <c r="AD5" i="2"/>
  <c r="X4" i="2" s="1"/>
  <c r="AE9" i="2"/>
  <c r="Y7" i="2" s="1"/>
  <c r="AD7" i="2"/>
  <c r="X10" i="2" s="1"/>
  <c r="AE7" i="2"/>
  <c r="Y10" i="2" s="1"/>
  <c r="AD9" i="2"/>
  <c r="X7" i="2" s="1"/>
  <c r="AD4" i="2"/>
  <c r="X6" i="2" s="1"/>
  <c r="AE6" i="2"/>
  <c r="Y8" i="2" s="1"/>
  <c r="AD11" i="2"/>
  <c r="X11" i="2" s="1"/>
  <c r="AD6" i="2"/>
  <c r="X8" i="2" s="1"/>
  <c r="AM67" i="1"/>
  <c r="BB11" i="1"/>
  <c r="AF11" i="1" s="1"/>
  <c r="Z5" i="1" s="1"/>
  <c r="AJ77" i="1"/>
  <c r="AM68" i="1"/>
  <c r="BB8" i="1"/>
  <c r="AF8" i="1" s="1"/>
  <c r="AJ74" i="1"/>
  <c r="AM69" i="1"/>
  <c r="BB10" i="1"/>
  <c r="AF10" i="1" s="1"/>
  <c r="AJ76" i="1"/>
  <c r="BB4" i="1"/>
  <c r="AF4" i="1" s="1"/>
  <c r="AK78" i="1"/>
  <c r="AL78" i="1" s="1"/>
  <c r="BB7" i="1"/>
  <c r="AF7" i="1" s="1"/>
  <c r="Z11" i="1" s="1"/>
  <c r="AK75" i="1"/>
  <c r="AL75" i="1" s="1"/>
  <c r="BB12" i="1"/>
  <c r="AF12" i="1" s="1"/>
  <c r="AJ78" i="1"/>
  <c r="BB6" i="1"/>
  <c r="AF6" i="1" s="1"/>
  <c r="Z7" i="1" s="1"/>
  <c r="AK76" i="1"/>
  <c r="AL76" i="1" s="1"/>
  <c r="BB13" i="1"/>
  <c r="AF13" i="1" s="1"/>
  <c r="AK74" i="1"/>
  <c r="AL74" i="1" s="1"/>
  <c r="BB5" i="1"/>
  <c r="AF5" i="1" s="1"/>
  <c r="AK77" i="1"/>
  <c r="AL77" i="1" s="1"/>
  <c r="AM70" i="1"/>
  <c r="BB9" i="1"/>
  <c r="AF9" i="1" s="1"/>
  <c r="AJ75" i="1"/>
  <c r="AE5" i="2" l="1"/>
  <c r="Y4" i="2" s="1"/>
  <c r="Z13" i="1"/>
  <c r="Z10" i="1"/>
  <c r="Z6" i="1"/>
  <c r="Z12" i="1"/>
  <c r="Z4" i="1"/>
  <c r="Z8" i="1"/>
  <c r="Z9" i="1"/>
  <c r="AD4" i="1"/>
  <c r="AE10" i="1"/>
  <c r="AM78" i="1"/>
  <c r="AD10" i="1"/>
  <c r="AM77" i="1"/>
  <c r="AE5" i="1" s="1"/>
  <c r="AD12" i="1"/>
  <c r="AD7" i="1"/>
  <c r="AD5" i="1"/>
  <c r="AD13" i="1"/>
  <c r="AD6" i="1"/>
  <c r="AE12" i="1"/>
  <c r="AE9" i="1"/>
  <c r="AE8" i="1"/>
  <c r="AE11" i="1"/>
  <c r="AM75" i="1"/>
  <c r="AE7" i="1" s="1"/>
  <c r="AD8" i="1"/>
  <c r="AM76" i="1"/>
  <c r="AD11" i="1"/>
  <c r="AM74" i="1"/>
  <c r="AE13" i="1" s="1"/>
  <c r="AD9" i="1"/>
  <c r="X10" i="1" l="1"/>
  <c r="X12" i="1"/>
  <c r="X5" i="1"/>
  <c r="X11" i="1"/>
  <c r="X6" i="1"/>
  <c r="X4" i="1"/>
  <c r="Y6" i="1"/>
  <c r="Y11" i="1"/>
  <c r="Y12" i="1"/>
  <c r="X8" i="1"/>
  <c r="Y8" i="1"/>
  <c r="X13" i="1"/>
  <c r="X9" i="1"/>
  <c r="Y5" i="1"/>
  <c r="X7" i="1"/>
  <c r="Y9" i="1"/>
  <c r="AE6" i="1"/>
  <c r="Y10" i="1" s="1"/>
  <c r="AE4" i="1"/>
  <c r="Y13" i="1" s="1"/>
  <c r="Y4" i="1" l="1"/>
  <c r="Y7" i="1"/>
  <c r="W9" i="3" l="1"/>
  <c r="W5" i="3"/>
  <c r="W7" i="3"/>
  <c r="W4" i="3"/>
  <c r="W8" i="3"/>
  <c r="W6" i="3"/>
</calcChain>
</file>

<file path=xl/sharedStrings.xml><?xml version="1.0" encoding="utf-8"?>
<sst xmlns="http://schemas.openxmlformats.org/spreadsheetml/2006/main" count="294" uniqueCount="51">
  <si>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</si>
  <si>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</si>
  <si>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</si>
  <si>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</si>
  <si>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</si>
  <si>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</si>
  <si>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</si>
  <si>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</si>
  <si>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</si>
  <si>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</si>
  <si>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</si>
  <si>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</si>
  <si>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</si>
  <si>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</si>
  <si>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</si>
  <si>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</si>
  <si>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</si>
  <si>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</si>
  <si>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</si>
  <si>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</si>
  <si>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</si>
  <si>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</si>
  <si>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</si>
  <si>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</si>
  <si>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</si>
  <si>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</si>
  <si>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</si>
  <si>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</si>
  <si>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</si>
  <si>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</si>
  <si>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</si>
  <si>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</si>
  <si>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</si>
  <si>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</si>
  <si>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</si>
  <si>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</si>
  <si>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</si>
  <si>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 xml:space="preserve">UITSLAG 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</si>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</sst>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quotePrefix="1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3" fillId="0" borderId="0" xfId="0" applyFont="1" applyFill="1"/>
    <xf numFmtId="0" fontId="4" fillId="0" borderId="0" xfId="0" applyFont="1" applyFill="1"/>
    <xf numFmtId="0" fontId="5" fillId="0" borderId="0" xfId="0" applyFont="1" applyAlignment="1">
      <alignment horizontal="left"/>
    </xf>
    <xf numFmtId="0" fontId="2" fillId="4" borderId="3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3" fillId="2" borderId="0" xfId="0" applyFont="1" applyFill="1"/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0" borderId="1" xfId="0" applyNumberFormat="1" applyFont="1" applyBorder="1" applyAlignment="1">
      <alignment horizontal="right"/>
    </xf>
    <xf numFmtId="164" fontId="0" fillId="0" borderId="1" xfId="0" applyNumberFormat="1" applyFont="1" applyBorder="1" applyAlignment="1">
      <alignment horizontal="right"/>
    </xf>
    <xf numFmtId="1" fontId="0" fillId="0" borderId="1" xfId="0" applyNumberFormat="1" applyFont="1" applyBorder="1" applyAlignment="1">
      <alignment horizontal="right"/>
    </xf>
    <xf numFmtId="0" fontId="6" fillId="4" borderId="1" xfId="0" applyFont="1" applyFill="1" applyBorder="1" applyAlignment="1"/>
    <xf numFmtId="0" fontId="6" fillId="0" borderId="1" xfId="0" applyFont="1" applyBorder="1" applyAlignment="1"/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</cellXfs>
  <cellStyles count="1">
    <cellStyle name="Standaard" xfId="0" builtinId="0"/>
  </cellStyles>
  <dxfs count="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28575</xdr:colOff>
      <xdr:row>0</xdr:row>
      <xdr:rowOff>257175</xdr:rowOff>
    </xdr:from>
    <xdr:to>
      <xdr:col>21</xdr:col>
      <xdr:colOff>246900</xdr:colOff>
      <xdr:row>1</xdr:row>
      <xdr:rowOff>123825</xdr:rowOff>
    </xdr:to>
    <xdr:sp macro="[0]!SorteerGroep10" textlink="">
      <xdr:nvSpPr>
        <xdr:cNvPr id="2" name="Afgeronde rechthoek 1"/>
        <xdr:cNvSpPr/>
      </xdr:nvSpPr>
      <xdr:spPr>
        <a:xfrm>
          <a:off x="7286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8" textlink="">
      <xdr:nvSpPr>
        <xdr:cNvPr id="2" name="Afgeronde rechthoek 1"/>
        <xdr:cNvSpPr/>
      </xdr:nvSpPr>
      <xdr:spPr>
        <a:xfrm>
          <a:off x="677227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6" textlink="">
      <xdr:nvSpPr>
        <xdr:cNvPr id="2" name="Afgeronde rechthoek 1"/>
        <xdr:cNvSpPr/>
      </xdr:nvSpPr>
      <xdr:spPr>
        <a:xfrm>
          <a:off x="6524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4" textlink="">
      <xdr:nvSpPr>
        <xdr:cNvPr id="2" name="Afgeronde rechthoek 1"/>
        <xdr:cNvSpPr/>
      </xdr:nvSpPr>
      <xdr:spPr>
        <a:xfrm>
          <a:off x="6524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B1:BB78"/>
  <sheetViews>
    <sheetView tabSelected="1" view="pageBreakPreview" zoomScaleNormal="100" zoomScaleSheetLayoutView="100" workbookViewId="0">
      <selection activeCell="G1" sqref="G1:R1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7" width="3.7109375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9" width="6.7109375" customWidth="1"/>
    <col min="34" max="35" width="4.42578125" bestFit="1" customWidth="1"/>
    <col min="36" max="54" width="3.7109375" customWidth="1"/>
  </cols>
  <sheetData>
    <row r="1" spans="2:54" ht="26.25" x14ac:dyDescent="0.4">
      <c r="B1" s="40" t="s">
        <v>31</v>
      </c>
      <c r="C1" s="40"/>
      <c r="D1" s="40"/>
      <c r="E1" s="40"/>
      <c r="F1" s="40"/>
      <c r="G1" s="41" t="s">
        <v>32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42" t="s">
        <v>22</v>
      </c>
      <c r="AJ2" s="42"/>
      <c r="AK2" s="42"/>
      <c r="AL2" s="42"/>
      <c r="AM2" s="42"/>
      <c r="AN2" s="42"/>
      <c r="AO2" s="42"/>
      <c r="AP2" s="42"/>
      <c r="AQ2" s="42"/>
      <c r="AR2" s="5"/>
      <c r="AS2" s="7"/>
      <c r="AT2" s="42" t="s">
        <v>23</v>
      </c>
      <c r="AU2" s="42"/>
      <c r="AV2" s="42"/>
      <c r="AW2" s="42"/>
      <c r="AX2" s="42"/>
      <c r="AY2" s="42"/>
      <c r="AZ2" s="42"/>
      <c r="BA2" s="42"/>
      <c r="BB2" s="42"/>
    </row>
    <row r="3" spans="2:54" x14ac:dyDescent="0.25">
      <c r="B3" s="9" t="s">
        <v>4</v>
      </c>
      <c r="C3" s="9" t="s">
        <v>6</v>
      </c>
      <c r="D3" s="48" t="s">
        <v>7</v>
      </c>
      <c r="E3" s="48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10">
        <v>7</v>
      </c>
      <c r="O3" s="10">
        <v>8</v>
      </c>
      <c r="P3" s="10">
        <v>9</v>
      </c>
      <c r="Q3" s="10">
        <v>10</v>
      </c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46"/>
      <c r="E4" s="47"/>
      <c r="F4" s="8">
        <v>1000</v>
      </c>
      <c r="H4" s="24" t="str">
        <f t="shared" ref="H4:Q13" si="0">IF((SUMIF($AH$15:$AH$78,$B4*100+H$3,$AF$15:$AF$78)+SUMIF($AH$15:$AH$78,$B4+H$3*100,$AF$15:$AF$78))=1,(SUMIF($AH$15:$AH$78,$B4*100+H$3,$J$15:$J$78)+SUMIF($AI$15:$AI$78,$B4*100+H$3,$M$15:$M$78)),"")</f>
        <v/>
      </c>
      <c r="I4" s="25" t="str">
        <f t="shared" si="0"/>
        <v/>
      </c>
      <c r="J4" s="25" t="str">
        <f t="shared" si="0"/>
        <v/>
      </c>
      <c r="K4" s="25" t="str">
        <f t="shared" si="0"/>
        <v/>
      </c>
      <c r="L4" s="25" t="str">
        <f t="shared" si="0"/>
        <v/>
      </c>
      <c r="M4" s="25" t="str">
        <f t="shared" si="0"/>
        <v/>
      </c>
      <c r="N4" s="25" t="str">
        <f t="shared" si="0"/>
        <v/>
      </c>
      <c r="O4" s="25" t="str">
        <f t="shared" si="0"/>
        <v/>
      </c>
      <c r="P4" s="25" t="str">
        <f t="shared" si="0"/>
        <v/>
      </c>
      <c r="Q4" s="25" t="str">
        <f t="shared" si="0"/>
        <v/>
      </c>
      <c r="R4" s="39">
        <f>SUM(H4:Q4)</f>
        <v>0</v>
      </c>
      <c r="S4" s="20"/>
      <c r="T4" s="11">
        <v>1</v>
      </c>
      <c r="U4" s="30">
        <v>6</v>
      </c>
      <c r="V4" s="22" t="str">
        <f t="shared" ref="V4:V13" si="1">VLOOKUP($U4,$B$4:$R$13,2,FALSE)</f>
        <v>F</v>
      </c>
      <c r="W4" s="27">
        <f t="shared" ref="W4:W13" si="2">VLOOKUP($U4,$B$4:$R$13,17,FALSE)</f>
        <v>0</v>
      </c>
      <c r="X4" s="27">
        <f t="shared" ref="X4:X13" si="3">VLOOKUP($U4,$AC$4:$AF$13,2,FALSE)</f>
        <v>0</v>
      </c>
      <c r="Y4" s="26">
        <f t="shared" ref="Y4:Y13" si="4">VLOOKUP($U4,$AC$4:$AF$13,3,FALSE)</f>
        <v>0</v>
      </c>
      <c r="Z4" s="27">
        <f t="shared" ref="Z4:Z13" si="5">VLOOKUP($U4,$AC$4:$AF$13,4,FALSE)</f>
        <v>0</v>
      </c>
      <c r="AA4" s="28">
        <f t="shared" ref="AA4:AA13" si="6">VLOOKUP($U4,$B$4:$R$13,5,FALSE)</f>
        <v>1000</v>
      </c>
      <c r="AB4" s="20"/>
      <c r="AC4" s="23">
        <v>1</v>
      </c>
      <c r="AD4" s="18">
        <f t="shared" ref="AD4:AD13" si="7">SUMIF($AD$15:$AD$78,B4,$AJ$15:$AJ$78)+SUMIF($AE$15:$AE$78,B4,$AK$15:$AK$78)</f>
        <v>0</v>
      </c>
      <c r="AE4" s="13">
        <f t="shared" ref="AE4:AE13" si="8">SUMIF($AD$15:$AD$78,B4,$AL$15:$AL$78)+SUMIF($AE$15:$AE$78,B4,$AM$15:$AM$78)</f>
        <v>0</v>
      </c>
      <c r="AF4" s="13">
        <f>SUM(AT4:BB4)</f>
        <v>0</v>
      </c>
      <c r="AH4">
        <v>1</v>
      </c>
      <c r="AI4">
        <f t="shared" ref="AI4:AQ13" si="9" xml:space="preserve"> SUMIFS( $J$18:$J$78, $AD$18:$AD$78,$AH4, $AC$18:$AC$78,AI$3) + SUMIFS( $M$18:$M$78, $AE$18:$AE$78,$AH4, $AC$18:$AC$78,AI$3)</f>
        <v>0</v>
      </c>
      <c r="AJ4">
        <f t="shared" si="9"/>
        <v>0</v>
      </c>
      <c r="AK4">
        <f t="shared" si="9"/>
        <v>0</v>
      </c>
      <c r="AL4">
        <f t="shared" si="9"/>
        <v>0</v>
      </c>
      <c r="AM4">
        <f t="shared" si="9"/>
        <v>0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0</v>
      </c>
      <c r="AS4">
        <v>1</v>
      </c>
      <c r="AT4">
        <f>AI4</f>
        <v>0</v>
      </c>
      <c r="AU4">
        <f t="shared" ref="AU4:AU13" si="10">AT4+AJ4</f>
        <v>0</v>
      </c>
      <c r="AV4">
        <f t="shared" ref="AV4:AV13" si="11">AU4+AK4</f>
        <v>0</v>
      </c>
      <c r="AW4">
        <f t="shared" ref="AW4:AW13" si="12">AV4+AL4</f>
        <v>0</v>
      </c>
      <c r="AX4">
        <f t="shared" ref="AX4:AX13" si="13">AW4+AM4</f>
        <v>0</v>
      </c>
      <c r="AY4">
        <f t="shared" ref="AY4:AY13" si="14">AX4+AN4</f>
        <v>0</v>
      </c>
      <c r="AZ4">
        <f t="shared" ref="AZ4:AZ13" si="15">AY4+AO4</f>
        <v>0</v>
      </c>
      <c r="BA4">
        <f t="shared" ref="BA4:BA13" si="16">AZ4+AP4</f>
        <v>0</v>
      </c>
      <c r="BB4">
        <f t="shared" ref="BB4:BB13" si="17">BA4+AQ4</f>
        <v>0</v>
      </c>
    </row>
    <row r="5" spans="2:54" x14ac:dyDescent="0.25">
      <c r="B5" s="8">
        <v>2</v>
      </c>
      <c r="C5" s="8" t="s">
        <v>42</v>
      </c>
      <c r="D5" s="46"/>
      <c r="E5" s="47"/>
      <c r="F5" s="8">
        <v>1000</v>
      </c>
      <c r="H5" s="25" t="str">
        <f t="shared" si="0"/>
        <v/>
      </c>
      <c r="I5" s="24" t="str">
        <f t="shared" si="0"/>
        <v/>
      </c>
      <c r="J5" s="25" t="str">
        <f t="shared" si="0"/>
        <v/>
      </c>
      <c r="K5" s="25" t="str">
        <f t="shared" si="0"/>
        <v/>
      </c>
      <c r="L5" s="25" t="str">
        <f t="shared" si="0"/>
        <v/>
      </c>
      <c r="M5" s="25" t="str">
        <f t="shared" si="0"/>
        <v/>
      </c>
      <c r="N5" s="25" t="str">
        <f t="shared" si="0"/>
        <v/>
      </c>
      <c r="O5" s="25" t="str">
        <f t="shared" si="0"/>
        <v/>
      </c>
      <c r="P5" s="25" t="str">
        <f t="shared" si="0"/>
        <v/>
      </c>
      <c r="Q5" s="25" t="str">
        <f t="shared" si="0"/>
        <v/>
      </c>
      <c r="R5" s="39">
        <f t="shared" ref="R5:R13" si="18">SUM(H5:Q5)</f>
        <v>0</v>
      </c>
      <c r="S5" s="20"/>
      <c r="T5" s="11">
        <v>2</v>
      </c>
      <c r="U5" s="30">
        <v>8</v>
      </c>
      <c r="V5" s="22" t="str">
        <f t="shared" si="1"/>
        <v>H</v>
      </c>
      <c r="W5" s="27">
        <f t="shared" si="2"/>
        <v>0</v>
      </c>
      <c r="X5" s="27">
        <f t="shared" si="3"/>
        <v>0</v>
      </c>
      <c r="Y5" s="26">
        <f t="shared" si="4"/>
        <v>0</v>
      </c>
      <c r="Z5" s="27">
        <f t="shared" si="5"/>
        <v>0</v>
      </c>
      <c r="AA5" s="28">
        <f t="shared" si="6"/>
        <v>1000</v>
      </c>
      <c r="AB5" s="20"/>
      <c r="AC5" s="23">
        <v>2</v>
      </c>
      <c r="AD5" s="18">
        <f t="shared" si="7"/>
        <v>0</v>
      </c>
      <c r="AE5" s="13">
        <f t="shared" si="8"/>
        <v>0</v>
      </c>
      <c r="AF5" s="13">
        <f t="shared" ref="AF5:AF13" si="19">SUM(AT5:BB5)</f>
        <v>0</v>
      </c>
      <c r="AH5">
        <v>2</v>
      </c>
      <c r="AI5">
        <f t="shared" si="9"/>
        <v>0</v>
      </c>
      <c r="AJ5">
        <f t="shared" si="9"/>
        <v>0</v>
      </c>
      <c r="AK5">
        <f t="shared" si="9"/>
        <v>0</v>
      </c>
      <c r="AL5">
        <f t="shared" si="9"/>
        <v>0</v>
      </c>
      <c r="AM5">
        <f t="shared" si="9"/>
        <v>0</v>
      </c>
      <c r="AN5">
        <f t="shared" si="9"/>
        <v>0</v>
      </c>
      <c r="AO5">
        <f t="shared" si="9"/>
        <v>0</v>
      </c>
      <c r="AP5">
        <f t="shared" si="9"/>
        <v>0</v>
      </c>
      <c r="AQ5">
        <f t="shared" si="9"/>
        <v>0</v>
      </c>
      <c r="AS5">
        <v>2</v>
      </c>
      <c r="AT5">
        <f t="shared" ref="AT5:AT13" si="20">AI5</f>
        <v>0</v>
      </c>
      <c r="AU5">
        <f t="shared" si="10"/>
        <v>0</v>
      </c>
      <c r="AV5">
        <f t="shared" si="11"/>
        <v>0</v>
      </c>
      <c r="AW5">
        <f t="shared" si="12"/>
        <v>0</v>
      </c>
      <c r="AX5">
        <f t="shared" si="13"/>
        <v>0</v>
      </c>
      <c r="AY5">
        <f t="shared" si="14"/>
        <v>0</v>
      </c>
      <c r="AZ5">
        <f t="shared" si="15"/>
        <v>0</v>
      </c>
      <c r="BA5">
        <f t="shared" si="16"/>
        <v>0</v>
      </c>
      <c r="BB5">
        <f t="shared" si="17"/>
        <v>0</v>
      </c>
    </row>
    <row r="6" spans="2:54" x14ac:dyDescent="0.25">
      <c r="B6" s="8">
        <v>3</v>
      </c>
      <c r="C6" s="8" t="s">
        <v>43</v>
      </c>
      <c r="D6" s="46"/>
      <c r="E6" s="47"/>
      <c r="F6" s="8">
        <v>1000</v>
      </c>
      <c r="H6" s="25" t="str">
        <f t="shared" si="0"/>
        <v/>
      </c>
      <c r="I6" s="25" t="str">
        <f t="shared" si="0"/>
        <v/>
      </c>
      <c r="J6" s="24" t="str">
        <f t="shared" si="0"/>
        <v/>
      </c>
      <c r="K6" s="25" t="str">
        <f t="shared" si="0"/>
        <v/>
      </c>
      <c r="L6" s="25" t="str">
        <f t="shared" si="0"/>
        <v/>
      </c>
      <c r="M6" s="25" t="str">
        <f t="shared" si="0"/>
        <v/>
      </c>
      <c r="N6" s="25" t="str">
        <f t="shared" si="0"/>
        <v/>
      </c>
      <c r="O6" s="25" t="str">
        <f t="shared" si="0"/>
        <v/>
      </c>
      <c r="P6" s="25" t="str">
        <f t="shared" si="0"/>
        <v/>
      </c>
      <c r="Q6" s="25" t="str">
        <f t="shared" si="0"/>
        <v/>
      </c>
      <c r="R6" s="39">
        <f t="shared" si="18"/>
        <v>0</v>
      </c>
      <c r="S6" s="20"/>
      <c r="T6" s="11">
        <v>3</v>
      </c>
      <c r="U6" s="30">
        <v>2</v>
      </c>
      <c r="V6" s="22" t="str">
        <f t="shared" si="1"/>
        <v>B</v>
      </c>
      <c r="W6" s="27">
        <f t="shared" si="2"/>
        <v>0</v>
      </c>
      <c r="X6" s="27">
        <f t="shared" si="3"/>
        <v>0</v>
      </c>
      <c r="Y6" s="26">
        <f t="shared" si="4"/>
        <v>0</v>
      </c>
      <c r="Z6" s="27">
        <f t="shared" si="5"/>
        <v>0</v>
      </c>
      <c r="AA6" s="28">
        <f t="shared" si="6"/>
        <v>1000</v>
      </c>
      <c r="AB6" s="20"/>
      <c r="AC6" s="23">
        <v>3</v>
      </c>
      <c r="AD6" s="18">
        <f t="shared" si="7"/>
        <v>0</v>
      </c>
      <c r="AE6" s="13">
        <f t="shared" si="8"/>
        <v>0</v>
      </c>
      <c r="AF6" s="13">
        <f t="shared" si="19"/>
        <v>0</v>
      </c>
      <c r="AH6">
        <v>3</v>
      </c>
      <c r="AI6">
        <f t="shared" si="9"/>
        <v>0</v>
      </c>
      <c r="AJ6">
        <f t="shared" si="9"/>
        <v>0</v>
      </c>
      <c r="AK6">
        <f t="shared" si="9"/>
        <v>0</v>
      </c>
      <c r="AL6">
        <f t="shared" si="9"/>
        <v>0</v>
      </c>
      <c r="AM6">
        <f t="shared" si="9"/>
        <v>0</v>
      </c>
      <c r="AN6">
        <f t="shared" si="9"/>
        <v>0</v>
      </c>
      <c r="AO6">
        <f t="shared" si="9"/>
        <v>0</v>
      </c>
      <c r="AP6">
        <f t="shared" si="9"/>
        <v>0</v>
      </c>
      <c r="AQ6">
        <f t="shared" si="9"/>
        <v>0</v>
      </c>
      <c r="AS6">
        <v>3</v>
      </c>
      <c r="AT6">
        <f t="shared" si="20"/>
        <v>0</v>
      </c>
      <c r="AU6">
        <f t="shared" si="10"/>
        <v>0</v>
      </c>
      <c r="AV6">
        <f t="shared" si="11"/>
        <v>0</v>
      </c>
      <c r="AW6">
        <f t="shared" si="12"/>
        <v>0</v>
      </c>
      <c r="AX6">
        <f t="shared" si="13"/>
        <v>0</v>
      </c>
      <c r="AY6">
        <f t="shared" si="14"/>
        <v>0</v>
      </c>
      <c r="AZ6">
        <f t="shared" si="15"/>
        <v>0</v>
      </c>
      <c r="BA6">
        <f t="shared" si="16"/>
        <v>0</v>
      </c>
      <c r="BB6">
        <f t="shared" si="17"/>
        <v>0</v>
      </c>
    </row>
    <row r="7" spans="2:54" x14ac:dyDescent="0.25">
      <c r="B7" s="8">
        <v>4</v>
      </c>
      <c r="C7" s="8" t="s">
        <v>44</v>
      </c>
      <c r="D7" s="46"/>
      <c r="E7" s="47"/>
      <c r="F7" s="8">
        <v>1000</v>
      </c>
      <c r="H7" s="25" t="str">
        <f t="shared" si="0"/>
        <v/>
      </c>
      <c r="I7" s="25" t="str">
        <f t="shared" si="0"/>
        <v/>
      </c>
      <c r="J7" s="25" t="str">
        <f t="shared" si="0"/>
        <v/>
      </c>
      <c r="K7" s="24" t="str">
        <f t="shared" si="0"/>
        <v/>
      </c>
      <c r="L7" s="25" t="str">
        <f t="shared" si="0"/>
        <v/>
      </c>
      <c r="M7" s="25" t="str">
        <f t="shared" si="0"/>
        <v/>
      </c>
      <c r="N7" s="25" t="str">
        <f t="shared" si="0"/>
        <v/>
      </c>
      <c r="O7" s="25" t="str">
        <f t="shared" si="0"/>
        <v/>
      </c>
      <c r="P7" s="25" t="str">
        <f t="shared" si="0"/>
        <v/>
      </c>
      <c r="Q7" s="25" t="str">
        <f t="shared" si="0"/>
        <v/>
      </c>
      <c r="R7" s="39">
        <f t="shared" si="18"/>
        <v>0</v>
      </c>
      <c r="S7" s="20"/>
      <c r="T7" s="11">
        <v>4</v>
      </c>
      <c r="U7" s="30">
        <v>7</v>
      </c>
      <c r="V7" s="22" t="str">
        <f t="shared" si="1"/>
        <v>G</v>
      </c>
      <c r="W7" s="27">
        <f t="shared" si="2"/>
        <v>0</v>
      </c>
      <c r="X7" s="27">
        <f t="shared" si="3"/>
        <v>0</v>
      </c>
      <c r="Y7" s="26">
        <f t="shared" si="4"/>
        <v>0</v>
      </c>
      <c r="Z7" s="27">
        <f t="shared" si="5"/>
        <v>0</v>
      </c>
      <c r="AA7" s="28">
        <f t="shared" si="6"/>
        <v>1000</v>
      </c>
      <c r="AB7" s="20"/>
      <c r="AC7" s="23">
        <v>4</v>
      </c>
      <c r="AD7" s="18">
        <f t="shared" si="7"/>
        <v>0</v>
      </c>
      <c r="AE7" s="13">
        <f t="shared" si="8"/>
        <v>0</v>
      </c>
      <c r="AF7" s="13">
        <f t="shared" si="19"/>
        <v>0</v>
      </c>
      <c r="AH7">
        <v>4</v>
      </c>
      <c r="AI7">
        <f t="shared" si="9"/>
        <v>0</v>
      </c>
      <c r="AJ7">
        <f t="shared" si="9"/>
        <v>0</v>
      </c>
      <c r="AK7">
        <f t="shared" si="9"/>
        <v>0</v>
      </c>
      <c r="AL7">
        <f t="shared" si="9"/>
        <v>0</v>
      </c>
      <c r="AM7">
        <f t="shared" si="9"/>
        <v>0</v>
      </c>
      <c r="AN7">
        <f t="shared" si="9"/>
        <v>0</v>
      </c>
      <c r="AO7">
        <f t="shared" si="9"/>
        <v>0</v>
      </c>
      <c r="AP7">
        <f t="shared" si="9"/>
        <v>0</v>
      </c>
      <c r="AQ7">
        <f t="shared" si="9"/>
        <v>0</v>
      </c>
      <c r="AS7">
        <v>4</v>
      </c>
      <c r="AT7">
        <f t="shared" si="20"/>
        <v>0</v>
      </c>
      <c r="AU7">
        <f t="shared" si="10"/>
        <v>0</v>
      </c>
      <c r="AV7">
        <f t="shared" si="11"/>
        <v>0</v>
      </c>
      <c r="AW7">
        <f t="shared" si="12"/>
        <v>0</v>
      </c>
      <c r="AX7">
        <f t="shared" si="13"/>
        <v>0</v>
      </c>
      <c r="AY7">
        <f t="shared" si="14"/>
        <v>0</v>
      </c>
      <c r="AZ7">
        <f t="shared" si="15"/>
        <v>0</v>
      </c>
      <c r="BA7">
        <f t="shared" si="16"/>
        <v>0</v>
      </c>
      <c r="BB7">
        <f t="shared" si="17"/>
        <v>0</v>
      </c>
    </row>
    <row r="8" spans="2:54" x14ac:dyDescent="0.25">
      <c r="B8" s="8">
        <v>5</v>
      </c>
      <c r="C8" s="8" t="s">
        <v>48</v>
      </c>
      <c r="D8" s="46"/>
      <c r="E8" s="47"/>
      <c r="F8" s="8">
        <v>1000</v>
      </c>
      <c r="H8" s="25" t="str">
        <f t="shared" si="0"/>
        <v/>
      </c>
      <c r="I8" s="25" t="str">
        <f t="shared" si="0"/>
        <v/>
      </c>
      <c r="J8" s="25" t="str">
        <f t="shared" si="0"/>
        <v/>
      </c>
      <c r="K8" s="25" t="str">
        <f t="shared" si="0"/>
        <v/>
      </c>
      <c r="L8" s="24" t="str">
        <f t="shared" si="0"/>
        <v/>
      </c>
      <c r="M8" s="25" t="str">
        <f t="shared" si="0"/>
        <v/>
      </c>
      <c r="N8" s="25" t="str">
        <f t="shared" si="0"/>
        <v/>
      </c>
      <c r="O8" s="25" t="str">
        <f t="shared" si="0"/>
        <v/>
      </c>
      <c r="P8" s="25" t="str">
        <f t="shared" si="0"/>
        <v/>
      </c>
      <c r="Q8" s="25" t="str">
        <f t="shared" si="0"/>
        <v/>
      </c>
      <c r="R8" s="39">
        <f t="shared" si="18"/>
        <v>0</v>
      </c>
      <c r="S8" s="20"/>
      <c r="T8" s="11">
        <v>5</v>
      </c>
      <c r="U8" s="30">
        <v>9</v>
      </c>
      <c r="V8" s="22" t="str">
        <f t="shared" si="1"/>
        <v>I</v>
      </c>
      <c r="W8" s="27">
        <f t="shared" si="2"/>
        <v>0</v>
      </c>
      <c r="X8" s="27">
        <f t="shared" si="3"/>
        <v>0</v>
      </c>
      <c r="Y8" s="26">
        <f t="shared" si="4"/>
        <v>0</v>
      </c>
      <c r="Z8" s="27">
        <f t="shared" si="5"/>
        <v>0</v>
      </c>
      <c r="AA8" s="28">
        <f t="shared" si="6"/>
        <v>1000</v>
      </c>
      <c r="AB8" s="20"/>
      <c r="AC8" s="23">
        <v>5</v>
      </c>
      <c r="AD8" s="18">
        <f t="shared" si="7"/>
        <v>0</v>
      </c>
      <c r="AE8" s="13">
        <f t="shared" si="8"/>
        <v>0</v>
      </c>
      <c r="AF8" s="13">
        <f t="shared" si="19"/>
        <v>0</v>
      </c>
      <c r="AH8">
        <v>5</v>
      </c>
      <c r="AI8">
        <f t="shared" si="9"/>
        <v>0</v>
      </c>
      <c r="AJ8">
        <f t="shared" si="9"/>
        <v>0</v>
      </c>
      <c r="AK8">
        <f t="shared" si="9"/>
        <v>0</v>
      </c>
      <c r="AL8">
        <f t="shared" si="9"/>
        <v>0</v>
      </c>
      <c r="AM8">
        <f t="shared" si="9"/>
        <v>0</v>
      </c>
      <c r="AN8">
        <f t="shared" si="9"/>
        <v>0</v>
      </c>
      <c r="AO8">
        <f t="shared" si="9"/>
        <v>0</v>
      </c>
      <c r="AP8">
        <f t="shared" si="9"/>
        <v>0</v>
      </c>
      <c r="AQ8">
        <f t="shared" si="9"/>
        <v>0</v>
      </c>
      <c r="AS8">
        <v>5</v>
      </c>
      <c r="AT8">
        <f t="shared" si="20"/>
        <v>0</v>
      </c>
      <c r="AU8">
        <f t="shared" si="10"/>
        <v>0</v>
      </c>
      <c r="AV8">
        <f t="shared" si="11"/>
        <v>0</v>
      </c>
      <c r="AW8">
        <f t="shared" si="12"/>
        <v>0</v>
      </c>
      <c r="AX8">
        <f t="shared" si="13"/>
        <v>0</v>
      </c>
      <c r="AY8">
        <f t="shared" si="14"/>
        <v>0</v>
      </c>
      <c r="AZ8">
        <f t="shared" si="15"/>
        <v>0</v>
      </c>
      <c r="BA8">
        <f t="shared" si="16"/>
        <v>0</v>
      </c>
      <c r="BB8">
        <f t="shared" si="17"/>
        <v>0</v>
      </c>
    </row>
    <row r="9" spans="2:54" x14ac:dyDescent="0.25">
      <c r="B9" s="8">
        <v>6</v>
      </c>
      <c r="C9" s="8" t="s">
        <v>45</v>
      </c>
      <c r="D9" s="46"/>
      <c r="E9" s="47"/>
      <c r="F9" s="8">
        <v>1000</v>
      </c>
      <c r="H9" s="25" t="str">
        <f t="shared" si="0"/>
        <v/>
      </c>
      <c r="I9" s="25" t="str">
        <f t="shared" si="0"/>
        <v/>
      </c>
      <c r="J9" s="25" t="str">
        <f t="shared" si="0"/>
        <v/>
      </c>
      <c r="K9" s="25" t="str">
        <f t="shared" si="0"/>
        <v/>
      </c>
      <c r="L9" s="25" t="str">
        <f t="shared" si="0"/>
        <v/>
      </c>
      <c r="M9" s="24" t="str">
        <f t="shared" si="0"/>
        <v/>
      </c>
      <c r="N9" s="25" t="str">
        <f t="shared" si="0"/>
        <v/>
      </c>
      <c r="O9" s="25" t="str">
        <f t="shared" si="0"/>
        <v/>
      </c>
      <c r="P9" s="25" t="str">
        <f t="shared" si="0"/>
        <v/>
      </c>
      <c r="Q9" s="25" t="str">
        <f t="shared" si="0"/>
        <v/>
      </c>
      <c r="R9" s="39">
        <f t="shared" si="18"/>
        <v>0</v>
      </c>
      <c r="S9" s="20"/>
      <c r="T9" s="11">
        <v>6</v>
      </c>
      <c r="U9" s="30">
        <v>5</v>
      </c>
      <c r="V9" s="22" t="str">
        <f t="shared" si="1"/>
        <v>E</v>
      </c>
      <c r="W9" s="27">
        <f t="shared" si="2"/>
        <v>0</v>
      </c>
      <c r="X9" s="27">
        <f t="shared" si="3"/>
        <v>0</v>
      </c>
      <c r="Y9" s="26">
        <f t="shared" si="4"/>
        <v>0</v>
      </c>
      <c r="Z9" s="27">
        <f t="shared" si="5"/>
        <v>0</v>
      </c>
      <c r="AA9" s="28">
        <f t="shared" si="6"/>
        <v>1000</v>
      </c>
      <c r="AB9" s="20"/>
      <c r="AC9" s="23">
        <v>6</v>
      </c>
      <c r="AD9" s="18">
        <f t="shared" si="7"/>
        <v>0</v>
      </c>
      <c r="AE9" s="13">
        <f t="shared" si="8"/>
        <v>0</v>
      </c>
      <c r="AF9" s="13">
        <f t="shared" si="19"/>
        <v>0</v>
      </c>
      <c r="AH9">
        <v>6</v>
      </c>
      <c r="AI9">
        <f t="shared" si="9"/>
        <v>0</v>
      </c>
      <c r="AJ9">
        <f t="shared" si="9"/>
        <v>0</v>
      </c>
      <c r="AK9">
        <f t="shared" si="9"/>
        <v>0</v>
      </c>
      <c r="AL9">
        <f t="shared" si="9"/>
        <v>0</v>
      </c>
      <c r="AM9">
        <f t="shared" si="9"/>
        <v>0</v>
      </c>
      <c r="AN9">
        <f t="shared" si="9"/>
        <v>0</v>
      </c>
      <c r="AO9">
        <f t="shared" si="9"/>
        <v>0</v>
      </c>
      <c r="AP9">
        <f t="shared" si="9"/>
        <v>0</v>
      </c>
      <c r="AQ9">
        <f t="shared" si="9"/>
        <v>0</v>
      </c>
      <c r="AS9">
        <v>6</v>
      </c>
      <c r="AT9">
        <f t="shared" si="20"/>
        <v>0</v>
      </c>
      <c r="AU9">
        <f t="shared" si="10"/>
        <v>0</v>
      </c>
      <c r="AV9">
        <f t="shared" si="11"/>
        <v>0</v>
      </c>
      <c r="AW9">
        <f t="shared" si="12"/>
        <v>0</v>
      </c>
      <c r="AX9">
        <f t="shared" si="13"/>
        <v>0</v>
      </c>
      <c r="AY9">
        <f t="shared" si="14"/>
        <v>0</v>
      </c>
      <c r="AZ9">
        <f t="shared" si="15"/>
        <v>0</v>
      </c>
      <c r="BA9">
        <f t="shared" si="16"/>
        <v>0</v>
      </c>
      <c r="BB9">
        <f t="shared" si="17"/>
        <v>0</v>
      </c>
    </row>
    <row r="10" spans="2:54" x14ac:dyDescent="0.25">
      <c r="B10" s="8">
        <v>7</v>
      </c>
      <c r="C10" s="8" t="s">
        <v>46</v>
      </c>
      <c r="D10" s="46"/>
      <c r="E10" s="47"/>
      <c r="F10" s="8">
        <v>1000</v>
      </c>
      <c r="H10" s="25" t="str">
        <f t="shared" si="0"/>
        <v/>
      </c>
      <c r="I10" s="25" t="str">
        <f t="shared" si="0"/>
        <v/>
      </c>
      <c r="J10" s="25" t="str">
        <f t="shared" si="0"/>
        <v/>
      </c>
      <c r="K10" s="25" t="str">
        <f t="shared" si="0"/>
        <v/>
      </c>
      <c r="L10" s="25" t="str">
        <f t="shared" si="0"/>
        <v/>
      </c>
      <c r="M10" s="25" t="str">
        <f t="shared" si="0"/>
        <v/>
      </c>
      <c r="N10" s="24" t="str">
        <f t="shared" si="0"/>
        <v/>
      </c>
      <c r="O10" s="25" t="str">
        <f t="shared" si="0"/>
        <v/>
      </c>
      <c r="P10" s="25" t="str">
        <f t="shared" si="0"/>
        <v/>
      </c>
      <c r="Q10" s="25" t="str">
        <f t="shared" si="0"/>
        <v/>
      </c>
      <c r="R10" s="39">
        <f t="shared" si="18"/>
        <v>0</v>
      </c>
      <c r="S10" s="20"/>
      <c r="T10" s="11">
        <v>7</v>
      </c>
      <c r="U10" s="30">
        <v>3</v>
      </c>
      <c r="V10" s="22" t="str">
        <f t="shared" si="1"/>
        <v>C</v>
      </c>
      <c r="W10" s="27">
        <f t="shared" si="2"/>
        <v>0</v>
      </c>
      <c r="X10" s="27">
        <f t="shared" si="3"/>
        <v>0</v>
      </c>
      <c r="Y10" s="26">
        <f t="shared" si="4"/>
        <v>0</v>
      </c>
      <c r="Z10" s="27">
        <f t="shared" si="5"/>
        <v>0</v>
      </c>
      <c r="AA10" s="28">
        <f t="shared" si="6"/>
        <v>1000</v>
      </c>
      <c r="AB10" s="20"/>
      <c r="AC10" s="23">
        <v>7</v>
      </c>
      <c r="AD10" s="18">
        <f t="shared" si="7"/>
        <v>0</v>
      </c>
      <c r="AE10" s="13">
        <f t="shared" si="8"/>
        <v>0</v>
      </c>
      <c r="AF10" s="13">
        <f t="shared" si="19"/>
        <v>0</v>
      </c>
      <c r="AH10">
        <v>7</v>
      </c>
      <c r="AI10">
        <f t="shared" si="9"/>
        <v>0</v>
      </c>
      <c r="AJ10">
        <f t="shared" si="9"/>
        <v>0</v>
      </c>
      <c r="AK10">
        <f t="shared" si="9"/>
        <v>0</v>
      </c>
      <c r="AL10">
        <f t="shared" si="9"/>
        <v>0</v>
      </c>
      <c r="AM10">
        <f t="shared" si="9"/>
        <v>0</v>
      </c>
      <c r="AN10">
        <f t="shared" si="9"/>
        <v>0</v>
      </c>
      <c r="AO10">
        <f t="shared" si="9"/>
        <v>0</v>
      </c>
      <c r="AP10">
        <f t="shared" si="9"/>
        <v>0</v>
      </c>
      <c r="AQ10">
        <f t="shared" si="9"/>
        <v>0</v>
      </c>
      <c r="AS10">
        <v>7</v>
      </c>
      <c r="AT10">
        <f t="shared" si="20"/>
        <v>0</v>
      </c>
      <c r="AU10">
        <f t="shared" si="10"/>
        <v>0</v>
      </c>
      <c r="AV10">
        <f t="shared" si="11"/>
        <v>0</v>
      </c>
      <c r="AW10">
        <f t="shared" si="12"/>
        <v>0</v>
      </c>
      <c r="AX10">
        <f t="shared" si="13"/>
        <v>0</v>
      </c>
      <c r="AY10">
        <f t="shared" si="14"/>
        <v>0</v>
      </c>
      <c r="AZ10">
        <f t="shared" si="15"/>
        <v>0</v>
      </c>
      <c r="BA10">
        <f t="shared" si="16"/>
        <v>0</v>
      </c>
      <c r="BB10">
        <f t="shared" si="17"/>
        <v>0</v>
      </c>
    </row>
    <row r="11" spans="2:54" x14ac:dyDescent="0.25">
      <c r="B11" s="8">
        <v>8</v>
      </c>
      <c r="C11" s="8" t="s">
        <v>47</v>
      </c>
      <c r="D11" s="46"/>
      <c r="E11" s="47"/>
      <c r="F11" s="8">
        <v>1000</v>
      </c>
      <c r="H11" s="25" t="str">
        <f t="shared" si="0"/>
        <v/>
      </c>
      <c r="I11" s="25" t="str">
        <f t="shared" si="0"/>
        <v/>
      </c>
      <c r="J11" s="25" t="str">
        <f t="shared" si="0"/>
        <v/>
      </c>
      <c r="K11" s="25" t="str">
        <f t="shared" si="0"/>
        <v/>
      </c>
      <c r="L11" s="25" t="str">
        <f t="shared" si="0"/>
        <v/>
      </c>
      <c r="M11" s="25" t="str">
        <f t="shared" si="0"/>
        <v/>
      </c>
      <c r="N11" s="25" t="str">
        <f t="shared" si="0"/>
        <v/>
      </c>
      <c r="O11" s="24" t="str">
        <f t="shared" si="0"/>
        <v/>
      </c>
      <c r="P11" s="25" t="str">
        <f t="shared" si="0"/>
        <v/>
      </c>
      <c r="Q11" s="25" t="str">
        <f t="shared" si="0"/>
        <v/>
      </c>
      <c r="R11" s="39">
        <f t="shared" si="18"/>
        <v>0</v>
      </c>
      <c r="S11" s="20"/>
      <c r="T11" s="11">
        <v>8</v>
      </c>
      <c r="U11" s="30">
        <v>4</v>
      </c>
      <c r="V11" s="22" t="str">
        <f t="shared" si="1"/>
        <v>D</v>
      </c>
      <c r="W11" s="27">
        <f t="shared" si="2"/>
        <v>0</v>
      </c>
      <c r="X11" s="27">
        <f t="shared" si="3"/>
        <v>0</v>
      </c>
      <c r="Y11" s="26">
        <f t="shared" si="4"/>
        <v>0</v>
      </c>
      <c r="Z11" s="27">
        <f t="shared" si="5"/>
        <v>0</v>
      </c>
      <c r="AA11" s="28">
        <f t="shared" si="6"/>
        <v>1000</v>
      </c>
      <c r="AB11" s="20"/>
      <c r="AC11" s="23">
        <v>8</v>
      </c>
      <c r="AD11" s="18">
        <f t="shared" si="7"/>
        <v>0</v>
      </c>
      <c r="AE11" s="13">
        <f t="shared" si="8"/>
        <v>0</v>
      </c>
      <c r="AF11" s="13">
        <f t="shared" si="19"/>
        <v>0</v>
      </c>
      <c r="AH11">
        <v>8</v>
      </c>
      <c r="AI11">
        <f t="shared" si="9"/>
        <v>0</v>
      </c>
      <c r="AJ11">
        <f t="shared" si="9"/>
        <v>0</v>
      </c>
      <c r="AK11">
        <f t="shared" si="9"/>
        <v>0</v>
      </c>
      <c r="AL11">
        <f t="shared" si="9"/>
        <v>0</v>
      </c>
      <c r="AM11">
        <f t="shared" si="9"/>
        <v>0</v>
      </c>
      <c r="AN11">
        <f t="shared" si="9"/>
        <v>0</v>
      </c>
      <c r="AO11">
        <f t="shared" si="9"/>
        <v>0</v>
      </c>
      <c r="AP11">
        <f t="shared" si="9"/>
        <v>0</v>
      </c>
      <c r="AQ11">
        <f t="shared" si="9"/>
        <v>0</v>
      </c>
      <c r="AS11">
        <v>8</v>
      </c>
      <c r="AT11">
        <f t="shared" si="20"/>
        <v>0</v>
      </c>
      <c r="AU11">
        <f t="shared" si="10"/>
        <v>0</v>
      </c>
      <c r="AV11">
        <f t="shared" si="11"/>
        <v>0</v>
      </c>
      <c r="AW11">
        <f t="shared" si="12"/>
        <v>0</v>
      </c>
      <c r="AX11">
        <f t="shared" si="13"/>
        <v>0</v>
      </c>
      <c r="AY11">
        <f t="shared" si="14"/>
        <v>0</v>
      </c>
      <c r="AZ11">
        <f t="shared" si="15"/>
        <v>0</v>
      </c>
      <c r="BA11">
        <f t="shared" si="16"/>
        <v>0</v>
      </c>
      <c r="BB11">
        <f t="shared" si="17"/>
        <v>0</v>
      </c>
    </row>
    <row r="12" spans="2:54" x14ac:dyDescent="0.25">
      <c r="B12" s="8">
        <v>9</v>
      </c>
      <c r="C12" s="8" t="s">
        <v>49</v>
      </c>
      <c r="D12" s="46"/>
      <c r="E12" s="47"/>
      <c r="F12" s="8">
        <v>1000</v>
      </c>
      <c r="H12" s="25" t="str">
        <f t="shared" si="0"/>
        <v/>
      </c>
      <c r="I12" s="25" t="str">
        <f t="shared" si="0"/>
        <v/>
      </c>
      <c r="J12" s="25" t="str">
        <f t="shared" si="0"/>
        <v/>
      </c>
      <c r="K12" s="25" t="str">
        <f t="shared" si="0"/>
        <v/>
      </c>
      <c r="L12" s="25" t="str">
        <f t="shared" si="0"/>
        <v/>
      </c>
      <c r="M12" s="25" t="str">
        <f t="shared" si="0"/>
        <v/>
      </c>
      <c r="N12" s="25" t="str">
        <f t="shared" si="0"/>
        <v/>
      </c>
      <c r="O12" s="25" t="str">
        <f t="shared" si="0"/>
        <v/>
      </c>
      <c r="P12" s="24" t="str">
        <f t="shared" si="0"/>
        <v/>
      </c>
      <c r="Q12" s="25" t="str">
        <f t="shared" si="0"/>
        <v/>
      </c>
      <c r="R12" s="39">
        <f t="shared" si="18"/>
        <v>0</v>
      </c>
      <c r="S12" s="20"/>
      <c r="T12" s="11">
        <v>9</v>
      </c>
      <c r="U12" s="30">
        <v>10</v>
      </c>
      <c r="V12" s="22" t="str">
        <f t="shared" si="1"/>
        <v>J</v>
      </c>
      <c r="W12" s="27">
        <f t="shared" si="2"/>
        <v>0</v>
      </c>
      <c r="X12" s="27">
        <f t="shared" si="3"/>
        <v>0</v>
      </c>
      <c r="Y12" s="26">
        <f t="shared" si="4"/>
        <v>0</v>
      </c>
      <c r="Z12" s="27">
        <f t="shared" si="5"/>
        <v>0</v>
      </c>
      <c r="AA12" s="28">
        <f t="shared" si="6"/>
        <v>1000</v>
      </c>
      <c r="AB12" s="20"/>
      <c r="AC12" s="23">
        <v>9</v>
      </c>
      <c r="AD12" s="18">
        <f t="shared" si="7"/>
        <v>0</v>
      </c>
      <c r="AE12" s="13">
        <f t="shared" si="8"/>
        <v>0</v>
      </c>
      <c r="AF12" s="13">
        <f t="shared" si="19"/>
        <v>0</v>
      </c>
      <c r="AH12">
        <v>9</v>
      </c>
      <c r="AI12">
        <f t="shared" si="9"/>
        <v>0</v>
      </c>
      <c r="AJ12">
        <f t="shared" si="9"/>
        <v>0</v>
      </c>
      <c r="AK12">
        <f t="shared" si="9"/>
        <v>0</v>
      </c>
      <c r="AL12">
        <f t="shared" si="9"/>
        <v>0</v>
      </c>
      <c r="AM12">
        <f t="shared" si="9"/>
        <v>0</v>
      </c>
      <c r="AN12">
        <f t="shared" si="9"/>
        <v>0</v>
      </c>
      <c r="AO12">
        <f t="shared" si="9"/>
        <v>0</v>
      </c>
      <c r="AP12">
        <f t="shared" si="9"/>
        <v>0</v>
      </c>
      <c r="AQ12">
        <f t="shared" si="9"/>
        <v>0</v>
      </c>
      <c r="AS12">
        <v>9</v>
      </c>
      <c r="AT12">
        <f t="shared" si="20"/>
        <v>0</v>
      </c>
      <c r="AU12">
        <f t="shared" si="10"/>
        <v>0</v>
      </c>
      <c r="AV12">
        <f t="shared" si="11"/>
        <v>0</v>
      </c>
      <c r="AW12">
        <f t="shared" si="12"/>
        <v>0</v>
      </c>
      <c r="AX12">
        <f t="shared" si="13"/>
        <v>0</v>
      </c>
      <c r="AY12">
        <f t="shared" si="14"/>
        <v>0</v>
      </c>
      <c r="AZ12">
        <f t="shared" si="15"/>
        <v>0</v>
      </c>
      <c r="BA12">
        <f t="shared" si="16"/>
        <v>0</v>
      </c>
      <c r="BB12">
        <f t="shared" si="17"/>
        <v>0</v>
      </c>
    </row>
    <row r="13" spans="2:54" x14ac:dyDescent="0.25">
      <c r="B13" s="8">
        <v>10</v>
      </c>
      <c r="C13" s="8" t="s">
        <v>50</v>
      </c>
      <c r="D13" s="46"/>
      <c r="E13" s="47"/>
      <c r="F13" s="8">
        <v>1000</v>
      </c>
      <c r="H13" s="25" t="str">
        <f t="shared" si="0"/>
        <v/>
      </c>
      <c r="I13" s="25" t="str">
        <f t="shared" si="0"/>
        <v/>
      </c>
      <c r="J13" s="25" t="str">
        <f t="shared" si="0"/>
        <v/>
      </c>
      <c r="K13" s="25" t="str">
        <f t="shared" si="0"/>
        <v/>
      </c>
      <c r="L13" s="25" t="str">
        <f t="shared" si="0"/>
        <v/>
      </c>
      <c r="M13" s="25" t="str">
        <f t="shared" si="0"/>
        <v/>
      </c>
      <c r="N13" s="25" t="str">
        <f t="shared" si="0"/>
        <v/>
      </c>
      <c r="O13" s="25" t="str">
        <f t="shared" si="0"/>
        <v/>
      </c>
      <c r="P13" s="25" t="str">
        <f t="shared" si="0"/>
        <v/>
      </c>
      <c r="Q13" s="24" t="str">
        <f t="shared" si="0"/>
        <v/>
      </c>
      <c r="R13" s="39">
        <f t="shared" si="18"/>
        <v>0</v>
      </c>
      <c r="S13" s="20"/>
      <c r="T13" s="11">
        <v>10</v>
      </c>
      <c r="U13" s="30">
        <v>1</v>
      </c>
      <c r="V13" s="22" t="str">
        <f t="shared" si="1"/>
        <v>A</v>
      </c>
      <c r="W13" s="27">
        <f t="shared" si="2"/>
        <v>0</v>
      </c>
      <c r="X13" s="27">
        <f t="shared" si="3"/>
        <v>0</v>
      </c>
      <c r="Y13" s="26">
        <f t="shared" si="4"/>
        <v>0</v>
      </c>
      <c r="Z13" s="27">
        <f t="shared" si="5"/>
        <v>0</v>
      </c>
      <c r="AA13" s="28">
        <f t="shared" si="6"/>
        <v>1000</v>
      </c>
      <c r="AB13" s="20"/>
      <c r="AC13" s="23">
        <v>10</v>
      </c>
      <c r="AD13" s="18">
        <f t="shared" si="7"/>
        <v>0</v>
      </c>
      <c r="AE13" s="13">
        <f t="shared" si="8"/>
        <v>0</v>
      </c>
      <c r="AF13" s="13">
        <f t="shared" si="19"/>
        <v>0</v>
      </c>
      <c r="AH13">
        <v>10</v>
      </c>
      <c r="AI13">
        <f t="shared" si="9"/>
        <v>0</v>
      </c>
      <c r="AJ13">
        <f t="shared" si="9"/>
        <v>0</v>
      </c>
      <c r="AK13">
        <f t="shared" si="9"/>
        <v>0</v>
      </c>
      <c r="AL13">
        <f t="shared" si="9"/>
        <v>0</v>
      </c>
      <c r="AM13">
        <f t="shared" si="9"/>
        <v>0</v>
      </c>
      <c r="AN13">
        <f t="shared" si="9"/>
        <v>0</v>
      </c>
      <c r="AO13">
        <f t="shared" si="9"/>
        <v>0</v>
      </c>
      <c r="AP13">
        <f t="shared" si="9"/>
        <v>0</v>
      </c>
      <c r="AQ13">
        <f t="shared" si="9"/>
        <v>0</v>
      </c>
      <c r="AS13">
        <v>10</v>
      </c>
      <c r="AT13">
        <f t="shared" si="20"/>
        <v>0</v>
      </c>
      <c r="AU13">
        <f t="shared" si="10"/>
        <v>0</v>
      </c>
      <c r="AV13">
        <f t="shared" si="11"/>
        <v>0</v>
      </c>
      <c r="AW13">
        <f t="shared" si="12"/>
        <v>0</v>
      </c>
      <c r="AX13">
        <f t="shared" si="13"/>
        <v>0</v>
      </c>
      <c r="AY13">
        <f t="shared" si="14"/>
        <v>0</v>
      </c>
      <c r="AZ13">
        <f t="shared" si="15"/>
        <v>0</v>
      </c>
      <c r="BA13">
        <f t="shared" si="16"/>
        <v>0</v>
      </c>
      <c r="BB13">
        <f t="shared" si="17"/>
        <v>0</v>
      </c>
    </row>
    <row r="14" spans="2:54" hidden="1" x14ac:dyDescent="0.25"/>
    <row r="15" spans="2:54" x14ac:dyDescent="0.25">
      <c r="AC15" s="32" t="s">
        <v>40</v>
      </c>
      <c r="AD15" s="32" t="s">
        <v>0</v>
      </c>
      <c r="AE15" s="32" t="s">
        <v>1</v>
      </c>
      <c r="AF15" s="32" t="s">
        <v>2</v>
      </c>
      <c r="AH15" s="14" t="s">
        <v>38</v>
      </c>
      <c r="AI15" s="14" t="s">
        <v>39</v>
      </c>
      <c r="AJ15" t="s">
        <v>18</v>
      </c>
      <c r="AK15" t="s">
        <v>19</v>
      </c>
      <c r="AL15" t="s">
        <v>20</v>
      </c>
      <c r="AM15" t="s">
        <v>21</v>
      </c>
    </row>
    <row r="16" spans="2:54" ht="3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AH16" s="21"/>
      <c r="AI16" s="21"/>
      <c r="AJ16" s="3"/>
      <c r="AK16" s="3"/>
      <c r="AL16" s="3"/>
      <c r="AM16" s="3"/>
    </row>
    <row r="17" spans="2:39" x14ac:dyDescent="0.25">
      <c r="B17" s="1" t="s">
        <v>3</v>
      </c>
      <c r="AH17" s="14"/>
      <c r="AI17" s="14"/>
    </row>
    <row r="18" spans="2:39" x14ac:dyDescent="0.25">
      <c r="B18">
        <v>1</v>
      </c>
      <c r="C18" t="str">
        <f>VLOOKUP(AD18,$B$4:$F$13,2,FALSE)</f>
        <v>A</v>
      </c>
      <c r="D18" s="2" t="s">
        <v>5</v>
      </c>
      <c r="E18" s="45" t="str">
        <f>VLOOKUP(AE18,$B$4:$F$13,2,FALSE)</f>
        <v>J</v>
      </c>
      <c r="F18" s="45"/>
      <c r="G18" s="45"/>
      <c r="H18" s="45"/>
      <c r="J18" s="43"/>
      <c r="K18" s="44"/>
      <c r="L18" s="2"/>
      <c r="M18" s="43"/>
      <c r="N18" s="44"/>
      <c r="AC18">
        <v>1</v>
      </c>
      <c r="AD18">
        <v>1</v>
      </c>
      <c r="AE18">
        <v>10</v>
      </c>
      <c r="AF18">
        <f>IF(AND(ISNUMBER(J18),ISNUMBER(M18),(J18+M18=1)),1,0)</f>
        <v>0</v>
      </c>
      <c r="AH18" s="15">
        <f>AD18*100+AE18</f>
        <v>110</v>
      </c>
      <c r="AI18" s="15">
        <f>AE18*100+AD18</f>
        <v>1001</v>
      </c>
      <c r="AJ18">
        <v>0</v>
      </c>
      <c r="AK18">
        <v>0</v>
      </c>
      <c r="AL18">
        <f>J18*AK18</f>
        <v>0</v>
      </c>
      <c r="AM18">
        <f>M18*AJ18</f>
        <v>0</v>
      </c>
    </row>
    <row r="19" spans="2:39" x14ac:dyDescent="0.25">
      <c r="B19">
        <v>2</v>
      </c>
      <c r="C19" t="str">
        <f>VLOOKUP(AD19,$B$4:$F$13,2,FALSE)</f>
        <v>B</v>
      </c>
      <c r="D19" s="2" t="s">
        <v>5</v>
      </c>
      <c r="E19" s="45" t="str">
        <f>VLOOKUP(AE19,$B$4:$F$13,2,FALSE)</f>
        <v>I</v>
      </c>
      <c r="F19" s="45"/>
      <c r="G19" s="45"/>
      <c r="H19" s="45"/>
      <c r="J19" s="43"/>
      <c r="K19" s="44"/>
      <c r="L19" s="2"/>
      <c r="M19" s="43"/>
      <c r="N19" s="44"/>
      <c r="AC19">
        <v>1</v>
      </c>
      <c r="AD19">
        <v>2</v>
      </c>
      <c r="AE19">
        <v>9</v>
      </c>
      <c r="AF19">
        <f>IF(AND(ISNUMBER(J19),ISNUMBER(M19),(J19+M19=1)),1,0)</f>
        <v>0</v>
      </c>
      <c r="AH19" s="15">
        <f>AD19*100+AE19</f>
        <v>209</v>
      </c>
      <c r="AI19" s="15">
        <f>AE19*100+AD19</f>
        <v>902</v>
      </c>
      <c r="AJ19">
        <v>0</v>
      </c>
      <c r="AK19">
        <v>0</v>
      </c>
      <c r="AL19">
        <f>J19*AK19</f>
        <v>0</v>
      </c>
      <c r="AM19">
        <f>M19*AJ19</f>
        <v>0</v>
      </c>
    </row>
    <row r="20" spans="2:39" x14ac:dyDescent="0.25">
      <c r="B20">
        <v>3</v>
      </c>
      <c r="C20" t="str">
        <f>VLOOKUP(AD20,$B$4:$F$13,2,FALSE)</f>
        <v>C</v>
      </c>
      <c r="D20" s="2" t="s">
        <v>5</v>
      </c>
      <c r="E20" s="45" t="str">
        <f>VLOOKUP(AE20,$B$4:$F$13,2,FALSE)</f>
        <v>H</v>
      </c>
      <c r="F20" s="45"/>
      <c r="G20" s="45"/>
      <c r="H20" s="45"/>
      <c r="J20" s="43"/>
      <c r="K20" s="44"/>
      <c r="L20" s="2"/>
      <c r="M20" s="43"/>
      <c r="N20" s="44"/>
      <c r="AC20">
        <v>1</v>
      </c>
      <c r="AD20">
        <v>3</v>
      </c>
      <c r="AE20">
        <v>8</v>
      </c>
      <c r="AF20">
        <f>IF(AND(ISNUMBER(J20),ISNUMBER(M20),(J20+M20=1)),1,0)</f>
        <v>0</v>
      </c>
      <c r="AH20" s="15">
        <f>AD20*100+AE20</f>
        <v>308</v>
      </c>
      <c r="AI20" s="15">
        <f>AE20*100+AD20</f>
        <v>803</v>
      </c>
      <c r="AJ20">
        <v>0</v>
      </c>
      <c r="AK20">
        <v>0</v>
      </c>
      <c r="AL20">
        <f>J20*AK20</f>
        <v>0</v>
      </c>
      <c r="AM20">
        <f>M20*AJ20</f>
        <v>0</v>
      </c>
    </row>
    <row r="21" spans="2:39" x14ac:dyDescent="0.25">
      <c r="B21">
        <v>4</v>
      </c>
      <c r="C21" t="str">
        <f>VLOOKUP(AD21,$B$4:$F$13,2,FALSE)</f>
        <v>D</v>
      </c>
      <c r="D21" s="2" t="s">
        <v>5</v>
      </c>
      <c r="E21" s="45" t="str">
        <f>VLOOKUP(AE21,$B$4:$F$13,2,FALSE)</f>
        <v>G</v>
      </c>
      <c r="F21" s="45"/>
      <c r="G21" s="45"/>
      <c r="H21" s="45"/>
      <c r="J21" s="43"/>
      <c r="K21" s="44"/>
      <c r="L21" s="2"/>
      <c r="M21" s="43"/>
      <c r="N21" s="44"/>
      <c r="AC21">
        <v>1</v>
      </c>
      <c r="AD21">
        <v>4</v>
      </c>
      <c r="AE21">
        <v>7</v>
      </c>
      <c r="AF21">
        <f>IF(AND(ISNUMBER(J21),ISNUMBER(M21),(J21+M21=1)),1,0)</f>
        <v>0</v>
      </c>
      <c r="AH21" s="15">
        <f>AD21*100+AE21</f>
        <v>407</v>
      </c>
      <c r="AI21" s="15">
        <f>AE21*100+AD21</f>
        <v>704</v>
      </c>
      <c r="AJ21">
        <v>0</v>
      </c>
      <c r="AK21">
        <v>0</v>
      </c>
      <c r="AL21">
        <f>J21*AK21</f>
        <v>0</v>
      </c>
      <c r="AM21">
        <f>M21*AJ21</f>
        <v>0</v>
      </c>
    </row>
    <row r="22" spans="2:39" x14ac:dyDescent="0.25">
      <c r="B22">
        <v>5</v>
      </c>
      <c r="C22" t="str">
        <f>VLOOKUP(AD22,$B$4:$F$13,2,FALSE)</f>
        <v>E</v>
      </c>
      <c r="D22" s="2" t="s">
        <v>5</v>
      </c>
      <c r="E22" s="45" t="str">
        <f>VLOOKUP(AE22,$B$4:$F$13,2,FALSE)</f>
        <v>F</v>
      </c>
      <c r="F22" s="45"/>
      <c r="G22" s="45"/>
      <c r="H22" s="45"/>
      <c r="J22" s="43"/>
      <c r="K22" s="44"/>
      <c r="L22" s="2"/>
      <c r="M22" s="43"/>
      <c r="N22" s="44"/>
      <c r="AC22">
        <v>1</v>
      </c>
      <c r="AD22">
        <v>5</v>
      </c>
      <c r="AE22">
        <v>6</v>
      </c>
      <c r="AF22">
        <f>IF(AND(ISNUMBER(J22),ISNUMBER(M22),(J22+M22=1)),1,0)</f>
        <v>0</v>
      </c>
      <c r="AH22" s="15">
        <f>AD22*100+AE22</f>
        <v>506</v>
      </c>
      <c r="AI22" s="15">
        <f>AE22*100+AD22</f>
        <v>605</v>
      </c>
      <c r="AJ22">
        <v>0</v>
      </c>
      <c r="AK22">
        <v>0</v>
      </c>
      <c r="AL22">
        <f>J22*AK22</f>
        <v>0</v>
      </c>
      <c r="AM22">
        <f>M22*AJ22</f>
        <v>0</v>
      </c>
    </row>
    <row r="23" spans="2:39" ht="3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AH23" s="14"/>
      <c r="AI23" s="14"/>
    </row>
    <row r="24" spans="2:39" x14ac:dyDescent="0.25">
      <c r="B24" s="1" t="s">
        <v>9</v>
      </c>
      <c r="AH24" s="14"/>
      <c r="AI24" s="14"/>
    </row>
    <row r="25" spans="2:39" x14ac:dyDescent="0.25">
      <c r="B25">
        <v>1</v>
      </c>
      <c r="C25" t="str">
        <f>VLOOKUP(AD25,$B$4:$F$13,2,FALSE)</f>
        <v>J</v>
      </c>
      <c r="D25" s="2" t="s">
        <v>5</v>
      </c>
      <c r="E25" s="45" t="str">
        <f>VLOOKUP(AE25,$B$4:$F$13,2,FALSE)</f>
        <v>F</v>
      </c>
      <c r="F25" s="45"/>
      <c r="G25" s="45"/>
      <c r="H25" s="45"/>
      <c r="J25" s="43"/>
      <c r="K25" s="44"/>
      <c r="L25" s="2"/>
      <c r="M25" s="43"/>
      <c r="N25" s="44"/>
      <c r="AC25">
        <v>2</v>
      </c>
      <c r="AD25">
        <v>10</v>
      </c>
      <c r="AE25">
        <v>6</v>
      </c>
      <c r="AF25">
        <f>IF(AND(ISNUMBER(J25),ISNUMBER(M25),(J25+M25=1)),1,0)</f>
        <v>0</v>
      </c>
      <c r="AH25" s="15">
        <f>AD25*100+AE25</f>
        <v>1006</v>
      </c>
      <c r="AI25" s="15">
        <f>AE25*100+AD25</f>
        <v>610</v>
      </c>
      <c r="AJ25">
        <f t="shared" ref="AJ25:AK29" si="21">VLOOKUP(AD25,$AS$3:$BB$13,$AC25,FALSE)</f>
        <v>0</v>
      </c>
      <c r="AK25">
        <f t="shared" si="21"/>
        <v>0</v>
      </c>
      <c r="AL25">
        <f>J25*AK25</f>
        <v>0</v>
      </c>
      <c r="AM25">
        <f>M25*AJ25</f>
        <v>0</v>
      </c>
    </row>
    <row r="26" spans="2:39" x14ac:dyDescent="0.25">
      <c r="B26">
        <v>2</v>
      </c>
      <c r="C26" t="str">
        <f>VLOOKUP(AD26,$B$4:$F$13,2,FALSE)</f>
        <v>G</v>
      </c>
      <c r="D26" s="2" t="s">
        <v>5</v>
      </c>
      <c r="E26" s="45" t="str">
        <f>VLOOKUP(AE26,$B$4:$F$13,2,FALSE)</f>
        <v>E</v>
      </c>
      <c r="F26" s="45"/>
      <c r="G26" s="45"/>
      <c r="H26" s="45"/>
      <c r="J26" s="43"/>
      <c r="K26" s="44"/>
      <c r="L26" s="2"/>
      <c r="M26" s="43"/>
      <c r="N26" s="44"/>
      <c r="AC26">
        <v>2</v>
      </c>
      <c r="AD26">
        <v>7</v>
      </c>
      <c r="AE26">
        <v>5</v>
      </c>
      <c r="AF26">
        <f>IF(AND(ISNUMBER(J26),ISNUMBER(M26),(J26+M26=1)),1,0)</f>
        <v>0</v>
      </c>
      <c r="AH26" s="15">
        <f>AD26*100+AE26</f>
        <v>705</v>
      </c>
      <c r="AI26" s="15">
        <f>AE26*100+AD26</f>
        <v>507</v>
      </c>
      <c r="AJ26">
        <f t="shared" si="21"/>
        <v>0</v>
      </c>
      <c r="AK26">
        <f t="shared" si="21"/>
        <v>0</v>
      </c>
      <c r="AL26">
        <f>J26*AK26</f>
        <v>0</v>
      </c>
      <c r="AM26">
        <f>M26*AJ26</f>
        <v>0</v>
      </c>
    </row>
    <row r="27" spans="2:39" x14ac:dyDescent="0.25">
      <c r="B27">
        <v>3</v>
      </c>
      <c r="C27" t="str">
        <f>VLOOKUP(AD27,$B$4:$F$13,2,FALSE)</f>
        <v>H</v>
      </c>
      <c r="D27" s="2" t="s">
        <v>5</v>
      </c>
      <c r="E27" s="45" t="str">
        <f>VLOOKUP(AE27,$B$4:$F$13,2,FALSE)</f>
        <v>D</v>
      </c>
      <c r="F27" s="45"/>
      <c r="G27" s="45"/>
      <c r="H27" s="45"/>
      <c r="J27" s="43"/>
      <c r="K27" s="44"/>
      <c r="L27" s="2"/>
      <c r="M27" s="43"/>
      <c r="N27" s="44"/>
      <c r="AC27">
        <v>2</v>
      </c>
      <c r="AD27">
        <v>8</v>
      </c>
      <c r="AE27">
        <v>4</v>
      </c>
      <c r="AF27">
        <f>IF(AND(ISNUMBER(J27),ISNUMBER(M27),(J27+M27=1)),1,0)</f>
        <v>0</v>
      </c>
      <c r="AH27" s="15">
        <f>AD27*100+AE27</f>
        <v>804</v>
      </c>
      <c r="AI27" s="15">
        <f>AE27*100+AD27</f>
        <v>408</v>
      </c>
      <c r="AJ27">
        <f t="shared" si="21"/>
        <v>0</v>
      </c>
      <c r="AK27">
        <f t="shared" si="21"/>
        <v>0</v>
      </c>
      <c r="AL27">
        <f>J27*AK27</f>
        <v>0</v>
      </c>
      <c r="AM27">
        <f>M27*AJ27</f>
        <v>0</v>
      </c>
    </row>
    <row r="28" spans="2:39" x14ac:dyDescent="0.25">
      <c r="B28">
        <v>4</v>
      </c>
      <c r="C28" t="str">
        <f>VLOOKUP(AD28,$B$4:$F$13,2,FALSE)</f>
        <v>I</v>
      </c>
      <c r="D28" s="2" t="s">
        <v>5</v>
      </c>
      <c r="E28" s="45" t="str">
        <f>VLOOKUP(AE28,$B$4:$F$13,2,FALSE)</f>
        <v>C</v>
      </c>
      <c r="F28" s="45"/>
      <c r="G28" s="45"/>
      <c r="H28" s="45"/>
      <c r="J28" s="43"/>
      <c r="K28" s="44"/>
      <c r="L28" s="2"/>
      <c r="M28" s="43"/>
      <c r="N28" s="44"/>
      <c r="AC28">
        <v>2</v>
      </c>
      <c r="AD28">
        <v>9</v>
      </c>
      <c r="AE28">
        <v>3</v>
      </c>
      <c r="AF28">
        <f>IF(AND(ISNUMBER(J28),ISNUMBER(M28),(J28+M28=1)),1,0)</f>
        <v>0</v>
      </c>
      <c r="AH28" s="15">
        <f>AD28*100+AE28</f>
        <v>903</v>
      </c>
      <c r="AI28" s="15">
        <f>AE28*100+AD28</f>
        <v>309</v>
      </c>
      <c r="AJ28">
        <f t="shared" si="21"/>
        <v>0</v>
      </c>
      <c r="AK28">
        <f t="shared" si="21"/>
        <v>0</v>
      </c>
      <c r="AL28">
        <f>J28*AK28</f>
        <v>0</v>
      </c>
      <c r="AM28">
        <f>M28*AJ28</f>
        <v>0</v>
      </c>
    </row>
    <row r="29" spans="2:39" x14ac:dyDescent="0.25">
      <c r="B29">
        <v>5</v>
      </c>
      <c r="C29" t="str">
        <f>VLOOKUP(AD29,$B$4:$F$13,2,FALSE)</f>
        <v>A</v>
      </c>
      <c r="D29" s="2" t="s">
        <v>5</v>
      </c>
      <c r="E29" s="45" t="str">
        <f>VLOOKUP(AE29,$B$4:$F$13,2,FALSE)</f>
        <v>B</v>
      </c>
      <c r="F29" s="45"/>
      <c r="G29" s="45"/>
      <c r="H29" s="45"/>
      <c r="J29" s="43"/>
      <c r="K29" s="44"/>
      <c r="L29" s="2"/>
      <c r="M29" s="43"/>
      <c r="N29" s="44"/>
      <c r="AC29">
        <v>2</v>
      </c>
      <c r="AD29">
        <v>1</v>
      </c>
      <c r="AE29">
        <v>2</v>
      </c>
      <c r="AF29">
        <f>IF(AND(ISNUMBER(J29),ISNUMBER(M29),(J29+M29=1)),1,0)</f>
        <v>0</v>
      </c>
      <c r="AH29" s="15">
        <f>AD29*100+AE29</f>
        <v>102</v>
      </c>
      <c r="AI29" s="15">
        <f>AE29*100+AD29</f>
        <v>201</v>
      </c>
      <c r="AJ29">
        <f t="shared" si="21"/>
        <v>0</v>
      </c>
      <c r="AK29">
        <f t="shared" si="21"/>
        <v>0</v>
      </c>
      <c r="AL29">
        <f>J29*AK29</f>
        <v>0</v>
      </c>
      <c r="AM29">
        <f>M29*AJ29</f>
        <v>0</v>
      </c>
    </row>
    <row r="30" spans="2:39" ht="3" customHeight="1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AH30" s="14"/>
      <c r="AI30" s="14"/>
    </row>
    <row r="31" spans="2:39" x14ac:dyDescent="0.25">
      <c r="B31" s="1" t="s">
        <v>10</v>
      </c>
      <c r="AH31" s="14"/>
      <c r="AI31" s="14"/>
    </row>
    <row r="32" spans="2:39" x14ac:dyDescent="0.25">
      <c r="B32">
        <v>1</v>
      </c>
      <c r="C32" t="str">
        <f>VLOOKUP(AD32,$B$4:$F$13,2,FALSE)</f>
        <v>B</v>
      </c>
      <c r="D32" s="2" t="s">
        <v>5</v>
      </c>
      <c r="E32" s="45" t="str">
        <f>VLOOKUP(AE32,$B$4:$F$13,2,FALSE)</f>
        <v>J</v>
      </c>
      <c r="F32" s="45"/>
      <c r="G32" s="45"/>
      <c r="H32" s="45"/>
      <c r="J32" s="43"/>
      <c r="K32" s="44"/>
      <c r="L32" s="2"/>
      <c r="M32" s="43"/>
      <c r="N32" s="44"/>
      <c r="AC32">
        <v>3</v>
      </c>
      <c r="AD32">
        <v>2</v>
      </c>
      <c r="AE32">
        <v>10</v>
      </c>
      <c r="AF32">
        <f>IF(AND(ISNUMBER(J32),ISNUMBER(M32),(J32+M32=1)),1,0)</f>
        <v>0</v>
      </c>
      <c r="AH32" s="15">
        <f>AD32*100+AE32</f>
        <v>210</v>
      </c>
      <c r="AI32" s="15">
        <f>AE32*100+AD32</f>
        <v>1002</v>
      </c>
      <c r="AJ32">
        <f t="shared" ref="AJ32:AK36" si="22">VLOOKUP(AD32,$AS$3:$BB$13,$AC32,FALSE)</f>
        <v>0</v>
      </c>
      <c r="AK32">
        <f t="shared" si="22"/>
        <v>0</v>
      </c>
      <c r="AL32">
        <f>J32*AK32</f>
        <v>0</v>
      </c>
      <c r="AM32">
        <f>M32*AJ32</f>
        <v>0</v>
      </c>
    </row>
    <row r="33" spans="2:39" x14ac:dyDescent="0.25">
      <c r="B33">
        <v>2</v>
      </c>
      <c r="C33" t="str">
        <f>VLOOKUP(AD33,$B$4:$F$13,2,FALSE)</f>
        <v>C</v>
      </c>
      <c r="D33" s="2" t="s">
        <v>5</v>
      </c>
      <c r="E33" s="45" t="str">
        <f>VLOOKUP(AE33,$B$4:$F$13,2,FALSE)</f>
        <v>A</v>
      </c>
      <c r="F33" s="45"/>
      <c r="G33" s="45"/>
      <c r="H33" s="45"/>
      <c r="J33" s="43"/>
      <c r="K33" s="44"/>
      <c r="L33" s="2"/>
      <c r="M33" s="43"/>
      <c r="N33" s="44"/>
      <c r="AC33">
        <v>3</v>
      </c>
      <c r="AD33">
        <v>3</v>
      </c>
      <c r="AE33">
        <v>1</v>
      </c>
      <c r="AF33">
        <f>IF(AND(ISNUMBER(J33),ISNUMBER(M33),(J33+M33=1)),1,0)</f>
        <v>0</v>
      </c>
      <c r="AH33" s="15">
        <f>AD33*100+AE33</f>
        <v>301</v>
      </c>
      <c r="AI33" s="15">
        <f>AE33*100+AD33</f>
        <v>103</v>
      </c>
      <c r="AJ33">
        <f t="shared" si="22"/>
        <v>0</v>
      </c>
      <c r="AK33">
        <f t="shared" si="22"/>
        <v>0</v>
      </c>
      <c r="AL33">
        <f>J33*AK33</f>
        <v>0</v>
      </c>
      <c r="AM33">
        <f>M33*AJ33</f>
        <v>0</v>
      </c>
    </row>
    <row r="34" spans="2:39" x14ac:dyDescent="0.25">
      <c r="B34">
        <v>3</v>
      </c>
      <c r="C34" t="str">
        <f>VLOOKUP(AD34,$B$4:$F$13,2,FALSE)</f>
        <v>D</v>
      </c>
      <c r="D34" s="2" t="s">
        <v>5</v>
      </c>
      <c r="E34" s="45" t="str">
        <f>VLOOKUP(AE34,$B$4:$F$13,2,FALSE)</f>
        <v>I</v>
      </c>
      <c r="F34" s="45"/>
      <c r="G34" s="45"/>
      <c r="H34" s="45"/>
      <c r="J34" s="43"/>
      <c r="K34" s="44"/>
      <c r="L34" s="2"/>
      <c r="M34" s="43"/>
      <c r="N34" s="44"/>
      <c r="AC34">
        <v>3</v>
      </c>
      <c r="AD34">
        <v>4</v>
      </c>
      <c r="AE34">
        <v>9</v>
      </c>
      <c r="AF34">
        <f>IF(AND(ISNUMBER(J34),ISNUMBER(M34),(J34+M34=1)),1,0)</f>
        <v>0</v>
      </c>
      <c r="AH34" s="15">
        <f>AD34*100+AE34</f>
        <v>409</v>
      </c>
      <c r="AI34" s="15">
        <f>AE34*100+AD34</f>
        <v>904</v>
      </c>
      <c r="AJ34">
        <f t="shared" si="22"/>
        <v>0</v>
      </c>
      <c r="AK34">
        <f t="shared" si="22"/>
        <v>0</v>
      </c>
      <c r="AL34">
        <f>J34*AK34</f>
        <v>0</v>
      </c>
      <c r="AM34">
        <f>M34*AJ34</f>
        <v>0</v>
      </c>
    </row>
    <row r="35" spans="2:39" x14ac:dyDescent="0.25">
      <c r="B35">
        <v>4</v>
      </c>
      <c r="C35" t="str">
        <f>VLOOKUP(AD35,$B$4:$F$13,2,FALSE)</f>
        <v>E</v>
      </c>
      <c r="D35" s="2" t="s">
        <v>5</v>
      </c>
      <c r="E35" s="45" t="str">
        <f>VLOOKUP(AE35,$B$4:$F$13,2,FALSE)</f>
        <v>H</v>
      </c>
      <c r="F35" s="45"/>
      <c r="G35" s="45"/>
      <c r="H35" s="45"/>
      <c r="J35" s="43"/>
      <c r="K35" s="44"/>
      <c r="L35" s="2"/>
      <c r="M35" s="43"/>
      <c r="N35" s="44"/>
      <c r="AC35">
        <v>3</v>
      </c>
      <c r="AD35">
        <v>5</v>
      </c>
      <c r="AE35">
        <v>8</v>
      </c>
      <c r="AF35">
        <f>IF(AND(ISNUMBER(J35),ISNUMBER(M35),(J35+M35=1)),1,0)</f>
        <v>0</v>
      </c>
      <c r="AH35" s="15">
        <f>AD35*100+AE35</f>
        <v>508</v>
      </c>
      <c r="AI35" s="15">
        <f>AE35*100+AD35</f>
        <v>805</v>
      </c>
      <c r="AJ35">
        <f t="shared" si="22"/>
        <v>0</v>
      </c>
      <c r="AK35">
        <f t="shared" si="22"/>
        <v>0</v>
      </c>
      <c r="AL35">
        <f>J35*AK35</f>
        <v>0</v>
      </c>
      <c r="AM35">
        <f>M35*AJ35</f>
        <v>0</v>
      </c>
    </row>
    <row r="36" spans="2:39" x14ac:dyDescent="0.25">
      <c r="B36">
        <v>5</v>
      </c>
      <c r="C36" t="str">
        <f>VLOOKUP(AD36,$B$4:$F$13,2,FALSE)</f>
        <v>F</v>
      </c>
      <c r="D36" s="2" t="s">
        <v>5</v>
      </c>
      <c r="E36" s="45" t="str">
        <f>VLOOKUP(AE36,$B$4:$F$13,2,FALSE)</f>
        <v>G</v>
      </c>
      <c r="F36" s="45"/>
      <c r="G36" s="45"/>
      <c r="H36" s="45"/>
      <c r="J36" s="43"/>
      <c r="K36" s="44"/>
      <c r="L36" s="2"/>
      <c r="M36" s="43"/>
      <c r="N36" s="44"/>
      <c r="AC36">
        <v>3</v>
      </c>
      <c r="AD36">
        <v>6</v>
      </c>
      <c r="AE36">
        <v>7</v>
      </c>
      <c r="AF36">
        <f>IF(AND(ISNUMBER(J36),ISNUMBER(M36),(J36+M36=1)),1,0)</f>
        <v>0</v>
      </c>
      <c r="AH36" s="15">
        <f>AD36*100+AE36</f>
        <v>607</v>
      </c>
      <c r="AI36" s="15">
        <f>AE36*100+AD36</f>
        <v>706</v>
      </c>
      <c r="AJ36">
        <f t="shared" si="22"/>
        <v>0</v>
      </c>
      <c r="AK36">
        <f t="shared" si="22"/>
        <v>0</v>
      </c>
      <c r="AL36">
        <f>J36*AK36</f>
        <v>0</v>
      </c>
      <c r="AM36">
        <f>M36*AJ36</f>
        <v>0</v>
      </c>
    </row>
    <row r="37" spans="2:39" ht="3" customHeight="1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AH37" s="14"/>
      <c r="AI37" s="14"/>
    </row>
    <row r="38" spans="2:39" x14ac:dyDescent="0.25">
      <c r="B38" s="1" t="s">
        <v>11</v>
      </c>
      <c r="AH38" s="14"/>
      <c r="AI38" s="14"/>
    </row>
    <row r="39" spans="2:39" x14ac:dyDescent="0.25">
      <c r="B39">
        <v>1</v>
      </c>
      <c r="C39" t="str">
        <f>VLOOKUP(AD39,$B$4:$F$13,2,FALSE)</f>
        <v>J</v>
      </c>
      <c r="D39" s="2" t="s">
        <v>5</v>
      </c>
      <c r="E39" s="45" t="str">
        <f>VLOOKUP(AE39,$B$4:$F$13,2,FALSE)</f>
        <v>G</v>
      </c>
      <c r="F39" s="45"/>
      <c r="G39" s="45"/>
      <c r="H39" s="45"/>
      <c r="J39" s="43"/>
      <c r="K39" s="44"/>
      <c r="L39" s="2"/>
      <c r="M39" s="43"/>
      <c r="N39" s="44"/>
      <c r="AC39">
        <v>4</v>
      </c>
      <c r="AD39">
        <v>10</v>
      </c>
      <c r="AE39">
        <v>7</v>
      </c>
      <c r="AF39">
        <f>IF(AND(ISNUMBER(J39),ISNUMBER(M39),(J39+M39=1)),1,0)</f>
        <v>0</v>
      </c>
      <c r="AH39" s="15">
        <f>AD39*100+AE39</f>
        <v>1007</v>
      </c>
      <c r="AI39" s="15">
        <f>AE39*100+AD39</f>
        <v>710</v>
      </c>
      <c r="AJ39">
        <f t="shared" ref="AJ39:AK43" si="23">VLOOKUP(AD39,$AS$3:$BB$13,$AC39,FALSE)</f>
        <v>0</v>
      </c>
      <c r="AK39">
        <f t="shared" si="23"/>
        <v>0</v>
      </c>
      <c r="AL39">
        <f>J39*AK39</f>
        <v>0</v>
      </c>
      <c r="AM39">
        <f>M39*AJ39</f>
        <v>0</v>
      </c>
    </row>
    <row r="40" spans="2:39" x14ac:dyDescent="0.25">
      <c r="B40">
        <v>2</v>
      </c>
      <c r="C40" t="str">
        <f>VLOOKUP(AD40,$B$4:$F$13,2,FALSE)</f>
        <v>H</v>
      </c>
      <c r="D40" s="2" t="s">
        <v>5</v>
      </c>
      <c r="E40" s="45" t="str">
        <f>VLOOKUP(AE40,$B$4:$F$13,2,FALSE)</f>
        <v>F</v>
      </c>
      <c r="F40" s="45"/>
      <c r="G40" s="45"/>
      <c r="H40" s="45"/>
      <c r="J40" s="43"/>
      <c r="K40" s="44"/>
      <c r="L40" s="2"/>
      <c r="M40" s="43"/>
      <c r="N40" s="44"/>
      <c r="AC40">
        <v>4</v>
      </c>
      <c r="AD40">
        <v>8</v>
      </c>
      <c r="AE40">
        <v>6</v>
      </c>
      <c r="AF40">
        <f>IF(AND(ISNUMBER(J40),ISNUMBER(M40),(J40+M40=1)),1,0)</f>
        <v>0</v>
      </c>
      <c r="AH40" s="15">
        <f>AD40*100+AE40</f>
        <v>806</v>
      </c>
      <c r="AI40" s="15">
        <f>AE40*100+AD40</f>
        <v>608</v>
      </c>
      <c r="AJ40">
        <f t="shared" si="23"/>
        <v>0</v>
      </c>
      <c r="AK40">
        <f t="shared" si="23"/>
        <v>0</v>
      </c>
      <c r="AL40">
        <f>J40*AK40</f>
        <v>0</v>
      </c>
      <c r="AM40">
        <f>M40*AJ40</f>
        <v>0</v>
      </c>
    </row>
    <row r="41" spans="2:39" x14ac:dyDescent="0.25">
      <c r="B41">
        <v>3</v>
      </c>
      <c r="C41" t="str">
        <f>VLOOKUP(AD41,$B$4:$F$13,2,FALSE)</f>
        <v>I</v>
      </c>
      <c r="D41" s="2" t="s">
        <v>5</v>
      </c>
      <c r="E41" s="45" t="str">
        <f>VLOOKUP(AE41,$B$4:$F$13,2,FALSE)</f>
        <v>E</v>
      </c>
      <c r="F41" s="45"/>
      <c r="G41" s="45"/>
      <c r="H41" s="45"/>
      <c r="J41" s="43"/>
      <c r="K41" s="44"/>
      <c r="L41" s="2"/>
      <c r="M41" s="43"/>
      <c r="N41" s="44"/>
      <c r="AC41">
        <v>4</v>
      </c>
      <c r="AD41">
        <v>9</v>
      </c>
      <c r="AE41">
        <v>5</v>
      </c>
      <c r="AF41">
        <f>IF(AND(ISNUMBER(J41),ISNUMBER(M41),(J41+M41=1)),1,0)</f>
        <v>0</v>
      </c>
      <c r="AH41" s="15">
        <f>AD41*100+AE41</f>
        <v>905</v>
      </c>
      <c r="AI41" s="15">
        <f>AE41*100+AD41</f>
        <v>509</v>
      </c>
      <c r="AJ41">
        <f t="shared" si="23"/>
        <v>0</v>
      </c>
      <c r="AK41">
        <f t="shared" si="23"/>
        <v>0</v>
      </c>
      <c r="AL41">
        <f>J41*AK41</f>
        <v>0</v>
      </c>
      <c r="AM41">
        <f>M41*AJ41</f>
        <v>0</v>
      </c>
    </row>
    <row r="42" spans="2:39" x14ac:dyDescent="0.25">
      <c r="B42">
        <v>4</v>
      </c>
      <c r="C42" t="str">
        <f>VLOOKUP(AD42,$B$4:$F$13,2,FALSE)</f>
        <v>A</v>
      </c>
      <c r="D42" s="2" t="s">
        <v>5</v>
      </c>
      <c r="E42" s="45" t="str">
        <f>VLOOKUP(AE42,$B$4:$F$13,2,FALSE)</f>
        <v>D</v>
      </c>
      <c r="F42" s="45"/>
      <c r="G42" s="45"/>
      <c r="H42" s="45"/>
      <c r="J42" s="43"/>
      <c r="K42" s="44"/>
      <c r="L42" s="2"/>
      <c r="M42" s="43"/>
      <c r="N42" s="44"/>
      <c r="AC42">
        <v>4</v>
      </c>
      <c r="AD42">
        <v>1</v>
      </c>
      <c r="AE42">
        <v>4</v>
      </c>
      <c r="AF42">
        <f>IF(AND(ISNUMBER(J42),ISNUMBER(M42),(J42+M42=1)),1,0)</f>
        <v>0</v>
      </c>
      <c r="AH42" s="15">
        <f>AD42*100+AE42</f>
        <v>104</v>
      </c>
      <c r="AI42" s="15">
        <f>AE42*100+AD42</f>
        <v>401</v>
      </c>
      <c r="AJ42">
        <f t="shared" si="23"/>
        <v>0</v>
      </c>
      <c r="AK42">
        <f t="shared" si="23"/>
        <v>0</v>
      </c>
      <c r="AL42">
        <f>J42*AK42</f>
        <v>0</v>
      </c>
      <c r="AM42">
        <f>M42*AJ42</f>
        <v>0</v>
      </c>
    </row>
    <row r="43" spans="2:39" x14ac:dyDescent="0.25">
      <c r="B43">
        <v>5</v>
      </c>
      <c r="C43" t="str">
        <f>VLOOKUP(AD43,$B$4:$F$13,2,FALSE)</f>
        <v>B</v>
      </c>
      <c r="D43" s="2" t="s">
        <v>5</v>
      </c>
      <c r="E43" s="45" t="str">
        <f>VLOOKUP(AE43,$B$4:$F$13,2,FALSE)</f>
        <v>C</v>
      </c>
      <c r="F43" s="45"/>
      <c r="G43" s="45"/>
      <c r="H43" s="45"/>
      <c r="J43" s="43"/>
      <c r="K43" s="44"/>
      <c r="L43" s="2"/>
      <c r="M43" s="43"/>
      <c r="N43" s="44"/>
      <c r="AC43">
        <v>4</v>
      </c>
      <c r="AD43">
        <v>2</v>
      </c>
      <c r="AE43">
        <v>3</v>
      </c>
      <c r="AF43">
        <f>IF(AND(ISNUMBER(J43),ISNUMBER(M43),(J43+M43=1)),1,0)</f>
        <v>0</v>
      </c>
      <c r="AH43" s="15">
        <f>AD43*100+AE43</f>
        <v>203</v>
      </c>
      <c r="AI43" s="15">
        <f>AE43*100+AD43</f>
        <v>302</v>
      </c>
      <c r="AJ43">
        <f t="shared" si="23"/>
        <v>0</v>
      </c>
      <c r="AK43">
        <f t="shared" si="23"/>
        <v>0</v>
      </c>
      <c r="AL43">
        <f>J43*AK43</f>
        <v>0</v>
      </c>
      <c r="AM43">
        <f>M43*AJ43</f>
        <v>0</v>
      </c>
    </row>
    <row r="44" spans="2:39" ht="3" customHeight="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AH44" s="14"/>
      <c r="AI44" s="14"/>
    </row>
    <row r="45" spans="2:39" x14ac:dyDescent="0.25">
      <c r="B45" s="1" t="s">
        <v>12</v>
      </c>
      <c r="AH45" s="14"/>
      <c r="AI45" s="14"/>
    </row>
    <row r="46" spans="2:39" x14ac:dyDescent="0.25">
      <c r="B46">
        <v>1</v>
      </c>
      <c r="C46" t="str">
        <f>VLOOKUP(AD46,$B$4:$F$13,2,FALSE)</f>
        <v>C</v>
      </c>
      <c r="D46" s="2" t="s">
        <v>5</v>
      </c>
      <c r="E46" s="45" t="str">
        <f>VLOOKUP(AE46,$B$4:$F$13,2,FALSE)</f>
        <v>J</v>
      </c>
      <c r="F46" s="45"/>
      <c r="G46" s="45"/>
      <c r="H46" s="45"/>
      <c r="J46" s="43"/>
      <c r="K46" s="44"/>
      <c r="L46" s="2"/>
      <c r="M46" s="43"/>
      <c r="N46" s="44"/>
      <c r="AC46">
        <v>5</v>
      </c>
      <c r="AD46">
        <v>3</v>
      </c>
      <c r="AE46">
        <v>10</v>
      </c>
      <c r="AF46">
        <f>IF(AND(ISNUMBER(J46),ISNUMBER(M46),(J46+M46=1)),1,0)</f>
        <v>0</v>
      </c>
      <c r="AH46" s="15">
        <f>AD46*100+AE46</f>
        <v>310</v>
      </c>
      <c r="AI46" s="15">
        <f>AE46*100+AD46</f>
        <v>1003</v>
      </c>
      <c r="AJ46">
        <f t="shared" ref="AJ46:AK50" si="24">VLOOKUP(AD46,$AS$3:$BB$13,$AC46,FALSE)</f>
        <v>0</v>
      </c>
      <c r="AK46">
        <f t="shared" si="24"/>
        <v>0</v>
      </c>
      <c r="AL46">
        <f>J46*AK46</f>
        <v>0</v>
      </c>
      <c r="AM46">
        <f>M46*AJ46</f>
        <v>0</v>
      </c>
    </row>
    <row r="47" spans="2:39" x14ac:dyDescent="0.25">
      <c r="B47">
        <v>2</v>
      </c>
      <c r="C47" t="str">
        <f>VLOOKUP(AD47,$B$4:$F$13,2,FALSE)</f>
        <v>D</v>
      </c>
      <c r="D47" s="2" t="s">
        <v>5</v>
      </c>
      <c r="E47" s="45" t="str">
        <f>VLOOKUP(AE47,$B$4:$F$13,2,FALSE)</f>
        <v>B</v>
      </c>
      <c r="F47" s="45"/>
      <c r="G47" s="45"/>
      <c r="H47" s="45"/>
      <c r="J47" s="43"/>
      <c r="K47" s="44"/>
      <c r="L47" s="2"/>
      <c r="M47" s="43"/>
      <c r="N47" s="44"/>
      <c r="AC47">
        <v>5</v>
      </c>
      <c r="AD47">
        <v>4</v>
      </c>
      <c r="AE47">
        <v>2</v>
      </c>
      <c r="AF47">
        <f>IF(AND(ISNUMBER(J47),ISNUMBER(M47),(J47+M47=1)),1,0)</f>
        <v>0</v>
      </c>
      <c r="AH47" s="15">
        <f>AD47*100+AE47</f>
        <v>402</v>
      </c>
      <c r="AI47" s="15">
        <f>AE47*100+AD47</f>
        <v>204</v>
      </c>
      <c r="AJ47">
        <f t="shared" si="24"/>
        <v>0</v>
      </c>
      <c r="AK47">
        <f t="shared" si="24"/>
        <v>0</v>
      </c>
      <c r="AL47">
        <f>J47*AK47</f>
        <v>0</v>
      </c>
      <c r="AM47">
        <f>M47*AJ47</f>
        <v>0</v>
      </c>
    </row>
    <row r="48" spans="2:39" x14ac:dyDescent="0.25">
      <c r="B48">
        <v>3</v>
      </c>
      <c r="C48" t="str">
        <f>VLOOKUP(AD48,$B$4:$F$13,2,FALSE)</f>
        <v>E</v>
      </c>
      <c r="D48" s="2" t="s">
        <v>5</v>
      </c>
      <c r="E48" s="45" t="str">
        <f>VLOOKUP(AE48,$B$4:$F$13,2,FALSE)</f>
        <v>A</v>
      </c>
      <c r="F48" s="45"/>
      <c r="G48" s="45"/>
      <c r="H48" s="45"/>
      <c r="J48" s="43"/>
      <c r="K48" s="44"/>
      <c r="L48" s="2"/>
      <c r="M48" s="43"/>
      <c r="N48" s="44"/>
      <c r="AC48">
        <v>5</v>
      </c>
      <c r="AD48">
        <v>5</v>
      </c>
      <c r="AE48">
        <v>1</v>
      </c>
      <c r="AF48">
        <f>IF(AND(ISNUMBER(J48),ISNUMBER(M48),(J48+M48=1)),1,0)</f>
        <v>0</v>
      </c>
      <c r="AH48" s="15">
        <f>AD48*100+AE48</f>
        <v>501</v>
      </c>
      <c r="AI48" s="15">
        <f>AE48*100+AD48</f>
        <v>105</v>
      </c>
      <c r="AJ48">
        <f t="shared" si="24"/>
        <v>0</v>
      </c>
      <c r="AK48">
        <f t="shared" si="24"/>
        <v>0</v>
      </c>
      <c r="AL48">
        <f>J48*AK48</f>
        <v>0</v>
      </c>
      <c r="AM48">
        <f>M48*AJ48</f>
        <v>0</v>
      </c>
    </row>
    <row r="49" spans="2:39" x14ac:dyDescent="0.25">
      <c r="B49">
        <v>4</v>
      </c>
      <c r="C49" t="str">
        <f>VLOOKUP(AD49,$B$4:$F$13,2,FALSE)</f>
        <v>F</v>
      </c>
      <c r="D49" s="2" t="s">
        <v>5</v>
      </c>
      <c r="E49" s="45" t="str">
        <f>VLOOKUP(AE49,$B$4:$F$13,2,FALSE)</f>
        <v>I</v>
      </c>
      <c r="F49" s="45"/>
      <c r="G49" s="45"/>
      <c r="H49" s="45"/>
      <c r="J49" s="43"/>
      <c r="K49" s="44"/>
      <c r="L49" s="2"/>
      <c r="M49" s="43"/>
      <c r="N49" s="44"/>
      <c r="AC49">
        <v>5</v>
      </c>
      <c r="AD49">
        <v>6</v>
      </c>
      <c r="AE49">
        <v>9</v>
      </c>
      <c r="AF49">
        <f>IF(AND(ISNUMBER(J49),ISNUMBER(M49),(J49+M49=1)),1,0)</f>
        <v>0</v>
      </c>
      <c r="AH49" s="15">
        <f>AD49*100+AE49</f>
        <v>609</v>
      </c>
      <c r="AI49" s="15">
        <f>AE49*100+AD49</f>
        <v>906</v>
      </c>
      <c r="AJ49">
        <f t="shared" si="24"/>
        <v>0</v>
      </c>
      <c r="AK49">
        <f t="shared" si="24"/>
        <v>0</v>
      </c>
      <c r="AL49">
        <f>J49*AK49</f>
        <v>0</v>
      </c>
      <c r="AM49">
        <f>M49*AJ49</f>
        <v>0</v>
      </c>
    </row>
    <row r="50" spans="2:39" x14ac:dyDescent="0.25">
      <c r="B50">
        <v>5</v>
      </c>
      <c r="C50" t="str">
        <f>VLOOKUP(AD50,$B$4:$F$13,2,FALSE)</f>
        <v>G</v>
      </c>
      <c r="D50" s="2" t="s">
        <v>5</v>
      </c>
      <c r="E50" s="45" t="str">
        <f>VLOOKUP(AE50,$B$4:$F$13,2,FALSE)</f>
        <v>H</v>
      </c>
      <c r="F50" s="45"/>
      <c r="G50" s="45"/>
      <c r="H50" s="45"/>
      <c r="J50" s="43"/>
      <c r="K50" s="44"/>
      <c r="L50" s="2"/>
      <c r="M50" s="43"/>
      <c r="N50" s="44"/>
      <c r="AC50">
        <v>5</v>
      </c>
      <c r="AD50">
        <v>7</v>
      </c>
      <c r="AE50">
        <v>8</v>
      </c>
      <c r="AF50">
        <f>IF(AND(ISNUMBER(J50),ISNUMBER(M50),(J50+M50=1)),1,0)</f>
        <v>0</v>
      </c>
      <c r="AH50" s="15">
        <f>AD50*100+AE50</f>
        <v>708</v>
      </c>
      <c r="AI50" s="15">
        <f>AE50*100+AD50</f>
        <v>807</v>
      </c>
      <c r="AJ50">
        <f t="shared" si="24"/>
        <v>0</v>
      </c>
      <c r="AK50">
        <f t="shared" si="24"/>
        <v>0</v>
      </c>
      <c r="AL50">
        <f>J50*AK50</f>
        <v>0</v>
      </c>
      <c r="AM50">
        <f>M50*AJ50</f>
        <v>0</v>
      </c>
    </row>
    <row r="51" spans="2:39" ht="3" customHeight="1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AH51" s="14"/>
      <c r="AI51" s="14"/>
    </row>
    <row r="52" spans="2:39" x14ac:dyDescent="0.25">
      <c r="B52" s="1" t="s">
        <v>13</v>
      </c>
      <c r="AH52" s="14"/>
      <c r="AI52" s="14"/>
    </row>
    <row r="53" spans="2:39" x14ac:dyDescent="0.25">
      <c r="B53">
        <v>1</v>
      </c>
      <c r="C53" t="str">
        <f>VLOOKUP(AD53,$B$4:$F$13,2,FALSE)</f>
        <v>J</v>
      </c>
      <c r="D53" s="2" t="s">
        <v>5</v>
      </c>
      <c r="E53" s="45" t="str">
        <f>VLOOKUP(AE53,$B$4:$F$13,2,FALSE)</f>
        <v>H</v>
      </c>
      <c r="F53" s="45"/>
      <c r="G53" s="45"/>
      <c r="H53" s="45"/>
      <c r="J53" s="43"/>
      <c r="K53" s="44"/>
      <c r="L53" s="2"/>
      <c r="M53" s="43"/>
      <c r="N53" s="44"/>
      <c r="AC53">
        <v>6</v>
      </c>
      <c r="AD53">
        <v>10</v>
      </c>
      <c r="AE53">
        <v>8</v>
      </c>
      <c r="AF53">
        <f>IF(AND(ISNUMBER(J53),ISNUMBER(M53),(J53+M53=1)),1,0)</f>
        <v>0</v>
      </c>
      <c r="AH53" s="15">
        <f>AD53*100+AE53</f>
        <v>1008</v>
      </c>
      <c r="AI53" s="15">
        <f>AE53*100+AD53</f>
        <v>810</v>
      </c>
      <c r="AJ53">
        <f t="shared" ref="AJ53:AK57" si="25">VLOOKUP(AD53,$AS$3:$BB$13,$AC53,FALSE)</f>
        <v>0</v>
      </c>
      <c r="AK53">
        <f t="shared" si="25"/>
        <v>0</v>
      </c>
      <c r="AL53">
        <f>J53*AK53</f>
        <v>0</v>
      </c>
      <c r="AM53">
        <f>M53*AJ53</f>
        <v>0</v>
      </c>
    </row>
    <row r="54" spans="2:39" x14ac:dyDescent="0.25">
      <c r="B54">
        <v>2</v>
      </c>
      <c r="C54" t="str">
        <f>VLOOKUP(AD54,$B$4:$F$13,2,FALSE)</f>
        <v>I</v>
      </c>
      <c r="D54" s="2" t="s">
        <v>5</v>
      </c>
      <c r="E54" s="45" t="str">
        <f>VLOOKUP(AE54,$B$4:$F$13,2,FALSE)</f>
        <v>G</v>
      </c>
      <c r="F54" s="45"/>
      <c r="G54" s="45"/>
      <c r="H54" s="45"/>
      <c r="J54" s="43"/>
      <c r="K54" s="44"/>
      <c r="L54" s="2"/>
      <c r="M54" s="43"/>
      <c r="N54" s="44"/>
      <c r="AC54">
        <v>6</v>
      </c>
      <c r="AD54">
        <v>9</v>
      </c>
      <c r="AE54">
        <v>7</v>
      </c>
      <c r="AF54">
        <f>IF(AND(ISNUMBER(J54),ISNUMBER(M54),(J54+M54=1)),1,0)</f>
        <v>0</v>
      </c>
      <c r="AH54" s="15">
        <f>AD54*100+AE54</f>
        <v>907</v>
      </c>
      <c r="AI54" s="15">
        <f>AE54*100+AD54</f>
        <v>709</v>
      </c>
      <c r="AJ54">
        <f t="shared" si="25"/>
        <v>0</v>
      </c>
      <c r="AK54">
        <f t="shared" si="25"/>
        <v>0</v>
      </c>
      <c r="AL54">
        <f>J54*AK54</f>
        <v>0</v>
      </c>
      <c r="AM54">
        <f>M54*AJ54</f>
        <v>0</v>
      </c>
    </row>
    <row r="55" spans="2:39" x14ac:dyDescent="0.25">
      <c r="B55">
        <v>3</v>
      </c>
      <c r="C55" t="str">
        <f>VLOOKUP(AD55,$B$4:$F$13,2,FALSE)</f>
        <v>A</v>
      </c>
      <c r="D55" s="2" t="s">
        <v>5</v>
      </c>
      <c r="E55" s="45" t="str">
        <f>VLOOKUP(AE55,$B$4:$F$13,2,FALSE)</f>
        <v>F</v>
      </c>
      <c r="F55" s="45"/>
      <c r="G55" s="45"/>
      <c r="H55" s="45"/>
      <c r="J55" s="43"/>
      <c r="K55" s="44"/>
      <c r="L55" s="2"/>
      <c r="M55" s="43"/>
      <c r="N55" s="44"/>
      <c r="AC55">
        <v>6</v>
      </c>
      <c r="AD55">
        <v>1</v>
      </c>
      <c r="AE55">
        <v>6</v>
      </c>
      <c r="AF55">
        <f>IF(AND(ISNUMBER(J55),ISNUMBER(M55),(J55+M55=1)),1,0)</f>
        <v>0</v>
      </c>
      <c r="AH55" s="15">
        <f>AD55*100+AE55</f>
        <v>106</v>
      </c>
      <c r="AI55" s="15">
        <f>AE55*100+AD55</f>
        <v>601</v>
      </c>
      <c r="AJ55">
        <f t="shared" si="25"/>
        <v>0</v>
      </c>
      <c r="AK55">
        <f t="shared" si="25"/>
        <v>0</v>
      </c>
      <c r="AL55">
        <f>J55*AK55</f>
        <v>0</v>
      </c>
      <c r="AM55">
        <f>M55*AJ55</f>
        <v>0</v>
      </c>
    </row>
    <row r="56" spans="2:39" x14ac:dyDescent="0.25">
      <c r="B56">
        <v>4</v>
      </c>
      <c r="C56" t="str">
        <f>VLOOKUP(AD56,$B$4:$F$13,2,FALSE)</f>
        <v>B</v>
      </c>
      <c r="D56" s="2" t="s">
        <v>5</v>
      </c>
      <c r="E56" s="45" t="str">
        <f>VLOOKUP(AE56,$B$4:$F$13,2,FALSE)</f>
        <v>E</v>
      </c>
      <c r="F56" s="45"/>
      <c r="G56" s="45"/>
      <c r="H56" s="45"/>
      <c r="J56" s="43"/>
      <c r="K56" s="44"/>
      <c r="L56" s="2"/>
      <c r="M56" s="43"/>
      <c r="N56" s="44"/>
      <c r="AC56">
        <v>6</v>
      </c>
      <c r="AD56">
        <v>2</v>
      </c>
      <c r="AE56">
        <v>5</v>
      </c>
      <c r="AF56">
        <f>IF(AND(ISNUMBER(J56),ISNUMBER(M56),(J56+M56=1)),1,0)</f>
        <v>0</v>
      </c>
      <c r="AH56" s="15">
        <f>AD56*100+AE56</f>
        <v>205</v>
      </c>
      <c r="AI56" s="15">
        <f>AE56*100+AD56</f>
        <v>502</v>
      </c>
      <c r="AJ56">
        <f t="shared" si="25"/>
        <v>0</v>
      </c>
      <c r="AK56">
        <f t="shared" si="25"/>
        <v>0</v>
      </c>
      <c r="AL56">
        <f>J56*AK56</f>
        <v>0</v>
      </c>
      <c r="AM56">
        <f>M56*AJ56</f>
        <v>0</v>
      </c>
    </row>
    <row r="57" spans="2:39" x14ac:dyDescent="0.25">
      <c r="B57">
        <v>5</v>
      </c>
      <c r="C57" t="str">
        <f>VLOOKUP(AD57,$B$4:$F$13,2,FALSE)</f>
        <v>C</v>
      </c>
      <c r="D57" s="2" t="s">
        <v>5</v>
      </c>
      <c r="E57" s="45" t="str">
        <f>VLOOKUP(AE57,$B$4:$F$13,2,FALSE)</f>
        <v>D</v>
      </c>
      <c r="F57" s="45"/>
      <c r="G57" s="45"/>
      <c r="H57" s="45"/>
      <c r="J57" s="43"/>
      <c r="K57" s="44"/>
      <c r="L57" s="2"/>
      <c r="M57" s="43"/>
      <c r="N57" s="44"/>
      <c r="AC57">
        <v>6</v>
      </c>
      <c r="AD57">
        <v>3</v>
      </c>
      <c r="AE57">
        <v>4</v>
      </c>
      <c r="AF57">
        <f>IF(AND(ISNUMBER(J57),ISNUMBER(M57),(J57+M57=1)),1,0)</f>
        <v>0</v>
      </c>
      <c r="AH57" s="15">
        <f>AD57*100+AE57</f>
        <v>304</v>
      </c>
      <c r="AI57" s="15">
        <f>AE57*100+AD57</f>
        <v>403</v>
      </c>
      <c r="AJ57">
        <f t="shared" si="25"/>
        <v>0</v>
      </c>
      <c r="AK57">
        <f t="shared" si="25"/>
        <v>0</v>
      </c>
      <c r="AL57">
        <f>J57*AK57</f>
        <v>0</v>
      </c>
      <c r="AM57">
        <f>M57*AJ57</f>
        <v>0</v>
      </c>
    </row>
    <row r="58" spans="2:39" ht="3" customHeight="1" x14ac:dyDescent="0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AH58" s="14"/>
      <c r="AI58" s="14"/>
    </row>
    <row r="59" spans="2:39" x14ac:dyDescent="0.25">
      <c r="B59" s="1" t="s">
        <v>14</v>
      </c>
      <c r="AH59" s="14"/>
      <c r="AI59" s="14"/>
    </row>
    <row r="60" spans="2:39" x14ac:dyDescent="0.25">
      <c r="B60">
        <v>1</v>
      </c>
      <c r="C60" t="str">
        <f>VLOOKUP(AD60,$B$4:$F$13,2,FALSE)</f>
        <v>D</v>
      </c>
      <c r="D60" s="2" t="s">
        <v>5</v>
      </c>
      <c r="E60" s="45" t="str">
        <f>VLOOKUP(AE60,$B$4:$F$13,2,FALSE)</f>
        <v>J</v>
      </c>
      <c r="F60" s="45"/>
      <c r="G60" s="45"/>
      <c r="H60" s="45"/>
      <c r="J60" s="43"/>
      <c r="K60" s="44"/>
      <c r="L60" s="2"/>
      <c r="M60" s="43"/>
      <c r="N60" s="44"/>
      <c r="AC60">
        <v>7</v>
      </c>
      <c r="AD60">
        <v>4</v>
      </c>
      <c r="AE60">
        <v>10</v>
      </c>
      <c r="AF60">
        <f>IF(AND(ISNUMBER(J60),ISNUMBER(M60),(J60+M60=1)),1,0)</f>
        <v>0</v>
      </c>
      <c r="AH60" s="15">
        <f>AD60*100+AE60</f>
        <v>410</v>
      </c>
      <c r="AI60" s="15">
        <f>AE60*100+AD60</f>
        <v>1004</v>
      </c>
      <c r="AJ60">
        <f t="shared" ref="AJ60:AK64" si="26">VLOOKUP(AD60,$AS$3:$BB$13,$AC60,FALSE)</f>
        <v>0</v>
      </c>
      <c r="AK60">
        <f t="shared" si="26"/>
        <v>0</v>
      </c>
      <c r="AL60">
        <f>J60*AK60</f>
        <v>0</v>
      </c>
      <c r="AM60">
        <f>M60*AJ60</f>
        <v>0</v>
      </c>
    </row>
    <row r="61" spans="2:39" x14ac:dyDescent="0.25">
      <c r="B61">
        <v>2</v>
      </c>
      <c r="C61" t="str">
        <f>VLOOKUP(AD61,$B$4:$F$13,2,FALSE)</f>
        <v>E</v>
      </c>
      <c r="D61" s="2" t="s">
        <v>5</v>
      </c>
      <c r="E61" s="45" t="str">
        <f>VLOOKUP(AE61,$B$4:$F$13,2,FALSE)</f>
        <v>C</v>
      </c>
      <c r="F61" s="45"/>
      <c r="G61" s="45"/>
      <c r="H61" s="45"/>
      <c r="J61" s="43"/>
      <c r="K61" s="44"/>
      <c r="L61" s="2"/>
      <c r="M61" s="43"/>
      <c r="N61" s="44"/>
      <c r="AC61">
        <v>7</v>
      </c>
      <c r="AD61">
        <v>5</v>
      </c>
      <c r="AE61">
        <v>3</v>
      </c>
      <c r="AF61">
        <f>IF(AND(ISNUMBER(J61),ISNUMBER(M61),(J61+M61=1)),1,0)</f>
        <v>0</v>
      </c>
      <c r="AH61" s="15">
        <f>AD61*100+AE61</f>
        <v>503</v>
      </c>
      <c r="AI61" s="15">
        <f>AE61*100+AD61</f>
        <v>305</v>
      </c>
      <c r="AJ61">
        <f t="shared" si="26"/>
        <v>0</v>
      </c>
      <c r="AK61">
        <f t="shared" si="26"/>
        <v>0</v>
      </c>
      <c r="AL61">
        <f>J61*AK61</f>
        <v>0</v>
      </c>
      <c r="AM61">
        <f>M61*AJ61</f>
        <v>0</v>
      </c>
    </row>
    <row r="62" spans="2:39" x14ac:dyDescent="0.25">
      <c r="B62">
        <v>3</v>
      </c>
      <c r="C62" t="str">
        <f>VLOOKUP(AD62,$B$4:$F$13,2,FALSE)</f>
        <v>F</v>
      </c>
      <c r="D62" s="2" t="s">
        <v>5</v>
      </c>
      <c r="E62" s="45" t="str">
        <f>VLOOKUP(AE62,$B$4:$F$13,2,FALSE)</f>
        <v>B</v>
      </c>
      <c r="F62" s="45"/>
      <c r="G62" s="45"/>
      <c r="H62" s="45"/>
      <c r="J62" s="43"/>
      <c r="K62" s="44"/>
      <c r="L62" s="2"/>
      <c r="M62" s="43"/>
      <c r="N62" s="44"/>
      <c r="AC62">
        <v>7</v>
      </c>
      <c r="AD62">
        <v>6</v>
      </c>
      <c r="AE62">
        <v>2</v>
      </c>
      <c r="AF62">
        <f>IF(AND(ISNUMBER(J62),ISNUMBER(M62),(J62+M62=1)),1,0)</f>
        <v>0</v>
      </c>
      <c r="AH62" s="15">
        <f>AD62*100+AE62</f>
        <v>602</v>
      </c>
      <c r="AI62" s="15">
        <f>AE62*100+AD62</f>
        <v>206</v>
      </c>
      <c r="AJ62">
        <f t="shared" si="26"/>
        <v>0</v>
      </c>
      <c r="AK62">
        <f t="shared" si="26"/>
        <v>0</v>
      </c>
      <c r="AL62">
        <f>J62*AK62</f>
        <v>0</v>
      </c>
      <c r="AM62">
        <f>M62*AJ62</f>
        <v>0</v>
      </c>
    </row>
    <row r="63" spans="2:39" x14ac:dyDescent="0.25">
      <c r="B63">
        <v>4</v>
      </c>
      <c r="C63" t="str">
        <f>VLOOKUP(AD63,$B$4:$F$13,2,FALSE)</f>
        <v>G</v>
      </c>
      <c r="D63" s="2" t="s">
        <v>5</v>
      </c>
      <c r="E63" s="45" t="str">
        <f>VLOOKUP(AE63,$B$4:$F$13,2,FALSE)</f>
        <v>A</v>
      </c>
      <c r="F63" s="45"/>
      <c r="G63" s="45"/>
      <c r="H63" s="45"/>
      <c r="J63" s="43"/>
      <c r="K63" s="44"/>
      <c r="L63" s="2"/>
      <c r="M63" s="43"/>
      <c r="N63" s="44"/>
      <c r="AC63">
        <v>7</v>
      </c>
      <c r="AD63">
        <v>7</v>
      </c>
      <c r="AE63">
        <v>1</v>
      </c>
      <c r="AF63">
        <f>IF(AND(ISNUMBER(J63),ISNUMBER(M63),(J63+M63=1)),1,0)</f>
        <v>0</v>
      </c>
      <c r="AH63" s="15">
        <f>AD63*100+AE63</f>
        <v>701</v>
      </c>
      <c r="AI63" s="15">
        <f>AE63*100+AD63</f>
        <v>107</v>
      </c>
      <c r="AJ63">
        <f t="shared" si="26"/>
        <v>0</v>
      </c>
      <c r="AK63">
        <f t="shared" si="26"/>
        <v>0</v>
      </c>
      <c r="AL63">
        <f>J63*AK63</f>
        <v>0</v>
      </c>
      <c r="AM63">
        <f>M63*AJ63</f>
        <v>0</v>
      </c>
    </row>
    <row r="64" spans="2:39" x14ac:dyDescent="0.25">
      <c r="B64">
        <v>5</v>
      </c>
      <c r="C64" t="str">
        <f>VLOOKUP(AD64,$B$4:$F$13,2,FALSE)</f>
        <v>H</v>
      </c>
      <c r="D64" s="2" t="s">
        <v>5</v>
      </c>
      <c r="E64" s="45" t="str">
        <f>VLOOKUP(AE64,$B$4:$F$13,2,FALSE)</f>
        <v>I</v>
      </c>
      <c r="F64" s="45"/>
      <c r="G64" s="45"/>
      <c r="H64" s="45"/>
      <c r="J64" s="43"/>
      <c r="K64" s="44"/>
      <c r="L64" s="2"/>
      <c r="M64" s="43"/>
      <c r="N64" s="44"/>
      <c r="AC64">
        <v>7</v>
      </c>
      <c r="AD64">
        <v>8</v>
      </c>
      <c r="AE64">
        <v>9</v>
      </c>
      <c r="AF64">
        <f>IF(AND(ISNUMBER(J64),ISNUMBER(M64),(J64+M64=1)),1,0)</f>
        <v>0</v>
      </c>
      <c r="AH64" s="15">
        <f>AD64*100+AE64</f>
        <v>809</v>
      </c>
      <c r="AI64" s="15">
        <f>AE64*100+AD64</f>
        <v>908</v>
      </c>
      <c r="AJ64">
        <f t="shared" si="26"/>
        <v>0</v>
      </c>
      <c r="AK64">
        <f t="shared" si="26"/>
        <v>0</v>
      </c>
      <c r="AL64">
        <f>J64*AK64</f>
        <v>0</v>
      </c>
      <c r="AM64">
        <f>M64*AJ64</f>
        <v>0</v>
      </c>
    </row>
    <row r="65" spans="2:39" ht="3" customHeight="1" x14ac:dyDescent="0.2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AH65" s="14"/>
      <c r="AI65" s="14"/>
    </row>
    <row r="66" spans="2:39" x14ac:dyDescent="0.25">
      <c r="B66" s="1" t="s">
        <v>15</v>
      </c>
      <c r="AH66" s="14"/>
      <c r="AI66" s="14"/>
    </row>
    <row r="67" spans="2:39" x14ac:dyDescent="0.25">
      <c r="B67">
        <v>1</v>
      </c>
      <c r="C67" t="str">
        <f>VLOOKUP(AD67,$B$4:$F$13,2,FALSE)</f>
        <v>J</v>
      </c>
      <c r="D67" s="2" t="s">
        <v>5</v>
      </c>
      <c r="E67" s="45" t="str">
        <f>VLOOKUP(AE67,$B$4:$F$13,2,FALSE)</f>
        <v>I</v>
      </c>
      <c r="F67" s="45"/>
      <c r="G67" s="45"/>
      <c r="H67" s="45"/>
      <c r="J67" s="43"/>
      <c r="K67" s="44"/>
      <c r="L67" s="2"/>
      <c r="M67" s="43"/>
      <c r="N67" s="44"/>
      <c r="AC67">
        <v>8</v>
      </c>
      <c r="AD67">
        <v>10</v>
      </c>
      <c r="AE67">
        <v>9</v>
      </c>
      <c r="AF67">
        <f>IF(AND(ISNUMBER(J67),ISNUMBER(M67),(J67+M67=1)),1,0)</f>
        <v>0</v>
      </c>
      <c r="AH67" s="15">
        <f>AD67*100+AE67</f>
        <v>1009</v>
      </c>
      <c r="AI67" s="15">
        <f>AE67*100+AD67</f>
        <v>910</v>
      </c>
      <c r="AJ67">
        <f t="shared" ref="AJ67:AK71" si="27">VLOOKUP(AD67,$AS$3:$BB$13,$AC67,FALSE)</f>
        <v>0</v>
      </c>
      <c r="AK67">
        <f t="shared" si="27"/>
        <v>0</v>
      </c>
      <c r="AL67">
        <f>J67*AK67</f>
        <v>0</v>
      </c>
      <c r="AM67">
        <f>M67*AJ67</f>
        <v>0</v>
      </c>
    </row>
    <row r="68" spans="2:39" x14ac:dyDescent="0.25">
      <c r="B68">
        <v>2</v>
      </c>
      <c r="C68" t="str">
        <f>VLOOKUP(AD68,$B$4:$F$13,2,FALSE)</f>
        <v>A</v>
      </c>
      <c r="D68" s="2" t="s">
        <v>5</v>
      </c>
      <c r="E68" s="45" t="str">
        <f>VLOOKUP(AE68,$B$4:$F$13,2,FALSE)</f>
        <v>H</v>
      </c>
      <c r="F68" s="45"/>
      <c r="G68" s="45"/>
      <c r="H68" s="45"/>
      <c r="J68" s="43"/>
      <c r="K68" s="44"/>
      <c r="L68" s="2"/>
      <c r="M68" s="43"/>
      <c r="N68" s="44"/>
      <c r="AC68">
        <v>8</v>
      </c>
      <c r="AD68">
        <v>1</v>
      </c>
      <c r="AE68">
        <v>8</v>
      </c>
      <c r="AF68">
        <f>IF(AND(ISNUMBER(J68),ISNUMBER(M68),(J68+M68=1)),1,0)</f>
        <v>0</v>
      </c>
      <c r="AH68" s="15">
        <f>AD68*100+AE68</f>
        <v>108</v>
      </c>
      <c r="AI68" s="15">
        <f>AE68*100+AD68</f>
        <v>801</v>
      </c>
      <c r="AJ68">
        <f t="shared" si="27"/>
        <v>0</v>
      </c>
      <c r="AK68">
        <f t="shared" si="27"/>
        <v>0</v>
      </c>
      <c r="AL68">
        <f>J68*AK68</f>
        <v>0</v>
      </c>
      <c r="AM68">
        <f>M68*AJ68</f>
        <v>0</v>
      </c>
    </row>
    <row r="69" spans="2:39" x14ac:dyDescent="0.25">
      <c r="B69">
        <v>3</v>
      </c>
      <c r="C69" t="str">
        <f>VLOOKUP(AD69,$B$4:$F$13,2,FALSE)</f>
        <v>B</v>
      </c>
      <c r="D69" s="2" t="s">
        <v>5</v>
      </c>
      <c r="E69" s="45" t="str">
        <f>VLOOKUP(AE69,$B$4:$F$13,2,FALSE)</f>
        <v>G</v>
      </c>
      <c r="F69" s="45"/>
      <c r="G69" s="45"/>
      <c r="H69" s="45"/>
      <c r="J69" s="43"/>
      <c r="K69" s="44"/>
      <c r="L69" s="2"/>
      <c r="M69" s="43"/>
      <c r="N69" s="44"/>
      <c r="AC69">
        <v>8</v>
      </c>
      <c r="AD69">
        <v>2</v>
      </c>
      <c r="AE69">
        <v>7</v>
      </c>
      <c r="AF69">
        <f>IF(AND(ISNUMBER(J69),ISNUMBER(M69),(J69+M69=1)),1,0)</f>
        <v>0</v>
      </c>
      <c r="AH69" s="15">
        <f>AD69*100+AE69</f>
        <v>207</v>
      </c>
      <c r="AI69" s="15">
        <f>AE69*100+AD69</f>
        <v>702</v>
      </c>
      <c r="AJ69">
        <f t="shared" si="27"/>
        <v>0</v>
      </c>
      <c r="AK69">
        <f t="shared" si="27"/>
        <v>0</v>
      </c>
      <c r="AL69">
        <f>J69*AK69</f>
        <v>0</v>
      </c>
      <c r="AM69">
        <f>M69*AJ69</f>
        <v>0</v>
      </c>
    </row>
    <row r="70" spans="2:39" x14ac:dyDescent="0.25">
      <c r="B70">
        <v>4</v>
      </c>
      <c r="C70" t="str">
        <f>VLOOKUP(AD70,$B$4:$F$13,2,FALSE)</f>
        <v>C</v>
      </c>
      <c r="D70" s="2" t="s">
        <v>5</v>
      </c>
      <c r="E70" s="45" t="str">
        <f>VLOOKUP(AE70,$B$4:$F$13,2,FALSE)</f>
        <v>F</v>
      </c>
      <c r="F70" s="45"/>
      <c r="G70" s="45"/>
      <c r="H70" s="45"/>
      <c r="J70" s="43"/>
      <c r="K70" s="44"/>
      <c r="L70" s="2"/>
      <c r="M70" s="43"/>
      <c r="N70" s="44"/>
      <c r="AC70">
        <v>8</v>
      </c>
      <c r="AD70">
        <v>3</v>
      </c>
      <c r="AE70">
        <v>6</v>
      </c>
      <c r="AF70">
        <f>IF(AND(ISNUMBER(J70),ISNUMBER(M70),(J70+M70=1)),1,0)</f>
        <v>0</v>
      </c>
      <c r="AH70" s="15">
        <f>AD70*100+AE70</f>
        <v>306</v>
      </c>
      <c r="AI70" s="15">
        <f>AE70*100+AD70</f>
        <v>603</v>
      </c>
      <c r="AJ70">
        <f t="shared" si="27"/>
        <v>0</v>
      </c>
      <c r="AK70">
        <f t="shared" si="27"/>
        <v>0</v>
      </c>
      <c r="AL70">
        <f>J70*AK70</f>
        <v>0</v>
      </c>
      <c r="AM70">
        <f>M70*AJ70</f>
        <v>0</v>
      </c>
    </row>
    <row r="71" spans="2:39" x14ac:dyDescent="0.25">
      <c r="B71">
        <v>5</v>
      </c>
      <c r="C71" t="str">
        <f>VLOOKUP(AD71,$B$4:$F$13,2,FALSE)</f>
        <v>D</v>
      </c>
      <c r="D71" s="2" t="s">
        <v>5</v>
      </c>
      <c r="E71" s="45" t="str">
        <f>VLOOKUP(AE71,$B$4:$F$13,2,FALSE)</f>
        <v>E</v>
      </c>
      <c r="F71" s="45"/>
      <c r="G71" s="45"/>
      <c r="H71" s="45"/>
      <c r="J71" s="43"/>
      <c r="K71" s="44"/>
      <c r="L71" s="2"/>
      <c r="M71" s="43"/>
      <c r="N71" s="44"/>
      <c r="AC71">
        <v>8</v>
      </c>
      <c r="AD71">
        <v>4</v>
      </c>
      <c r="AE71">
        <v>5</v>
      </c>
      <c r="AF71">
        <f>IF(AND(ISNUMBER(J71),ISNUMBER(M71),(J71+M71=1)),1,0)</f>
        <v>0</v>
      </c>
      <c r="AH71" s="15">
        <f>AD71*100+AE71</f>
        <v>405</v>
      </c>
      <c r="AI71" s="15">
        <f>AE71*100+AD71</f>
        <v>504</v>
      </c>
      <c r="AJ71">
        <f t="shared" si="27"/>
        <v>0</v>
      </c>
      <c r="AK71">
        <f t="shared" si="27"/>
        <v>0</v>
      </c>
      <c r="AL71">
        <f>J71*AK71</f>
        <v>0</v>
      </c>
      <c r="AM71">
        <f>M71*AJ71</f>
        <v>0</v>
      </c>
    </row>
    <row r="72" spans="2:39" ht="3" customHeight="1" x14ac:dyDescent="0.25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AH72" s="14"/>
      <c r="AI72" s="14"/>
    </row>
    <row r="73" spans="2:39" x14ac:dyDescent="0.25">
      <c r="B73" s="1" t="s">
        <v>16</v>
      </c>
      <c r="AH73" s="14"/>
      <c r="AI73" s="14"/>
    </row>
    <row r="74" spans="2:39" x14ac:dyDescent="0.25">
      <c r="B74">
        <v>1</v>
      </c>
      <c r="C74" t="str">
        <f>VLOOKUP(AD74,$B$4:$F$13,2,FALSE)</f>
        <v>E</v>
      </c>
      <c r="D74" s="2" t="s">
        <v>5</v>
      </c>
      <c r="E74" s="45" t="str">
        <f>VLOOKUP(AE74,$B$4:$F$13,2,FALSE)</f>
        <v>J</v>
      </c>
      <c r="F74" s="45"/>
      <c r="G74" s="45"/>
      <c r="H74" s="45"/>
      <c r="J74" s="43"/>
      <c r="K74" s="44"/>
      <c r="L74" s="2"/>
      <c r="M74" s="43"/>
      <c r="N74" s="44"/>
      <c r="AC74">
        <v>9</v>
      </c>
      <c r="AD74">
        <v>5</v>
      </c>
      <c r="AE74">
        <v>10</v>
      </c>
      <c r="AF74">
        <f>IF(AND(ISNUMBER(J74),ISNUMBER(M74),(J74+M74=1)),1,0)</f>
        <v>0</v>
      </c>
      <c r="AH74" s="15">
        <f>AD74*100+AE74</f>
        <v>510</v>
      </c>
      <c r="AI74" s="15">
        <f>AE74*100+AD74</f>
        <v>1005</v>
      </c>
      <c r="AJ74">
        <f t="shared" ref="AJ74:AK78" si="28">VLOOKUP(AD74,$AS$3:$BB$13,$AC74,FALSE)</f>
        <v>0</v>
      </c>
      <c r="AK74">
        <f t="shared" si="28"/>
        <v>0</v>
      </c>
      <c r="AL74">
        <f>J74*AK74</f>
        <v>0</v>
      </c>
      <c r="AM74">
        <f>M74*AJ74</f>
        <v>0</v>
      </c>
    </row>
    <row r="75" spans="2:39" x14ac:dyDescent="0.25">
      <c r="B75">
        <v>2</v>
      </c>
      <c r="C75" t="str">
        <f>VLOOKUP(AD75,$B$4:$F$13,2,FALSE)</f>
        <v>F</v>
      </c>
      <c r="D75" s="2" t="s">
        <v>5</v>
      </c>
      <c r="E75" s="45" t="str">
        <f>VLOOKUP(AE75,$B$4:$F$13,2,FALSE)</f>
        <v>D</v>
      </c>
      <c r="F75" s="45"/>
      <c r="G75" s="45"/>
      <c r="H75" s="45"/>
      <c r="J75" s="43"/>
      <c r="K75" s="44"/>
      <c r="L75" s="2"/>
      <c r="M75" s="43"/>
      <c r="N75" s="44"/>
      <c r="AC75">
        <v>9</v>
      </c>
      <c r="AD75">
        <v>6</v>
      </c>
      <c r="AE75">
        <v>4</v>
      </c>
      <c r="AF75">
        <f>IF(AND(ISNUMBER(J75),ISNUMBER(M75),(J75+M75=1)),1,0)</f>
        <v>0</v>
      </c>
      <c r="AH75" s="15">
        <f>AD75*100+AE75</f>
        <v>604</v>
      </c>
      <c r="AI75" s="15">
        <f>AE75*100+AD75</f>
        <v>406</v>
      </c>
      <c r="AJ75">
        <f t="shared" si="28"/>
        <v>0</v>
      </c>
      <c r="AK75">
        <f t="shared" si="28"/>
        <v>0</v>
      </c>
      <c r="AL75">
        <f>J75*AK75</f>
        <v>0</v>
      </c>
      <c r="AM75">
        <f>M75*AJ75</f>
        <v>0</v>
      </c>
    </row>
    <row r="76" spans="2:39" x14ac:dyDescent="0.25">
      <c r="B76">
        <v>3</v>
      </c>
      <c r="C76" t="str">
        <f>VLOOKUP(AD76,$B$4:$F$13,2,FALSE)</f>
        <v>G</v>
      </c>
      <c r="D76" s="2" t="s">
        <v>5</v>
      </c>
      <c r="E76" s="45" t="str">
        <f>VLOOKUP(AE76,$B$4:$F$13,2,FALSE)</f>
        <v>C</v>
      </c>
      <c r="F76" s="45"/>
      <c r="G76" s="45"/>
      <c r="H76" s="45"/>
      <c r="J76" s="43"/>
      <c r="K76" s="44"/>
      <c r="L76" s="2"/>
      <c r="M76" s="43"/>
      <c r="N76" s="44"/>
      <c r="AC76">
        <v>9</v>
      </c>
      <c r="AD76">
        <v>7</v>
      </c>
      <c r="AE76">
        <v>3</v>
      </c>
      <c r="AF76">
        <f>IF(AND(ISNUMBER(J76),ISNUMBER(M76),(J76+M76=1)),1,0)</f>
        <v>0</v>
      </c>
      <c r="AH76" s="15">
        <f>AD76*100+AE76</f>
        <v>703</v>
      </c>
      <c r="AI76" s="15">
        <f>AE76*100+AD76</f>
        <v>307</v>
      </c>
      <c r="AJ76">
        <f t="shared" si="28"/>
        <v>0</v>
      </c>
      <c r="AK76">
        <f t="shared" si="28"/>
        <v>0</v>
      </c>
      <c r="AL76">
        <f>J76*AK76</f>
        <v>0</v>
      </c>
      <c r="AM76">
        <f>M76*AJ76</f>
        <v>0</v>
      </c>
    </row>
    <row r="77" spans="2:39" x14ac:dyDescent="0.25">
      <c r="B77">
        <v>4</v>
      </c>
      <c r="C77" t="str">
        <f>VLOOKUP(AD77,$B$4:$F$13,2,FALSE)</f>
        <v>H</v>
      </c>
      <c r="D77" s="2" t="s">
        <v>5</v>
      </c>
      <c r="E77" s="45" t="str">
        <f>VLOOKUP(AE77,$B$4:$F$13,2,FALSE)</f>
        <v>B</v>
      </c>
      <c r="F77" s="45"/>
      <c r="G77" s="45"/>
      <c r="H77" s="45"/>
      <c r="J77" s="43"/>
      <c r="K77" s="44"/>
      <c r="L77" s="2"/>
      <c r="M77" s="43"/>
      <c r="N77" s="44"/>
      <c r="AC77">
        <v>9</v>
      </c>
      <c r="AD77">
        <v>8</v>
      </c>
      <c r="AE77">
        <v>2</v>
      </c>
      <c r="AF77">
        <f>IF(AND(ISNUMBER(J77),ISNUMBER(M77),(J77+M77=1)),1,0)</f>
        <v>0</v>
      </c>
      <c r="AH77" s="15">
        <f>AD77*100+AE77</f>
        <v>802</v>
      </c>
      <c r="AI77" s="15">
        <f>AE77*100+AD77</f>
        <v>208</v>
      </c>
      <c r="AJ77">
        <f t="shared" si="28"/>
        <v>0</v>
      </c>
      <c r="AK77">
        <f t="shared" si="28"/>
        <v>0</v>
      </c>
      <c r="AL77">
        <f>J77*AK77</f>
        <v>0</v>
      </c>
      <c r="AM77">
        <f>M77*AJ77</f>
        <v>0</v>
      </c>
    </row>
    <row r="78" spans="2:39" x14ac:dyDescent="0.25">
      <c r="B78">
        <v>5</v>
      </c>
      <c r="C78" t="str">
        <f>VLOOKUP(AD78,$B$4:$F$13,2,FALSE)</f>
        <v>I</v>
      </c>
      <c r="D78" s="2" t="s">
        <v>5</v>
      </c>
      <c r="E78" s="45" t="str">
        <f>VLOOKUP(AE78,$B$4:$F$13,2,FALSE)</f>
        <v>A</v>
      </c>
      <c r="F78" s="45"/>
      <c r="G78" s="45"/>
      <c r="H78" s="45"/>
      <c r="J78" s="43"/>
      <c r="K78" s="44"/>
      <c r="L78" s="2"/>
      <c r="M78" s="43"/>
      <c r="N78" s="44"/>
      <c r="AC78">
        <v>9</v>
      </c>
      <c r="AD78">
        <v>9</v>
      </c>
      <c r="AE78">
        <v>1</v>
      </c>
      <c r="AF78">
        <f>IF(AND(ISNUMBER(J78),ISNUMBER(M78),(J78+M78=1)),1,0)</f>
        <v>0</v>
      </c>
      <c r="AH78" s="15">
        <f>AD78*100+AE78</f>
        <v>901</v>
      </c>
      <c r="AI78" s="15">
        <f>AE78*100+AD78</f>
        <v>109</v>
      </c>
      <c r="AJ78">
        <f t="shared" si="28"/>
        <v>0</v>
      </c>
      <c r="AK78">
        <f t="shared" si="28"/>
        <v>0</v>
      </c>
      <c r="AL78">
        <f>J78*AK78</f>
        <v>0</v>
      </c>
      <c r="AM78">
        <f>M78*AJ78</f>
        <v>0</v>
      </c>
    </row>
  </sheetData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0"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B1:F1"/>
    <mergeCell ref="G1:R1"/>
    <mergeCell ref="AI2:AQ2"/>
    <mergeCell ref="AT2:BB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</mergeCells>
  <conditionalFormatting sqref="H4:Q13">
    <cfRule type="cellIs" dxfId="3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71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B1:BB55"/>
  <sheetViews>
    <sheetView view="pageBreakPreview" zoomScaleNormal="100" zoomScaleSheetLayoutView="100" workbookViewId="0">
      <selection activeCell="D4" sqref="D4:E11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5" width="3.7109375" customWidth="1"/>
    <col min="16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9" width="6.7109375" customWidth="1"/>
    <col min="34" max="35" width="4.42578125" bestFit="1" customWidth="1"/>
    <col min="36" max="54" width="3.7109375" customWidth="1"/>
  </cols>
  <sheetData>
    <row r="1" spans="2:54" ht="26.25" x14ac:dyDescent="0.4">
      <c r="B1" s="40" t="s">
        <v>31</v>
      </c>
      <c r="C1" s="40"/>
      <c r="D1" s="40"/>
      <c r="E1" s="40"/>
      <c r="F1" s="40"/>
      <c r="G1" s="41" t="s">
        <v>32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42" t="s">
        <v>22</v>
      </c>
      <c r="AJ2" s="42"/>
      <c r="AK2" s="42"/>
      <c r="AL2" s="42"/>
      <c r="AM2" s="42"/>
      <c r="AN2" s="42"/>
      <c r="AO2" s="42"/>
      <c r="AP2" s="42"/>
      <c r="AQ2" s="42"/>
      <c r="AR2" s="6"/>
      <c r="AS2" s="7"/>
      <c r="AT2" s="42" t="s">
        <v>23</v>
      </c>
      <c r="AU2" s="42"/>
      <c r="AV2" s="42"/>
      <c r="AW2" s="42"/>
      <c r="AX2" s="42"/>
      <c r="AY2" s="42"/>
      <c r="AZ2" s="42"/>
      <c r="BA2" s="42"/>
      <c r="BB2" s="42"/>
    </row>
    <row r="3" spans="2:54" x14ac:dyDescent="0.25">
      <c r="B3" s="9" t="s">
        <v>4</v>
      </c>
      <c r="C3" s="9" t="s">
        <v>6</v>
      </c>
      <c r="D3" s="48" t="s">
        <v>7</v>
      </c>
      <c r="E3" s="48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10">
        <v>7</v>
      </c>
      <c r="O3" s="10">
        <v>8</v>
      </c>
      <c r="P3" s="33"/>
      <c r="Q3" s="34"/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49"/>
      <c r="E4" s="49"/>
      <c r="F4" s="8">
        <v>1000</v>
      </c>
      <c r="H4" s="24" t="str">
        <f t="shared" ref="H4:O11" si="0">IF((SUMIF($AH$13:$AH$55,$B4*100+H$3,$AF$13:$AF$55)+SUMIF($AH$13:$AH$55,$B4+H$3*100,$AF$13:$AF$55))=1,(SUMIF($AH$13:$AH$55,$B4*100+H$3,$J$13:$J$55)+SUMIF($AI$13:$AI$55,$B4*100+H$3,$M$13:$M$55)),"")</f>
        <v/>
      </c>
      <c r="I4" s="25" t="str">
        <f t="shared" si="0"/>
        <v/>
      </c>
      <c r="J4" s="25" t="str">
        <f t="shared" si="0"/>
        <v/>
      </c>
      <c r="K4" s="25" t="str">
        <f t="shared" si="0"/>
        <v/>
      </c>
      <c r="L4" s="25" t="str">
        <f t="shared" si="0"/>
        <v/>
      </c>
      <c r="M4" s="25" t="str">
        <f t="shared" si="0"/>
        <v/>
      </c>
      <c r="N4" s="25" t="str">
        <f t="shared" si="0"/>
        <v/>
      </c>
      <c r="O4" s="25" t="str">
        <f t="shared" si="0"/>
        <v/>
      </c>
      <c r="P4" s="35"/>
      <c r="Q4" s="36"/>
      <c r="R4" s="39">
        <f>SUM(H4:Q4)</f>
        <v>0</v>
      </c>
      <c r="S4" s="20"/>
      <c r="T4" s="11">
        <v>1</v>
      </c>
      <c r="U4" s="30">
        <v>2</v>
      </c>
      <c r="V4" s="22" t="str">
        <f t="shared" ref="V4:V11" si="1">VLOOKUP($U4,$B$4:$R$11,2,FALSE)</f>
        <v>B</v>
      </c>
      <c r="W4" s="27">
        <f t="shared" ref="W4:W11" si="2">VLOOKUP($U4,$B$4:$R$11,17,FALSE)</f>
        <v>0</v>
      </c>
      <c r="X4" s="27">
        <f t="shared" ref="X4:X11" si="3">VLOOKUP($U4,$AC$4:$AF$11,2,FALSE)</f>
        <v>0</v>
      </c>
      <c r="Y4" s="26">
        <f t="shared" ref="Y4:Y11" si="4">VLOOKUP($U4,$AC$4:$AF$11,3,FALSE)</f>
        <v>0</v>
      </c>
      <c r="Z4" s="27">
        <f t="shared" ref="Z4:Z11" si="5">VLOOKUP($U4,$AC$4:$AF$11,4,FALSE)</f>
        <v>0</v>
      </c>
      <c r="AA4" s="28">
        <f t="shared" ref="AA4:AA11" si="6">VLOOKUP($U4,$B$4:$R$11,5,FALSE)</f>
        <v>1000</v>
      </c>
      <c r="AB4" s="20"/>
      <c r="AC4" s="23">
        <v>1</v>
      </c>
      <c r="AD4" s="18">
        <f t="shared" ref="AD4:AD11" si="7">SUMIF($AD$13:$AD$55,B4,$AJ$13:$AJ$55)+SUMIF($AE$13:$AE$55,B4,$AK$13:$AK$55)</f>
        <v>0</v>
      </c>
      <c r="AE4" s="13">
        <f t="shared" ref="AE4:AE11" si="8">SUMIF($AD$13:$AD$55,B4,$AL$13:$AL$55)+SUMIF($AE$13:$AE$55,B4,$AM$13:$AM$55)</f>
        <v>0</v>
      </c>
      <c r="AF4" s="13">
        <f>SUM(AT4:BB4)</f>
        <v>0</v>
      </c>
      <c r="AH4">
        <v>1</v>
      </c>
      <c r="AI4">
        <f t="shared" ref="AI4:AQ11" si="9" xml:space="preserve"> SUMIFS( $J$16:$J$55, $AD$16:$AD$55,$AH4, $AC$16:$AC$55,AI$3) + SUMIFS( $M$16:$M$55, $AE$16:$AE$55,$AH4, $AC$16:$AC$55,AI$3)</f>
        <v>0</v>
      </c>
      <c r="AJ4">
        <f t="shared" si="9"/>
        <v>0</v>
      </c>
      <c r="AK4">
        <f t="shared" si="9"/>
        <v>0</v>
      </c>
      <c r="AL4">
        <f t="shared" si="9"/>
        <v>0</v>
      </c>
      <c r="AM4">
        <f t="shared" si="9"/>
        <v>0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0</v>
      </c>
      <c r="AS4">
        <v>1</v>
      </c>
      <c r="AT4">
        <f>AI4</f>
        <v>0</v>
      </c>
      <c r="AU4">
        <f t="shared" ref="AU4:BB11" si="10">AT4+AJ4</f>
        <v>0</v>
      </c>
      <c r="AV4">
        <f t="shared" si="10"/>
        <v>0</v>
      </c>
      <c r="AW4">
        <f t="shared" si="10"/>
        <v>0</v>
      </c>
      <c r="AX4">
        <f t="shared" si="10"/>
        <v>0</v>
      </c>
      <c r="AY4">
        <f t="shared" si="10"/>
        <v>0</v>
      </c>
      <c r="AZ4">
        <f t="shared" si="10"/>
        <v>0</v>
      </c>
      <c r="BA4">
        <f t="shared" si="10"/>
        <v>0</v>
      </c>
      <c r="BB4">
        <f t="shared" si="10"/>
        <v>0</v>
      </c>
    </row>
    <row r="5" spans="2:54" x14ac:dyDescent="0.25">
      <c r="B5" s="8">
        <v>2</v>
      </c>
      <c r="C5" s="8" t="s">
        <v>42</v>
      </c>
      <c r="D5" s="49"/>
      <c r="E5" s="49"/>
      <c r="F5" s="8">
        <v>1000</v>
      </c>
      <c r="H5" s="25" t="str">
        <f t="shared" si="0"/>
        <v/>
      </c>
      <c r="I5" s="24" t="str">
        <f t="shared" si="0"/>
        <v/>
      </c>
      <c r="J5" s="25" t="str">
        <f t="shared" si="0"/>
        <v/>
      </c>
      <c r="K5" s="25" t="str">
        <f t="shared" si="0"/>
        <v/>
      </c>
      <c r="L5" s="25" t="str">
        <f t="shared" si="0"/>
        <v/>
      </c>
      <c r="M5" s="25" t="str">
        <f t="shared" si="0"/>
        <v/>
      </c>
      <c r="N5" s="25" t="str">
        <f t="shared" si="0"/>
        <v/>
      </c>
      <c r="O5" s="25" t="str">
        <f t="shared" si="0"/>
        <v/>
      </c>
      <c r="P5" s="35"/>
      <c r="Q5" s="36"/>
      <c r="R5" s="39">
        <f t="shared" ref="R5:R11" si="11">SUM(H5:Q5)</f>
        <v>0</v>
      </c>
      <c r="S5" s="20"/>
      <c r="T5" s="11">
        <v>2</v>
      </c>
      <c r="U5" s="30">
        <v>7</v>
      </c>
      <c r="V5" s="22" t="str">
        <f t="shared" si="1"/>
        <v>G</v>
      </c>
      <c r="W5" s="27">
        <f t="shared" si="2"/>
        <v>0</v>
      </c>
      <c r="X5" s="27">
        <f t="shared" si="3"/>
        <v>0</v>
      </c>
      <c r="Y5" s="26">
        <f t="shared" si="4"/>
        <v>0</v>
      </c>
      <c r="Z5" s="27">
        <f t="shared" si="5"/>
        <v>0</v>
      </c>
      <c r="AA5" s="28">
        <f t="shared" si="6"/>
        <v>1000</v>
      </c>
      <c r="AB5" s="20"/>
      <c r="AC5" s="23">
        <v>2</v>
      </c>
      <c r="AD5" s="18">
        <f t="shared" si="7"/>
        <v>0</v>
      </c>
      <c r="AE5" s="13">
        <f t="shared" si="8"/>
        <v>0</v>
      </c>
      <c r="AF5" s="13">
        <f t="shared" ref="AF5:AF11" si="12">SUM(AT5:BB5)</f>
        <v>0</v>
      </c>
      <c r="AH5">
        <v>2</v>
      </c>
      <c r="AI5">
        <f t="shared" si="9"/>
        <v>0</v>
      </c>
      <c r="AJ5">
        <f t="shared" si="9"/>
        <v>0</v>
      </c>
      <c r="AK5">
        <f t="shared" si="9"/>
        <v>0</v>
      </c>
      <c r="AL5">
        <f t="shared" si="9"/>
        <v>0</v>
      </c>
      <c r="AM5">
        <f t="shared" si="9"/>
        <v>0</v>
      </c>
      <c r="AN5">
        <f t="shared" si="9"/>
        <v>0</v>
      </c>
      <c r="AO5">
        <f t="shared" si="9"/>
        <v>0</v>
      </c>
      <c r="AP5">
        <f t="shared" si="9"/>
        <v>0</v>
      </c>
      <c r="AQ5">
        <f t="shared" si="9"/>
        <v>0</v>
      </c>
      <c r="AS5">
        <v>2</v>
      </c>
      <c r="AT5">
        <f t="shared" ref="AT5:AT11" si="13">AI5</f>
        <v>0</v>
      </c>
      <c r="AU5">
        <f t="shared" si="10"/>
        <v>0</v>
      </c>
      <c r="AV5">
        <f t="shared" si="10"/>
        <v>0</v>
      </c>
      <c r="AW5">
        <f t="shared" si="10"/>
        <v>0</v>
      </c>
      <c r="AX5">
        <f t="shared" si="10"/>
        <v>0</v>
      </c>
      <c r="AY5">
        <f t="shared" si="10"/>
        <v>0</v>
      </c>
      <c r="AZ5">
        <f t="shared" si="10"/>
        <v>0</v>
      </c>
      <c r="BA5">
        <f t="shared" si="10"/>
        <v>0</v>
      </c>
      <c r="BB5">
        <f t="shared" si="10"/>
        <v>0</v>
      </c>
    </row>
    <row r="6" spans="2:54" x14ac:dyDescent="0.25">
      <c r="B6" s="8">
        <v>3</v>
      </c>
      <c r="C6" s="8" t="s">
        <v>43</v>
      </c>
      <c r="D6" s="49"/>
      <c r="E6" s="49"/>
      <c r="F6" s="8">
        <v>1000</v>
      </c>
      <c r="H6" s="25" t="str">
        <f t="shared" si="0"/>
        <v/>
      </c>
      <c r="I6" s="25" t="str">
        <f t="shared" si="0"/>
        <v/>
      </c>
      <c r="J6" s="24" t="str">
        <f t="shared" si="0"/>
        <v/>
      </c>
      <c r="K6" s="25" t="str">
        <f t="shared" si="0"/>
        <v/>
      </c>
      <c r="L6" s="25" t="str">
        <f t="shared" si="0"/>
        <v/>
      </c>
      <c r="M6" s="25" t="str">
        <f t="shared" si="0"/>
        <v/>
      </c>
      <c r="N6" s="25" t="str">
        <f t="shared" si="0"/>
        <v/>
      </c>
      <c r="O6" s="25" t="str">
        <f t="shared" si="0"/>
        <v/>
      </c>
      <c r="P6" s="35"/>
      <c r="Q6" s="36"/>
      <c r="R6" s="39">
        <f t="shared" si="11"/>
        <v>0</v>
      </c>
      <c r="S6" s="20"/>
      <c r="T6" s="11">
        <v>3</v>
      </c>
      <c r="U6" s="30">
        <v>1</v>
      </c>
      <c r="V6" s="22" t="str">
        <f t="shared" si="1"/>
        <v>A</v>
      </c>
      <c r="W6" s="27">
        <f t="shared" si="2"/>
        <v>0</v>
      </c>
      <c r="X6" s="27">
        <f t="shared" si="3"/>
        <v>0</v>
      </c>
      <c r="Y6" s="26">
        <f t="shared" si="4"/>
        <v>0</v>
      </c>
      <c r="Z6" s="27">
        <f t="shared" si="5"/>
        <v>0</v>
      </c>
      <c r="AA6" s="28">
        <f t="shared" si="6"/>
        <v>1000</v>
      </c>
      <c r="AB6" s="20"/>
      <c r="AC6" s="23">
        <v>3</v>
      </c>
      <c r="AD6" s="18">
        <f t="shared" si="7"/>
        <v>0</v>
      </c>
      <c r="AE6" s="13">
        <f t="shared" si="8"/>
        <v>0</v>
      </c>
      <c r="AF6" s="13">
        <f t="shared" si="12"/>
        <v>0</v>
      </c>
      <c r="AH6">
        <v>3</v>
      </c>
      <c r="AI6">
        <f t="shared" si="9"/>
        <v>0</v>
      </c>
      <c r="AJ6">
        <f t="shared" si="9"/>
        <v>0</v>
      </c>
      <c r="AK6">
        <f t="shared" si="9"/>
        <v>0</v>
      </c>
      <c r="AL6">
        <f t="shared" si="9"/>
        <v>0</v>
      </c>
      <c r="AM6">
        <f t="shared" si="9"/>
        <v>0</v>
      </c>
      <c r="AN6">
        <f t="shared" si="9"/>
        <v>0</v>
      </c>
      <c r="AO6">
        <f t="shared" si="9"/>
        <v>0</v>
      </c>
      <c r="AP6">
        <f t="shared" si="9"/>
        <v>0</v>
      </c>
      <c r="AQ6">
        <f t="shared" si="9"/>
        <v>0</v>
      </c>
      <c r="AS6">
        <v>3</v>
      </c>
      <c r="AT6">
        <f t="shared" si="13"/>
        <v>0</v>
      </c>
      <c r="AU6">
        <f t="shared" si="10"/>
        <v>0</v>
      </c>
      <c r="AV6">
        <f t="shared" si="10"/>
        <v>0</v>
      </c>
      <c r="AW6">
        <f t="shared" si="10"/>
        <v>0</v>
      </c>
      <c r="AX6">
        <f t="shared" si="10"/>
        <v>0</v>
      </c>
      <c r="AY6">
        <f t="shared" si="10"/>
        <v>0</v>
      </c>
      <c r="AZ6">
        <f t="shared" si="10"/>
        <v>0</v>
      </c>
      <c r="BA6">
        <f t="shared" si="10"/>
        <v>0</v>
      </c>
      <c r="BB6">
        <f t="shared" si="10"/>
        <v>0</v>
      </c>
    </row>
    <row r="7" spans="2:54" x14ac:dyDescent="0.25">
      <c r="B7" s="8">
        <v>4</v>
      </c>
      <c r="C7" s="8" t="s">
        <v>44</v>
      </c>
      <c r="D7" s="49"/>
      <c r="E7" s="49"/>
      <c r="F7" s="8">
        <v>1000</v>
      </c>
      <c r="H7" s="25" t="str">
        <f t="shared" si="0"/>
        <v/>
      </c>
      <c r="I7" s="25" t="str">
        <f t="shared" si="0"/>
        <v/>
      </c>
      <c r="J7" s="25" t="str">
        <f t="shared" si="0"/>
        <v/>
      </c>
      <c r="K7" s="24" t="str">
        <f t="shared" si="0"/>
        <v/>
      </c>
      <c r="L7" s="25" t="str">
        <f t="shared" si="0"/>
        <v/>
      </c>
      <c r="M7" s="25" t="str">
        <f t="shared" si="0"/>
        <v/>
      </c>
      <c r="N7" s="25" t="str">
        <f t="shared" si="0"/>
        <v/>
      </c>
      <c r="O7" s="25" t="str">
        <f t="shared" si="0"/>
        <v/>
      </c>
      <c r="P7" s="35"/>
      <c r="Q7" s="36"/>
      <c r="R7" s="39">
        <f t="shared" si="11"/>
        <v>0</v>
      </c>
      <c r="S7" s="20"/>
      <c r="T7" s="11">
        <v>4</v>
      </c>
      <c r="U7" s="30">
        <v>6</v>
      </c>
      <c r="V7" s="22" t="str">
        <f t="shared" si="1"/>
        <v>F</v>
      </c>
      <c r="W7" s="27">
        <f t="shared" si="2"/>
        <v>0</v>
      </c>
      <c r="X7" s="27">
        <f t="shared" si="3"/>
        <v>0</v>
      </c>
      <c r="Y7" s="26">
        <f t="shared" si="4"/>
        <v>0</v>
      </c>
      <c r="Z7" s="27">
        <f t="shared" si="5"/>
        <v>0</v>
      </c>
      <c r="AA7" s="28">
        <f t="shared" si="6"/>
        <v>1000</v>
      </c>
      <c r="AB7" s="20"/>
      <c r="AC7" s="23">
        <v>4</v>
      </c>
      <c r="AD7" s="18">
        <f t="shared" si="7"/>
        <v>0</v>
      </c>
      <c r="AE7" s="13">
        <f t="shared" si="8"/>
        <v>0</v>
      </c>
      <c r="AF7" s="13">
        <f t="shared" si="12"/>
        <v>0</v>
      </c>
      <c r="AH7">
        <v>4</v>
      </c>
      <c r="AI7">
        <f t="shared" si="9"/>
        <v>0</v>
      </c>
      <c r="AJ7">
        <f t="shared" si="9"/>
        <v>0</v>
      </c>
      <c r="AK7">
        <f t="shared" si="9"/>
        <v>0</v>
      </c>
      <c r="AL7">
        <f t="shared" si="9"/>
        <v>0</v>
      </c>
      <c r="AM7">
        <f t="shared" si="9"/>
        <v>0</v>
      </c>
      <c r="AN7">
        <f t="shared" si="9"/>
        <v>0</v>
      </c>
      <c r="AO7">
        <f t="shared" si="9"/>
        <v>0</v>
      </c>
      <c r="AP7">
        <f t="shared" si="9"/>
        <v>0</v>
      </c>
      <c r="AQ7">
        <f t="shared" si="9"/>
        <v>0</v>
      </c>
      <c r="AS7">
        <v>4</v>
      </c>
      <c r="AT7">
        <f t="shared" si="13"/>
        <v>0</v>
      </c>
      <c r="AU7">
        <f t="shared" si="10"/>
        <v>0</v>
      </c>
      <c r="AV7">
        <f t="shared" si="10"/>
        <v>0</v>
      </c>
      <c r="AW7">
        <f t="shared" si="10"/>
        <v>0</v>
      </c>
      <c r="AX7">
        <f t="shared" si="10"/>
        <v>0</v>
      </c>
      <c r="AY7">
        <f t="shared" si="10"/>
        <v>0</v>
      </c>
      <c r="AZ7">
        <f t="shared" si="10"/>
        <v>0</v>
      </c>
      <c r="BA7">
        <f t="shared" si="10"/>
        <v>0</v>
      </c>
      <c r="BB7">
        <f t="shared" si="10"/>
        <v>0</v>
      </c>
    </row>
    <row r="8" spans="2:54" x14ac:dyDescent="0.25">
      <c r="B8" s="8">
        <v>5</v>
      </c>
      <c r="C8" s="8" t="s">
        <v>48</v>
      </c>
      <c r="D8" s="49"/>
      <c r="E8" s="49"/>
      <c r="F8" s="8">
        <v>1000</v>
      </c>
      <c r="H8" s="25" t="str">
        <f t="shared" si="0"/>
        <v/>
      </c>
      <c r="I8" s="25" t="str">
        <f t="shared" si="0"/>
        <v/>
      </c>
      <c r="J8" s="25" t="str">
        <f t="shared" si="0"/>
        <v/>
      </c>
      <c r="K8" s="25" t="str">
        <f t="shared" si="0"/>
        <v/>
      </c>
      <c r="L8" s="24" t="str">
        <f t="shared" si="0"/>
        <v/>
      </c>
      <c r="M8" s="25" t="str">
        <f t="shared" si="0"/>
        <v/>
      </c>
      <c r="N8" s="25" t="str">
        <f t="shared" si="0"/>
        <v/>
      </c>
      <c r="O8" s="25" t="str">
        <f t="shared" si="0"/>
        <v/>
      </c>
      <c r="P8" s="35"/>
      <c r="Q8" s="36"/>
      <c r="R8" s="39">
        <f t="shared" si="11"/>
        <v>0</v>
      </c>
      <c r="S8" s="20"/>
      <c r="T8" s="11">
        <v>5</v>
      </c>
      <c r="U8" s="30">
        <v>3</v>
      </c>
      <c r="V8" s="22" t="str">
        <f t="shared" si="1"/>
        <v>C</v>
      </c>
      <c r="W8" s="27">
        <f t="shared" si="2"/>
        <v>0</v>
      </c>
      <c r="X8" s="27">
        <f t="shared" si="3"/>
        <v>0</v>
      </c>
      <c r="Y8" s="26">
        <f t="shared" si="4"/>
        <v>0</v>
      </c>
      <c r="Z8" s="27">
        <f t="shared" si="5"/>
        <v>0</v>
      </c>
      <c r="AA8" s="28">
        <f t="shared" si="6"/>
        <v>1000</v>
      </c>
      <c r="AB8" s="20"/>
      <c r="AC8" s="23">
        <v>5</v>
      </c>
      <c r="AD8" s="18">
        <f t="shared" si="7"/>
        <v>0</v>
      </c>
      <c r="AE8" s="13">
        <f t="shared" si="8"/>
        <v>0</v>
      </c>
      <c r="AF8" s="13">
        <f t="shared" si="12"/>
        <v>0</v>
      </c>
      <c r="AH8">
        <v>5</v>
      </c>
      <c r="AI8">
        <f t="shared" si="9"/>
        <v>0</v>
      </c>
      <c r="AJ8">
        <f t="shared" si="9"/>
        <v>0</v>
      </c>
      <c r="AK8">
        <f t="shared" si="9"/>
        <v>0</v>
      </c>
      <c r="AL8">
        <f t="shared" si="9"/>
        <v>0</v>
      </c>
      <c r="AM8">
        <f t="shared" si="9"/>
        <v>0</v>
      </c>
      <c r="AN8">
        <f t="shared" si="9"/>
        <v>0</v>
      </c>
      <c r="AO8">
        <f t="shared" si="9"/>
        <v>0</v>
      </c>
      <c r="AP8">
        <f t="shared" si="9"/>
        <v>0</v>
      </c>
      <c r="AQ8">
        <f t="shared" si="9"/>
        <v>0</v>
      </c>
      <c r="AS8">
        <v>5</v>
      </c>
      <c r="AT8">
        <f t="shared" si="13"/>
        <v>0</v>
      </c>
      <c r="AU8">
        <f t="shared" si="10"/>
        <v>0</v>
      </c>
      <c r="AV8">
        <f t="shared" si="10"/>
        <v>0</v>
      </c>
      <c r="AW8">
        <f t="shared" si="10"/>
        <v>0</v>
      </c>
      <c r="AX8">
        <f t="shared" si="10"/>
        <v>0</v>
      </c>
      <c r="AY8">
        <f t="shared" si="10"/>
        <v>0</v>
      </c>
      <c r="AZ8">
        <f t="shared" si="10"/>
        <v>0</v>
      </c>
      <c r="BA8">
        <f t="shared" si="10"/>
        <v>0</v>
      </c>
      <c r="BB8">
        <f t="shared" si="10"/>
        <v>0</v>
      </c>
    </row>
    <row r="9" spans="2:54" x14ac:dyDescent="0.25">
      <c r="B9" s="8">
        <v>6</v>
      </c>
      <c r="C9" s="8" t="s">
        <v>45</v>
      </c>
      <c r="D9" s="49"/>
      <c r="E9" s="49"/>
      <c r="F9" s="8">
        <v>1000</v>
      </c>
      <c r="H9" s="25" t="str">
        <f t="shared" si="0"/>
        <v/>
      </c>
      <c r="I9" s="25" t="str">
        <f t="shared" si="0"/>
        <v/>
      </c>
      <c r="J9" s="25" t="str">
        <f t="shared" si="0"/>
        <v/>
      </c>
      <c r="K9" s="25" t="str">
        <f t="shared" si="0"/>
        <v/>
      </c>
      <c r="L9" s="25" t="str">
        <f t="shared" si="0"/>
        <v/>
      </c>
      <c r="M9" s="24" t="str">
        <f t="shared" si="0"/>
        <v/>
      </c>
      <c r="N9" s="25" t="str">
        <f t="shared" si="0"/>
        <v/>
      </c>
      <c r="O9" s="25" t="str">
        <f t="shared" si="0"/>
        <v/>
      </c>
      <c r="P9" s="35"/>
      <c r="Q9" s="36"/>
      <c r="R9" s="39">
        <f t="shared" si="11"/>
        <v>0</v>
      </c>
      <c r="S9" s="20"/>
      <c r="T9" s="11">
        <v>6</v>
      </c>
      <c r="U9" s="30">
        <v>5</v>
      </c>
      <c r="V9" s="22" t="str">
        <f t="shared" si="1"/>
        <v>E</v>
      </c>
      <c r="W9" s="27">
        <f t="shared" si="2"/>
        <v>0</v>
      </c>
      <c r="X9" s="27">
        <f t="shared" si="3"/>
        <v>0</v>
      </c>
      <c r="Y9" s="26">
        <f t="shared" si="4"/>
        <v>0</v>
      </c>
      <c r="Z9" s="27">
        <f t="shared" si="5"/>
        <v>0</v>
      </c>
      <c r="AA9" s="28">
        <f t="shared" si="6"/>
        <v>1000</v>
      </c>
      <c r="AB9" s="20"/>
      <c r="AC9" s="23">
        <v>6</v>
      </c>
      <c r="AD9" s="18">
        <f t="shared" si="7"/>
        <v>0</v>
      </c>
      <c r="AE9" s="13">
        <f t="shared" si="8"/>
        <v>0</v>
      </c>
      <c r="AF9" s="13">
        <f t="shared" si="12"/>
        <v>0</v>
      </c>
      <c r="AH9">
        <v>6</v>
      </c>
      <c r="AI9">
        <f t="shared" si="9"/>
        <v>0</v>
      </c>
      <c r="AJ9">
        <f t="shared" si="9"/>
        <v>0</v>
      </c>
      <c r="AK9">
        <f t="shared" si="9"/>
        <v>0</v>
      </c>
      <c r="AL9">
        <f t="shared" si="9"/>
        <v>0</v>
      </c>
      <c r="AM9">
        <f t="shared" si="9"/>
        <v>0</v>
      </c>
      <c r="AN9">
        <f t="shared" si="9"/>
        <v>0</v>
      </c>
      <c r="AO9">
        <f t="shared" si="9"/>
        <v>0</v>
      </c>
      <c r="AP9">
        <f t="shared" si="9"/>
        <v>0</v>
      </c>
      <c r="AQ9">
        <f t="shared" si="9"/>
        <v>0</v>
      </c>
      <c r="AS9">
        <v>6</v>
      </c>
      <c r="AT9">
        <f t="shared" si="13"/>
        <v>0</v>
      </c>
      <c r="AU9">
        <f t="shared" si="10"/>
        <v>0</v>
      </c>
      <c r="AV9">
        <f t="shared" si="10"/>
        <v>0</v>
      </c>
      <c r="AW9">
        <f t="shared" si="10"/>
        <v>0</v>
      </c>
      <c r="AX9">
        <f t="shared" si="10"/>
        <v>0</v>
      </c>
      <c r="AY9">
        <f t="shared" si="10"/>
        <v>0</v>
      </c>
      <c r="AZ9">
        <f t="shared" si="10"/>
        <v>0</v>
      </c>
      <c r="BA9">
        <f t="shared" si="10"/>
        <v>0</v>
      </c>
      <c r="BB9">
        <f t="shared" si="10"/>
        <v>0</v>
      </c>
    </row>
    <row r="10" spans="2:54" x14ac:dyDescent="0.25">
      <c r="B10" s="8">
        <v>7</v>
      </c>
      <c r="C10" s="8" t="s">
        <v>46</v>
      </c>
      <c r="D10" s="49"/>
      <c r="E10" s="49"/>
      <c r="F10" s="8">
        <v>1000</v>
      </c>
      <c r="H10" s="25" t="str">
        <f t="shared" si="0"/>
        <v/>
      </c>
      <c r="I10" s="25" t="str">
        <f t="shared" si="0"/>
        <v/>
      </c>
      <c r="J10" s="25" t="str">
        <f t="shared" si="0"/>
        <v/>
      </c>
      <c r="K10" s="25" t="str">
        <f t="shared" si="0"/>
        <v/>
      </c>
      <c r="L10" s="25" t="str">
        <f t="shared" si="0"/>
        <v/>
      </c>
      <c r="M10" s="25" t="str">
        <f t="shared" si="0"/>
        <v/>
      </c>
      <c r="N10" s="24" t="str">
        <f t="shared" si="0"/>
        <v/>
      </c>
      <c r="O10" s="25" t="str">
        <f t="shared" si="0"/>
        <v/>
      </c>
      <c r="P10" s="35"/>
      <c r="Q10" s="36"/>
      <c r="R10" s="39">
        <f t="shared" si="11"/>
        <v>0</v>
      </c>
      <c r="S10" s="20"/>
      <c r="T10" s="11">
        <v>7</v>
      </c>
      <c r="U10" s="30">
        <v>4</v>
      </c>
      <c r="V10" s="22" t="str">
        <f t="shared" si="1"/>
        <v>D</v>
      </c>
      <c r="W10" s="27">
        <f t="shared" si="2"/>
        <v>0</v>
      </c>
      <c r="X10" s="27">
        <f t="shared" si="3"/>
        <v>0</v>
      </c>
      <c r="Y10" s="26">
        <f t="shared" si="4"/>
        <v>0</v>
      </c>
      <c r="Z10" s="27">
        <f t="shared" si="5"/>
        <v>0</v>
      </c>
      <c r="AA10" s="28">
        <f t="shared" si="6"/>
        <v>1000</v>
      </c>
      <c r="AB10" s="20"/>
      <c r="AC10" s="23">
        <v>7</v>
      </c>
      <c r="AD10" s="18">
        <f t="shared" si="7"/>
        <v>0</v>
      </c>
      <c r="AE10" s="13">
        <f t="shared" si="8"/>
        <v>0</v>
      </c>
      <c r="AF10" s="13">
        <f t="shared" si="12"/>
        <v>0</v>
      </c>
      <c r="AH10">
        <v>7</v>
      </c>
      <c r="AI10">
        <f t="shared" si="9"/>
        <v>0</v>
      </c>
      <c r="AJ10">
        <f t="shared" si="9"/>
        <v>0</v>
      </c>
      <c r="AK10">
        <f t="shared" si="9"/>
        <v>0</v>
      </c>
      <c r="AL10">
        <f t="shared" si="9"/>
        <v>0</v>
      </c>
      <c r="AM10">
        <f t="shared" si="9"/>
        <v>0</v>
      </c>
      <c r="AN10">
        <f t="shared" si="9"/>
        <v>0</v>
      </c>
      <c r="AO10">
        <f t="shared" si="9"/>
        <v>0</v>
      </c>
      <c r="AP10">
        <f t="shared" si="9"/>
        <v>0</v>
      </c>
      <c r="AQ10">
        <f t="shared" si="9"/>
        <v>0</v>
      </c>
      <c r="AS10">
        <v>7</v>
      </c>
      <c r="AT10">
        <f t="shared" si="13"/>
        <v>0</v>
      </c>
      <c r="AU10">
        <f t="shared" si="10"/>
        <v>0</v>
      </c>
      <c r="AV10">
        <f t="shared" si="10"/>
        <v>0</v>
      </c>
      <c r="AW10">
        <f t="shared" si="10"/>
        <v>0</v>
      </c>
      <c r="AX10">
        <f t="shared" si="10"/>
        <v>0</v>
      </c>
      <c r="AY10">
        <f t="shared" si="10"/>
        <v>0</v>
      </c>
      <c r="AZ10">
        <f t="shared" si="10"/>
        <v>0</v>
      </c>
      <c r="BA10">
        <f t="shared" si="10"/>
        <v>0</v>
      </c>
      <c r="BB10">
        <f t="shared" si="10"/>
        <v>0</v>
      </c>
    </row>
    <row r="11" spans="2:54" x14ac:dyDescent="0.25">
      <c r="B11" s="8">
        <v>8</v>
      </c>
      <c r="C11" s="8" t="s">
        <v>47</v>
      </c>
      <c r="D11" s="49"/>
      <c r="E11" s="49"/>
      <c r="F11" s="8">
        <v>1000</v>
      </c>
      <c r="H11" s="25" t="str">
        <f t="shared" si="0"/>
        <v/>
      </c>
      <c r="I11" s="25" t="str">
        <f t="shared" si="0"/>
        <v/>
      </c>
      <c r="J11" s="25" t="str">
        <f t="shared" si="0"/>
        <v/>
      </c>
      <c r="K11" s="25" t="str">
        <f t="shared" si="0"/>
        <v/>
      </c>
      <c r="L11" s="25" t="str">
        <f t="shared" si="0"/>
        <v/>
      </c>
      <c r="M11" s="25" t="str">
        <f t="shared" si="0"/>
        <v/>
      </c>
      <c r="N11" s="25" t="str">
        <f t="shared" si="0"/>
        <v/>
      </c>
      <c r="O11" s="24" t="str">
        <f t="shared" si="0"/>
        <v/>
      </c>
      <c r="P11" s="35"/>
      <c r="Q11" s="36"/>
      <c r="R11" s="39">
        <f t="shared" si="11"/>
        <v>0</v>
      </c>
      <c r="S11" s="20"/>
      <c r="T11" s="11">
        <v>8</v>
      </c>
      <c r="U11" s="30">
        <v>8</v>
      </c>
      <c r="V11" s="22" t="str">
        <f t="shared" si="1"/>
        <v>H</v>
      </c>
      <c r="W11" s="27">
        <f t="shared" si="2"/>
        <v>0</v>
      </c>
      <c r="X11" s="27">
        <f t="shared" si="3"/>
        <v>0</v>
      </c>
      <c r="Y11" s="26">
        <f t="shared" si="4"/>
        <v>0</v>
      </c>
      <c r="Z11" s="27">
        <f t="shared" si="5"/>
        <v>0</v>
      </c>
      <c r="AA11" s="28">
        <f t="shared" si="6"/>
        <v>1000</v>
      </c>
      <c r="AB11" s="20"/>
      <c r="AC11" s="23">
        <v>8</v>
      </c>
      <c r="AD11" s="18">
        <f t="shared" si="7"/>
        <v>0</v>
      </c>
      <c r="AE11" s="13">
        <f t="shared" si="8"/>
        <v>0</v>
      </c>
      <c r="AF11" s="13">
        <f t="shared" si="12"/>
        <v>0</v>
      </c>
      <c r="AH11">
        <v>8</v>
      </c>
      <c r="AI11">
        <f t="shared" si="9"/>
        <v>0</v>
      </c>
      <c r="AJ11">
        <f t="shared" si="9"/>
        <v>0</v>
      </c>
      <c r="AK11">
        <f t="shared" si="9"/>
        <v>0</v>
      </c>
      <c r="AL11">
        <f t="shared" si="9"/>
        <v>0</v>
      </c>
      <c r="AM11">
        <f t="shared" si="9"/>
        <v>0</v>
      </c>
      <c r="AN11">
        <f t="shared" si="9"/>
        <v>0</v>
      </c>
      <c r="AO11">
        <f t="shared" si="9"/>
        <v>0</v>
      </c>
      <c r="AP11">
        <f t="shared" si="9"/>
        <v>0</v>
      </c>
      <c r="AQ11">
        <f t="shared" si="9"/>
        <v>0</v>
      </c>
      <c r="AS11">
        <v>8</v>
      </c>
      <c r="AT11">
        <f t="shared" si="13"/>
        <v>0</v>
      </c>
      <c r="AU11">
        <f t="shared" si="10"/>
        <v>0</v>
      </c>
      <c r="AV11">
        <f t="shared" si="10"/>
        <v>0</v>
      </c>
      <c r="AW11">
        <f t="shared" si="10"/>
        <v>0</v>
      </c>
      <c r="AX11">
        <f t="shared" si="10"/>
        <v>0</v>
      </c>
      <c r="AY11">
        <f t="shared" si="10"/>
        <v>0</v>
      </c>
      <c r="AZ11">
        <f t="shared" si="10"/>
        <v>0</v>
      </c>
      <c r="BA11">
        <f t="shared" si="10"/>
        <v>0</v>
      </c>
      <c r="BB11">
        <f t="shared" si="10"/>
        <v>0</v>
      </c>
    </row>
    <row r="12" spans="2:54" hidden="1" x14ac:dyDescent="0.25"/>
    <row r="13" spans="2:54" x14ac:dyDescent="0.25">
      <c r="AC13" s="32" t="s">
        <v>40</v>
      </c>
      <c r="AD13" s="32" t="s">
        <v>0</v>
      </c>
      <c r="AE13" s="32" t="s">
        <v>1</v>
      </c>
      <c r="AF13" s="32" t="s">
        <v>2</v>
      </c>
      <c r="AH13" s="14" t="s">
        <v>38</v>
      </c>
      <c r="AI13" s="14" t="s">
        <v>39</v>
      </c>
      <c r="AJ13" t="s">
        <v>18</v>
      </c>
      <c r="AK13" t="s">
        <v>19</v>
      </c>
      <c r="AL13" t="s">
        <v>20</v>
      </c>
      <c r="AM13" t="s">
        <v>21</v>
      </c>
    </row>
    <row r="14" spans="2:54" ht="3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AH14" s="21"/>
      <c r="AI14" s="21"/>
      <c r="AJ14" s="3"/>
      <c r="AK14" s="3"/>
      <c r="AL14" s="3"/>
      <c r="AM14" s="3"/>
    </row>
    <row r="15" spans="2:54" x14ac:dyDescent="0.25">
      <c r="B15" s="1" t="s">
        <v>3</v>
      </c>
      <c r="AH15" s="14"/>
      <c r="AI15" s="14"/>
    </row>
    <row r="16" spans="2:54" x14ac:dyDescent="0.25">
      <c r="B16">
        <v>1</v>
      </c>
      <c r="C16" t="str">
        <f>VLOOKUP(AD16,$B$4:$F$11,2,FALSE)</f>
        <v>A</v>
      </c>
      <c r="D16" s="2" t="s">
        <v>5</v>
      </c>
      <c r="E16" s="45" t="str">
        <f>VLOOKUP(AE16,$B$4:$F$11,2,FALSE)</f>
        <v>H</v>
      </c>
      <c r="F16" s="45"/>
      <c r="G16" s="45"/>
      <c r="H16" s="45"/>
      <c r="J16" s="43"/>
      <c r="K16" s="44"/>
      <c r="L16" s="2"/>
      <c r="M16" s="43"/>
      <c r="N16" s="44"/>
      <c r="AC16">
        <v>1</v>
      </c>
      <c r="AD16">
        <v>1</v>
      </c>
      <c r="AE16">
        <v>8</v>
      </c>
      <c r="AF16">
        <f>IF(AND(ISNUMBER(J16),ISNUMBER(M16),(J16+M16=1)),1,0)</f>
        <v>0</v>
      </c>
      <c r="AH16" s="15">
        <f>AD16*100+AE16</f>
        <v>108</v>
      </c>
      <c r="AI16" s="15">
        <f>AE16*100+AD16</f>
        <v>801</v>
      </c>
      <c r="AJ16">
        <v>0</v>
      </c>
      <c r="AK16">
        <v>0</v>
      </c>
      <c r="AL16">
        <f>J16*AK16</f>
        <v>0</v>
      </c>
      <c r="AM16">
        <f>M16*AJ16</f>
        <v>0</v>
      </c>
    </row>
    <row r="17" spans="2:39" x14ac:dyDescent="0.25">
      <c r="B17">
        <v>2</v>
      </c>
      <c r="C17" t="str">
        <f>VLOOKUP(AD17,$B$4:$F$11,2,FALSE)</f>
        <v>B</v>
      </c>
      <c r="D17" s="2" t="s">
        <v>5</v>
      </c>
      <c r="E17" s="45" t="str">
        <f>VLOOKUP(AE17,$B$4:$F$11,2,FALSE)</f>
        <v>G</v>
      </c>
      <c r="F17" s="45"/>
      <c r="G17" s="45"/>
      <c r="H17" s="45"/>
      <c r="J17" s="43"/>
      <c r="K17" s="44"/>
      <c r="L17" s="2"/>
      <c r="M17" s="43"/>
      <c r="N17" s="44"/>
      <c r="AC17">
        <v>1</v>
      </c>
      <c r="AD17">
        <v>2</v>
      </c>
      <c r="AE17">
        <v>7</v>
      </c>
      <c r="AF17">
        <f>IF(AND(ISNUMBER(J17),ISNUMBER(M17),(J17+M17=1)),1,0)</f>
        <v>0</v>
      </c>
      <c r="AH17" s="15">
        <f>AD17*100+AE17</f>
        <v>207</v>
      </c>
      <c r="AI17" s="15">
        <f>AE17*100+AD17</f>
        <v>702</v>
      </c>
      <c r="AJ17">
        <v>0</v>
      </c>
      <c r="AK17">
        <v>0</v>
      </c>
      <c r="AL17">
        <f>J17*AK17</f>
        <v>0</v>
      </c>
      <c r="AM17">
        <f>M17*AJ17</f>
        <v>0</v>
      </c>
    </row>
    <row r="18" spans="2:39" x14ac:dyDescent="0.25">
      <c r="B18">
        <v>3</v>
      </c>
      <c r="C18" t="str">
        <f>VLOOKUP(AD18,$B$4:$F$11,2,FALSE)</f>
        <v>C</v>
      </c>
      <c r="D18" s="2" t="s">
        <v>5</v>
      </c>
      <c r="E18" s="45" t="str">
        <f>VLOOKUP(AE18,$B$4:$F$11,2,FALSE)</f>
        <v>F</v>
      </c>
      <c r="F18" s="45"/>
      <c r="G18" s="45"/>
      <c r="H18" s="45"/>
      <c r="J18" s="43"/>
      <c r="K18" s="44"/>
      <c r="L18" s="2"/>
      <c r="M18" s="43"/>
      <c r="N18" s="44"/>
      <c r="AC18">
        <v>1</v>
      </c>
      <c r="AD18">
        <v>3</v>
      </c>
      <c r="AE18">
        <v>6</v>
      </c>
      <c r="AF18">
        <f>IF(AND(ISNUMBER(J18),ISNUMBER(M18),(J18+M18=1)),1,0)</f>
        <v>0</v>
      </c>
      <c r="AH18" s="15">
        <f>AD18*100+AE18</f>
        <v>306</v>
      </c>
      <c r="AI18" s="15">
        <f>AE18*100+AD18</f>
        <v>603</v>
      </c>
      <c r="AJ18">
        <v>0</v>
      </c>
      <c r="AK18">
        <v>0</v>
      </c>
      <c r="AL18">
        <f>J18*AK18</f>
        <v>0</v>
      </c>
      <c r="AM18">
        <f>M18*AJ18</f>
        <v>0</v>
      </c>
    </row>
    <row r="19" spans="2:39" x14ac:dyDescent="0.25">
      <c r="B19">
        <v>4</v>
      </c>
      <c r="C19" t="str">
        <f>VLOOKUP(AD19,$B$4:$F$11,2,FALSE)</f>
        <v>D</v>
      </c>
      <c r="D19" s="2" t="s">
        <v>5</v>
      </c>
      <c r="E19" s="45" t="str">
        <f>VLOOKUP(AE19,$B$4:$F$11,2,FALSE)</f>
        <v>E</v>
      </c>
      <c r="F19" s="45"/>
      <c r="G19" s="45"/>
      <c r="H19" s="45"/>
      <c r="J19" s="43"/>
      <c r="K19" s="44"/>
      <c r="L19" s="2"/>
      <c r="M19" s="43"/>
      <c r="N19" s="44"/>
      <c r="AC19">
        <v>1</v>
      </c>
      <c r="AD19">
        <v>4</v>
      </c>
      <c r="AE19">
        <v>5</v>
      </c>
      <c r="AF19">
        <f>IF(AND(ISNUMBER(J19),ISNUMBER(M19),(J19+M19=1)),1,0)</f>
        <v>0</v>
      </c>
      <c r="AH19" s="15">
        <f>AD19*100+AE19</f>
        <v>405</v>
      </c>
      <c r="AI19" s="15">
        <f>AE19*100+AD19</f>
        <v>504</v>
      </c>
      <c r="AJ19">
        <v>0</v>
      </c>
      <c r="AK19">
        <v>0</v>
      </c>
      <c r="AL19">
        <f>J19*AK19</f>
        <v>0</v>
      </c>
      <c r="AM19">
        <f>M19*AJ19</f>
        <v>0</v>
      </c>
    </row>
    <row r="20" spans="2:39" ht="3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AH20" s="14"/>
      <c r="AI20" s="14"/>
    </row>
    <row r="21" spans="2:39" x14ac:dyDescent="0.25">
      <c r="B21" s="1" t="s">
        <v>9</v>
      </c>
      <c r="AH21" s="14"/>
      <c r="AI21" s="14"/>
    </row>
    <row r="22" spans="2:39" x14ac:dyDescent="0.25">
      <c r="B22">
        <v>1</v>
      </c>
      <c r="C22" t="str">
        <f>VLOOKUP(AD22,$B$4:$F$11,2,FALSE)</f>
        <v>H</v>
      </c>
      <c r="D22" s="2" t="s">
        <v>5</v>
      </c>
      <c r="E22" s="45" t="str">
        <f>VLOOKUP(AE22,$B$4:$F$11,2,FALSE)</f>
        <v>E</v>
      </c>
      <c r="F22" s="45"/>
      <c r="G22" s="45"/>
      <c r="H22" s="45"/>
      <c r="J22" s="43"/>
      <c r="K22" s="44"/>
      <c r="L22" s="2"/>
      <c r="M22" s="43"/>
      <c r="N22" s="44"/>
      <c r="AC22">
        <v>2</v>
      </c>
      <c r="AD22">
        <v>8</v>
      </c>
      <c r="AE22">
        <v>5</v>
      </c>
      <c r="AF22">
        <f>IF(AND(ISNUMBER(J22),ISNUMBER(M22),(J22+M22=1)),1,0)</f>
        <v>0</v>
      </c>
      <c r="AH22" s="15">
        <f>AD22*100+AE22</f>
        <v>805</v>
      </c>
      <c r="AI22" s="15">
        <f>AE22*100+AD22</f>
        <v>508</v>
      </c>
      <c r="AJ22">
        <f t="shared" ref="AJ22:AK25" si="14">VLOOKUP(AD22,$AS$3:$BB$11,$AC22,FALSE)</f>
        <v>0</v>
      </c>
      <c r="AK22">
        <f t="shared" si="14"/>
        <v>0</v>
      </c>
      <c r="AL22">
        <f>J22*AK22</f>
        <v>0</v>
      </c>
      <c r="AM22">
        <f>M22*AJ22</f>
        <v>0</v>
      </c>
    </row>
    <row r="23" spans="2:39" x14ac:dyDescent="0.25">
      <c r="B23">
        <v>2</v>
      </c>
      <c r="C23" t="str">
        <f>VLOOKUP(AD23,$B$4:$F$11,2,FALSE)</f>
        <v>F</v>
      </c>
      <c r="D23" s="2" t="s">
        <v>5</v>
      </c>
      <c r="E23" s="45" t="str">
        <f>VLOOKUP(AE23,$B$4:$F$11,2,FALSE)</f>
        <v>D</v>
      </c>
      <c r="F23" s="45"/>
      <c r="G23" s="45"/>
      <c r="H23" s="45"/>
      <c r="J23" s="43"/>
      <c r="K23" s="44"/>
      <c r="L23" s="2"/>
      <c r="M23" s="43"/>
      <c r="N23" s="44"/>
      <c r="AC23">
        <v>2</v>
      </c>
      <c r="AD23">
        <v>6</v>
      </c>
      <c r="AE23">
        <v>4</v>
      </c>
      <c r="AF23">
        <f>IF(AND(ISNUMBER(J23),ISNUMBER(M23),(J23+M23=1)),1,0)</f>
        <v>0</v>
      </c>
      <c r="AH23" s="15">
        <f>AD23*100+AE23</f>
        <v>604</v>
      </c>
      <c r="AI23" s="15">
        <f>AE23*100+AD23</f>
        <v>406</v>
      </c>
      <c r="AJ23">
        <f t="shared" si="14"/>
        <v>0</v>
      </c>
      <c r="AK23">
        <f t="shared" si="14"/>
        <v>0</v>
      </c>
      <c r="AL23">
        <f>J23*AK23</f>
        <v>0</v>
      </c>
      <c r="AM23">
        <f>M23*AJ23</f>
        <v>0</v>
      </c>
    </row>
    <row r="24" spans="2:39" x14ac:dyDescent="0.25">
      <c r="B24">
        <v>3</v>
      </c>
      <c r="C24" t="str">
        <f>VLOOKUP(AD24,$B$4:$F$11,2,FALSE)</f>
        <v>G</v>
      </c>
      <c r="D24" s="2" t="s">
        <v>5</v>
      </c>
      <c r="E24" s="45" t="str">
        <f>VLOOKUP(AE24,$B$4:$F$11,2,FALSE)</f>
        <v>C</v>
      </c>
      <c r="F24" s="45"/>
      <c r="G24" s="45"/>
      <c r="H24" s="45"/>
      <c r="J24" s="43"/>
      <c r="K24" s="44"/>
      <c r="L24" s="2"/>
      <c r="M24" s="43"/>
      <c r="N24" s="44"/>
      <c r="AC24">
        <v>2</v>
      </c>
      <c r="AD24">
        <v>7</v>
      </c>
      <c r="AE24">
        <v>3</v>
      </c>
      <c r="AF24">
        <f>IF(AND(ISNUMBER(J24),ISNUMBER(M24),(J24+M24=1)),1,0)</f>
        <v>0</v>
      </c>
      <c r="AH24" s="15">
        <f>AD24*100+AE24</f>
        <v>703</v>
      </c>
      <c r="AI24" s="15">
        <f>AE24*100+AD24</f>
        <v>307</v>
      </c>
      <c r="AJ24">
        <f t="shared" si="14"/>
        <v>0</v>
      </c>
      <c r="AK24">
        <f t="shared" si="14"/>
        <v>0</v>
      </c>
      <c r="AL24">
        <f>J24*AK24</f>
        <v>0</v>
      </c>
      <c r="AM24">
        <f>M24*AJ24</f>
        <v>0</v>
      </c>
    </row>
    <row r="25" spans="2:39" x14ac:dyDescent="0.25">
      <c r="B25">
        <v>4</v>
      </c>
      <c r="C25" t="str">
        <f>VLOOKUP(AD25,$B$4:$F$11,2,FALSE)</f>
        <v>A</v>
      </c>
      <c r="D25" s="2" t="s">
        <v>5</v>
      </c>
      <c r="E25" s="45" t="str">
        <f>VLOOKUP(AE25,$B$4:$F$11,2,FALSE)</f>
        <v>B</v>
      </c>
      <c r="F25" s="45"/>
      <c r="G25" s="45"/>
      <c r="H25" s="45"/>
      <c r="J25" s="43"/>
      <c r="K25" s="44"/>
      <c r="L25" s="2"/>
      <c r="M25" s="43"/>
      <c r="N25" s="44"/>
      <c r="AC25">
        <v>2</v>
      </c>
      <c r="AD25">
        <v>1</v>
      </c>
      <c r="AE25">
        <v>2</v>
      </c>
      <c r="AF25">
        <f>IF(AND(ISNUMBER(J25),ISNUMBER(M25),(J25+M25=1)),1,0)</f>
        <v>0</v>
      </c>
      <c r="AH25" s="15">
        <f>AD25*100+AE25</f>
        <v>102</v>
      </c>
      <c r="AI25" s="15">
        <f>AE25*100+AD25</f>
        <v>201</v>
      </c>
      <c r="AJ25">
        <f t="shared" si="14"/>
        <v>0</v>
      </c>
      <c r="AK25">
        <f t="shared" si="14"/>
        <v>0</v>
      </c>
      <c r="AL25">
        <f>J25*AK25</f>
        <v>0</v>
      </c>
      <c r="AM25">
        <f>M25*AJ25</f>
        <v>0</v>
      </c>
    </row>
    <row r="26" spans="2:39" ht="3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AH26" s="14"/>
      <c r="AI26" s="14"/>
    </row>
    <row r="27" spans="2:39" x14ac:dyDescent="0.25">
      <c r="B27" s="1" t="s">
        <v>10</v>
      </c>
      <c r="AH27" s="14"/>
      <c r="AI27" s="14"/>
    </row>
    <row r="28" spans="2:39" x14ac:dyDescent="0.25">
      <c r="B28">
        <v>1</v>
      </c>
      <c r="C28" t="str">
        <f>VLOOKUP(AD28,$B$4:$F$11,2,FALSE)</f>
        <v>B</v>
      </c>
      <c r="D28" s="2" t="s">
        <v>5</v>
      </c>
      <c r="E28" s="45" t="str">
        <f>VLOOKUP(AE28,$B$4:$F$11,2,FALSE)</f>
        <v>H</v>
      </c>
      <c r="F28" s="45"/>
      <c r="G28" s="45"/>
      <c r="H28" s="45"/>
      <c r="J28" s="43"/>
      <c r="K28" s="44"/>
      <c r="L28" s="2"/>
      <c r="M28" s="43"/>
      <c r="N28" s="44"/>
      <c r="AC28">
        <v>3</v>
      </c>
      <c r="AD28">
        <v>2</v>
      </c>
      <c r="AE28">
        <v>8</v>
      </c>
      <c r="AF28">
        <f>IF(AND(ISNUMBER(J28),ISNUMBER(M28),(J28+M28=1)),1,0)</f>
        <v>0</v>
      </c>
      <c r="AH28" s="15">
        <f>AD28*100+AE28</f>
        <v>208</v>
      </c>
      <c r="AI28" s="15">
        <f>AE28*100+AD28</f>
        <v>802</v>
      </c>
      <c r="AJ28">
        <f t="shared" ref="AJ28:AK31" si="15">VLOOKUP(AD28,$AS$3:$BB$11,$AC28,FALSE)</f>
        <v>0</v>
      </c>
      <c r="AK28">
        <f t="shared" si="15"/>
        <v>0</v>
      </c>
      <c r="AL28">
        <f>J28*AK28</f>
        <v>0</v>
      </c>
      <c r="AM28">
        <f>M28*AJ28</f>
        <v>0</v>
      </c>
    </row>
    <row r="29" spans="2:39" x14ac:dyDescent="0.25">
      <c r="B29">
        <v>2</v>
      </c>
      <c r="C29" t="str">
        <f>VLOOKUP(AD29,$B$4:$F$11,2,FALSE)</f>
        <v>C</v>
      </c>
      <c r="D29" s="2" t="s">
        <v>5</v>
      </c>
      <c r="E29" s="45" t="str">
        <f>VLOOKUP(AE29,$B$4:$F$11,2,FALSE)</f>
        <v>A</v>
      </c>
      <c r="F29" s="45"/>
      <c r="G29" s="45"/>
      <c r="H29" s="45"/>
      <c r="J29" s="43"/>
      <c r="K29" s="44"/>
      <c r="L29" s="2"/>
      <c r="M29" s="43"/>
      <c r="N29" s="44"/>
      <c r="AC29">
        <v>3</v>
      </c>
      <c r="AD29">
        <v>3</v>
      </c>
      <c r="AE29">
        <v>1</v>
      </c>
      <c r="AF29">
        <f>IF(AND(ISNUMBER(J29),ISNUMBER(M29),(J29+M29=1)),1,0)</f>
        <v>0</v>
      </c>
      <c r="AH29" s="15">
        <f>AD29*100+AE29</f>
        <v>301</v>
      </c>
      <c r="AI29" s="15">
        <f>AE29*100+AD29</f>
        <v>103</v>
      </c>
      <c r="AJ29">
        <f t="shared" si="15"/>
        <v>0</v>
      </c>
      <c r="AK29">
        <f t="shared" si="15"/>
        <v>0</v>
      </c>
      <c r="AL29">
        <f>J29*AK29</f>
        <v>0</v>
      </c>
      <c r="AM29">
        <f>M29*AJ29</f>
        <v>0</v>
      </c>
    </row>
    <row r="30" spans="2:39" x14ac:dyDescent="0.25">
      <c r="B30">
        <v>3</v>
      </c>
      <c r="C30" t="str">
        <f>VLOOKUP(AD30,$B$4:$F$11,2,FALSE)</f>
        <v>D</v>
      </c>
      <c r="D30" s="2" t="s">
        <v>5</v>
      </c>
      <c r="E30" s="45" t="str">
        <f>VLOOKUP(AE30,$B$4:$F$11,2,FALSE)</f>
        <v>G</v>
      </c>
      <c r="F30" s="45"/>
      <c r="G30" s="45"/>
      <c r="H30" s="45"/>
      <c r="J30" s="43"/>
      <c r="K30" s="44"/>
      <c r="L30" s="2"/>
      <c r="M30" s="43"/>
      <c r="N30" s="44"/>
      <c r="AC30">
        <v>3</v>
      </c>
      <c r="AD30">
        <v>4</v>
      </c>
      <c r="AE30">
        <v>7</v>
      </c>
      <c r="AF30">
        <f>IF(AND(ISNUMBER(J30),ISNUMBER(M30),(J30+M30=1)),1,0)</f>
        <v>0</v>
      </c>
      <c r="AH30" s="15">
        <f>AD30*100+AE30</f>
        <v>407</v>
      </c>
      <c r="AI30" s="15">
        <f>AE30*100+AD30</f>
        <v>704</v>
      </c>
      <c r="AJ30">
        <f t="shared" si="15"/>
        <v>0</v>
      </c>
      <c r="AK30">
        <f t="shared" si="15"/>
        <v>0</v>
      </c>
      <c r="AL30">
        <f>J30*AK30</f>
        <v>0</v>
      </c>
      <c r="AM30">
        <f>M30*AJ30</f>
        <v>0</v>
      </c>
    </row>
    <row r="31" spans="2:39" x14ac:dyDescent="0.25">
      <c r="B31">
        <v>4</v>
      </c>
      <c r="C31" t="str">
        <f>VLOOKUP(AD31,$B$4:$F$11,2,FALSE)</f>
        <v>E</v>
      </c>
      <c r="D31" s="2" t="s">
        <v>5</v>
      </c>
      <c r="E31" s="45" t="str">
        <f>VLOOKUP(AE31,$B$4:$F$11,2,FALSE)</f>
        <v>F</v>
      </c>
      <c r="F31" s="45"/>
      <c r="G31" s="45"/>
      <c r="H31" s="45"/>
      <c r="J31" s="43"/>
      <c r="K31" s="44"/>
      <c r="L31" s="2"/>
      <c r="M31" s="43"/>
      <c r="N31" s="44"/>
      <c r="AC31">
        <v>3</v>
      </c>
      <c r="AD31">
        <v>5</v>
      </c>
      <c r="AE31">
        <v>6</v>
      </c>
      <c r="AF31">
        <f>IF(AND(ISNUMBER(J31),ISNUMBER(M31),(J31+M31=1)),1,0)</f>
        <v>0</v>
      </c>
      <c r="AH31" s="15">
        <f>AD31*100+AE31</f>
        <v>506</v>
      </c>
      <c r="AI31" s="15">
        <f>AE31*100+AD31</f>
        <v>605</v>
      </c>
      <c r="AJ31">
        <f t="shared" si="15"/>
        <v>0</v>
      </c>
      <c r="AK31">
        <f t="shared" si="15"/>
        <v>0</v>
      </c>
      <c r="AL31">
        <f>J31*AK31</f>
        <v>0</v>
      </c>
      <c r="AM31">
        <f>M31*AJ31</f>
        <v>0</v>
      </c>
    </row>
    <row r="32" spans="2:39" ht="3" customHeight="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AH32" s="14"/>
      <c r="AI32" s="14"/>
    </row>
    <row r="33" spans="2:39" x14ac:dyDescent="0.25">
      <c r="B33" s="1" t="s">
        <v>11</v>
      </c>
      <c r="AH33" s="14"/>
      <c r="AI33" s="14"/>
    </row>
    <row r="34" spans="2:39" x14ac:dyDescent="0.25">
      <c r="B34">
        <v>1</v>
      </c>
      <c r="C34" t="str">
        <f>VLOOKUP(AD34,$B$4:$F$11,2,FALSE)</f>
        <v>H</v>
      </c>
      <c r="D34" s="2" t="s">
        <v>5</v>
      </c>
      <c r="E34" s="45" t="str">
        <f>VLOOKUP(AE34,$B$4:$F$11,2,FALSE)</f>
        <v>F</v>
      </c>
      <c r="F34" s="45"/>
      <c r="G34" s="45"/>
      <c r="H34" s="45"/>
      <c r="J34" s="43"/>
      <c r="K34" s="44"/>
      <c r="L34" s="2"/>
      <c r="M34" s="43"/>
      <c r="N34" s="44"/>
      <c r="AC34">
        <v>4</v>
      </c>
      <c r="AD34">
        <v>8</v>
      </c>
      <c r="AE34">
        <v>6</v>
      </c>
      <c r="AF34">
        <f>IF(AND(ISNUMBER(J34),ISNUMBER(M34),(J34+M34=1)),1,0)</f>
        <v>0</v>
      </c>
      <c r="AH34" s="15">
        <f>AD34*100+AE34</f>
        <v>806</v>
      </c>
      <c r="AI34" s="15">
        <f>AE34*100+AD34</f>
        <v>608</v>
      </c>
      <c r="AJ34">
        <f t="shared" ref="AJ34:AK37" si="16">VLOOKUP(AD34,$AS$3:$BB$11,$AC34,FALSE)</f>
        <v>0</v>
      </c>
      <c r="AK34">
        <f t="shared" si="16"/>
        <v>0</v>
      </c>
      <c r="AL34">
        <f>J34*AK34</f>
        <v>0</v>
      </c>
      <c r="AM34">
        <f>M34*AJ34</f>
        <v>0</v>
      </c>
    </row>
    <row r="35" spans="2:39" x14ac:dyDescent="0.25">
      <c r="B35">
        <v>2</v>
      </c>
      <c r="C35" t="str">
        <f>VLOOKUP(AD35,$B$4:$F$11,2,FALSE)</f>
        <v>G</v>
      </c>
      <c r="D35" s="2" t="s">
        <v>5</v>
      </c>
      <c r="E35" s="45" t="str">
        <f>VLOOKUP(AE35,$B$4:$F$11,2,FALSE)</f>
        <v>E</v>
      </c>
      <c r="F35" s="45"/>
      <c r="G35" s="45"/>
      <c r="H35" s="45"/>
      <c r="J35" s="43"/>
      <c r="K35" s="44"/>
      <c r="L35" s="2"/>
      <c r="M35" s="43"/>
      <c r="N35" s="44"/>
      <c r="AC35">
        <v>4</v>
      </c>
      <c r="AD35">
        <v>7</v>
      </c>
      <c r="AE35">
        <v>5</v>
      </c>
      <c r="AF35">
        <f>IF(AND(ISNUMBER(J35),ISNUMBER(M35),(J35+M35=1)),1,0)</f>
        <v>0</v>
      </c>
      <c r="AH35" s="15">
        <f>AD35*100+AE35</f>
        <v>705</v>
      </c>
      <c r="AI35" s="15">
        <f>AE35*100+AD35</f>
        <v>507</v>
      </c>
      <c r="AJ35">
        <f t="shared" si="16"/>
        <v>0</v>
      </c>
      <c r="AK35">
        <f t="shared" si="16"/>
        <v>0</v>
      </c>
      <c r="AL35">
        <f>J35*AK35</f>
        <v>0</v>
      </c>
      <c r="AM35">
        <f>M35*AJ35</f>
        <v>0</v>
      </c>
    </row>
    <row r="36" spans="2:39" x14ac:dyDescent="0.25">
      <c r="B36">
        <v>3</v>
      </c>
      <c r="C36" t="str">
        <f>VLOOKUP(AD36,$B$4:$F$11,2,FALSE)</f>
        <v>A</v>
      </c>
      <c r="D36" s="2" t="s">
        <v>5</v>
      </c>
      <c r="E36" s="45" t="str">
        <f>VLOOKUP(AE36,$B$4:$F$11,2,FALSE)</f>
        <v>D</v>
      </c>
      <c r="F36" s="45"/>
      <c r="G36" s="45"/>
      <c r="H36" s="45"/>
      <c r="J36" s="43"/>
      <c r="K36" s="44"/>
      <c r="L36" s="2"/>
      <c r="M36" s="43"/>
      <c r="N36" s="44"/>
      <c r="AC36">
        <v>4</v>
      </c>
      <c r="AD36">
        <v>1</v>
      </c>
      <c r="AE36">
        <v>4</v>
      </c>
      <c r="AF36">
        <f>IF(AND(ISNUMBER(J36),ISNUMBER(M36),(J36+M36=1)),1,0)</f>
        <v>0</v>
      </c>
      <c r="AH36" s="15">
        <f>AD36*100+AE36</f>
        <v>104</v>
      </c>
      <c r="AI36" s="15">
        <f>AE36*100+AD36</f>
        <v>401</v>
      </c>
      <c r="AJ36">
        <f t="shared" si="16"/>
        <v>0</v>
      </c>
      <c r="AK36">
        <f t="shared" si="16"/>
        <v>0</v>
      </c>
      <c r="AL36">
        <f>J36*AK36</f>
        <v>0</v>
      </c>
      <c r="AM36">
        <f>M36*AJ36</f>
        <v>0</v>
      </c>
    </row>
    <row r="37" spans="2:39" x14ac:dyDescent="0.25">
      <c r="B37">
        <v>4</v>
      </c>
      <c r="C37" t="str">
        <f>VLOOKUP(AD37,$B$4:$F$11,2,FALSE)</f>
        <v>B</v>
      </c>
      <c r="D37" s="2" t="s">
        <v>5</v>
      </c>
      <c r="E37" s="45" t="str">
        <f>VLOOKUP(AE37,$B$4:$F$11,2,FALSE)</f>
        <v>C</v>
      </c>
      <c r="F37" s="45"/>
      <c r="G37" s="45"/>
      <c r="H37" s="45"/>
      <c r="J37" s="43"/>
      <c r="K37" s="44"/>
      <c r="L37" s="2"/>
      <c r="M37" s="43"/>
      <c r="N37" s="44"/>
      <c r="AC37">
        <v>4</v>
      </c>
      <c r="AD37">
        <v>2</v>
      </c>
      <c r="AE37">
        <v>3</v>
      </c>
      <c r="AF37">
        <f>IF(AND(ISNUMBER(J37),ISNUMBER(M37),(J37+M37=1)),1,0)</f>
        <v>0</v>
      </c>
      <c r="AH37" s="15">
        <f>AD37*100+AE37</f>
        <v>203</v>
      </c>
      <c r="AI37" s="15">
        <f>AE37*100+AD37</f>
        <v>302</v>
      </c>
      <c r="AJ37">
        <f t="shared" si="16"/>
        <v>0</v>
      </c>
      <c r="AK37">
        <f t="shared" si="16"/>
        <v>0</v>
      </c>
      <c r="AL37">
        <f>J37*AK37</f>
        <v>0</v>
      </c>
      <c r="AM37">
        <f>M37*AJ37</f>
        <v>0</v>
      </c>
    </row>
    <row r="38" spans="2:39" ht="3" customHeight="1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AH38" s="14"/>
      <c r="AI38" s="14"/>
    </row>
    <row r="39" spans="2:39" x14ac:dyDescent="0.25">
      <c r="B39" s="1" t="s">
        <v>12</v>
      </c>
      <c r="AH39" s="14"/>
      <c r="AI39" s="14"/>
    </row>
    <row r="40" spans="2:39" x14ac:dyDescent="0.25">
      <c r="B40">
        <v>1</v>
      </c>
      <c r="C40" t="str">
        <f>VLOOKUP(AD40,$B$4:$F$11,2,FALSE)</f>
        <v>C</v>
      </c>
      <c r="D40" s="2" t="s">
        <v>5</v>
      </c>
      <c r="E40" s="45" t="str">
        <f>VLOOKUP(AE40,$B$4:$F$11,2,FALSE)</f>
        <v>H</v>
      </c>
      <c r="F40" s="45"/>
      <c r="G40" s="45"/>
      <c r="H40" s="45"/>
      <c r="J40" s="43"/>
      <c r="K40" s="44"/>
      <c r="L40" s="2"/>
      <c r="M40" s="43"/>
      <c r="N40" s="44"/>
      <c r="AC40">
        <v>5</v>
      </c>
      <c r="AD40">
        <v>3</v>
      </c>
      <c r="AE40">
        <v>8</v>
      </c>
      <c r="AF40">
        <f>IF(AND(ISNUMBER(J40),ISNUMBER(M40),(J40+M40=1)),1,0)</f>
        <v>0</v>
      </c>
      <c r="AH40" s="15">
        <f>AD40*100+AE40</f>
        <v>308</v>
      </c>
      <c r="AI40" s="15">
        <f>AE40*100+AD40</f>
        <v>803</v>
      </c>
      <c r="AJ40">
        <f t="shared" ref="AJ40:AK43" si="17">VLOOKUP(AD40,$AS$3:$BB$11,$AC40,FALSE)</f>
        <v>0</v>
      </c>
      <c r="AK40">
        <f t="shared" si="17"/>
        <v>0</v>
      </c>
      <c r="AL40">
        <f>J40*AK40</f>
        <v>0</v>
      </c>
      <c r="AM40">
        <f>M40*AJ40</f>
        <v>0</v>
      </c>
    </row>
    <row r="41" spans="2:39" x14ac:dyDescent="0.25">
      <c r="B41">
        <v>2</v>
      </c>
      <c r="C41" t="str">
        <f>VLOOKUP(AD41,$B$4:$F$11,2,FALSE)</f>
        <v>D</v>
      </c>
      <c r="D41" s="2" t="s">
        <v>5</v>
      </c>
      <c r="E41" s="45" t="str">
        <f>VLOOKUP(AE41,$B$4:$F$11,2,FALSE)</f>
        <v>B</v>
      </c>
      <c r="F41" s="45"/>
      <c r="G41" s="45"/>
      <c r="H41" s="45"/>
      <c r="J41" s="43"/>
      <c r="K41" s="44"/>
      <c r="L41" s="2"/>
      <c r="M41" s="43"/>
      <c r="N41" s="44"/>
      <c r="AC41">
        <v>5</v>
      </c>
      <c r="AD41">
        <v>4</v>
      </c>
      <c r="AE41">
        <v>2</v>
      </c>
      <c r="AF41">
        <f>IF(AND(ISNUMBER(J41),ISNUMBER(M41),(J41+M41=1)),1,0)</f>
        <v>0</v>
      </c>
      <c r="AH41" s="15">
        <f>AD41*100+AE41</f>
        <v>402</v>
      </c>
      <c r="AI41" s="15">
        <f>AE41*100+AD41</f>
        <v>204</v>
      </c>
      <c r="AJ41">
        <f t="shared" si="17"/>
        <v>0</v>
      </c>
      <c r="AK41">
        <f t="shared" si="17"/>
        <v>0</v>
      </c>
      <c r="AL41">
        <f>J41*AK41</f>
        <v>0</v>
      </c>
      <c r="AM41">
        <f>M41*AJ41</f>
        <v>0</v>
      </c>
    </row>
    <row r="42" spans="2:39" x14ac:dyDescent="0.25">
      <c r="B42">
        <v>3</v>
      </c>
      <c r="C42" t="str">
        <f>VLOOKUP(AD42,$B$4:$F$11,2,FALSE)</f>
        <v>E</v>
      </c>
      <c r="D42" s="2" t="s">
        <v>5</v>
      </c>
      <c r="E42" s="45" t="str">
        <f>VLOOKUP(AE42,$B$4:$F$11,2,FALSE)</f>
        <v>A</v>
      </c>
      <c r="F42" s="45"/>
      <c r="G42" s="45"/>
      <c r="H42" s="45"/>
      <c r="J42" s="43"/>
      <c r="K42" s="44"/>
      <c r="L42" s="2"/>
      <c r="M42" s="43"/>
      <c r="N42" s="44"/>
      <c r="AC42">
        <v>5</v>
      </c>
      <c r="AD42">
        <v>5</v>
      </c>
      <c r="AE42">
        <v>1</v>
      </c>
      <c r="AF42">
        <f>IF(AND(ISNUMBER(J42),ISNUMBER(M42),(J42+M42=1)),1,0)</f>
        <v>0</v>
      </c>
      <c r="AH42" s="15">
        <f>AD42*100+AE42</f>
        <v>501</v>
      </c>
      <c r="AI42" s="15">
        <f>AE42*100+AD42</f>
        <v>105</v>
      </c>
      <c r="AJ42">
        <f t="shared" si="17"/>
        <v>0</v>
      </c>
      <c r="AK42">
        <f t="shared" si="17"/>
        <v>0</v>
      </c>
      <c r="AL42">
        <f>J42*AK42</f>
        <v>0</v>
      </c>
      <c r="AM42">
        <f>M42*AJ42</f>
        <v>0</v>
      </c>
    </row>
    <row r="43" spans="2:39" x14ac:dyDescent="0.25">
      <c r="B43">
        <v>4</v>
      </c>
      <c r="C43" t="str">
        <f>VLOOKUP(AD43,$B$4:$F$11,2,FALSE)</f>
        <v>F</v>
      </c>
      <c r="D43" s="2" t="s">
        <v>5</v>
      </c>
      <c r="E43" s="45" t="str">
        <f>VLOOKUP(AE43,$B$4:$F$11,2,FALSE)</f>
        <v>G</v>
      </c>
      <c r="F43" s="45"/>
      <c r="G43" s="45"/>
      <c r="H43" s="45"/>
      <c r="J43" s="43"/>
      <c r="K43" s="44"/>
      <c r="L43" s="2"/>
      <c r="M43" s="43"/>
      <c r="N43" s="44"/>
      <c r="AC43">
        <v>5</v>
      </c>
      <c r="AD43">
        <v>6</v>
      </c>
      <c r="AE43">
        <v>7</v>
      </c>
      <c r="AF43">
        <f>IF(AND(ISNUMBER(J43),ISNUMBER(M43),(J43+M43=1)),1,0)</f>
        <v>0</v>
      </c>
      <c r="AH43" s="15">
        <f>AD43*100+AE43</f>
        <v>607</v>
      </c>
      <c r="AI43" s="15">
        <f>AE43*100+AD43</f>
        <v>706</v>
      </c>
      <c r="AJ43">
        <f t="shared" si="17"/>
        <v>0</v>
      </c>
      <c r="AK43">
        <f t="shared" si="17"/>
        <v>0</v>
      </c>
      <c r="AL43">
        <f>J43*AK43</f>
        <v>0</v>
      </c>
      <c r="AM43">
        <f>M43*AJ43</f>
        <v>0</v>
      </c>
    </row>
    <row r="44" spans="2:39" ht="3" customHeight="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AH44" s="14"/>
      <c r="AI44" s="14"/>
    </row>
    <row r="45" spans="2:39" x14ac:dyDescent="0.25">
      <c r="B45" s="1" t="s">
        <v>13</v>
      </c>
      <c r="AH45" s="14"/>
      <c r="AI45" s="14"/>
    </row>
    <row r="46" spans="2:39" x14ac:dyDescent="0.25">
      <c r="B46">
        <v>1</v>
      </c>
      <c r="C46" t="str">
        <f>VLOOKUP(AD46,$B$4:$F$11,2,FALSE)</f>
        <v>H</v>
      </c>
      <c r="D46" s="2" t="s">
        <v>5</v>
      </c>
      <c r="E46" s="45" t="str">
        <f>VLOOKUP(AE46,$B$4:$F$11,2,FALSE)</f>
        <v>G</v>
      </c>
      <c r="F46" s="45"/>
      <c r="G46" s="45"/>
      <c r="H46" s="45"/>
      <c r="J46" s="43"/>
      <c r="K46" s="44"/>
      <c r="L46" s="2"/>
      <c r="M46" s="43"/>
      <c r="N46" s="44"/>
      <c r="AC46">
        <v>6</v>
      </c>
      <c r="AD46">
        <v>8</v>
      </c>
      <c r="AE46">
        <v>7</v>
      </c>
      <c r="AF46">
        <f>IF(AND(ISNUMBER(J46),ISNUMBER(M46),(J46+M46=1)),1,0)</f>
        <v>0</v>
      </c>
      <c r="AH46" s="15">
        <f>AD46*100+AE46</f>
        <v>807</v>
      </c>
      <c r="AI46" s="15">
        <f>AE46*100+AD46</f>
        <v>708</v>
      </c>
      <c r="AJ46">
        <f t="shared" ref="AJ46:AK49" si="18">VLOOKUP(AD46,$AS$3:$BB$11,$AC46,FALSE)</f>
        <v>0</v>
      </c>
      <c r="AK46">
        <f t="shared" si="18"/>
        <v>0</v>
      </c>
      <c r="AL46">
        <f>J46*AK46</f>
        <v>0</v>
      </c>
      <c r="AM46">
        <f>M46*AJ46</f>
        <v>0</v>
      </c>
    </row>
    <row r="47" spans="2:39" x14ac:dyDescent="0.25">
      <c r="B47">
        <v>2</v>
      </c>
      <c r="C47" t="str">
        <f>VLOOKUP(AD47,$B$4:$F$11,2,FALSE)</f>
        <v>A</v>
      </c>
      <c r="D47" s="2" t="s">
        <v>5</v>
      </c>
      <c r="E47" s="45" t="str">
        <f>VLOOKUP(AE47,$B$4:$F$11,2,FALSE)</f>
        <v>F</v>
      </c>
      <c r="F47" s="45"/>
      <c r="G47" s="45"/>
      <c r="H47" s="45"/>
      <c r="J47" s="43"/>
      <c r="K47" s="44"/>
      <c r="L47" s="2"/>
      <c r="M47" s="43"/>
      <c r="N47" s="44"/>
      <c r="AC47">
        <v>6</v>
      </c>
      <c r="AD47">
        <v>1</v>
      </c>
      <c r="AE47">
        <v>6</v>
      </c>
      <c r="AF47">
        <f>IF(AND(ISNUMBER(J47),ISNUMBER(M47),(J47+M47=1)),1,0)</f>
        <v>0</v>
      </c>
      <c r="AH47" s="15">
        <f>AD47*100+AE47</f>
        <v>106</v>
      </c>
      <c r="AI47" s="15">
        <f>AE47*100+AD47</f>
        <v>601</v>
      </c>
      <c r="AJ47">
        <f t="shared" si="18"/>
        <v>0</v>
      </c>
      <c r="AK47">
        <f t="shared" si="18"/>
        <v>0</v>
      </c>
      <c r="AL47">
        <f>J47*AK47</f>
        <v>0</v>
      </c>
      <c r="AM47">
        <f>M47*AJ47</f>
        <v>0</v>
      </c>
    </row>
    <row r="48" spans="2:39" x14ac:dyDescent="0.25">
      <c r="B48">
        <v>3</v>
      </c>
      <c r="C48" t="str">
        <f>VLOOKUP(AD48,$B$4:$F$11,2,FALSE)</f>
        <v>B</v>
      </c>
      <c r="D48" s="2" t="s">
        <v>5</v>
      </c>
      <c r="E48" s="45" t="str">
        <f>VLOOKUP(AE48,$B$4:$F$11,2,FALSE)</f>
        <v>E</v>
      </c>
      <c r="F48" s="45"/>
      <c r="G48" s="45"/>
      <c r="H48" s="45"/>
      <c r="J48" s="43"/>
      <c r="K48" s="44"/>
      <c r="L48" s="2"/>
      <c r="M48" s="43"/>
      <c r="N48" s="44"/>
      <c r="AC48">
        <v>6</v>
      </c>
      <c r="AD48">
        <v>2</v>
      </c>
      <c r="AE48">
        <v>5</v>
      </c>
      <c r="AF48">
        <f>IF(AND(ISNUMBER(J48),ISNUMBER(M48),(J48+M48=1)),1,0)</f>
        <v>0</v>
      </c>
      <c r="AH48" s="15">
        <f>AD48*100+AE48</f>
        <v>205</v>
      </c>
      <c r="AI48" s="15">
        <f>AE48*100+AD48</f>
        <v>502</v>
      </c>
      <c r="AJ48">
        <f t="shared" si="18"/>
        <v>0</v>
      </c>
      <c r="AK48">
        <f t="shared" si="18"/>
        <v>0</v>
      </c>
      <c r="AL48">
        <f>J48*AK48</f>
        <v>0</v>
      </c>
      <c r="AM48">
        <f>M48*AJ48</f>
        <v>0</v>
      </c>
    </row>
    <row r="49" spans="2:39" x14ac:dyDescent="0.25">
      <c r="B49">
        <v>4</v>
      </c>
      <c r="C49" t="str">
        <f>VLOOKUP(AD49,$B$4:$F$11,2,FALSE)</f>
        <v>C</v>
      </c>
      <c r="D49" s="2" t="s">
        <v>5</v>
      </c>
      <c r="E49" s="45" t="str">
        <f>VLOOKUP(AE49,$B$4:$F$11,2,FALSE)</f>
        <v>D</v>
      </c>
      <c r="F49" s="45"/>
      <c r="G49" s="45"/>
      <c r="H49" s="45"/>
      <c r="J49" s="43"/>
      <c r="K49" s="44"/>
      <c r="L49" s="2"/>
      <c r="M49" s="43"/>
      <c r="N49" s="44"/>
      <c r="AC49">
        <v>6</v>
      </c>
      <c r="AD49">
        <v>3</v>
      </c>
      <c r="AE49">
        <v>4</v>
      </c>
      <c r="AF49">
        <f>IF(AND(ISNUMBER(J49),ISNUMBER(M49),(J49+M49=1)),1,0)</f>
        <v>0</v>
      </c>
      <c r="AH49" s="15">
        <f>AD49*100+AE49</f>
        <v>304</v>
      </c>
      <c r="AI49" s="15">
        <f>AE49*100+AD49</f>
        <v>403</v>
      </c>
      <c r="AJ49">
        <f t="shared" si="18"/>
        <v>0</v>
      </c>
      <c r="AK49">
        <f t="shared" si="18"/>
        <v>0</v>
      </c>
      <c r="AL49">
        <f>J49*AK49</f>
        <v>0</v>
      </c>
      <c r="AM49">
        <f>M49*AJ49</f>
        <v>0</v>
      </c>
    </row>
    <row r="50" spans="2:39" ht="3" customHeight="1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AH50" s="14"/>
      <c r="AI50" s="14"/>
    </row>
    <row r="51" spans="2:39" x14ac:dyDescent="0.25">
      <c r="B51" s="1" t="s">
        <v>14</v>
      </c>
      <c r="AH51" s="14"/>
      <c r="AI51" s="14"/>
    </row>
    <row r="52" spans="2:39" x14ac:dyDescent="0.25">
      <c r="B52">
        <v>1</v>
      </c>
      <c r="C52" t="str">
        <f>VLOOKUP(AD52,$B$4:$F$11,2,FALSE)</f>
        <v>D</v>
      </c>
      <c r="D52" s="2" t="s">
        <v>5</v>
      </c>
      <c r="E52" s="45" t="str">
        <f>VLOOKUP(AE52,$B$4:$F$11,2,FALSE)</f>
        <v>H</v>
      </c>
      <c r="F52" s="45"/>
      <c r="G52" s="45"/>
      <c r="H52" s="45"/>
      <c r="J52" s="43"/>
      <c r="K52" s="44"/>
      <c r="L52" s="2"/>
      <c r="M52" s="43"/>
      <c r="N52" s="44"/>
      <c r="AC52">
        <v>7</v>
      </c>
      <c r="AD52">
        <v>4</v>
      </c>
      <c r="AE52">
        <v>8</v>
      </c>
      <c r="AF52">
        <f>IF(AND(ISNUMBER(J52),ISNUMBER(M52),(J52+M52=1)),1,0)</f>
        <v>0</v>
      </c>
      <c r="AH52" s="15">
        <f>AD52*100+AE52</f>
        <v>408</v>
      </c>
      <c r="AI52" s="15">
        <f>AE52*100+AD52</f>
        <v>804</v>
      </c>
      <c r="AJ52">
        <f t="shared" ref="AJ52:AK55" si="19">VLOOKUP(AD52,$AS$3:$BB$11,$AC52,FALSE)</f>
        <v>0</v>
      </c>
      <c r="AK52">
        <f t="shared" si="19"/>
        <v>0</v>
      </c>
      <c r="AL52">
        <f>J52*AK52</f>
        <v>0</v>
      </c>
      <c r="AM52">
        <f>M52*AJ52</f>
        <v>0</v>
      </c>
    </row>
    <row r="53" spans="2:39" x14ac:dyDescent="0.25">
      <c r="B53">
        <v>2</v>
      </c>
      <c r="C53" t="str">
        <f>VLOOKUP(AD53,$B$4:$F$11,2,FALSE)</f>
        <v>E</v>
      </c>
      <c r="D53" s="2" t="s">
        <v>5</v>
      </c>
      <c r="E53" s="45" t="str">
        <f>VLOOKUP(AE53,$B$4:$F$11,2,FALSE)</f>
        <v>C</v>
      </c>
      <c r="F53" s="45"/>
      <c r="G53" s="45"/>
      <c r="H53" s="45"/>
      <c r="J53" s="43"/>
      <c r="K53" s="44"/>
      <c r="L53" s="2"/>
      <c r="M53" s="43"/>
      <c r="N53" s="44"/>
      <c r="AC53">
        <v>7</v>
      </c>
      <c r="AD53">
        <v>5</v>
      </c>
      <c r="AE53">
        <v>3</v>
      </c>
      <c r="AF53">
        <f>IF(AND(ISNUMBER(J53),ISNUMBER(M53),(J53+M53=1)),1,0)</f>
        <v>0</v>
      </c>
      <c r="AH53" s="15">
        <f>AD53*100+AE53</f>
        <v>503</v>
      </c>
      <c r="AI53" s="15">
        <f>AE53*100+AD53</f>
        <v>305</v>
      </c>
      <c r="AJ53">
        <f t="shared" si="19"/>
        <v>0</v>
      </c>
      <c r="AK53">
        <f t="shared" si="19"/>
        <v>0</v>
      </c>
      <c r="AL53">
        <f>J53*AK53</f>
        <v>0</v>
      </c>
      <c r="AM53">
        <f>M53*AJ53</f>
        <v>0</v>
      </c>
    </row>
    <row r="54" spans="2:39" x14ac:dyDescent="0.25">
      <c r="B54">
        <v>3</v>
      </c>
      <c r="C54" t="str">
        <f>VLOOKUP(AD54,$B$4:$F$11,2,FALSE)</f>
        <v>F</v>
      </c>
      <c r="D54" s="2" t="s">
        <v>5</v>
      </c>
      <c r="E54" s="45" t="str">
        <f>VLOOKUP(AE54,$B$4:$F$11,2,FALSE)</f>
        <v>B</v>
      </c>
      <c r="F54" s="45"/>
      <c r="G54" s="45"/>
      <c r="H54" s="45"/>
      <c r="J54" s="43"/>
      <c r="K54" s="44"/>
      <c r="L54" s="2"/>
      <c r="M54" s="43"/>
      <c r="N54" s="44"/>
      <c r="AC54">
        <v>7</v>
      </c>
      <c r="AD54">
        <v>6</v>
      </c>
      <c r="AE54">
        <v>2</v>
      </c>
      <c r="AF54">
        <f>IF(AND(ISNUMBER(J54),ISNUMBER(M54),(J54+M54=1)),1,0)</f>
        <v>0</v>
      </c>
      <c r="AH54" s="15">
        <f>AD54*100+AE54</f>
        <v>602</v>
      </c>
      <c r="AI54" s="15">
        <f>AE54*100+AD54</f>
        <v>206</v>
      </c>
      <c r="AJ54">
        <f t="shared" si="19"/>
        <v>0</v>
      </c>
      <c r="AK54">
        <f t="shared" si="19"/>
        <v>0</v>
      </c>
      <c r="AL54">
        <f>J54*AK54</f>
        <v>0</v>
      </c>
      <c r="AM54">
        <f>M54*AJ54</f>
        <v>0</v>
      </c>
    </row>
    <row r="55" spans="2:39" x14ac:dyDescent="0.25">
      <c r="B55">
        <v>4</v>
      </c>
      <c r="C55" t="str">
        <f>VLOOKUP(AD55,$B$4:$F$11,2,FALSE)</f>
        <v>G</v>
      </c>
      <c r="D55" s="2" t="s">
        <v>5</v>
      </c>
      <c r="E55" s="45" t="str">
        <f>VLOOKUP(AE55,$B$4:$F$11,2,FALSE)</f>
        <v>A</v>
      </c>
      <c r="F55" s="45"/>
      <c r="G55" s="45"/>
      <c r="H55" s="45"/>
      <c r="J55" s="43"/>
      <c r="K55" s="44"/>
      <c r="L55" s="2"/>
      <c r="M55" s="43"/>
      <c r="N55" s="44"/>
      <c r="AC55">
        <v>7</v>
      </c>
      <c r="AD55">
        <v>7</v>
      </c>
      <c r="AE55">
        <v>1</v>
      </c>
      <c r="AF55">
        <f>IF(AND(ISNUMBER(J55),ISNUMBER(M55),(J55+M55=1)),1,0)</f>
        <v>0</v>
      </c>
      <c r="AH55" s="15">
        <f>AD55*100+AE55</f>
        <v>701</v>
      </c>
      <c r="AI55" s="15">
        <f>AE55*100+AD55</f>
        <v>107</v>
      </c>
      <c r="AJ55">
        <f t="shared" si="19"/>
        <v>0</v>
      </c>
      <c r="AK55">
        <f t="shared" si="19"/>
        <v>0</v>
      </c>
      <c r="AL55">
        <f>J55*AK55</f>
        <v>0</v>
      </c>
      <c r="AM55">
        <f>M55*AJ55</f>
        <v>0</v>
      </c>
    </row>
  </sheetData>
  <sortState ref="U4:AA11">
    <sortCondition descending="1" ref="W4:W11"/>
    <sortCondition descending="1" ref="X4:X11"/>
    <sortCondition descending="1" ref="Y4:Y11"/>
    <sortCondition descending="1" ref="Z4:Z11"/>
    <sortCondition descending="1" ref="AA4:AA11"/>
  </sortState>
  <mergeCells count="97"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46:H46"/>
    <mergeCell ref="J46:K46"/>
    <mergeCell ref="M46:N46"/>
    <mergeCell ref="E47:H47"/>
    <mergeCell ref="J47:K47"/>
    <mergeCell ref="M47:N4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34:H34"/>
    <mergeCell ref="J34:K34"/>
    <mergeCell ref="M34:N34"/>
    <mergeCell ref="E35:H35"/>
    <mergeCell ref="J35:K35"/>
    <mergeCell ref="M35:N3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22:H22"/>
    <mergeCell ref="J22:K22"/>
    <mergeCell ref="M22:N22"/>
    <mergeCell ref="E23:H23"/>
    <mergeCell ref="J23:K23"/>
    <mergeCell ref="M23:N23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D4:E4"/>
    <mergeCell ref="B1:F1"/>
    <mergeCell ref="G1:R1"/>
    <mergeCell ref="AI2:AQ2"/>
    <mergeCell ref="AT2:BB2"/>
    <mergeCell ref="D3:E3"/>
  </mergeCells>
  <conditionalFormatting sqref="H4:Q11">
    <cfRule type="cellIs" dxfId="2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8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B1:BB36"/>
  <sheetViews>
    <sheetView view="pageBreakPreview" zoomScaleNormal="100" zoomScaleSheetLayoutView="100" workbookViewId="0">
      <selection activeCell="D4" sqref="D4:E9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4" width="3.7109375" customWidth="1"/>
    <col min="15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9" width="6.7109375" customWidth="1"/>
    <col min="34" max="35" width="4.42578125" bestFit="1" customWidth="1"/>
    <col min="36" max="54" width="3.7109375" customWidth="1"/>
  </cols>
  <sheetData>
    <row r="1" spans="2:54" ht="26.25" x14ac:dyDescent="0.4">
      <c r="B1" s="40" t="s">
        <v>31</v>
      </c>
      <c r="C1" s="40"/>
      <c r="D1" s="40"/>
      <c r="E1" s="40"/>
      <c r="F1" s="40"/>
      <c r="G1" s="41" t="s">
        <v>32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42" t="s">
        <v>22</v>
      </c>
      <c r="AJ2" s="42"/>
      <c r="AK2" s="42"/>
      <c r="AL2" s="42"/>
      <c r="AM2" s="42"/>
      <c r="AN2" s="42"/>
      <c r="AO2" s="42"/>
      <c r="AP2" s="42"/>
      <c r="AQ2" s="42"/>
      <c r="AR2" s="6"/>
      <c r="AS2" s="7"/>
      <c r="AT2" s="42" t="s">
        <v>23</v>
      </c>
      <c r="AU2" s="42"/>
      <c r="AV2" s="42"/>
      <c r="AW2" s="42"/>
      <c r="AX2" s="42"/>
      <c r="AY2" s="42"/>
      <c r="AZ2" s="42"/>
      <c r="BA2" s="42"/>
      <c r="BB2" s="42"/>
    </row>
    <row r="3" spans="2:54" x14ac:dyDescent="0.25">
      <c r="B3" s="9" t="s">
        <v>4</v>
      </c>
      <c r="C3" s="9" t="s">
        <v>6</v>
      </c>
      <c r="D3" s="48" t="s">
        <v>7</v>
      </c>
      <c r="E3" s="48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50"/>
      <c r="O3" s="51"/>
      <c r="P3" s="38"/>
      <c r="Q3" s="34"/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49"/>
      <c r="E4" s="49"/>
      <c r="F4" s="8">
        <v>1000</v>
      </c>
      <c r="H4" s="24" t="str">
        <f t="shared" ref="H4:M9" si="0">IF((SUMIF($AH$11:$AH$36,$B4*100+H$3,$AF$11:$AF$36)+SUMIF($AH$11:$AH$36,$B4+H$3*100,$AF$11:$AF$36))=1,(SUMIF($AH$11:$AH$36,$B4*100+H$3,$J$11:$J$36)+SUMIF($AI$11:$AI$36,$B4*100+H$3,$M$11:$M$36)),"")</f>
        <v/>
      </c>
      <c r="I4" s="25" t="str">
        <f t="shared" si="0"/>
        <v/>
      </c>
      <c r="J4" s="25" t="str">
        <f t="shared" si="0"/>
        <v/>
      </c>
      <c r="K4" s="25" t="str">
        <f t="shared" si="0"/>
        <v/>
      </c>
      <c r="L4" s="25" t="str">
        <f t="shared" si="0"/>
        <v/>
      </c>
      <c r="M4" s="25" t="str">
        <f t="shared" si="0"/>
        <v/>
      </c>
      <c r="N4" s="52"/>
      <c r="O4" s="53"/>
      <c r="P4" s="37"/>
      <c r="Q4" s="36"/>
      <c r="R4" s="39">
        <f t="shared" ref="R4:R9" si="1">SUM(H4:Q4)</f>
        <v>0</v>
      </c>
      <c r="S4" s="20"/>
      <c r="T4" s="11">
        <v>1</v>
      </c>
      <c r="U4" s="30">
        <v>1</v>
      </c>
      <c r="V4" s="22" t="str">
        <f t="shared" ref="V4:V9" si="2">VLOOKUP($U4,$B$4:$R$9,2,FALSE)</f>
        <v>A</v>
      </c>
      <c r="W4" s="27">
        <f t="shared" ref="W4:W9" si="3">VLOOKUP($U4,$B$4:$R$9,17,FALSE)</f>
        <v>0</v>
      </c>
      <c r="X4" s="27">
        <f t="shared" ref="X4:X9" si="4">VLOOKUP($U4,$AC$4:$AF$9,2,FALSE)</f>
        <v>0</v>
      </c>
      <c r="Y4" s="26">
        <f t="shared" ref="Y4:Y9" si="5">VLOOKUP($U4,$AC$4:$AF$9,3,FALSE)</f>
        <v>0</v>
      </c>
      <c r="Z4" s="27">
        <f t="shared" ref="Z4:Z9" si="6">VLOOKUP($U4,$AC$4:$AF$9,4,FALSE)</f>
        <v>0</v>
      </c>
      <c r="AA4" s="28">
        <f t="shared" ref="AA4:AA9" si="7">VLOOKUP($U4,$B$4:$R$9,5,FALSE)</f>
        <v>1000</v>
      </c>
      <c r="AB4" s="20"/>
      <c r="AC4" s="23">
        <v>1</v>
      </c>
      <c r="AD4" s="18">
        <f t="shared" ref="AD4:AD9" si="8">SUMIF($AD$11:$AD$36,B4,$AJ$11:$AJ$36)+SUMIF($AE$11:$AE$36,B4,$AK$11:$AK$36)</f>
        <v>0</v>
      </c>
      <c r="AE4" s="13">
        <f t="shared" ref="AE4:AE9" si="9">SUMIF($AD$11:$AD$36,B4,$AL$11:$AL$36)+SUMIF($AE$11:$AE$36,B4,$AM$11:$AM$36)</f>
        <v>0</v>
      </c>
      <c r="AF4" s="13">
        <f>SUM(AT4:BB4)</f>
        <v>0</v>
      </c>
      <c r="AH4">
        <v>1</v>
      </c>
      <c r="AI4">
        <f t="shared" ref="AI4:AQ9" si="10" xml:space="preserve"> SUMIFS( $J$14:$J$36, $AD$14:$AD$36,$AH4, $AC$14:$AC$36,AI$3) + SUMIFS( $M$14:$M$36, $AE$14:$AE$36,$AH4, $AC$14:$AC$36,AI$3)</f>
        <v>0</v>
      </c>
      <c r="AJ4">
        <f t="shared" si="10"/>
        <v>0</v>
      </c>
      <c r="AK4">
        <f t="shared" si="10"/>
        <v>0</v>
      </c>
      <c r="AL4">
        <f t="shared" si="10"/>
        <v>0</v>
      </c>
      <c r="AM4">
        <f t="shared" si="10"/>
        <v>0</v>
      </c>
      <c r="AN4">
        <f t="shared" si="10"/>
        <v>0</v>
      </c>
      <c r="AO4">
        <f t="shared" si="10"/>
        <v>0</v>
      </c>
      <c r="AP4">
        <f t="shared" si="10"/>
        <v>0</v>
      </c>
      <c r="AQ4">
        <f t="shared" si="10"/>
        <v>0</v>
      </c>
      <c r="AS4">
        <v>1</v>
      </c>
      <c r="AT4">
        <f>AI4</f>
        <v>0</v>
      </c>
      <c r="AU4">
        <f t="shared" ref="AU4:BB9" si="11">AT4+AJ4</f>
        <v>0</v>
      </c>
      <c r="AV4">
        <f t="shared" si="11"/>
        <v>0</v>
      </c>
      <c r="AW4">
        <f t="shared" si="11"/>
        <v>0</v>
      </c>
      <c r="AX4">
        <f t="shared" si="11"/>
        <v>0</v>
      </c>
      <c r="AY4">
        <f t="shared" si="11"/>
        <v>0</v>
      </c>
      <c r="AZ4">
        <f t="shared" si="11"/>
        <v>0</v>
      </c>
      <c r="BA4">
        <f t="shared" si="11"/>
        <v>0</v>
      </c>
      <c r="BB4">
        <f t="shared" si="11"/>
        <v>0</v>
      </c>
    </row>
    <row r="5" spans="2:54" x14ac:dyDescent="0.25">
      <c r="B5" s="8">
        <v>2</v>
      </c>
      <c r="C5" s="8" t="s">
        <v>42</v>
      </c>
      <c r="D5" s="49"/>
      <c r="E5" s="49"/>
      <c r="F5" s="8">
        <v>1000</v>
      </c>
      <c r="H5" s="25" t="str">
        <f t="shared" si="0"/>
        <v/>
      </c>
      <c r="I5" s="24" t="str">
        <f t="shared" si="0"/>
        <v/>
      </c>
      <c r="J5" s="25" t="str">
        <f t="shared" si="0"/>
        <v/>
      </c>
      <c r="K5" s="25" t="str">
        <f t="shared" si="0"/>
        <v/>
      </c>
      <c r="L5" s="25" t="str">
        <f t="shared" si="0"/>
        <v/>
      </c>
      <c r="M5" s="25" t="str">
        <f t="shared" si="0"/>
        <v/>
      </c>
      <c r="N5" s="52"/>
      <c r="O5" s="53"/>
      <c r="P5" s="37"/>
      <c r="Q5" s="36"/>
      <c r="R5" s="39">
        <f t="shared" si="1"/>
        <v>0</v>
      </c>
      <c r="S5" s="20"/>
      <c r="T5" s="11">
        <v>2</v>
      </c>
      <c r="U5" s="30">
        <v>5</v>
      </c>
      <c r="V5" s="22" t="str">
        <f t="shared" si="2"/>
        <v>E</v>
      </c>
      <c r="W5" s="27">
        <f t="shared" si="3"/>
        <v>0</v>
      </c>
      <c r="X5" s="27">
        <f t="shared" si="4"/>
        <v>0</v>
      </c>
      <c r="Y5" s="26">
        <f t="shared" si="5"/>
        <v>0</v>
      </c>
      <c r="Z5" s="27">
        <f t="shared" si="6"/>
        <v>0</v>
      </c>
      <c r="AA5" s="28">
        <f t="shared" si="7"/>
        <v>1000</v>
      </c>
      <c r="AB5" s="20"/>
      <c r="AC5" s="23">
        <v>2</v>
      </c>
      <c r="AD5" s="18">
        <f t="shared" si="8"/>
        <v>0</v>
      </c>
      <c r="AE5" s="13">
        <f t="shared" si="9"/>
        <v>0</v>
      </c>
      <c r="AF5" s="13">
        <f t="shared" ref="AF5:AF9" si="12">SUM(AT5:BB5)</f>
        <v>0</v>
      </c>
      <c r="AH5">
        <v>2</v>
      </c>
      <c r="AI5">
        <f t="shared" si="10"/>
        <v>0</v>
      </c>
      <c r="AJ5">
        <f t="shared" si="10"/>
        <v>0</v>
      </c>
      <c r="AK5">
        <f t="shared" si="10"/>
        <v>0</v>
      </c>
      <c r="AL5">
        <f t="shared" si="10"/>
        <v>0</v>
      </c>
      <c r="AM5">
        <f t="shared" si="10"/>
        <v>0</v>
      </c>
      <c r="AN5">
        <f t="shared" si="10"/>
        <v>0</v>
      </c>
      <c r="AO5">
        <f t="shared" si="10"/>
        <v>0</v>
      </c>
      <c r="AP5">
        <f t="shared" si="10"/>
        <v>0</v>
      </c>
      <c r="AQ5">
        <f t="shared" si="10"/>
        <v>0</v>
      </c>
      <c r="AS5">
        <v>2</v>
      </c>
      <c r="AT5">
        <f t="shared" ref="AT5:AT9" si="13">AI5</f>
        <v>0</v>
      </c>
      <c r="AU5">
        <f t="shared" si="11"/>
        <v>0</v>
      </c>
      <c r="AV5">
        <f t="shared" si="11"/>
        <v>0</v>
      </c>
      <c r="AW5">
        <f t="shared" si="11"/>
        <v>0</v>
      </c>
      <c r="AX5">
        <f t="shared" si="11"/>
        <v>0</v>
      </c>
      <c r="AY5">
        <f t="shared" si="11"/>
        <v>0</v>
      </c>
      <c r="AZ5">
        <f t="shared" si="11"/>
        <v>0</v>
      </c>
      <c r="BA5">
        <f t="shared" si="11"/>
        <v>0</v>
      </c>
      <c r="BB5">
        <f t="shared" si="11"/>
        <v>0</v>
      </c>
    </row>
    <row r="6" spans="2:54" x14ac:dyDescent="0.25">
      <c r="B6" s="8">
        <v>3</v>
      </c>
      <c r="C6" s="8" t="s">
        <v>43</v>
      </c>
      <c r="D6" s="49"/>
      <c r="E6" s="49"/>
      <c r="F6" s="8">
        <v>1000</v>
      </c>
      <c r="H6" s="25" t="str">
        <f t="shared" si="0"/>
        <v/>
      </c>
      <c r="I6" s="25" t="str">
        <f t="shared" si="0"/>
        <v/>
      </c>
      <c r="J6" s="24" t="str">
        <f t="shared" si="0"/>
        <v/>
      </c>
      <c r="K6" s="25" t="str">
        <f t="shared" si="0"/>
        <v/>
      </c>
      <c r="L6" s="25" t="str">
        <f t="shared" si="0"/>
        <v/>
      </c>
      <c r="M6" s="25" t="str">
        <f t="shared" si="0"/>
        <v/>
      </c>
      <c r="N6" s="52"/>
      <c r="O6" s="53"/>
      <c r="P6" s="37"/>
      <c r="Q6" s="36"/>
      <c r="R6" s="39">
        <f t="shared" si="1"/>
        <v>0</v>
      </c>
      <c r="S6" s="20"/>
      <c r="T6" s="11">
        <v>3</v>
      </c>
      <c r="U6" s="30">
        <v>2</v>
      </c>
      <c r="V6" s="22" t="str">
        <f t="shared" si="2"/>
        <v>B</v>
      </c>
      <c r="W6" s="27">
        <f t="shared" si="3"/>
        <v>0</v>
      </c>
      <c r="X6" s="27">
        <f t="shared" si="4"/>
        <v>0</v>
      </c>
      <c r="Y6" s="26">
        <f t="shared" si="5"/>
        <v>0</v>
      </c>
      <c r="Z6" s="27">
        <f t="shared" si="6"/>
        <v>0</v>
      </c>
      <c r="AA6" s="28">
        <f t="shared" si="7"/>
        <v>1000</v>
      </c>
      <c r="AB6" s="20"/>
      <c r="AC6" s="23">
        <v>3</v>
      </c>
      <c r="AD6" s="18">
        <f t="shared" si="8"/>
        <v>0</v>
      </c>
      <c r="AE6" s="13">
        <f t="shared" si="9"/>
        <v>0</v>
      </c>
      <c r="AF6" s="13">
        <f t="shared" si="12"/>
        <v>0</v>
      </c>
      <c r="AH6">
        <v>3</v>
      </c>
      <c r="AI6">
        <f t="shared" si="10"/>
        <v>0</v>
      </c>
      <c r="AJ6">
        <f t="shared" si="10"/>
        <v>0</v>
      </c>
      <c r="AK6">
        <f t="shared" si="10"/>
        <v>0</v>
      </c>
      <c r="AL6">
        <f t="shared" si="10"/>
        <v>0</v>
      </c>
      <c r="AM6">
        <f t="shared" si="10"/>
        <v>0</v>
      </c>
      <c r="AN6">
        <f t="shared" si="10"/>
        <v>0</v>
      </c>
      <c r="AO6">
        <f t="shared" si="10"/>
        <v>0</v>
      </c>
      <c r="AP6">
        <f t="shared" si="10"/>
        <v>0</v>
      </c>
      <c r="AQ6">
        <f t="shared" si="10"/>
        <v>0</v>
      </c>
      <c r="AS6">
        <v>3</v>
      </c>
      <c r="AT6">
        <f t="shared" si="13"/>
        <v>0</v>
      </c>
      <c r="AU6">
        <f t="shared" si="11"/>
        <v>0</v>
      </c>
      <c r="AV6">
        <f t="shared" si="11"/>
        <v>0</v>
      </c>
      <c r="AW6">
        <f t="shared" si="11"/>
        <v>0</v>
      </c>
      <c r="AX6">
        <f t="shared" si="11"/>
        <v>0</v>
      </c>
      <c r="AY6">
        <f t="shared" si="11"/>
        <v>0</v>
      </c>
      <c r="AZ6">
        <f t="shared" si="11"/>
        <v>0</v>
      </c>
      <c r="BA6">
        <f t="shared" si="11"/>
        <v>0</v>
      </c>
      <c r="BB6">
        <f t="shared" si="11"/>
        <v>0</v>
      </c>
    </row>
    <row r="7" spans="2:54" x14ac:dyDescent="0.25">
      <c r="B7" s="8">
        <v>4</v>
      </c>
      <c r="C7" s="8" t="s">
        <v>44</v>
      </c>
      <c r="D7" s="49"/>
      <c r="E7" s="49"/>
      <c r="F7" s="8">
        <v>1000</v>
      </c>
      <c r="H7" s="25" t="str">
        <f t="shared" si="0"/>
        <v/>
      </c>
      <c r="I7" s="25" t="str">
        <f t="shared" si="0"/>
        <v/>
      </c>
      <c r="J7" s="25" t="str">
        <f t="shared" si="0"/>
        <v/>
      </c>
      <c r="K7" s="24" t="str">
        <f t="shared" si="0"/>
        <v/>
      </c>
      <c r="L7" s="25" t="str">
        <f t="shared" si="0"/>
        <v/>
      </c>
      <c r="M7" s="25" t="str">
        <f t="shared" si="0"/>
        <v/>
      </c>
      <c r="N7" s="52"/>
      <c r="O7" s="53"/>
      <c r="P7" s="37"/>
      <c r="Q7" s="36"/>
      <c r="R7" s="39">
        <f t="shared" si="1"/>
        <v>0</v>
      </c>
      <c r="S7" s="20"/>
      <c r="T7" s="11">
        <v>4</v>
      </c>
      <c r="U7" s="30">
        <v>4</v>
      </c>
      <c r="V7" s="22" t="str">
        <f t="shared" si="2"/>
        <v>D</v>
      </c>
      <c r="W7" s="27">
        <f t="shared" si="3"/>
        <v>0</v>
      </c>
      <c r="X7" s="27">
        <f t="shared" si="4"/>
        <v>0</v>
      </c>
      <c r="Y7" s="26">
        <f t="shared" si="5"/>
        <v>0</v>
      </c>
      <c r="Z7" s="27">
        <f t="shared" si="6"/>
        <v>0</v>
      </c>
      <c r="AA7" s="28">
        <f t="shared" si="7"/>
        <v>1000</v>
      </c>
      <c r="AB7" s="20"/>
      <c r="AC7" s="23">
        <v>4</v>
      </c>
      <c r="AD7" s="18">
        <f t="shared" si="8"/>
        <v>0</v>
      </c>
      <c r="AE7" s="13">
        <f t="shared" si="9"/>
        <v>0</v>
      </c>
      <c r="AF7" s="13">
        <f t="shared" si="12"/>
        <v>0</v>
      </c>
      <c r="AH7">
        <v>4</v>
      </c>
      <c r="AI7">
        <f t="shared" si="10"/>
        <v>0</v>
      </c>
      <c r="AJ7">
        <f t="shared" si="10"/>
        <v>0</v>
      </c>
      <c r="AK7">
        <f t="shared" si="10"/>
        <v>0</v>
      </c>
      <c r="AL7">
        <f t="shared" si="10"/>
        <v>0</v>
      </c>
      <c r="AM7">
        <f t="shared" si="10"/>
        <v>0</v>
      </c>
      <c r="AN7">
        <f t="shared" si="10"/>
        <v>0</v>
      </c>
      <c r="AO7">
        <f t="shared" si="10"/>
        <v>0</v>
      </c>
      <c r="AP7">
        <f t="shared" si="10"/>
        <v>0</v>
      </c>
      <c r="AQ7">
        <f t="shared" si="10"/>
        <v>0</v>
      </c>
      <c r="AS7">
        <v>4</v>
      </c>
      <c r="AT7">
        <f t="shared" si="13"/>
        <v>0</v>
      </c>
      <c r="AU7">
        <f t="shared" si="11"/>
        <v>0</v>
      </c>
      <c r="AV7">
        <f t="shared" si="11"/>
        <v>0</v>
      </c>
      <c r="AW7">
        <f t="shared" si="11"/>
        <v>0</v>
      </c>
      <c r="AX7">
        <f t="shared" si="11"/>
        <v>0</v>
      </c>
      <c r="AY7">
        <f t="shared" si="11"/>
        <v>0</v>
      </c>
      <c r="AZ7">
        <f t="shared" si="11"/>
        <v>0</v>
      </c>
      <c r="BA7">
        <f t="shared" si="11"/>
        <v>0</v>
      </c>
      <c r="BB7">
        <f t="shared" si="11"/>
        <v>0</v>
      </c>
    </row>
    <row r="8" spans="2:54" x14ac:dyDescent="0.25">
      <c r="B8" s="8">
        <v>5</v>
      </c>
      <c r="C8" s="8" t="s">
        <v>48</v>
      </c>
      <c r="D8" s="49"/>
      <c r="E8" s="49"/>
      <c r="F8" s="8">
        <v>1000</v>
      </c>
      <c r="H8" s="25" t="str">
        <f t="shared" si="0"/>
        <v/>
      </c>
      <c r="I8" s="25" t="str">
        <f t="shared" si="0"/>
        <v/>
      </c>
      <c r="J8" s="25" t="str">
        <f t="shared" si="0"/>
        <v/>
      </c>
      <c r="K8" s="25" t="str">
        <f t="shared" si="0"/>
        <v/>
      </c>
      <c r="L8" s="24" t="str">
        <f t="shared" si="0"/>
        <v/>
      </c>
      <c r="M8" s="25" t="str">
        <f t="shared" si="0"/>
        <v/>
      </c>
      <c r="N8" s="52"/>
      <c r="O8" s="53"/>
      <c r="P8" s="37"/>
      <c r="Q8" s="36"/>
      <c r="R8" s="39">
        <f t="shared" si="1"/>
        <v>0</v>
      </c>
      <c r="S8" s="20"/>
      <c r="T8" s="11">
        <v>5</v>
      </c>
      <c r="U8" s="30">
        <v>3</v>
      </c>
      <c r="V8" s="22" t="str">
        <f t="shared" si="2"/>
        <v>C</v>
      </c>
      <c r="W8" s="27">
        <f t="shared" si="3"/>
        <v>0</v>
      </c>
      <c r="X8" s="27">
        <f t="shared" si="4"/>
        <v>0</v>
      </c>
      <c r="Y8" s="26">
        <f t="shared" si="5"/>
        <v>0</v>
      </c>
      <c r="Z8" s="27">
        <f t="shared" si="6"/>
        <v>0</v>
      </c>
      <c r="AA8" s="28">
        <f t="shared" si="7"/>
        <v>1000</v>
      </c>
      <c r="AB8" s="20"/>
      <c r="AC8" s="23">
        <v>5</v>
      </c>
      <c r="AD8" s="18">
        <f t="shared" si="8"/>
        <v>0</v>
      </c>
      <c r="AE8" s="13">
        <f t="shared" si="9"/>
        <v>0</v>
      </c>
      <c r="AF8" s="13">
        <f t="shared" si="12"/>
        <v>0</v>
      </c>
      <c r="AH8">
        <v>5</v>
      </c>
      <c r="AI8">
        <f t="shared" si="10"/>
        <v>0</v>
      </c>
      <c r="AJ8">
        <f t="shared" si="10"/>
        <v>0</v>
      </c>
      <c r="AK8">
        <f t="shared" si="10"/>
        <v>0</v>
      </c>
      <c r="AL8">
        <f t="shared" si="10"/>
        <v>0</v>
      </c>
      <c r="AM8">
        <f t="shared" si="10"/>
        <v>0</v>
      </c>
      <c r="AN8">
        <f t="shared" si="10"/>
        <v>0</v>
      </c>
      <c r="AO8">
        <f t="shared" si="10"/>
        <v>0</v>
      </c>
      <c r="AP8">
        <f t="shared" si="10"/>
        <v>0</v>
      </c>
      <c r="AQ8">
        <f t="shared" si="10"/>
        <v>0</v>
      </c>
      <c r="AS8">
        <v>5</v>
      </c>
      <c r="AT8">
        <f t="shared" si="13"/>
        <v>0</v>
      </c>
      <c r="AU8">
        <f t="shared" si="11"/>
        <v>0</v>
      </c>
      <c r="AV8">
        <f t="shared" si="11"/>
        <v>0</v>
      </c>
      <c r="AW8">
        <f t="shared" si="11"/>
        <v>0</v>
      </c>
      <c r="AX8">
        <f t="shared" si="11"/>
        <v>0</v>
      </c>
      <c r="AY8">
        <f t="shared" si="11"/>
        <v>0</v>
      </c>
      <c r="AZ8">
        <f t="shared" si="11"/>
        <v>0</v>
      </c>
      <c r="BA8">
        <f t="shared" si="11"/>
        <v>0</v>
      </c>
      <c r="BB8">
        <f t="shared" si="11"/>
        <v>0</v>
      </c>
    </row>
    <row r="9" spans="2:54" x14ac:dyDescent="0.25">
      <c r="B9" s="8">
        <v>6</v>
      </c>
      <c r="C9" s="8" t="s">
        <v>45</v>
      </c>
      <c r="D9" s="49"/>
      <c r="E9" s="49"/>
      <c r="F9" s="8">
        <v>1000</v>
      </c>
      <c r="H9" s="25" t="str">
        <f t="shared" si="0"/>
        <v/>
      </c>
      <c r="I9" s="25" t="str">
        <f t="shared" si="0"/>
        <v/>
      </c>
      <c r="J9" s="25" t="str">
        <f t="shared" si="0"/>
        <v/>
      </c>
      <c r="K9" s="25" t="str">
        <f t="shared" si="0"/>
        <v/>
      </c>
      <c r="L9" s="25" t="str">
        <f t="shared" si="0"/>
        <v/>
      </c>
      <c r="M9" s="24" t="str">
        <f t="shared" si="0"/>
        <v/>
      </c>
      <c r="N9" s="52"/>
      <c r="O9" s="53"/>
      <c r="P9" s="37"/>
      <c r="Q9" s="36"/>
      <c r="R9" s="39">
        <f t="shared" si="1"/>
        <v>0</v>
      </c>
      <c r="S9" s="20"/>
      <c r="T9" s="11">
        <v>6</v>
      </c>
      <c r="U9" s="30">
        <v>6</v>
      </c>
      <c r="V9" s="22" t="str">
        <f t="shared" si="2"/>
        <v>F</v>
      </c>
      <c r="W9" s="27">
        <f t="shared" si="3"/>
        <v>0</v>
      </c>
      <c r="X9" s="27">
        <f t="shared" si="4"/>
        <v>0</v>
      </c>
      <c r="Y9" s="26">
        <f t="shared" si="5"/>
        <v>0</v>
      </c>
      <c r="Z9" s="27">
        <f t="shared" si="6"/>
        <v>0</v>
      </c>
      <c r="AA9" s="28">
        <f t="shared" si="7"/>
        <v>1000</v>
      </c>
      <c r="AB9" s="20"/>
      <c r="AC9" s="23">
        <v>6</v>
      </c>
      <c r="AD9" s="18">
        <f t="shared" si="8"/>
        <v>0</v>
      </c>
      <c r="AE9" s="13">
        <f t="shared" si="9"/>
        <v>0</v>
      </c>
      <c r="AF9" s="13">
        <f t="shared" si="12"/>
        <v>0</v>
      </c>
      <c r="AH9">
        <v>6</v>
      </c>
      <c r="AI9">
        <f t="shared" si="10"/>
        <v>0</v>
      </c>
      <c r="AJ9">
        <f t="shared" si="10"/>
        <v>0</v>
      </c>
      <c r="AK9">
        <f t="shared" si="10"/>
        <v>0</v>
      </c>
      <c r="AL9">
        <f t="shared" si="10"/>
        <v>0</v>
      </c>
      <c r="AM9">
        <f t="shared" si="10"/>
        <v>0</v>
      </c>
      <c r="AN9">
        <f t="shared" si="10"/>
        <v>0</v>
      </c>
      <c r="AO9">
        <f t="shared" si="10"/>
        <v>0</v>
      </c>
      <c r="AP9">
        <f t="shared" si="10"/>
        <v>0</v>
      </c>
      <c r="AQ9">
        <f t="shared" si="10"/>
        <v>0</v>
      </c>
      <c r="AS9">
        <v>6</v>
      </c>
      <c r="AT9">
        <f t="shared" si="13"/>
        <v>0</v>
      </c>
      <c r="AU9">
        <f t="shared" si="11"/>
        <v>0</v>
      </c>
      <c r="AV9">
        <f t="shared" si="11"/>
        <v>0</v>
      </c>
      <c r="AW9">
        <f t="shared" si="11"/>
        <v>0</v>
      </c>
      <c r="AX9">
        <f t="shared" si="11"/>
        <v>0</v>
      </c>
      <c r="AY9">
        <f t="shared" si="11"/>
        <v>0</v>
      </c>
      <c r="AZ9">
        <f t="shared" si="11"/>
        <v>0</v>
      </c>
      <c r="BA9">
        <f t="shared" si="11"/>
        <v>0</v>
      </c>
      <c r="BB9">
        <f t="shared" si="11"/>
        <v>0</v>
      </c>
    </row>
    <row r="10" spans="2:54" hidden="1" x14ac:dyDescent="0.25"/>
    <row r="11" spans="2:54" x14ac:dyDescent="0.25">
      <c r="AC11" s="32" t="s">
        <v>40</v>
      </c>
      <c r="AD11" s="32" t="s">
        <v>0</v>
      </c>
      <c r="AE11" s="32" t="s">
        <v>1</v>
      </c>
      <c r="AF11" s="32" t="s">
        <v>2</v>
      </c>
      <c r="AH11" s="14" t="s">
        <v>38</v>
      </c>
      <c r="AI11" s="14" t="s">
        <v>39</v>
      </c>
      <c r="AJ11" t="s">
        <v>18</v>
      </c>
      <c r="AK11" t="s">
        <v>19</v>
      </c>
      <c r="AL11" t="s">
        <v>20</v>
      </c>
      <c r="AM11" t="s">
        <v>21</v>
      </c>
    </row>
    <row r="12" spans="2:54" ht="3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AH12" s="21"/>
      <c r="AI12" s="21"/>
      <c r="AJ12" s="3"/>
      <c r="AK12" s="3"/>
      <c r="AL12" s="3"/>
      <c r="AM12" s="3"/>
    </row>
    <row r="13" spans="2:54" x14ac:dyDescent="0.25">
      <c r="B13" s="1" t="s">
        <v>3</v>
      </c>
      <c r="AH13" s="14"/>
      <c r="AI13" s="14"/>
    </row>
    <row r="14" spans="2:54" x14ac:dyDescent="0.25">
      <c r="B14">
        <v>1</v>
      </c>
      <c r="C14" t="str">
        <f>VLOOKUP(AD14,$B$4:$F$9,2,FALSE)</f>
        <v>A</v>
      </c>
      <c r="D14" s="2" t="s">
        <v>5</v>
      </c>
      <c r="E14" s="45" t="str">
        <f>VLOOKUP(AE14,$B$4:$F$9,2,FALSE)</f>
        <v>F</v>
      </c>
      <c r="F14" s="45"/>
      <c r="G14" s="45"/>
      <c r="H14" s="45"/>
      <c r="J14" s="43"/>
      <c r="K14" s="44"/>
      <c r="L14" s="2"/>
      <c r="M14" s="43"/>
      <c r="N14" s="44"/>
      <c r="AC14">
        <v>1</v>
      </c>
      <c r="AD14">
        <v>1</v>
      </c>
      <c r="AE14">
        <v>6</v>
      </c>
      <c r="AF14">
        <f>IF(AND(ISNUMBER(J14),ISNUMBER(M14),(J14+M14=1)),1,0)</f>
        <v>0</v>
      </c>
      <c r="AH14" s="15">
        <f>AD14*100+AE14</f>
        <v>106</v>
      </c>
      <c r="AI14" s="15">
        <f>AE14*100+AD14</f>
        <v>601</v>
      </c>
      <c r="AJ14">
        <v>0</v>
      </c>
      <c r="AK14">
        <v>0</v>
      </c>
      <c r="AL14">
        <f>J14*AK14</f>
        <v>0</v>
      </c>
      <c r="AM14">
        <f>M14*AJ14</f>
        <v>0</v>
      </c>
    </row>
    <row r="15" spans="2:54" x14ac:dyDescent="0.25">
      <c r="B15">
        <v>2</v>
      </c>
      <c r="C15" t="str">
        <f>VLOOKUP(AD15,$B$4:$F$9,2,FALSE)</f>
        <v>B</v>
      </c>
      <c r="D15" s="2" t="s">
        <v>5</v>
      </c>
      <c r="E15" s="45" t="str">
        <f>VLOOKUP(AE15,$B$4:$F$9,2,FALSE)</f>
        <v>E</v>
      </c>
      <c r="F15" s="45"/>
      <c r="G15" s="45"/>
      <c r="H15" s="45"/>
      <c r="J15" s="43"/>
      <c r="K15" s="44"/>
      <c r="L15" s="2"/>
      <c r="M15" s="43"/>
      <c r="N15" s="44"/>
      <c r="AC15">
        <v>1</v>
      </c>
      <c r="AD15">
        <v>2</v>
      </c>
      <c r="AE15">
        <v>5</v>
      </c>
      <c r="AF15">
        <f>IF(AND(ISNUMBER(J15),ISNUMBER(M15),(J15+M15=1)),1,0)</f>
        <v>0</v>
      </c>
      <c r="AH15" s="15">
        <f>AD15*100+AE15</f>
        <v>205</v>
      </c>
      <c r="AI15" s="15">
        <f>AE15*100+AD15</f>
        <v>502</v>
      </c>
      <c r="AJ15">
        <v>0</v>
      </c>
      <c r="AK15">
        <v>0</v>
      </c>
      <c r="AL15">
        <f>J15*AK15</f>
        <v>0</v>
      </c>
      <c r="AM15">
        <f>M15*AJ15</f>
        <v>0</v>
      </c>
    </row>
    <row r="16" spans="2:54" x14ac:dyDescent="0.25">
      <c r="B16">
        <v>3</v>
      </c>
      <c r="C16" t="str">
        <f>VLOOKUP(AD16,$B$4:$F$9,2,FALSE)</f>
        <v>C</v>
      </c>
      <c r="D16" s="2" t="s">
        <v>5</v>
      </c>
      <c r="E16" s="45" t="str">
        <f>VLOOKUP(AE16,$B$4:$F$9,2,FALSE)</f>
        <v>D</v>
      </c>
      <c r="F16" s="45"/>
      <c r="G16" s="45"/>
      <c r="H16" s="45"/>
      <c r="J16" s="43"/>
      <c r="K16" s="44"/>
      <c r="L16" s="2"/>
      <c r="M16" s="43"/>
      <c r="N16" s="44"/>
      <c r="AC16">
        <v>1</v>
      </c>
      <c r="AD16">
        <v>3</v>
      </c>
      <c r="AE16">
        <v>4</v>
      </c>
      <c r="AF16">
        <f>IF(AND(ISNUMBER(J16),ISNUMBER(M16),(J16+M16=1)),1,0)</f>
        <v>0</v>
      </c>
      <c r="AH16" s="15">
        <f>AD16*100+AE16</f>
        <v>304</v>
      </c>
      <c r="AI16" s="15">
        <f>AE16*100+AD16</f>
        <v>403</v>
      </c>
      <c r="AJ16">
        <v>0</v>
      </c>
      <c r="AK16">
        <v>0</v>
      </c>
      <c r="AL16">
        <f>J16*AK16</f>
        <v>0</v>
      </c>
      <c r="AM16">
        <f>M16*AJ16</f>
        <v>0</v>
      </c>
    </row>
    <row r="17" spans="2:39" ht="3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AH17" s="14"/>
      <c r="AI17" s="14"/>
    </row>
    <row r="18" spans="2:39" x14ac:dyDescent="0.25">
      <c r="B18" s="1" t="s">
        <v>9</v>
      </c>
      <c r="AH18" s="14"/>
      <c r="AI18" s="14"/>
    </row>
    <row r="19" spans="2:39" x14ac:dyDescent="0.25">
      <c r="B19">
        <v>1</v>
      </c>
      <c r="C19" t="str">
        <f>VLOOKUP(AD19,$B$4:$F$9,2,FALSE)</f>
        <v>F</v>
      </c>
      <c r="D19" s="2" t="s">
        <v>5</v>
      </c>
      <c r="E19" s="45" t="str">
        <f>VLOOKUP(AE19,$B$4:$F$9,2,FALSE)</f>
        <v>D</v>
      </c>
      <c r="F19" s="45"/>
      <c r="G19" s="45"/>
      <c r="H19" s="45"/>
      <c r="J19" s="43"/>
      <c r="K19" s="44"/>
      <c r="L19" s="2"/>
      <c r="M19" s="43"/>
      <c r="N19" s="44"/>
      <c r="AC19">
        <v>2</v>
      </c>
      <c r="AD19">
        <v>6</v>
      </c>
      <c r="AE19">
        <v>4</v>
      </c>
      <c r="AF19">
        <f>IF(AND(ISNUMBER(J19),ISNUMBER(M19),(J19+M19=1)),1,0)</f>
        <v>0</v>
      </c>
      <c r="AH19" s="15">
        <f>AD19*100+AE19</f>
        <v>604</v>
      </c>
      <c r="AI19" s="15">
        <f>AE19*100+AD19</f>
        <v>406</v>
      </c>
      <c r="AJ19">
        <f t="shared" ref="AJ19:AK21" si="14">VLOOKUP(AD19,$AS$3:$BB$9,$AC19,FALSE)</f>
        <v>0</v>
      </c>
      <c r="AK19">
        <f t="shared" si="14"/>
        <v>0</v>
      </c>
      <c r="AL19">
        <f>J19*AK19</f>
        <v>0</v>
      </c>
      <c r="AM19">
        <f>M19*AJ19</f>
        <v>0</v>
      </c>
    </row>
    <row r="20" spans="2:39" x14ac:dyDescent="0.25">
      <c r="B20">
        <v>2</v>
      </c>
      <c r="C20" t="str">
        <f>VLOOKUP(AD20,$B$4:$F$9,2,FALSE)</f>
        <v>E</v>
      </c>
      <c r="D20" s="2" t="s">
        <v>5</v>
      </c>
      <c r="E20" s="45" t="str">
        <f>VLOOKUP(AE20,$B$4:$F$9,2,FALSE)</f>
        <v>C</v>
      </c>
      <c r="F20" s="45"/>
      <c r="G20" s="45"/>
      <c r="H20" s="45"/>
      <c r="J20" s="43"/>
      <c r="K20" s="44"/>
      <c r="L20" s="2"/>
      <c r="M20" s="43"/>
      <c r="N20" s="44"/>
      <c r="AC20">
        <v>2</v>
      </c>
      <c r="AD20">
        <v>5</v>
      </c>
      <c r="AE20">
        <v>3</v>
      </c>
      <c r="AF20">
        <f>IF(AND(ISNUMBER(J20),ISNUMBER(M20),(J20+M20=1)),1,0)</f>
        <v>0</v>
      </c>
      <c r="AH20" s="15">
        <f>AD20*100+AE20</f>
        <v>503</v>
      </c>
      <c r="AI20" s="15">
        <f>AE20*100+AD20</f>
        <v>305</v>
      </c>
      <c r="AJ20">
        <f t="shared" si="14"/>
        <v>0</v>
      </c>
      <c r="AK20">
        <f t="shared" si="14"/>
        <v>0</v>
      </c>
      <c r="AL20">
        <f>J20*AK20</f>
        <v>0</v>
      </c>
      <c r="AM20">
        <f>M20*AJ20</f>
        <v>0</v>
      </c>
    </row>
    <row r="21" spans="2:39" x14ac:dyDescent="0.25">
      <c r="B21">
        <v>3</v>
      </c>
      <c r="C21" t="str">
        <f>VLOOKUP(AD21,$B$4:$F$9,2,FALSE)</f>
        <v>A</v>
      </c>
      <c r="D21" s="2" t="s">
        <v>5</v>
      </c>
      <c r="E21" s="45" t="str">
        <f>VLOOKUP(AE21,$B$4:$F$9,2,FALSE)</f>
        <v>B</v>
      </c>
      <c r="F21" s="45"/>
      <c r="G21" s="45"/>
      <c r="H21" s="45"/>
      <c r="J21" s="43"/>
      <c r="K21" s="44"/>
      <c r="L21" s="2"/>
      <c r="M21" s="43"/>
      <c r="N21" s="44"/>
      <c r="AC21">
        <v>2</v>
      </c>
      <c r="AD21">
        <v>1</v>
      </c>
      <c r="AE21">
        <v>2</v>
      </c>
      <c r="AF21">
        <f>IF(AND(ISNUMBER(J21),ISNUMBER(M21),(J21+M21=1)),1,0)</f>
        <v>0</v>
      </c>
      <c r="AH21" s="15">
        <f>AD21*100+AE21</f>
        <v>102</v>
      </c>
      <c r="AI21" s="15">
        <f>AE21*100+AD21</f>
        <v>201</v>
      </c>
      <c r="AJ21">
        <f t="shared" si="14"/>
        <v>0</v>
      </c>
      <c r="AK21">
        <f t="shared" si="14"/>
        <v>0</v>
      </c>
      <c r="AL21">
        <f>J21*AK21</f>
        <v>0</v>
      </c>
      <c r="AM21">
        <f>M21*AJ21</f>
        <v>0</v>
      </c>
    </row>
    <row r="22" spans="2:39" ht="3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AH22" s="14"/>
      <c r="AI22" s="14"/>
    </row>
    <row r="23" spans="2:39" x14ac:dyDescent="0.25">
      <c r="B23" s="1" t="s">
        <v>10</v>
      </c>
      <c r="AH23" s="14"/>
      <c r="AI23" s="14"/>
    </row>
    <row r="24" spans="2:39" x14ac:dyDescent="0.25">
      <c r="B24">
        <v>1</v>
      </c>
      <c r="C24" t="str">
        <f>VLOOKUP(AD24,$B$4:$F$9,2,FALSE)</f>
        <v>B</v>
      </c>
      <c r="D24" s="2" t="s">
        <v>5</v>
      </c>
      <c r="E24" s="45" t="str">
        <f>VLOOKUP(AE24,$B$4:$F$9,2,FALSE)</f>
        <v>F</v>
      </c>
      <c r="F24" s="45"/>
      <c r="G24" s="45"/>
      <c r="H24" s="45"/>
      <c r="J24" s="43"/>
      <c r="K24" s="44"/>
      <c r="L24" s="2"/>
      <c r="M24" s="43"/>
      <c r="N24" s="44"/>
      <c r="AC24">
        <v>3</v>
      </c>
      <c r="AD24">
        <v>2</v>
      </c>
      <c r="AE24">
        <v>6</v>
      </c>
      <c r="AF24">
        <f>IF(AND(ISNUMBER(J24),ISNUMBER(M24),(J24+M24=1)),1,0)</f>
        <v>0</v>
      </c>
      <c r="AH24" s="15">
        <f>AD24*100+AE24</f>
        <v>206</v>
      </c>
      <c r="AI24" s="15">
        <f>AE24*100+AD24</f>
        <v>602</v>
      </c>
      <c r="AJ24">
        <f t="shared" ref="AJ24:AK26" si="15">VLOOKUP(AD24,$AS$3:$BB$9,$AC24,FALSE)</f>
        <v>0</v>
      </c>
      <c r="AK24">
        <f t="shared" si="15"/>
        <v>0</v>
      </c>
      <c r="AL24">
        <f>J24*AK24</f>
        <v>0</v>
      </c>
      <c r="AM24">
        <f>M24*AJ24</f>
        <v>0</v>
      </c>
    </row>
    <row r="25" spans="2:39" x14ac:dyDescent="0.25">
      <c r="B25">
        <v>2</v>
      </c>
      <c r="C25" t="str">
        <f>VLOOKUP(AD25,$B$4:$F$9,2,FALSE)</f>
        <v>C</v>
      </c>
      <c r="D25" s="2" t="s">
        <v>5</v>
      </c>
      <c r="E25" s="45" t="str">
        <f>VLOOKUP(AE25,$B$4:$F$9,2,FALSE)</f>
        <v>A</v>
      </c>
      <c r="F25" s="45"/>
      <c r="G25" s="45"/>
      <c r="H25" s="45"/>
      <c r="J25" s="43"/>
      <c r="K25" s="44"/>
      <c r="L25" s="2"/>
      <c r="M25" s="43"/>
      <c r="N25" s="44"/>
      <c r="AC25">
        <v>3</v>
      </c>
      <c r="AD25">
        <v>3</v>
      </c>
      <c r="AE25">
        <v>1</v>
      </c>
      <c r="AF25">
        <f>IF(AND(ISNUMBER(J25),ISNUMBER(M25),(J25+M25=1)),1,0)</f>
        <v>0</v>
      </c>
      <c r="AH25" s="15">
        <f>AD25*100+AE25</f>
        <v>301</v>
      </c>
      <c r="AI25" s="15">
        <f>AE25*100+AD25</f>
        <v>103</v>
      </c>
      <c r="AJ25">
        <f t="shared" si="15"/>
        <v>0</v>
      </c>
      <c r="AK25">
        <f t="shared" si="15"/>
        <v>0</v>
      </c>
      <c r="AL25">
        <f>J25*AK25</f>
        <v>0</v>
      </c>
      <c r="AM25">
        <f>M25*AJ25</f>
        <v>0</v>
      </c>
    </row>
    <row r="26" spans="2:39" x14ac:dyDescent="0.25">
      <c r="B26">
        <v>3</v>
      </c>
      <c r="C26" t="str">
        <f>VLOOKUP(AD26,$B$4:$F$9,2,FALSE)</f>
        <v>D</v>
      </c>
      <c r="D26" s="2" t="s">
        <v>5</v>
      </c>
      <c r="E26" s="45" t="str">
        <f>VLOOKUP(AE26,$B$4:$F$9,2,FALSE)</f>
        <v>E</v>
      </c>
      <c r="F26" s="45"/>
      <c r="G26" s="45"/>
      <c r="H26" s="45"/>
      <c r="J26" s="43"/>
      <c r="K26" s="44"/>
      <c r="L26" s="2"/>
      <c r="M26" s="43"/>
      <c r="N26" s="44"/>
      <c r="AC26">
        <v>3</v>
      </c>
      <c r="AD26">
        <v>4</v>
      </c>
      <c r="AE26">
        <v>5</v>
      </c>
      <c r="AF26">
        <f>IF(AND(ISNUMBER(J26),ISNUMBER(M26),(J26+M26=1)),1,0)</f>
        <v>0</v>
      </c>
      <c r="AH26" s="15">
        <f>AD26*100+AE26</f>
        <v>405</v>
      </c>
      <c r="AI26" s="15">
        <f>AE26*100+AD26</f>
        <v>504</v>
      </c>
      <c r="AJ26">
        <f t="shared" si="15"/>
        <v>0</v>
      </c>
      <c r="AK26">
        <f t="shared" si="15"/>
        <v>0</v>
      </c>
      <c r="AL26">
        <f>J26*AK26</f>
        <v>0</v>
      </c>
      <c r="AM26">
        <f>M26*AJ26</f>
        <v>0</v>
      </c>
    </row>
    <row r="27" spans="2:39" ht="3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AH27" s="14"/>
      <c r="AI27" s="14"/>
    </row>
    <row r="28" spans="2:39" x14ac:dyDescent="0.25">
      <c r="B28" s="1" t="s">
        <v>11</v>
      </c>
      <c r="AH28" s="14"/>
      <c r="AI28" s="14"/>
    </row>
    <row r="29" spans="2:39" x14ac:dyDescent="0.25">
      <c r="B29">
        <v>1</v>
      </c>
      <c r="C29" t="str">
        <f>VLOOKUP(AD29,$B$4:$F$9,2,FALSE)</f>
        <v>F</v>
      </c>
      <c r="D29" s="2" t="s">
        <v>5</v>
      </c>
      <c r="E29" s="45" t="str">
        <f>VLOOKUP(AE29,$B$4:$F$9,2,FALSE)</f>
        <v>E</v>
      </c>
      <c r="F29" s="45"/>
      <c r="G29" s="45"/>
      <c r="H29" s="45"/>
      <c r="J29" s="43"/>
      <c r="K29" s="44"/>
      <c r="L29" s="2"/>
      <c r="M29" s="43"/>
      <c r="N29" s="44"/>
      <c r="AC29">
        <v>4</v>
      </c>
      <c r="AD29">
        <v>6</v>
      </c>
      <c r="AE29">
        <v>5</v>
      </c>
      <c r="AF29">
        <f>IF(AND(ISNUMBER(J29),ISNUMBER(M29),(J29+M29=1)),1,0)</f>
        <v>0</v>
      </c>
      <c r="AH29" s="15">
        <f>AD29*100+AE29</f>
        <v>605</v>
      </c>
      <c r="AI29" s="15">
        <f>AE29*100+AD29</f>
        <v>506</v>
      </c>
      <c r="AJ29">
        <f t="shared" ref="AJ29:AK31" si="16">VLOOKUP(AD29,$AS$3:$BB$9,$AC29,FALSE)</f>
        <v>0</v>
      </c>
      <c r="AK29">
        <f t="shared" si="16"/>
        <v>0</v>
      </c>
      <c r="AL29">
        <f>J29*AK29</f>
        <v>0</v>
      </c>
      <c r="AM29">
        <f>M29*AJ29</f>
        <v>0</v>
      </c>
    </row>
    <row r="30" spans="2:39" x14ac:dyDescent="0.25">
      <c r="B30">
        <v>2</v>
      </c>
      <c r="C30" t="str">
        <f>VLOOKUP(AD30,$B$4:$F$9,2,FALSE)</f>
        <v>A</v>
      </c>
      <c r="D30" s="2" t="s">
        <v>5</v>
      </c>
      <c r="E30" s="45" t="str">
        <f>VLOOKUP(AE30,$B$4:$F$9,2,FALSE)</f>
        <v>D</v>
      </c>
      <c r="F30" s="45"/>
      <c r="G30" s="45"/>
      <c r="H30" s="45"/>
      <c r="J30" s="43"/>
      <c r="K30" s="44"/>
      <c r="L30" s="2"/>
      <c r="M30" s="43"/>
      <c r="N30" s="44"/>
      <c r="AC30">
        <v>4</v>
      </c>
      <c r="AD30">
        <v>1</v>
      </c>
      <c r="AE30">
        <v>4</v>
      </c>
      <c r="AF30">
        <f>IF(AND(ISNUMBER(J30),ISNUMBER(M30),(J30+M30=1)),1,0)</f>
        <v>0</v>
      </c>
      <c r="AH30" s="15">
        <f>AD30*100+AE30</f>
        <v>104</v>
      </c>
      <c r="AI30" s="15">
        <f>AE30*100+AD30</f>
        <v>401</v>
      </c>
      <c r="AJ30">
        <f t="shared" si="16"/>
        <v>0</v>
      </c>
      <c r="AK30">
        <f t="shared" si="16"/>
        <v>0</v>
      </c>
      <c r="AL30">
        <f>J30*AK30</f>
        <v>0</v>
      </c>
      <c r="AM30">
        <f>M30*AJ30</f>
        <v>0</v>
      </c>
    </row>
    <row r="31" spans="2:39" x14ac:dyDescent="0.25">
      <c r="B31">
        <v>3</v>
      </c>
      <c r="C31" t="str">
        <f>VLOOKUP(AD31,$B$4:$F$9,2,FALSE)</f>
        <v>B</v>
      </c>
      <c r="D31" s="2" t="s">
        <v>5</v>
      </c>
      <c r="E31" s="45" t="str">
        <f>VLOOKUP(AE31,$B$4:$F$9,2,FALSE)</f>
        <v>C</v>
      </c>
      <c r="F31" s="45"/>
      <c r="G31" s="45"/>
      <c r="H31" s="45"/>
      <c r="J31" s="43"/>
      <c r="K31" s="44"/>
      <c r="L31" s="2"/>
      <c r="M31" s="43"/>
      <c r="N31" s="44"/>
      <c r="AC31">
        <v>4</v>
      </c>
      <c r="AD31">
        <v>2</v>
      </c>
      <c r="AE31">
        <v>3</v>
      </c>
      <c r="AF31">
        <f>IF(AND(ISNUMBER(J31),ISNUMBER(M31),(J31+M31=1)),1,0)</f>
        <v>0</v>
      </c>
      <c r="AH31" s="15">
        <f>AD31*100+AE31</f>
        <v>203</v>
      </c>
      <c r="AI31" s="15">
        <f>AE31*100+AD31</f>
        <v>302</v>
      </c>
      <c r="AJ31">
        <f t="shared" si="16"/>
        <v>0</v>
      </c>
      <c r="AK31">
        <f t="shared" si="16"/>
        <v>0</v>
      </c>
      <c r="AL31">
        <f>J31*AK31</f>
        <v>0</v>
      </c>
      <c r="AM31">
        <f>M31*AJ31</f>
        <v>0</v>
      </c>
    </row>
    <row r="32" spans="2:39" ht="3" customHeight="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AH32" s="14"/>
      <c r="AI32" s="14"/>
    </row>
    <row r="33" spans="2:39" x14ac:dyDescent="0.25">
      <c r="B33" s="1" t="s">
        <v>12</v>
      </c>
      <c r="AH33" s="14"/>
      <c r="AI33" s="14"/>
    </row>
    <row r="34" spans="2:39" x14ac:dyDescent="0.25">
      <c r="B34">
        <v>1</v>
      </c>
      <c r="C34" t="str">
        <f>VLOOKUP(AD34,$B$4:$F$9,2,FALSE)</f>
        <v>C</v>
      </c>
      <c r="D34" s="2" t="s">
        <v>5</v>
      </c>
      <c r="E34" s="45" t="str">
        <f>VLOOKUP(AE34,$B$4:$F$9,2,FALSE)</f>
        <v>F</v>
      </c>
      <c r="F34" s="45"/>
      <c r="G34" s="45"/>
      <c r="H34" s="45"/>
      <c r="J34" s="43"/>
      <c r="K34" s="44"/>
      <c r="L34" s="2"/>
      <c r="M34" s="43"/>
      <c r="N34" s="44"/>
      <c r="AC34">
        <v>5</v>
      </c>
      <c r="AD34">
        <v>3</v>
      </c>
      <c r="AE34">
        <v>6</v>
      </c>
      <c r="AF34">
        <f>IF(AND(ISNUMBER(J34),ISNUMBER(M34),(J34+M34=1)),1,0)</f>
        <v>0</v>
      </c>
      <c r="AH34" s="15">
        <f>AD34*100+AE34</f>
        <v>306</v>
      </c>
      <c r="AI34" s="15">
        <f>AE34*100+AD34</f>
        <v>603</v>
      </c>
      <c r="AJ34">
        <f t="shared" ref="AJ34:AK36" si="17">VLOOKUP(AD34,$AS$3:$BB$9,$AC34,FALSE)</f>
        <v>0</v>
      </c>
      <c r="AK34">
        <f t="shared" si="17"/>
        <v>0</v>
      </c>
      <c r="AL34">
        <f>J34*AK34</f>
        <v>0</v>
      </c>
      <c r="AM34">
        <f>M34*AJ34</f>
        <v>0</v>
      </c>
    </row>
    <row r="35" spans="2:39" x14ac:dyDescent="0.25">
      <c r="B35">
        <v>2</v>
      </c>
      <c r="C35" t="str">
        <f>VLOOKUP(AD35,$B$4:$F$9,2,FALSE)</f>
        <v>D</v>
      </c>
      <c r="D35" s="2" t="s">
        <v>5</v>
      </c>
      <c r="E35" s="45" t="str">
        <f>VLOOKUP(AE35,$B$4:$F$9,2,FALSE)</f>
        <v>B</v>
      </c>
      <c r="F35" s="45"/>
      <c r="G35" s="45"/>
      <c r="H35" s="45"/>
      <c r="J35" s="43"/>
      <c r="K35" s="44"/>
      <c r="L35" s="2"/>
      <c r="M35" s="43"/>
      <c r="N35" s="44"/>
      <c r="AC35">
        <v>5</v>
      </c>
      <c r="AD35">
        <v>4</v>
      </c>
      <c r="AE35">
        <v>2</v>
      </c>
      <c r="AF35">
        <f>IF(AND(ISNUMBER(J35),ISNUMBER(M35),(J35+M35=1)),1,0)</f>
        <v>0</v>
      </c>
      <c r="AH35" s="15">
        <f>AD35*100+AE35</f>
        <v>402</v>
      </c>
      <c r="AI35" s="15">
        <f>AE35*100+AD35</f>
        <v>204</v>
      </c>
      <c r="AJ35">
        <f t="shared" si="17"/>
        <v>0</v>
      </c>
      <c r="AK35">
        <f t="shared" si="17"/>
        <v>0</v>
      </c>
      <c r="AL35">
        <f>J35*AK35</f>
        <v>0</v>
      </c>
      <c r="AM35">
        <f>M35*AJ35</f>
        <v>0</v>
      </c>
    </row>
    <row r="36" spans="2:39" x14ac:dyDescent="0.25">
      <c r="B36">
        <v>3</v>
      </c>
      <c r="C36" t="str">
        <f>VLOOKUP(AD36,$B$4:$F$9,2,FALSE)</f>
        <v>E</v>
      </c>
      <c r="D36" s="2" t="s">
        <v>5</v>
      </c>
      <c r="E36" s="45" t="str">
        <f>VLOOKUP(AE36,$B$4:$F$9,2,FALSE)</f>
        <v>A</v>
      </c>
      <c r="F36" s="45"/>
      <c r="G36" s="45"/>
      <c r="H36" s="45"/>
      <c r="J36" s="43"/>
      <c r="K36" s="44"/>
      <c r="L36" s="2"/>
      <c r="M36" s="43"/>
      <c r="N36" s="44"/>
      <c r="AC36">
        <v>5</v>
      </c>
      <c r="AD36">
        <v>5</v>
      </c>
      <c r="AE36">
        <v>1</v>
      </c>
      <c r="AF36">
        <f>IF(AND(ISNUMBER(J36),ISNUMBER(M36),(J36+M36=1)),1,0)</f>
        <v>0</v>
      </c>
      <c r="AH36" s="15">
        <f>AD36*100+AE36</f>
        <v>501</v>
      </c>
      <c r="AI36" s="15">
        <f>AE36*100+AD36</f>
        <v>105</v>
      </c>
      <c r="AJ36">
        <f t="shared" si="17"/>
        <v>0</v>
      </c>
      <c r="AK36">
        <f t="shared" si="17"/>
        <v>0</v>
      </c>
      <c r="AL36">
        <f>J36*AK36</f>
        <v>0</v>
      </c>
      <c r="AM36">
        <f>M36*AJ36</f>
        <v>0</v>
      </c>
    </row>
  </sheetData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63">
    <mergeCell ref="N5:O5"/>
    <mergeCell ref="N6:O6"/>
    <mergeCell ref="N7:O7"/>
    <mergeCell ref="N8:O8"/>
    <mergeCell ref="N9:O9"/>
    <mergeCell ref="E36:H36"/>
    <mergeCell ref="J36:K36"/>
    <mergeCell ref="M36:N36"/>
    <mergeCell ref="E34:H34"/>
    <mergeCell ref="J34:K34"/>
    <mergeCell ref="M34:N34"/>
    <mergeCell ref="E35:H35"/>
    <mergeCell ref="J35:K35"/>
    <mergeCell ref="M35:N3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D5:E5"/>
    <mergeCell ref="D6:E6"/>
    <mergeCell ref="D7:E7"/>
    <mergeCell ref="D8:E8"/>
    <mergeCell ref="D9:E9"/>
    <mergeCell ref="D4:E4"/>
    <mergeCell ref="B1:F1"/>
    <mergeCell ref="G1:R1"/>
    <mergeCell ref="AI2:AQ2"/>
    <mergeCell ref="AT2:BB2"/>
    <mergeCell ref="D3:E3"/>
    <mergeCell ref="N3:O3"/>
    <mergeCell ref="N4:O4"/>
  </mergeCells>
  <conditionalFormatting sqref="H4:N9 P4:Q9">
    <cfRule type="cellIs" dxfId="1" priority="1" stopIfTrue="1" operator="between">
      <formula>0</formula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93"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B1:BB21"/>
  <sheetViews>
    <sheetView view="pageBreakPreview" zoomScaleNormal="100" zoomScaleSheetLayoutView="100" workbookViewId="0">
      <selection activeCell="C7" sqref="C7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4" width="3.7109375" customWidth="1"/>
    <col min="15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9" width="6.7109375" customWidth="1"/>
    <col min="34" max="35" width="4.42578125" bestFit="1" customWidth="1"/>
    <col min="36" max="54" width="3.7109375" customWidth="1"/>
  </cols>
  <sheetData>
    <row r="1" spans="2:54" ht="26.25" x14ac:dyDescent="0.4">
      <c r="B1" s="40" t="s">
        <v>31</v>
      </c>
      <c r="C1" s="40"/>
      <c r="D1" s="40"/>
      <c r="E1" s="40"/>
      <c r="F1" s="40"/>
      <c r="G1" s="41" t="s">
        <v>32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42" t="s">
        <v>22</v>
      </c>
      <c r="AJ2" s="42"/>
      <c r="AK2" s="42"/>
      <c r="AL2" s="42"/>
      <c r="AM2" s="42"/>
      <c r="AN2" s="42"/>
      <c r="AO2" s="42"/>
      <c r="AP2" s="42"/>
      <c r="AQ2" s="42"/>
      <c r="AR2" s="6"/>
      <c r="AS2" s="7"/>
      <c r="AT2" s="42" t="s">
        <v>23</v>
      </c>
      <c r="AU2" s="42"/>
      <c r="AV2" s="42"/>
      <c r="AW2" s="42"/>
      <c r="AX2" s="42"/>
      <c r="AY2" s="42"/>
      <c r="AZ2" s="42"/>
      <c r="BA2" s="42"/>
      <c r="BB2" s="42"/>
    </row>
    <row r="3" spans="2:54" x14ac:dyDescent="0.25">
      <c r="B3" s="9" t="s">
        <v>4</v>
      </c>
      <c r="C3" s="9" t="s">
        <v>6</v>
      </c>
      <c r="D3" s="48" t="s">
        <v>7</v>
      </c>
      <c r="E3" s="48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50"/>
      <c r="M3" s="51"/>
      <c r="N3" s="51"/>
      <c r="O3" s="51"/>
      <c r="P3" s="38"/>
      <c r="Q3" s="34"/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49"/>
      <c r="E4" s="49"/>
      <c r="F4" s="8">
        <v>1000</v>
      </c>
      <c r="H4" s="24" t="str">
        <f t="shared" ref="H4:K7" si="0">IF((SUMIF($AH$9:$AH$21,$B4*100+H$3,$AF$9:$AF$21)+SUMIF($AH$9:$AH$21,$B4+H$3*100,$AF$9:$AF$21))=1,(SUMIF($AH$9:$AH$21,$B4*100+H$3,$J$9:$J$21)+SUMIF($AI$9:$AI$21,$B4*100+H$3,$M$9:$M$21)),"")</f>
        <v/>
      </c>
      <c r="I4" s="25" t="str">
        <f t="shared" si="0"/>
        <v/>
      </c>
      <c r="J4" s="25" t="str">
        <f t="shared" si="0"/>
        <v/>
      </c>
      <c r="K4" s="25" t="str">
        <f t="shared" si="0"/>
        <v/>
      </c>
      <c r="L4" s="52"/>
      <c r="M4" s="53"/>
      <c r="N4" s="53"/>
      <c r="O4" s="53"/>
      <c r="P4" s="37"/>
      <c r="Q4" s="36"/>
      <c r="R4" s="39">
        <f>SUM(H4:Q4)</f>
        <v>0</v>
      </c>
      <c r="S4" s="20"/>
      <c r="T4" s="11">
        <v>1</v>
      </c>
      <c r="U4" s="30">
        <v>1</v>
      </c>
      <c r="V4" s="22" t="str">
        <f>VLOOKUP($U4,$B$4:$R$7,2,FALSE)</f>
        <v>A</v>
      </c>
      <c r="W4" s="27">
        <f>VLOOKUP($U4,$B$4:$R$7,17,FALSE)</f>
        <v>0</v>
      </c>
      <c r="X4" s="27">
        <f>VLOOKUP($U4,$AC$4:$AF$7,2,FALSE)</f>
        <v>0</v>
      </c>
      <c r="Y4" s="26">
        <f>VLOOKUP($U4,$AC$4:$AF$7,3,FALSE)</f>
        <v>0</v>
      </c>
      <c r="Z4" s="27">
        <f>VLOOKUP($U4,$AC$4:$AF$7,4,FALSE)</f>
        <v>0</v>
      </c>
      <c r="AA4" s="28">
        <f>VLOOKUP($U4,$B$4:$R$7,5,FALSE)</f>
        <v>1000</v>
      </c>
      <c r="AB4" s="20"/>
      <c r="AC4" s="23">
        <v>1</v>
      </c>
      <c r="AD4" s="18">
        <f>SUMIF($AD$9:$AD$21,B4,$AJ$9:$AJ$21)+SUMIF($AE$9:$AE$21,B4,$AK$9:$AK$21)</f>
        <v>0</v>
      </c>
      <c r="AE4" s="13">
        <f>SUMIF($AD$9:$AD$21,B4,$AL$9:$AL$21)+SUMIF($AE$9:$AE$21,B4,$AM$9:$AM$21)</f>
        <v>0</v>
      </c>
      <c r="AF4" s="13">
        <f>SUM(AT4:BB4)</f>
        <v>0</v>
      </c>
      <c r="AH4">
        <v>1</v>
      </c>
      <c r="AI4">
        <f t="shared" ref="AI4:AQ7" si="1" xml:space="preserve"> SUMIFS( $J$12:$J$21, $AD$12:$AD$21,$AH4, $AC$12:$AC$21,AI$3) + SUMIFS( $M$12:$M$21, $AE$12:$AE$21,$AH4, $AC$12:$AC$21,AI$3)</f>
        <v>0</v>
      </c>
      <c r="AJ4">
        <f t="shared" si="1"/>
        <v>0</v>
      </c>
      <c r="AK4">
        <f t="shared" si="1"/>
        <v>0</v>
      </c>
      <c r="AL4">
        <f t="shared" si="1"/>
        <v>0</v>
      </c>
      <c r="AM4">
        <f t="shared" si="1"/>
        <v>0</v>
      </c>
      <c r="AN4">
        <f t="shared" si="1"/>
        <v>0</v>
      </c>
      <c r="AO4">
        <f t="shared" si="1"/>
        <v>0</v>
      </c>
      <c r="AP4">
        <f t="shared" si="1"/>
        <v>0</v>
      </c>
      <c r="AQ4">
        <f t="shared" si="1"/>
        <v>0</v>
      </c>
      <c r="AS4">
        <v>1</v>
      </c>
      <c r="AT4">
        <f>AI4</f>
        <v>0</v>
      </c>
      <c r="AU4">
        <f t="shared" ref="AU4:BB7" si="2">AT4+AJ4</f>
        <v>0</v>
      </c>
      <c r="AV4">
        <f t="shared" si="2"/>
        <v>0</v>
      </c>
      <c r="AW4">
        <f t="shared" si="2"/>
        <v>0</v>
      </c>
      <c r="AX4">
        <f t="shared" si="2"/>
        <v>0</v>
      </c>
      <c r="AY4">
        <f t="shared" si="2"/>
        <v>0</v>
      </c>
      <c r="AZ4">
        <f t="shared" si="2"/>
        <v>0</v>
      </c>
      <c r="BA4">
        <f t="shared" si="2"/>
        <v>0</v>
      </c>
      <c r="BB4">
        <f t="shared" si="2"/>
        <v>0</v>
      </c>
    </row>
    <row r="5" spans="2:54" x14ac:dyDescent="0.25">
      <c r="B5" s="8">
        <v>2</v>
      </c>
      <c r="C5" s="8" t="s">
        <v>42</v>
      </c>
      <c r="D5" s="49"/>
      <c r="E5" s="49"/>
      <c r="F5" s="8">
        <v>1000</v>
      </c>
      <c r="H5" s="25" t="str">
        <f t="shared" si="0"/>
        <v/>
      </c>
      <c r="I5" s="24" t="str">
        <f t="shared" si="0"/>
        <v/>
      </c>
      <c r="J5" s="25" t="str">
        <f t="shared" si="0"/>
        <v/>
      </c>
      <c r="K5" s="25" t="str">
        <f t="shared" si="0"/>
        <v/>
      </c>
      <c r="L5" s="52"/>
      <c r="M5" s="53"/>
      <c r="N5" s="53"/>
      <c r="O5" s="53"/>
      <c r="P5" s="37"/>
      <c r="Q5" s="36"/>
      <c r="R5" s="39">
        <f>SUM(H5:Q5)</f>
        <v>0</v>
      </c>
      <c r="S5" s="20"/>
      <c r="T5" s="11">
        <v>2</v>
      </c>
      <c r="U5" s="30">
        <v>2</v>
      </c>
      <c r="V5" s="22" t="str">
        <f>VLOOKUP($U5,$B$4:$R$7,2,FALSE)</f>
        <v>B</v>
      </c>
      <c r="W5" s="27">
        <f>VLOOKUP($U5,$B$4:$R$7,17,FALSE)</f>
        <v>0</v>
      </c>
      <c r="X5" s="27">
        <f>VLOOKUP($U5,$AC$4:$AF$7,2,FALSE)</f>
        <v>0</v>
      </c>
      <c r="Y5" s="26">
        <f>VLOOKUP($U5,$AC$4:$AF$7,3,FALSE)</f>
        <v>0</v>
      </c>
      <c r="Z5" s="27">
        <f>VLOOKUP($U5,$AC$4:$AF$7,4,FALSE)</f>
        <v>0</v>
      </c>
      <c r="AA5" s="28">
        <f>VLOOKUP($U5,$B$4:$R$7,5,FALSE)</f>
        <v>1000</v>
      </c>
      <c r="AB5" s="20"/>
      <c r="AC5" s="23">
        <v>2</v>
      </c>
      <c r="AD5" s="18">
        <f>SUMIF($AD$9:$AD$21,B5,$AJ$9:$AJ$21)+SUMIF($AE$9:$AE$21,B5,$AK$9:$AK$21)</f>
        <v>0</v>
      </c>
      <c r="AE5" s="13">
        <f>SUMIF($AD$9:$AD$21,B5,$AL$9:$AL$21)+SUMIF($AE$9:$AE$21,B5,$AM$9:$AM$21)</f>
        <v>0</v>
      </c>
      <c r="AF5" s="13">
        <f t="shared" ref="AF5:AF7" si="3">SUM(AT5:BB5)</f>
        <v>0</v>
      </c>
      <c r="AH5">
        <v>2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M5">
        <f t="shared" si="1"/>
        <v>0</v>
      </c>
      <c r="AN5">
        <f t="shared" si="1"/>
        <v>0</v>
      </c>
      <c r="AO5">
        <f t="shared" si="1"/>
        <v>0</v>
      </c>
      <c r="AP5">
        <f t="shared" si="1"/>
        <v>0</v>
      </c>
      <c r="AQ5">
        <f t="shared" si="1"/>
        <v>0</v>
      </c>
      <c r="AS5">
        <v>2</v>
      </c>
      <c r="AT5">
        <f t="shared" ref="AT5:AT7" si="4">AI5</f>
        <v>0</v>
      </c>
      <c r="AU5">
        <f t="shared" si="2"/>
        <v>0</v>
      </c>
      <c r="AV5">
        <f t="shared" si="2"/>
        <v>0</v>
      </c>
      <c r="AW5">
        <f t="shared" si="2"/>
        <v>0</v>
      </c>
      <c r="AX5">
        <f t="shared" si="2"/>
        <v>0</v>
      </c>
      <c r="AY5">
        <f t="shared" si="2"/>
        <v>0</v>
      </c>
      <c r="AZ5">
        <f t="shared" si="2"/>
        <v>0</v>
      </c>
      <c r="BA5">
        <f t="shared" si="2"/>
        <v>0</v>
      </c>
      <c r="BB5">
        <f t="shared" si="2"/>
        <v>0</v>
      </c>
    </row>
    <row r="6" spans="2:54" x14ac:dyDescent="0.25">
      <c r="B6" s="8">
        <v>3</v>
      </c>
      <c r="C6" s="8" t="s">
        <v>43</v>
      </c>
      <c r="D6" s="49"/>
      <c r="E6" s="49"/>
      <c r="F6" s="8">
        <v>1000</v>
      </c>
      <c r="H6" s="25" t="str">
        <f t="shared" si="0"/>
        <v/>
      </c>
      <c r="I6" s="25" t="str">
        <f t="shared" si="0"/>
        <v/>
      </c>
      <c r="J6" s="24" t="str">
        <f t="shared" si="0"/>
        <v/>
      </c>
      <c r="K6" s="25" t="str">
        <f t="shared" si="0"/>
        <v/>
      </c>
      <c r="L6" s="52"/>
      <c r="M6" s="53"/>
      <c r="N6" s="53"/>
      <c r="O6" s="53"/>
      <c r="P6" s="37"/>
      <c r="Q6" s="36"/>
      <c r="R6" s="39">
        <f>SUM(H6:Q6)</f>
        <v>0</v>
      </c>
      <c r="S6" s="20"/>
      <c r="T6" s="11">
        <v>3</v>
      </c>
      <c r="U6" s="30">
        <v>4</v>
      </c>
      <c r="V6" s="22" t="str">
        <f>VLOOKUP($U6,$B$4:$R$7,2,FALSE)</f>
        <v>D</v>
      </c>
      <c r="W6" s="27">
        <f>VLOOKUP($U6,$B$4:$R$7,17,FALSE)</f>
        <v>0</v>
      </c>
      <c r="X6" s="27">
        <f>VLOOKUP($U6,$AC$4:$AF$7,2,FALSE)</f>
        <v>0</v>
      </c>
      <c r="Y6" s="26">
        <f>VLOOKUP($U6,$AC$4:$AF$7,3,FALSE)</f>
        <v>0</v>
      </c>
      <c r="Z6" s="27">
        <f>VLOOKUP($U6,$AC$4:$AF$7,4,FALSE)</f>
        <v>0</v>
      </c>
      <c r="AA6" s="28">
        <f>VLOOKUP($U6,$B$4:$R$7,5,FALSE)</f>
        <v>1000</v>
      </c>
      <c r="AB6" s="20"/>
      <c r="AC6" s="23">
        <v>3</v>
      </c>
      <c r="AD6" s="18">
        <f>SUMIF($AD$9:$AD$21,B6,$AJ$9:$AJ$21)+SUMIF($AE$9:$AE$21,B6,$AK$9:$AK$21)</f>
        <v>0</v>
      </c>
      <c r="AE6" s="13">
        <f>SUMIF($AD$9:$AD$21,B6,$AL$9:$AL$21)+SUMIF($AE$9:$AE$21,B6,$AM$9:$AM$21)</f>
        <v>0</v>
      </c>
      <c r="AF6" s="13">
        <f t="shared" si="3"/>
        <v>0</v>
      </c>
      <c r="AH6">
        <v>3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  <c r="AP6">
        <f t="shared" si="1"/>
        <v>0</v>
      </c>
      <c r="AQ6">
        <f t="shared" si="1"/>
        <v>0</v>
      </c>
      <c r="AS6">
        <v>3</v>
      </c>
      <c r="AT6">
        <f t="shared" si="4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</row>
    <row r="7" spans="2:54" x14ac:dyDescent="0.25">
      <c r="B7" s="8">
        <v>4</v>
      </c>
      <c r="C7" s="8" t="s">
        <v>44</v>
      </c>
      <c r="D7" s="49"/>
      <c r="E7" s="49"/>
      <c r="F7" s="8">
        <v>1000</v>
      </c>
      <c r="H7" s="25" t="str">
        <f t="shared" si="0"/>
        <v/>
      </c>
      <c r="I7" s="25" t="str">
        <f t="shared" si="0"/>
        <v/>
      </c>
      <c r="J7" s="25" t="str">
        <f t="shared" si="0"/>
        <v/>
      </c>
      <c r="K7" s="24" t="str">
        <f t="shared" si="0"/>
        <v/>
      </c>
      <c r="L7" s="52"/>
      <c r="M7" s="53"/>
      <c r="N7" s="53"/>
      <c r="O7" s="53"/>
      <c r="P7" s="37"/>
      <c r="Q7" s="36"/>
      <c r="R7" s="39">
        <f>SUM(H7:Q7)</f>
        <v>0</v>
      </c>
      <c r="S7" s="20"/>
      <c r="T7" s="11">
        <v>4</v>
      </c>
      <c r="U7" s="30">
        <v>3</v>
      </c>
      <c r="V7" s="22" t="str">
        <f>VLOOKUP($U7,$B$4:$R$7,2,FALSE)</f>
        <v>C</v>
      </c>
      <c r="W7" s="27">
        <f>VLOOKUP($U7,$B$4:$R$7,17,FALSE)</f>
        <v>0</v>
      </c>
      <c r="X7" s="27">
        <f>VLOOKUP($U7,$AC$4:$AF$7,2,FALSE)</f>
        <v>0</v>
      </c>
      <c r="Y7" s="26">
        <f>VLOOKUP($U7,$AC$4:$AF$7,3,FALSE)</f>
        <v>0</v>
      </c>
      <c r="Z7" s="27">
        <f>VLOOKUP($U7,$AC$4:$AF$7,4,FALSE)</f>
        <v>0</v>
      </c>
      <c r="AA7" s="28">
        <f>VLOOKUP($U7,$B$4:$R$7,5,FALSE)</f>
        <v>1000</v>
      </c>
      <c r="AB7" s="20"/>
      <c r="AC7" s="23">
        <v>4</v>
      </c>
      <c r="AD7" s="18">
        <f>SUMIF($AD$9:$AD$21,B7,$AJ$9:$AJ$21)+SUMIF($AE$9:$AE$21,B7,$AK$9:$AK$21)</f>
        <v>0</v>
      </c>
      <c r="AE7" s="13">
        <f>SUMIF($AD$9:$AD$21,B7,$AL$9:$AL$21)+SUMIF($AE$9:$AE$21,B7,$AM$9:$AM$21)</f>
        <v>0</v>
      </c>
      <c r="AF7" s="13">
        <f t="shared" si="3"/>
        <v>0</v>
      </c>
      <c r="AH7">
        <v>4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M7">
        <f t="shared" si="1"/>
        <v>0</v>
      </c>
      <c r="AN7">
        <f t="shared" si="1"/>
        <v>0</v>
      </c>
      <c r="AO7">
        <f t="shared" si="1"/>
        <v>0</v>
      </c>
      <c r="AP7">
        <f t="shared" si="1"/>
        <v>0</v>
      </c>
      <c r="AQ7">
        <f t="shared" si="1"/>
        <v>0</v>
      </c>
      <c r="AS7">
        <v>4</v>
      </c>
      <c r="AT7">
        <f t="shared" si="4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</row>
    <row r="8" spans="2:54" hidden="1" x14ac:dyDescent="0.25"/>
    <row r="9" spans="2:54" x14ac:dyDescent="0.25">
      <c r="AC9" s="32" t="s">
        <v>40</v>
      </c>
      <c r="AD9" s="32" t="s">
        <v>0</v>
      </c>
      <c r="AE9" s="32" t="s">
        <v>1</v>
      </c>
      <c r="AF9" s="32" t="s">
        <v>2</v>
      </c>
      <c r="AH9" s="14" t="s">
        <v>38</v>
      </c>
      <c r="AI9" s="14" t="s">
        <v>39</v>
      </c>
      <c r="AJ9" t="s">
        <v>18</v>
      </c>
      <c r="AK9" t="s">
        <v>19</v>
      </c>
      <c r="AL9" t="s">
        <v>20</v>
      </c>
      <c r="AM9" t="s">
        <v>21</v>
      </c>
    </row>
    <row r="10" spans="2:54" ht="3" customHeight="1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AH10" s="21"/>
      <c r="AI10" s="21"/>
      <c r="AJ10" s="3"/>
      <c r="AK10" s="3"/>
      <c r="AL10" s="3"/>
      <c r="AM10" s="3"/>
    </row>
    <row r="11" spans="2:54" x14ac:dyDescent="0.25">
      <c r="B11" s="1" t="s">
        <v>3</v>
      </c>
      <c r="AH11" s="14"/>
      <c r="AI11" s="14"/>
    </row>
    <row r="12" spans="2:54" x14ac:dyDescent="0.25">
      <c r="B12">
        <v>1</v>
      </c>
      <c r="C12" t="str">
        <f>VLOOKUP(AD12,$B$4:$F$7,2,FALSE)</f>
        <v>A</v>
      </c>
      <c r="D12" s="2" t="s">
        <v>5</v>
      </c>
      <c r="E12" s="45" t="str">
        <f>VLOOKUP(AE12,$B$4:$F$7,2,FALSE)</f>
        <v>D</v>
      </c>
      <c r="F12" s="45"/>
      <c r="G12" s="45"/>
      <c r="H12" s="45"/>
      <c r="J12" s="43"/>
      <c r="K12" s="44"/>
      <c r="L12" s="2"/>
      <c r="M12" s="43"/>
      <c r="N12" s="44"/>
      <c r="AC12">
        <v>1</v>
      </c>
      <c r="AD12">
        <v>1</v>
      </c>
      <c r="AE12">
        <v>4</v>
      </c>
      <c r="AF12">
        <f>IF(AND(ISNUMBER(J12),ISNUMBER(M12),(J12+M12=1)),1,0)</f>
        <v>0</v>
      </c>
      <c r="AH12" s="15">
        <f>AD12*100+AE12</f>
        <v>104</v>
      </c>
      <c r="AI12" s="15">
        <f>AE12*100+AD12</f>
        <v>401</v>
      </c>
      <c r="AJ12">
        <v>0</v>
      </c>
      <c r="AK12">
        <v>0</v>
      </c>
      <c r="AL12">
        <f>J12*AK12</f>
        <v>0</v>
      </c>
      <c r="AM12">
        <f>M12*AJ12</f>
        <v>0</v>
      </c>
    </row>
    <row r="13" spans="2:54" x14ac:dyDescent="0.25">
      <c r="B13">
        <v>2</v>
      </c>
      <c r="C13" t="str">
        <f>VLOOKUP(AD13,$B$4:$F$7,2,FALSE)</f>
        <v>B</v>
      </c>
      <c r="D13" s="2" t="s">
        <v>5</v>
      </c>
      <c r="E13" s="45" t="str">
        <f>VLOOKUP(AE13,$B$4:$F$7,2,FALSE)</f>
        <v>C</v>
      </c>
      <c r="F13" s="45"/>
      <c r="G13" s="45"/>
      <c r="H13" s="45"/>
      <c r="J13" s="43"/>
      <c r="K13" s="44"/>
      <c r="L13" s="2"/>
      <c r="M13" s="43"/>
      <c r="N13" s="44"/>
      <c r="AC13">
        <v>1</v>
      </c>
      <c r="AD13">
        <v>2</v>
      </c>
      <c r="AE13">
        <v>3</v>
      </c>
      <c r="AF13">
        <f>IF(AND(ISNUMBER(J13),ISNUMBER(M13),(J13+M13=1)),1,0)</f>
        <v>0</v>
      </c>
      <c r="AH13" s="15">
        <f>AD13*100+AE13</f>
        <v>203</v>
      </c>
      <c r="AI13" s="15">
        <f>AE13*100+AD13</f>
        <v>302</v>
      </c>
      <c r="AJ13">
        <v>0</v>
      </c>
      <c r="AK13">
        <v>0</v>
      </c>
      <c r="AL13">
        <f>J13*AK13</f>
        <v>0</v>
      </c>
      <c r="AM13">
        <f>M13*AJ13</f>
        <v>0</v>
      </c>
    </row>
    <row r="14" spans="2:54" ht="3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AH14" s="14"/>
      <c r="AI14" s="14"/>
    </row>
    <row r="15" spans="2:54" x14ac:dyDescent="0.25">
      <c r="B15" s="1" t="s">
        <v>9</v>
      </c>
      <c r="AH15" s="14"/>
      <c r="AI15" s="14"/>
    </row>
    <row r="16" spans="2:54" x14ac:dyDescent="0.25">
      <c r="B16">
        <v>1</v>
      </c>
      <c r="C16" t="str">
        <f>VLOOKUP(AD16,$B$4:$F$7,2,FALSE)</f>
        <v>D</v>
      </c>
      <c r="D16" s="2" t="s">
        <v>5</v>
      </c>
      <c r="E16" s="45" t="str">
        <f>VLOOKUP(AE16,$B$4:$F$7,2,FALSE)</f>
        <v>C</v>
      </c>
      <c r="F16" s="45"/>
      <c r="G16" s="45"/>
      <c r="H16" s="45"/>
      <c r="J16" s="43"/>
      <c r="K16" s="44"/>
      <c r="L16" s="2"/>
      <c r="M16" s="43"/>
      <c r="N16" s="44"/>
      <c r="AC16">
        <v>2</v>
      </c>
      <c r="AD16">
        <v>4</v>
      </c>
      <c r="AE16">
        <v>3</v>
      </c>
      <c r="AF16">
        <f>IF(AND(ISNUMBER(J16),ISNUMBER(M16),(J16+M16=1)),1,0)</f>
        <v>0</v>
      </c>
      <c r="AH16" s="15">
        <f>AD16*100+AE16</f>
        <v>403</v>
      </c>
      <c r="AI16" s="15">
        <f>AE16*100+AD16</f>
        <v>304</v>
      </c>
      <c r="AJ16">
        <f>VLOOKUP(AD16,$AS$3:$BB$7,$AC16,FALSE)</f>
        <v>0</v>
      </c>
      <c r="AK16">
        <f>VLOOKUP(AE16,$AS$3:$BB$7,$AC16,FALSE)</f>
        <v>0</v>
      </c>
      <c r="AL16">
        <f>J16*AK16</f>
        <v>0</v>
      </c>
      <c r="AM16">
        <f>M16*AJ16</f>
        <v>0</v>
      </c>
    </row>
    <row r="17" spans="2:39" x14ac:dyDescent="0.25">
      <c r="B17">
        <v>2</v>
      </c>
      <c r="C17" t="str">
        <f>VLOOKUP(AD17,$B$4:$F$7,2,FALSE)</f>
        <v>A</v>
      </c>
      <c r="D17" s="2" t="s">
        <v>5</v>
      </c>
      <c r="E17" s="45" t="str">
        <f>VLOOKUP(AE17,$B$4:$F$7,2,FALSE)</f>
        <v>B</v>
      </c>
      <c r="F17" s="45"/>
      <c r="G17" s="45"/>
      <c r="H17" s="45"/>
      <c r="J17" s="43"/>
      <c r="K17" s="44"/>
      <c r="L17" s="2"/>
      <c r="M17" s="43"/>
      <c r="N17" s="44"/>
      <c r="AC17">
        <v>2</v>
      </c>
      <c r="AD17">
        <v>1</v>
      </c>
      <c r="AE17">
        <v>2</v>
      </c>
      <c r="AF17">
        <f>IF(AND(ISNUMBER(J17),ISNUMBER(M17),(J17+M17=1)),1,0)</f>
        <v>0</v>
      </c>
      <c r="AH17" s="15">
        <f>AD17*100+AE17</f>
        <v>102</v>
      </c>
      <c r="AI17" s="15">
        <f>AE17*100+AD17</f>
        <v>201</v>
      </c>
      <c r="AJ17">
        <f>VLOOKUP(AD17,$AS$3:$BB$7,$AC17,FALSE)</f>
        <v>0</v>
      </c>
      <c r="AK17">
        <f>VLOOKUP(AE17,$AS$3:$BB$7,$AC17,FALSE)</f>
        <v>0</v>
      </c>
      <c r="AL17">
        <f>J17*AK17</f>
        <v>0</v>
      </c>
      <c r="AM17">
        <f>M17*AJ17</f>
        <v>0</v>
      </c>
    </row>
    <row r="18" spans="2:39" ht="3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AH18" s="14"/>
      <c r="AI18" s="14"/>
    </row>
    <row r="19" spans="2:39" x14ac:dyDescent="0.25">
      <c r="B19" s="1" t="s">
        <v>10</v>
      </c>
      <c r="AH19" s="14"/>
      <c r="AI19" s="14"/>
    </row>
    <row r="20" spans="2:39" x14ac:dyDescent="0.25">
      <c r="B20">
        <v>1</v>
      </c>
      <c r="C20" t="str">
        <f>VLOOKUP(AD20,$B$4:$F$7,2,FALSE)</f>
        <v>B</v>
      </c>
      <c r="D20" s="2" t="s">
        <v>5</v>
      </c>
      <c r="E20" s="45" t="str">
        <f>VLOOKUP(AE20,$B$4:$F$7,2,FALSE)</f>
        <v>D</v>
      </c>
      <c r="F20" s="45"/>
      <c r="G20" s="45"/>
      <c r="H20" s="45"/>
      <c r="J20" s="43"/>
      <c r="K20" s="44"/>
      <c r="L20" s="2"/>
      <c r="M20" s="43"/>
      <c r="N20" s="44"/>
      <c r="AC20">
        <v>3</v>
      </c>
      <c r="AD20">
        <v>2</v>
      </c>
      <c r="AE20">
        <v>4</v>
      </c>
      <c r="AF20">
        <f>IF(AND(ISNUMBER(J20),ISNUMBER(M20),(J20+M20=1)),1,0)</f>
        <v>0</v>
      </c>
      <c r="AH20" s="15">
        <f>AD20*100+AE20</f>
        <v>204</v>
      </c>
      <c r="AI20" s="15">
        <f>AE20*100+AD20</f>
        <v>402</v>
      </c>
      <c r="AJ20">
        <f>VLOOKUP(AD20,$AS$3:$BB$7,$AC20,FALSE)</f>
        <v>0</v>
      </c>
      <c r="AK20">
        <f>VLOOKUP(AE20,$AS$3:$BB$7,$AC20,FALSE)</f>
        <v>0</v>
      </c>
      <c r="AL20">
        <f>J20*AK20</f>
        <v>0</v>
      </c>
      <c r="AM20">
        <f>M20*AJ20</f>
        <v>0</v>
      </c>
    </row>
    <row r="21" spans="2:39" x14ac:dyDescent="0.25">
      <c r="B21">
        <v>2</v>
      </c>
      <c r="C21" t="str">
        <f>VLOOKUP(AD21,$B$4:$F$7,2,FALSE)</f>
        <v>C</v>
      </c>
      <c r="D21" s="2" t="s">
        <v>5</v>
      </c>
      <c r="E21" s="45" t="str">
        <f>VLOOKUP(AE21,$B$4:$F$7,2,FALSE)</f>
        <v>A</v>
      </c>
      <c r="F21" s="45"/>
      <c r="G21" s="45"/>
      <c r="H21" s="45"/>
      <c r="J21" s="43"/>
      <c r="K21" s="44"/>
      <c r="L21" s="2"/>
      <c r="M21" s="43"/>
      <c r="N21" s="44"/>
      <c r="AC21">
        <v>3</v>
      </c>
      <c r="AD21">
        <v>3</v>
      </c>
      <c r="AE21">
        <v>1</v>
      </c>
      <c r="AF21">
        <f>IF(AND(ISNUMBER(J21),ISNUMBER(M21),(J21+M21=1)),1,0)</f>
        <v>0</v>
      </c>
      <c r="AH21" s="15">
        <f>AD21*100+AE21</f>
        <v>301</v>
      </c>
      <c r="AI21" s="15">
        <f>AE21*100+AD21</f>
        <v>103</v>
      </c>
      <c r="AJ21">
        <f>VLOOKUP(AD21,$AS$3:$BB$7,$AC21,FALSE)</f>
        <v>0</v>
      </c>
      <c r="AK21">
        <f>VLOOKUP(AE21,$AS$3:$BB$7,$AC21,FALSE)</f>
        <v>0</v>
      </c>
      <c r="AL21">
        <f>J21*AK21</f>
        <v>0</v>
      </c>
      <c r="AM21">
        <f>M21*AJ21</f>
        <v>0</v>
      </c>
    </row>
  </sheetData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32">
    <mergeCell ref="E20:H20"/>
    <mergeCell ref="J20:K20"/>
    <mergeCell ref="M20:N20"/>
    <mergeCell ref="E21:H21"/>
    <mergeCell ref="J21:K21"/>
    <mergeCell ref="M21:N21"/>
    <mergeCell ref="E17:H17"/>
    <mergeCell ref="J17:K17"/>
    <mergeCell ref="M17:N17"/>
    <mergeCell ref="E16:H16"/>
    <mergeCell ref="J16:K16"/>
    <mergeCell ref="M16:N16"/>
    <mergeCell ref="E12:H12"/>
    <mergeCell ref="J12:K12"/>
    <mergeCell ref="M12:N12"/>
    <mergeCell ref="E13:H13"/>
    <mergeCell ref="J13:K13"/>
    <mergeCell ref="M13:N13"/>
    <mergeCell ref="G1:R1"/>
    <mergeCell ref="AI2:AQ2"/>
    <mergeCell ref="AT2:BB2"/>
    <mergeCell ref="D3:E3"/>
    <mergeCell ref="D7:E7"/>
    <mergeCell ref="D4:E4"/>
    <mergeCell ref="D5:E5"/>
    <mergeCell ref="D6:E6"/>
    <mergeCell ref="B1:F1"/>
    <mergeCell ref="L3:O3"/>
    <mergeCell ref="L4:O4"/>
    <mergeCell ref="L5:O5"/>
    <mergeCell ref="L6:O6"/>
    <mergeCell ref="L7:O7"/>
  </mergeCells>
  <conditionalFormatting sqref="P4:Q7 H4:L7">
    <cfRule type="cellIs" dxfId="0" priority="1" stopIfTrue="1" operator="between">
      <formula>0</formula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93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4</vt:i4>
      </vt:variant>
    </vt:vector>
  </HeadingPairs>
  <TitlesOfParts>
    <vt:vector size="8" baseType="lpstr">
      <vt:lpstr>10</vt:lpstr>
      <vt:lpstr>8</vt:lpstr>
      <vt:lpstr>6</vt:lpstr>
      <vt:lpstr>4</vt:lpstr>
      <vt:lpstr>'10'!Afdrukbereik</vt:lpstr>
      <vt:lpstr>'4'!Afdrukbereik</vt:lpstr>
      <vt:lpstr>'6'!Afdrukbereik</vt:lpstr>
      <vt:lpstr>'8'!Afdrukbereik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Meulen van der, Leo L (INT)</dc:creator>
  <cp:lastModifiedBy>Meulen van der, Leo L (INT)</cp:lastModifiedBy>
  <cp:lastPrinted>2017-03-20T14:09:49Z</cp:lastPrinted>
  <dcterms:created xsi:type="dcterms:W3CDTF">2017-03-20T06:37:04Z</dcterms:created>
  <dcterms:modified xsi:type="dcterms:W3CDTF">2017-03-26T16:07:48Z</dcterms:modified>
</cp:coreProperties>
</file>