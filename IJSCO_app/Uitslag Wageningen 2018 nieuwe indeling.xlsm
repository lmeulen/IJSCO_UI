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 firstSheet="2" activeTab="8"/>
  </bookViews>
  <sheets>
    <sheet name="Groepsindeling" sheetId="6" r:id="rId1"/>
    <sheet name="Deelnemerslijst" sheetId="5" r:id="rId2"/>
    <sheet name="Configuratie" sheetId="7" r:id="rId3"/>
    <sheet name="Groep A" sheetId="10" r:id="rId4"/>
    <sheet name="Groep B" sheetId="11" r:id="rId5"/>
    <sheet name="Groep C" sheetId="12" r:id="rId6"/>
    <sheet name="Groep D" sheetId="13" r:id="rId7"/>
    <sheet name="Groep E" sheetId="14" r:id="rId8"/>
    <sheet name="Groep F" sheetId="15" r:id="rId9"/>
    <sheet name="Deelnemerslijst (naam)" sheetId="16" r:id="rId10"/>
  </sheets>
  <externalReferences>
    <externalReference r:id="rId11"/>
  </externalReferences>
  <definedNames>
    <definedName name="_xlnm.Print_Area" localSheetId="3">'Groep A'!$B$1:$AA$55</definedName>
    <definedName name="_xlnm.Print_Area" localSheetId="4">'Groep B'!$B$1:$AA$55</definedName>
    <definedName name="_xlnm.Print_Area" localSheetId="5">'Groep C'!$B$1:$AA$55</definedName>
    <definedName name="_xlnm.Print_Area" localSheetId="6">'Groep D'!$B$1:$AA$55</definedName>
    <definedName name="_xlnm.Print_Area" localSheetId="7">'Groep E'!$B$1:$AA$55</definedName>
    <definedName name="_xlnm.Print_Area" localSheetId="8">'Groep F'!$B$1:$AA$55</definedName>
    <definedName name="uitslag1_1">'[1]4'!$S$12</definedName>
    <definedName name="uitslag1_2">'[1]4'!$S$13</definedName>
    <definedName name="uitslag2_1">'[1]4'!$S$16</definedName>
    <definedName name="uitslag2_2">'[1]4'!$S$17</definedName>
    <definedName name="uitslag3_1">'[1]4'!$S$20</definedName>
    <definedName name="uitslag3_2">'[1]4'!$S$21</definedName>
  </definedNames>
  <calcPr calcId="145621"/>
</workbook>
</file>

<file path=xl/calcChain.xml><?xml version="1.0" encoding="utf-8"?>
<calcChain xmlns="http://schemas.openxmlformats.org/spreadsheetml/2006/main">
  <c r="C50" i="16" l="1"/>
  <c r="B50" i="16"/>
  <c r="A50" i="16"/>
  <c r="C49" i="16"/>
  <c r="B49" i="16"/>
  <c r="A49" i="16"/>
  <c r="C48" i="16"/>
  <c r="B48" i="16"/>
  <c r="A48" i="16"/>
  <c r="C47" i="16"/>
  <c r="B47" i="16"/>
  <c r="A47" i="16"/>
  <c r="C46" i="16"/>
  <c r="B46" i="16"/>
  <c r="A46" i="16"/>
  <c r="C45" i="16"/>
  <c r="B45" i="16"/>
  <c r="A45" i="16"/>
  <c r="C44" i="16"/>
  <c r="B44" i="16"/>
  <c r="A44" i="16"/>
  <c r="C43" i="16"/>
  <c r="B43" i="16"/>
  <c r="A43" i="16"/>
  <c r="C42" i="16"/>
  <c r="B42" i="16"/>
  <c r="A42" i="16"/>
  <c r="C41" i="16"/>
  <c r="B41" i="16"/>
  <c r="A41" i="16"/>
  <c r="C40" i="16"/>
  <c r="B40" i="16"/>
  <c r="A40" i="16"/>
  <c r="C39" i="16"/>
  <c r="B39" i="16"/>
  <c r="A39" i="16"/>
  <c r="C38" i="16"/>
  <c r="B38" i="16"/>
  <c r="A38" i="16"/>
  <c r="C37" i="16"/>
  <c r="B37" i="16"/>
  <c r="A37" i="16"/>
  <c r="C36" i="16"/>
  <c r="B36" i="16"/>
  <c r="A36" i="16"/>
  <c r="C34" i="16"/>
  <c r="B34" i="16"/>
  <c r="A34" i="16"/>
  <c r="C33" i="16"/>
  <c r="B33" i="16"/>
  <c r="A33" i="16"/>
  <c r="C32" i="16"/>
  <c r="B32" i="16"/>
  <c r="A32" i="16"/>
  <c r="C31" i="16"/>
  <c r="B31" i="16"/>
  <c r="A31" i="16"/>
  <c r="C30" i="16"/>
  <c r="B30" i="16"/>
  <c r="A30" i="16"/>
  <c r="C29" i="16"/>
  <c r="B29" i="16"/>
  <c r="A29" i="16"/>
  <c r="C28" i="16"/>
  <c r="B28" i="16"/>
  <c r="A28" i="16"/>
  <c r="C26" i="16"/>
  <c r="B26" i="16"/>
  <c r="A26" i="16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4" i="16"/>
  <c r="B4" i="16"/>
  <c r="A4" i="16"/>
  <c r="BD55" i="15"/>
  <c r="BC55" i="15"/>
  <c r="R55" i="15"/>
  <c r="M55" i="15"/>
  <c r="J55" i="15"/>
  <c r="BA55" i="15" s="1"/>
  <c r="E55" i="15"/>
  <c r="C55" i="15"/>
  <c r="BD54" i="15"/>
  <c r="BC54" i="15"/>
  <c r="R54" i="15"/>
  <c r="M54" i="15"/>
  <c r="J54" i="15"/>
  <c r="BA54" i="15" s="1"/>
  <c r="E54" i="15"/>
  <c r="C54" i="15"/>
  <c r="BD53" i="15"/>
  <c r="BC53" i="15"/>
  <c r="R53" i="15"/>
  <c r="M53" i="15"/>
  <c r="BA53" i="15" s="1"/>
  <c r="J53" i="15"/>
  <c r="E53" i="15"/>
  <c r="C53" i="15"/>
  <c r="BD52" i="15"/>
  <c r="BC52" i="15"/>
  <c r="R52" i="15"/>
  <c r="M52" i="15"/>
  <c r="J52" i="15"/>
  <c r="BA52" i="15" s="1"/>
  <c r="E52" i="15"/>
  <c r="C52" i="15"/>
  <c r="BD49" i="15"/>
  <c r="BC49" i="15"/>
  <c r="R49" i="15"/>
  <c r="M49" i="15"/>
  <c r="J49" i="15"/>
  <c r="BA49" i="15" s="1"/>
  <c r="E49" i="15"/>
  <c r="C49" i="15"/>
  <c r="BD48" i="15"/>
  <c r="BC48" i="15"/>
  <c r="R48" i="15"/>
  <c r="M48" i="15"/>
  <c r="J48" i="15"/>
  <c r="BA48" i="15" s="1"/>
  <c r="E48" i="15"/>
  <c r="C48" i="15"/>
  <c r="BD47" i="15"/>
  <c r="BC47" i="15"/>
  <c r="R47" i="15"/>
  <c r="M47" i="15"/>
  <c r="J47" i="15"/>
  <c r="BA47" i="15" s="1"/>
  <c r="E47" i="15"/>
  <c r="C47" i="15"/>
  <c r="BD46" i="15"/>
  <c r="BC46" i="15"/>
  <c r="R46" i="15"/>
  <c r="M46" i="15"/>
  <c r="J46" i="15"/>
  <c r="BA46" i="15" s="1"/>
  <c r="E46" i="15"/>
  <c r="C46" i="15"/>
  <c r="BD43" i="15"/>
  <c r="BC43" i="15"/>
  <c r="R43" i="15"/>
  <c r="M43" i="15"/>
  <c r="J43" i="15"/>
  <c r="BA43" i="15" s="1"/>
  <c r="E43" i="15"/>
  <c r="C43" i="15"/>
  <c r="BD42" i="15"/>
  <c r="BC42" i="15"/>
  <c r="R42" i="15"/>
  <c r="M42" i="15"/>
  <c r="J42" i="15"/>
  <c r="BA42" i="15" s="1"/>
  <c r="E42" i="15"/>
  <c r="C42" i="15"/>
  <c r="BD41" i="15"/>
  <c r="BC41" i="15"/>
  <c r="R41" i="15"/>
  <c r="M41" i="15"/>
  <c r="J41" i="15"/>
  <c r="BA41" i="15" s="1"/>
  <c r="E41" i="15"/>
  <c r="C41" i="15"/>
  <c r="BD40" i="15"/>
  <c r="BC40" i="15"/>
  <c r="R40" i="15"/>
  <c r="M40" i="15"/>
  <c r="BA40" i="15" s="1"/>
  <c r="J40" i="15"/>
  <c r="E40" i="15"/>
  <c r="C40" i="15"/>
  <c r="BD37" i="15"/>
  <c r="BC37" i="15"/>
  <c r="R37" i="15"/>
  <c r="M37" i="15"/>
  <c r="J37" i="15"/>
  <c r="BA37" i="15" s="1"/>
  <c r="E37" i="15"/>
  <c r="C37" i="15"/>
  <c r="BD36" i="15"/>
  <c r="BC36" i="15"/>
  <c r="R36" i="15"/>
  <c r="M36" i="15"/>
  <c r="J36" i="15"/>
  <c r="BA36" i="15" s="1"/>
  <c r="E36" i="15"/>
  <c r="C36" i="15"/>
  <c r="BD35" i="15"/>
  <c r="BC35" i="15"/>
  <c r="R35" i="15"/>
  <c r="M35" i="15"/>
  <c r="J35" i="15"/>
  <c r="BA35" i="15" s="1"/>
  <c r="E35" i="15"/>
  <c r="C35" i="15"/>
  <c r="BD34" i="15"/>
  <c r="BC34" i="15"/>
  <c r="R34" i="15"/>
  <c r="M34" i="15"/>
  <c r="J34" i="15"/>
  <c r="BA34" i="15" s="1"/>
  <c r="E34" i="15"/>
  <c r="C34" i="15"/>
  <c r="BD31" i="15"/>
  <c r="BC31" i="15"/>
  <c r="R31" i="15"/>
  <c r="M31" i="15"/>
  <c r="J31" i="15"/>
  <c r="BA31" i="15" s="1"/>
  <c r="E31" i="15"/>
  <c r="C31" i="15"/>
  <c r="BD30" i="15"/>
  <c r="BC30" i="15"/>
  <c r="R30" i="15"/>
  <c r="M30" i="15"/>
  <c r="J30" i="15"/>
  <c r="BA30" i="15" s="1"/>
  <c r="E30" i="15"/>
  <c r="C30" i="15"/>
  <c r="BD29" i="15"/>
  <c r="BC29" i="15"/>
  <c r="R29" i="15"/>
  <c r="M29" i="15"/>
  <c r="BA29" i="15" s="1"/>
  <c r="J29" i="15"/>
  <c r="E29" i="15"/>
  <c r="C29" i="15"/>
  <c r="BD28" i="15"/>
  <c r="BC28" i="15"/>
  <c r="R28" i="15"/>
  <c r="M28" i="15"/>
  <c r="J28" i="15"/>
  <c r="BA28" i="15" s="1"/>
  <c r="E28" i="15"/>
  <c r="C28" i="15"/>
  <c r="BD25" i="15"/>
  <c r="BC25" i="15"/>
  <c r="R25" i="15"/>
  <c r="M25" i="15"/>
  <c r="J25" i="15"/>
  <c r="BA25" i="15" s="1"/>
  <c r="E25" i="15"/>
  <c r="C25" i="15"/>
  <c r="BD24" i="15"/>
  <c r="BC24" i="15"/>
  <c r="R24" i="15"/>
  <c r="M24" i="15"/>
  <c r="J24" i="15"/>
  <c r="BA24" i="15" s="1"/>
  <c r="E24" i="15"/>
  <c r="C24" i="15"/>
  <c r="BD23" i="15"/>
  <c r="BC23" i="15"/>
  <c r="R23" i="15"/>
  <c r="M23" i="15"/>
  <c r="J23" i="15"/>
  <c r="BA23" i="15" s="1"/>
  <c r="E23" i="15"/>
  <c r="C23" i="15"/>
  <c r="BD22" i="15"/>
  <c r="BC22" i="15"/>
  <c r="R22" i="15"/>
  <c r="M22" i="15"/>
  <c r="J22" i="15"/>
  <c r="BA22" i="15" s="1"/>
  <c r="E22" i="15"/>
  <c r="C22" i="15"/>
  <c r="BD19" i="15"/>
  <c r="BC19" i="15"/>
  <c r="R19" i="15"/>
  <c r="M19" i="15"/>
  <c r="BH19" i="15" s="1"/>
  <c r="J19" i="15"/>
  <c r="BA19" i="15" s="1"/>
  <c r="L7" i="15" s="1"/>
  <c r="E19" i="15"/>
  <c r="C19" i="15"/>
  <c r="BG18" i="15"/>
  <c r="BD18" i="15"/>
  <c r="BC18" i="15"/>
  <c r="R18" i="15"/>
  <c r="M18" i="15"/>
  <c r="BH18" i="15" s="1"/>
  <c r="J18" i="15"/>
  <c r="BA18" i="15" s="1"/>
  <c r="E18" i="15"/>
  <c r="C18" i="15"/>
  <c r="BD17" i="15"/>
  <c r="BC17" i="15"/>
  <c r="R17" i="15"/>
  <c r="M17" i="15"/>
  <c r="BH17" i="15" s="1"/>
  <c r="J17" i="15"/>
  <c r="E17" i="15"/>
  <c r="C17" i="15"/>
  <c r="BH16" i="15"/>
  <c r="BG16" i="15"/>
  <c r="BD16" i="15"/>
  <c r="BC16" i="15"/>
  <c r="BA16" i="15"/>
  <c r="R16" i="15"/>
  <c r="M16" i="15"/>
  <c r="J16" i="15"/>
  <c r="E16" i="15"/>
  <c r="C16" i="15"/>
  <c r="BL11" i="15"/>
  <c r="BK11" i="15"/>
  <c r="BJ11" i="15"/>
  <c r="BI11" i="15"/>
  <c r="BH11" i="15"/>
  <c r="BG11" i="15"/>
  <c r="BF11" i="15"/>
  <c r="BE11" i="15"/>
  <c r="BD11" i="15"/>
  <c r="BO11" i="15" s="1"/>
  <c r="AE11" i="15"/>
  <c r="X11" i="15"/>
  <c r="O11" i="15"/>
  <c r="H11" i="15"/>
  <c r="BL10" i="15"/>
  <c r="BK10" i="15"/>
  <c r="BJ10" i="15"/>
  <c r="BI10" i="15"/>
  <c r="BH10" i="15"/>
  <c r="BG10" i="15"/>
  <c r="BF10" i="15"/>
  <c r="BE10" i="15"/>
  <c r="BD10" i="15"/>
  <c r="BO10" i="15" s="1"/>
  <c r="AE10" i="15"/>
  <c r="X10" i="15"/>
  <c r="N10" i="15"/>
  <c r="BL9" i="15"/>
  <c r="BK9" i="15"/>
  <c r="BJ9" i="15"/>
  <c r="BI9" i="15"/>
  <c r="BH9" i="15"/>
  <c r="BG9" i="15"/>
  <c r="BF9" i="15"/>
  <c r="BE9" i="15"/>
  <c r="BD9" i="15"/>
  <c r="BO9" i="15" s="1"/>
  <c r="AE9" i="15"/>
  <c r="X9" i="15"/>
  <c r="M9" i="15"/>
  <c r="BL8" i="15"/>
  <c r="BK8" i="15"/>
  <c r="BJ8" i="15"/>
  <c r="BI8" i="15"/>
  <c r="BH8" i="15"/>
  <c r="BG8" i="15"/>
  <c r="BF8" i="15"/>
  <c r="BE8" i="15"/>
  <c r="BD8" i="15"/>
  <c r="BO8" i="15" s="1"/>
  <c r="AE8" i="15"/>
  <c r="X8" i="15"/>
  <c r="L8" i="15"/>
  <c r="K8" i="15"/>
  <c r="BL7" i="15"/>
  <c r="BK7" i="15"/>
  <c r="BJ7" i="15"/>
  <c r="BI7" i="15"/>
  <c r="BH7" i="15"/>
  <c r="BG7" i="15"/>
  <c r="BF7" i="15"/>
  <c r="BE7" i="15"/>
  <c r="BD7" i="15"/>
  <c r="BO7" i="15" s="1"/>
  <c r="AE7" i="15"/>
  <c r="X7" i="15"/>
  <c r="K7" i="15"/>
  <c r="BL6" i="15"/>
  <c r="BK6" i="15"/>
  <c r="BJ6" i="15"/>
  <c r="BI6" i="15"/>
  <c r="BH6" i="15"/>
  <c r="BG6" i="15"/>
  <c r="BF6" i="15"/>
  <c r="BE6" i="15"/>
  <c r="BD6" i="15"/>
  <c r="BO6" i="15" s="1"/>
  <c r="AE6" i="15"/>
  <c r="X6" i="15"/>
  <c r="J6" i="15"/>
  <c r="BL5" i="15"/>
  <c r="BK5" i="15"/>
  <c r="BJ5" i="15"/>
  <c r="BI5" i="15"/>
  <c r="BH5" i="15"/>
  <c r="BG5" i="15"/>
  <c r="BF5" i="15"/>
  <c r="BE5" i="15"/>
  <c r="BD5" i="15"/>
  <c r="BO5" i="15" s="1"/>
  <c r="AE5" i="15"/>
  <c r="X5" i="15"/>
  <c r="I5" i="15"/>
  <c r="BL4" i="15"/>
  <c r="BK4" i="15"/>
  <c r="BJ4" i="15"/>
  <c r="BI4" i="15"/>
  <c r="BH4" i="15"/>
  <c r="BG4" i="15"/>
  <c r="BF4" i="15"/>
  <c r="BE4" i="15"/>
  <c r="BD4" i="15"/>
  <c r="BO4" i="15" s="1"/>
  <c r="AE4" i="15"/>
  <c r="X4" i="15"/>
  <c r="O4" i="15"/>
  <c r="H4" i="15"/>
  <c r="W1" i="15"/>
  <c r="BD55" i="14"/>
  <c r="BC55" i="14"/>
  <c r="R55" i="14"/>
  <c r="M55" i="14"/>
  <c r="J55" i="14"/>
  <c r="BA55" i="14" s="1"/>
  <c r="E55" i="14"/>
  <c r="C55" i="14"/>
  <c r="BD54" i="14"/>
  <c r="BC54" i="14"/>
  <c r="R54" i="14"/>
  <c r="M54" i="14"/>
  <c r="J54" i="14"/>
  <c r="BA54" i="14" s="1"/>
  <c r="E54" i="14"/>
  <c r="C54" i="14"/>
  <c r="BD53" i="14"/>
  <c r="BC53" i="14"/>
  <c r="R53" i="14"/>
  <c r="M53" i="14"/>
  <c r="J53" i="14"/>
  <c r="BA53" i="14" s="1"/>
  <c r="E53" i="14"/>
  <c r="C53" i="14"/>
  <c r="BD52" i="14"/>
  <c r="BC52" i="14"/>
  <c r="R52" i="14"/>
  <c r="M52" i="14"/>
  <c r="J52" i="14"/>
  <c r="BA52" i="14" s="1"/>
  <c r="E52" i="14"/>
  <c r="C52" i="14"/>
  <c r="BD49" i="14"/>
  <c r="BC49" i="14"/>
  <c r="R49" i="14"/>
  <c r="M49" i="14"/>
  <c r="J49" i="14"/>
  <c r="BA49" i="14" s="1"/>
  <c r="E49" i="14"/>
  <c r="C49" i="14"/>
  <c r="BD48" i="14"/>
  <c r="BC48" i="14"/>
  <c r="R48" i="14"/>
  <c r="M48" i="14"/>
  <c r="J48" i="14"/>
  <c r="BA48" i="14" s="1"/>
  <c r="E48" i="14"/>
  <c r="C48" i="14"/>
  <c r="BD47" i="14"/>
  <c r="BC47" i="14"/>
  <c r="R47" i="14"/>
  <c r="M47" i="14"/>
  <c r="J47" i="14"/>
  <c r="BA47" i="14" s="1"/>
  <c r="E47" i="14"/>
  <c r="C47" i="14"/>
  <c r="BD46" i="14"/>
  <c r="BC46" i="14"/>
  <c r="R46" i="14"/>
  <c r="M46" i="14"/>
  <c r="J46" i="14"/>
  <c r="E46" i="14"/>
  <c r="C46" i="14"/>
  <c r="BD43" i="14"/>
  <c r="BC43" i="14"/>
  <c r="R43" i="14"/>
  <c r="M43" i="14"/>
  <c r="J43" i="14"/>
  <c r="BA43" i="14" s="1"/>
  <c r="E43" i="14"/>
  <c r="C43" i="14"/>
  <c r="BD42" i="14"/>
  <c r="BC42" i="14"/>
  <c r="R42" i="14"/>
  <c r="M42" i="14"/>
  <c r="J42" i="14"/>
  <c r="BA42" i="14" s="1"/>
  <c r="E42" i="14"/>
  <c r="C42" i="14"/>
  <c r="BD41" i="14"/>
  <c r="BC41" i="14"/>
  <c r="R41" i="14"/>
  <c r="M41" i="14"/>
  <c r="J41" i="14"/>
  <c r="BA41" i="14" s="1"/>
  <c r="E41" i="14"/>
  <c r="C41" i="14"/>
  <c r="BD40" i="14"/>
  <c r="BC40" i="14"/>
  <c r="R40" i="14"/>
  <c r="M40" i="14"/>
  <c r="J40" i="14"/>
  <c r="BA40" i="14" s="1"/>
  <c r="E40" i="14"/>
  <c r="C40" i="14"/>
  <c r="BD37" i="14"/>
  <c r="BC37" i="14"/>
  <c r="R37" i="14"/>
  <c r="M37" i="14"/>
  <c r="J37" i="14"/>
  <c r="BA37" i="14" s="1"/>
  <c r="E37" i="14"/>
  <c r="C37" i="14"/>
  <c r="BD36" i="14"/>
  <c r="BC36" i="14"/>
  <c r="R36" i="14"/>
  <c r="M36" i="14"/>
  <c r="J36" i="14"/>
  <c r="BA36" i="14" s="1"/>
  <c r="E36" i="14"/>
  <c r="C36" i="14"/>
  <c r="BD35" i="14"/>
  <c r="BC35" i="14"/>
  <c r="R35" i="14"/>
  <c r="M35" i="14"/>
  <c r="J35" i="14"/>
  <c r="BA35" i="14" s="1"/>
  <c r="E35" i="14"/>
  <c r="C35" i="14"/>
  <c r="BD34" i="14"/>
  <c r="BC34" i="14"/>
  <c r="R34" i="14"/>
  <c r="M34" i="14"/>
  <c r="J34" i="14"/>
  <c r="BA34" i="14" s="1"/>
  <c r="E34" i="14"/>
  <c r="C34" i="14"/>
  <c r="BD31" i="14"/>
  <c r="BC31" i="14"/>
  <c r="R31" i="14"/>
  <c r="M31" i="14"/>
  <c r="BF6" i="14" s="1"/>
  <c r="J31" i="14"/>
  <c r="E31" i="14"/>
  <c r="C31" i="14"/>
  <c r="BD30" i="14"/>
  <c r="BC30" i="14"/>
  <c r="R30" i="14"/>
  <c r="M30" i="14"/>
  <c r="J30" i="14"/>
  <c r="E30" i="14"/>
  <c r="C30" i="14"/>
  <c r="BD29" i="14"/>
  <c r="BC29" i="14"/>
  <c r="R29" i="14"/>
  <c r="M29" i="14"/>
  <c r="J29" i="14"/>
  <c r="BA29" i="14" s="1"/>
  <c r="H9" i="14" s="1"/>
  <c r="E29" i="14"/>
  <c r="C29" i="14"/>
  <c r="BD28" i="14"/>
  <c r="BC28" i="14"/>
  <c r="R28" i="14"/>
  <c r="M28" i="14"/>
  <c r="J28" i="14"/>
  <c r="BA28" i="14" s="1"/>
  <c r="E28" i="14"/>
  <c r="C28" i="14"/>
  <c r="BD25" i="14"/>
  <c r="BC25" i="14"/>
  <c r="R25" i="14"/>
  <c r="M25" i="14"/>
  <c r="J25" i="14"/>
  <c r="E25" i="14"/>
  <c r="C25" i="14"/>
  <c r="BD24" i="14"/>
  <c r="BC24" i="14"/>
  <c r="R24" i="14"/>
  <c r="M24" i="14"/>
  <c r="J24" i="14"/>
  <c r="E24" i="14"/>
  <c r="C24" i="14"/>
  <c r="BD23" i="14"/>
  <c r="BC23" i="14"/>
  <c r="R23" i="14"/>
  <c r="M23" i="14"/>
  <c r="J23" i="14"/>
  <c r="BE6" i="14" s="1"/>
  <c r="E23" i="14"/>
  <c r="C23" i="14"/>
  <c r="BD22" i="14"/>
  <c r="BC22" i="14"/>
  <c r="R22" i="14"/>
  <c r="M22" i="14"/>
  <c r="J22" i="14"/>
  <c r="BA22" i="14" s="1"/>
  <c r="E22" i="14"/>
  <c r="C22" i="14"/>
  <c r="BD19" i="14"/>
  <c r="BC19" i="14"/>
  <c r="R19" i="14"/>
  <c r="M19" i="14"/>
  <c r="BH19" i="14" s="1"/>
  <c r="J19" i="14"/>
  <c r="BG19" i="14" s="1"/>
  <c r="E19" i="14"/>
  <c r="C19" i="14"/>
  <c r="BD18" i="14"/>
  <c r="BC18" i="14"/>
  <c r="R18" i="14"/>
  <c r="M18" i="14"/>
  <c r="BH18" i="14" s="1"/>
  <c r="J18" i="14"/>
  <c r="BG18" i="14" s="1"/>
  <c r="E18" i="14"/>
  <c r="C18" i="14"/>
  <c r="BD17" i="14"/>
  <c r="BC17" i="14"/>
  <c r="R17" i="14"/>
  <c r="M17" i="14"/>
  <c r="BH17" i="14" s="1"/>
  <c r="J17" i="14"/>
  <c r="BG17" i="14" s="1"/>
  <c r="E17" i="14"/>
  <c r="C17" i="14"/>
  <c r="BD16" i="14"/>
  <c r="BC16" i="14"/>
  <c r="R16" i="14"/>
  <c r="M16" i="14"/>
  <c r="BH16" i="14" s="1"/>
  <c r="J16" i="14"/>
  <c r="E16" i="14"/>
  <c r="C16" i="14"/>
  <c r="BL11" i="14"/>
  <c r="BK11" i="14"/>
  <c r="BJ11" i="14"/>
  <c r="BH11" i="14"/>
  <c r="BF11" i="14"/>
  <c r="BE11" i="14"/>
  <c r="AE11" i="14"/>
  <c r="X11" i="14"/>
  <c r="BL10" i="14"/>
  <c r="BK10" i="14"/>
  <c r="BJ10" i="14"/>
  <c r="BI10" i="14"/>
  <c r="BH10" i="14"/>
  <c r="BG10" i="14"/>
  <c r="BF10" i="14"/>
  <c r="BD10" i="14"/>
  <c r="BO10" i="14" s="1"/>
  <c r="AE10" i="14"/>
  <c r="X10" i="14"/>
  <c r="J10" i="14"/>
  <c r="BL9" i="14"/>
  <c r="BK9" i="14"/>
  <c r="BJ9" i="14"/>
  <c r="BI9" i="14"/>
  <c r="BH9" i="14"/>
  <c r="BG9" i="14"/>
  <c r="BF9" i="14"/>
  <c r="BE9" i="14"/>
  <c r="BD9" i="14"/>
  <c r="BO9" i="14" s="1"/>
  <c r="AE9" i="14"/>
  <c r="X9" i="14"/>
  <c r="BL8" i="14"/>
  <c r="BK8" i="14"/>
  <c r="BJ8" i="14"/>
  <c r="BI8" i="14"/>
  <c r="BH8" i="14"/>
  <c r="BG8" i="14"/>
  <c r="BF8" i="14"/>
  <c r="BE8" i="14"/>
  <c r="BD8" i="14"/>
  <c r="BO8" i="14" s="1"/>
  <c r="AE8" i="14"/>
  <c r="X8" i="14"/>
  <c r="BL7" i="14"/>
  <c r="BK7" i="14"/>
  <c r="BI7" i="14"/>
  <c r="BH7" i="14"/>
  <c r="BG7" i="14"/>
  <c r="BE7" i="14"/>
  <c r="AE7" i="14"/>
  <c r="X7" i="14"/>
  <c r="H7" i="14"/>
  <c r="BL6" i="14"/>
  <c r="BK6" i="14"/>
  <c r="BJ6" i="14"/>
  <c r="BI6" i="14"/>
  <c r="BH6" i="14"/>
  <c r="BG6" i="14"/>
  <c r="BD6" i="14"/>
  <c r="BO6" i="14" s="1"/>
  <c r="AE6" i="14"/>
  <c r="X6" i="14"/>
  <c r="O6" i="14"/>
  <c r="BL5" i="14"/>
  <c r="BK5" i="14"/>
  <c r="BJ5" i="14"/>
  <c r="BI5" i="14"/>
  <c r="BH5" i="14"/>
  <c r="BG5" i="14"/>
  <c r="BF5" i="14"/>
  <c r="BE5" i="14"/>
  <c r="BD5" i="14"/>
  <c r="BO5" i="14" s="1"/>
  <c r="AE5" i="14"/>
  <c r="X5" i="14"/>
  <c r="BL4" i="14"/>
  <c r="BK4" i="14"/>
  <c r="BJ4" i="14"/>
  <c r="BI4" i="14"/>
  <c r="BH4" i="14"/>
  <c r="BG4" i="14"/>
  <c r="BF4" i="14"/>
  <c r="BE4" i="14"/>
  <c r="BD4" i="14"/>
  <c r="BO4" i="14" s="1"/>
  <c r="AE4" i="14"/>
  <c r="X4" i="14"/>
  <c r="J4" i="14"/>
  <c r="W1" i="14"/>
  <c r="BD55" i="13"/>
  <c r="BC55" i="13"/>
  <c r="R55" i="13"/>
  <c r="M55" i="13"/>
  <c r="J55" i="13"/>
  <c r="BA55" i="13" s="1"/>
  <c r="E55" i="13"/>
  <c r="C55" i="13"/>
  <c r="BD54" i="13"/>
  <c r="BC54" i="13"/>
  <c r="R54" i="13"/>
  <c r="M54" i="13"/>
  <c r="J54" i="13"/>
  <c r="BA54" i="13" s="1"/>
  <c r="E54" i="13"/>
  <c r="C54" i="13"/>
  <c r="BD53" i="13"/>
  <c r="BC53" i="13"/>
  <c r="R53" i="13"/>
  <c r="M53" i="13"/>
  <c r="J53" i="13"/>
  <c r="BA53" i="13" s="1"/>
  <c r="E53" i="13"/>
  <c r="C53" i="13"/>
  <c r="BD52" i="13"/>
  <c r="BC52" i="13"/>
  <c r="R52" i="13"/>
  <c r="M52" i="13"/>
  <c r="J52" i="13"/>
  <c r="BA52" i="13" s="1"/>
  <c r="L11" i="13" s="1"/>
  <c r="E52" i="13"/>
  <c r="C52" i="13"/>
  <c r="BD49" i="13"/>
  <c r="BC49" i="13"/>
  <c r="BA49" i="13"/>
  <c r="R49" i="13"/>
  <c r="M49" i="13"/>
  <c r="J49" i="13"/>
  <c r="E49" i="13"/>
  <c r="C49" i="13"/>
  <c r="BD48" i="13"/>
  <c r="BC48" i="13"/>
  <c r="BA48" i="13"/>
  <c r="R48" i="13"/>
  <c r="M48" i="13"/>
  <c r="J48" i="13"/>
  <c r="E48" i="13"/>
  <c r="C48" i="13"/>
  <c r="BD47" i="13"/>
  <c r="BC47" i="13"/>
  <c r="BA47" i="13"/>
  <c r="R47" i="13"/>
  <c r="M47" i="13"/>
  <c r="J47" i="13"/>
  <c r="E47" i="13"/>
  <c r="C47" i="13"/>
  <c r="BD46" i="13"/>
  <c r="BC46" i="13"/>
  <c r="R46" i="13"/>
  <c r="M46" i="13"/>
  <c r="J46" i="13"/>
  <c r="BA46" i="13" s="1"/>
  <c r="O5" i="13" s="1"/>
  <c r="E46" i="13"/>
  <c r="C46" i="13"/>
  <c r="BD43" i="13"/>
  <c r="BC43" i="13"/>
  <c r="BA43" i="13"/>
  <c r="R43" i="13"/>
  <c r="M43" i="13"/>
  <c r="J43" i="13"/>
  <c r="E43" i="13"/>
  <c r="C43" i="13"/>
  <c r="BD42" i="13"/>
  <c r="BC42" i="13"/>
  <c r="BA42" i="13"/>
  <c r="R42" i="13"/>
  <c r="M42" i="13"/>
  <c r="J42" i="13"/>
  <c r="E42" i="13"/>
  <c r="C42" i="13"/>
  <c r="BD41" i="13"/>
  <c r="BC41" i="13"/>
  <c r="BA41" i="13"/>
  <c r="R41" i="13"/>
  <c r="M41" i="13"/>
  <c r="J41" i="13"/>
  <c r="E41" i="13"/>
  <c r="C41" i="13"/>
  <c r="BD40" i="13"/>
  <c r="BC40" i="13"/>
  <c r="BA40" i="13"/>
  <c r="M11" i="13" s="1"/>
  <c r="R40" i="13"/>
  <c r="M40" i="13"/>
  <c r="J40" i="13"/>
  <c r="E40" i="13"/>
  <c r="C40" i="13"/>
  <c r="BD37" i="13"/>
  <c r="BC37" i="13"/>
  <c r="BA37" i="13"/>
  <c r="R37" i="13"/>
  <c r="M37" i="13"/>
  <c r="J37" i="13"/>
  <c r="E37" i="13"/>
  <c r="C37" i="13"/>
  <c r="BD36" i="13"/>
  <c r="BC36" i="13"/>
  <c r="BA36" i="13"/>
  <c r="R36" i="13"/>
  <c r="M36" i="13"/>
  <c r="J36" i="13"/>
  <c r="E36" i="13"/>
  <c r="C36" i="13"/>
  <c r="BD35" i="13"/>
  <c r="BC35" i="13"/>
  <c r="BA35" i="13"/>
  <c r="R35" i="13"/>
  <c r="M35" i="13"/>
  <c r="J35" i="13"/>
  <c r="E35" i="13"/>
  <c r="C35" i="13"/>
  <c r="BD34" i="13"/>
  <c r="BC34" i="13"/>
  <c r="BA34" i="13"/>
  <c r="O6" i="13" s="1"/>
  <c r="R34" i="13"/>
  <c r="M34" i="13"/>
  <c r="J34" i="13"/>
  <c r="E34" i="13"/>
  <c r="C34" i="13"/>
  <c r="BD31" i="13"/>
  <c r="BC31" i="13"/>
  <c r="BA31" i="13"/>
  <c r="R31" i="13"/>
  <c r="M31" i="13"/>
  <c r="J31" i="13"/>
  <c r="E31" i="13"/>
  <c r="C31" i="13"/>
  <c r="BD30" i="13"/>
  <c r="BC30" i="13"/>
  <c r="BA30" i="13"/>
  <c r="R30" i="13"/>
  <c r="M30" i="13"/>
  <c r="J30" i="13"/>
  <c r="E30" i="13"/>
  <c r="C30" i="13"/>
  <c r="BD29" i="13"/>
  <c r="BC29" i="13"/>
  <c r="BA29" i="13"/>
  <c r="R29" i="13"/>
  <c r="M29" i="13"/>
  <c r="J29" i="13"/>
  <c r="E29" i="13"/>
  <c r="C29" i="13"/>
  <c r="BD28" i="13"/>
  <c r="BC28" i="13"/>
  <c r="BA28" i="13"/>
  <c r="R28" i="13"/>
  <c r="M28" i="13"/>
  <c r="J28" i="13"/>
  <c r="E28" i="13"/>
  <c r="C28" i="13"/>
  <c r="BD25" i="13"/>
  <c r="BC25" i="13"/>
  <c r="BA25" i="13"/>
  <c r="R25" i="13"/>
  <c r="M25" i="13"/>
  <c r="J25" i="13"/>
  <c r="E25" i="13"/>
  <c r="C25" i="13"/>
  <c r="BD24" i="13"/>
  <c r="BC24" i="13"/>
  <c r="BA24" i="13"/>
  <c r="I9" i="13" s="1"/>
  <c r="R24" i="13"/>
  <c r="M24" i="13"/>
  <c r="J24" i="13"/>
  <c r="E24" i="13"/>
  <c r="C24" i="13"/>
  <c r="BD23" i="13"/>
  <c r="BC23" i="13"/>
  <c r="BA23" i="13"/>
  <c r="R23" i="13"/>
  <c r="M23" i="13"/>
  <c r="J23" i="13"/>
  <c r="E23" i="13"/>
  <c r="C23" i="13"/>
  <c r="BD22" i="13"/>
  <c r="BC22" i="13"/>
  <c r="BA22" i="13"/>
  <c r="R22" i="13"/>
  <c r="M22" i="13"/>
  <c r="J22" i="13"/>
  <c r="E22" i="13"/>
  <c r="C22" i="13"/>
  <c r="BD19" i="13"/>
  <c r="BC19" i="13"/>
  <c r="R19" i="13"/>
  <c r="M19" i="13"/>
  <c r="BH19" i="13" s="1"/>
  <c r="J19" i="13"/>
  <c r="E19" i="13"/>
  <c r="C19" i="13"/>
  <c r="BD18" i="13"/>
  <c r="BC18" i="13"/>
  <c r="R18" i="13"/>
  <c r="M18" i="13"/>
  <c r="BH18" i="13" s="1"/>
  <c r="J18" i="13"/>
  <c r="BA18" i="13" s="1"/>
  <c r="M6" i="13" s="1"/>
  <c r="E18" i="13"/>
  <c r="C18" i="13"/>
  <c r="BD17" i="13"/>
  <c r="BC17" i="13"/>
  <c r="R17" i="13"/>
  <c r="M17" i="13"/>
  <c r="BH17" i="13" s="1"/>
  <c r="J17" i="13"/>
  <c r="E17" i="13"/>
  <c r="C17" i="13"/>
  <c r="BH16" i="13"/>
  <c r="BG16" i="13"/>
  <c r="BD16" i="13"/>
  <c r="BC16" i="13"/>
  <c r="BA16" i="13"/>
  <c r="H11" i="13" s="1"/>
  <c r="R16" i="13"/>
  <c r="M16" i="13"/>
  <c r="J16" i="13"/>
  <c r="E16" i="13"/>
  <c r="C16" i="13"/>
  <c r="BL11" i="13"/>
  <c r="BK11" i="13"/>
  <c r="BJ11" i="13"/>
  <c r="BH11" i="13"/>
  <c r="BG11" i="13"/>
  <c r="BF11" i="13"/>
  <c r="BE11" i="13"/>
  <c r="BD11" i="13"/>
  <c r="BO11" i="13" s="1"/>
  <c r="BE22" i="13" s="1"/>
  <c r="AE11" i="13"/>
  <c r="X11" i="13"/>
  <c r="O11" i="13"/>
  <c r="BL10" i="13"/>
  <c r="BK10" i="13"/>
  <c r="BJ10" i="13"/>
  <c r="BI10" i="13"/>
  <c r="BH10" i="13"/>
  <c r="BG10" i="13"/>
  <c r="BF10" i="13"/>
  <c r="BD10" i="13"/>
  <c r="BO10" i="13" s="1"/>
  <c r="BF25" i="13" s="1"/>
  <c r="AE10" i="13"/>
  <c r="X10" i="13"/>
  <c r="O10" i="13"/>
  <c r="M10" i="13"/>
  <c r="K10" i="13"/>
  <c r="BL9" i="13"/>
  <c r="BK9" i="13"/>
  <c r="BJ9" i="13"/>
  <c r="BI9" i="13"/>
  <c r="BH9" i="13"/>
  <c r="BG9" i="13"/>
  <c r="BF9" i="13"/>
  <c r="BE9" i="13"/>
  <c r="BD9" i="13"/>
  <c r="BO9" i="13" s="1"/>
  <c r="BF24" i="13" s="1"/>
  <c r="AE9" i="13"/>
  <c r="X9" i="13"/>
  <c r="M9" i="13"/>
  <c r="L9" i="13"/>
  <c r="H9" i="13"/>
  <c r="BL8" i="13"/>
  <c r="BK8" i="13"/>
  <c r="BJ8" i="13"/>
  <c r="BI8" i="13"/>
  <c r="BH8" i="13"/>
  <c r="BG8" i="13"/>
  <c r="BF8" i="13"/>
  <c r="BE8" i="13"/>
  <c r="BD8" i="13"/>
  <c r="BO8" i="13" s="1"/>
  <c r="BF23" i="13" s="1"/>
  <c r="AE8" i="13"/>
  <c r="X8" i="13"/>
  <c r="N8" i="13"/>
  <c r="M8" i="13"/>
  <c r="L8" i="13"/>
  <c r="J8" i="13"/>
  <c r="I8" i="13"/>
  <c r="H8" i="13"/>
  <c r="BL7" i="13"/>
  <c r="BK7" i="13"/>
  <c r="BJ7" i="13"/>
  <c r="BI7" i="13"/>
  <c r="BH7" i="13"/>
  <c r="BG7" i="13"/>
  <c r="BF7" i="13"/>
  <c r="BE7" i="13"/>
  <c r="BD7" i="13"/>
  <c r="BO7" i="13" s="1"/>
  <c r="AE7" i="13"/>
  <c r="X7" i="13"/>
  <c r="O7" i="13"/>
  <c r="N7" i="13"/>
  <c r="K7" i="13"/>
  <c r="J7" i="13"/>
  <c r="I7" i="13"/>
  <c r="H7" i="13"/>
  <c r="BL6" i="13"/>
  <c r="BK6" i="13"/>
  <c r="BJ6" i="13"/>
  <c r="BI6" i="13"/>
  <c r="BH6" i="13"/>
  <c r="BG6" i="13"/>
  <c r="BF6" i="13"/>
  <c r="BE6" i="13"/>
  <c r="BD6" i="13"/>
  <c r="BO6" i="13" s="1"/>
  <c r="AE6" i="13"/>
  <c r="X6" i="13"/>
  <c r="L6" i="13"/>
  <c r="K6" i="13"/>
  <c r="J6" i="13"/>
  <c r="I6" i="13"/>
  <c r="H6" i="13"/>
  <c r="BL5" i="13"/>
  <c r="BK5" i="13"/>
  <c r="BJ5" i="13"/>
  <c r="BI5" i="13"/>
  <c r="BH5" i="13"/>
  <c r="BG5" i="13"/>
  <c r="BF5" i="13"/>
  <c r="BE5" i="13"/>
  <c r="BD5" i="13"/>
  <c r="BO5" i="13" s="1"/>
  <c r="AE5" i="13"/>
  <c r="X5" i="13"/>
  <c r="L5" i="13"/>
  <c r="K5" i="13"/>
  <c r="J5" i="13"/>
  <c r="I5" i="13"/>
  <c r="BL4" i="13"/>
  <c r="BK4" i="13"/>
  <c r="BJ4" i="13"/>
  <c r="BI4" i="13"/>
  <c r="BH4" i="13"/>
  <c r="BG4" i="13"/>
  <c r="BF4" i="13"/>
  <c r="BE4" i="13"/>
  <c r="BD4" i="13"/>
  <c r="BO4" i="13" s="1"/>
  <c r="AE4" i="13"/>
  <c r="X4" i="13"/>
  <c r="O4" i="13"/>
  <c r="N4" i="13"/>
  <c r="M4" i="13"/>
  <c r="L4" i="13"/>
  <c r="K4" i="13"/>
  <c r="J4" i="13"/>
  <c r="H4" i="13"/>
  <c r="W1" i="13"/>
  <c r="BD55" i="12"/>
  <c r="BC55" i="12"/>
  <c r="R55" i="12"/>
  <c r="M55" i="12"/>
  <c r="BA55" i="12" s="1"/>
  <c r="J55" i="12"/>
  <c r="E55" i="12"/>
  <c r="C55" i="12"/>
  <c r="BD54" i="12"/>
  <c r="BC54" i="12"/>
  <c r="R54" i="12"/>
  <c r="M54" i="12"/>
  <c r="BA54" i="12" s="1"/>
  <c r="J10" i="12" s="1"/>
  <c r="J54" i="12"/>
  <c r="E54" i="12"/>
  <c r="C54" i="12"/>
  <c r="BD53" i="12"/>
  <c r="BC53" i="12"/>
  <c r="R53" i="12"/>
  <c r="M53" i="12"/>
  <c r="J53" i="12"/>
  <c r="E53" i="12"/>
  <c r="C53" i="12"/>
  <c r="BD52" i="12"/>
  <c r="BC52" i="12"/>
  <c r="R52" i="12"/>
  <c r="M52" i="12"/>
  <c r="J52" i="12"/>
  <c r="E52" i="12"/>
  <c r="C52" i="12"/>
  <c r="BD49" i="12"/>
  <c r="BC49" i="12"/>
  <c r="R49" i="12"/>
  <c r="M49" i="12"/>
  <c r="J49" i="12"/>
  <c r="E49" i="12"/>
  <c r="C49" i="12"/>
  <c r="BD48" i="12"/>
  <c r="BC48" i="12"/>
  <c r="R48" i="12"/>
  <c r="M48" i="12"/>
  <c r="BA48" i="12" s="1"/>
  <c r="N7" i="12" s="1"/>
  <c r="J48" i="12"/>
  <c r="E48" i="12"/>
  <c r="C48" i="12"/>
  <c r="BD47" i="12"/>
  <c r="BC47" i="12"/>
  <c r="R47" i="12"/>
  <c r="M47" i="12"/>
  <c r="J47" i="12"/>
  <c r="E47" i="12"/>
  <c r="C47" i="12"/>
  <c r="BD46" i="12"/>
  <c r="BC46" i="12"/>
  <c r="R46" i="12"/>
  <c r="M46" i="12"/>
  <c r="J46" i="12"/>
  <c r="E46" i="12"/>
  <c r="C46" i="12"/>
  <c r="BD43" i="12"/>
  <c r="BC43" i="12"/>
  <c r="R43" i="12"/>
  <c r="M43" i="12"/>
  <c r="J43" i="12"/>
  <c r="E43" i="12"/>
  <c r="C43" i="12"/>
  <c r="BD42" i="12"/>
  <c r="BC42" i="12"/>
  <c r="R42" i="12"/>
  <c r="M42" i="12"/>
  <c r="BA42" i="12" s="1"/>
  <c r="J42" i="12"/>
  <c r="E42" i="12"/>
  <c r="C42" i="12"/>
  <c r="BD41" i="12"/>
  <c r="BC41" i="12"/>
  <c r="R41" i="12"/>
  <c r="M41" i="12"/>
  <c r="J41" i="12"/>
  <c r="E41" i="12"/>
  <c r="C41" i="12"/>
  <c r="BD40" i="12"/>
  <c r="BC40" i="12"/>
  <c r="R40" i="12"/>
  <c r="M40" i="12"/>
  <c r="BA40" i="12" s="1"/>
  <c r="M11" i="12" s="1"/>
  <c r="J40" i="12"/>
  <c r="E40" i="12"/>
  <c r="C40" i="12"/>
  <c r="BD37" i="12"/>
  <c r="BC37" i="12"/>
  <c r="R37" i="12"/>
  <c r="M37" i="12"/>
  <c r="J37" i="12"/>
  <c r="BG10" i="12" s="1"/>
  <c r="E37" i="12"/>
  <c r="C37" i="12"/>
  <c r="BD36" i="12"/>
  <c r="BC36" i="12"/>
  <c r="R36" i="12"/>
  <c r="M36" i="12"/>
  <c r="J36" i="12"/>
  <c r="E36" i="12"/>
  <c r="C36" i="12"/>
  <c r="BD35" i="12"/>
  <c r="BC35" i="12"/>
  <c r="R35" i="12"/>
  <c r="M35" i="12"/>
  <c r="J35" i="12"/>
  <c r="E35" i="12"/>
  <c r="C35" i="12"/>
  <c r="BD34" i="12"/>
  <c r="BC34" i="12"/>
  <c r="R34" i="12"/>
  <c r="M34" i="12"/>
  <c r="BA34" i="12" s="1"/>
  <c r="J34" i="12"/>
  <c r="E34" i="12"/>
  <c r="C34" i="12"/>
  <c r="BD31" i="12"/>
  <c r="BC31" i="12"/>
  <c r="R31" i="12"/>
  <c r="M31" i="12"/>
  <c r="J31" i="12"/>
  <c r="E31" i="12"/>
  <c r="C31" i="12"/>
  <c r="BD30" i="12"/>
  <c r="BC30" i="12"/>
  <c r="R30" i="12"/>
  <c r="M30" i="12"/>
  <c r="BA30" i="12" s="1"/>
  <c r="J30" i="12"/>
  <c r="E30" i="12"/>
  <c r="C30" i="12"/>
  <c r="BD29" i="12"/>
  <c r="BC29" i="12"/>
  <c r="R29" i="12"/>
  <c r="M29" i="12"/>
  <c r="J29" i="12"/>
  <c r="E29" i="12"/>
  <c r="C29" i="12"/>
  <c r="BD28" i="12"/>
  <c r="BC28" i="12"/>
  <c r="R28" i="12"/>
  <c r="M28" i="12"/>
  <c r="J28" i="12"/>
  <c r="E28" i="12"/>
  <c r="C28" i="12"/>
  <c r="BD25" i="12"/>
  <c r="BC25" i="12"/>
  <c r="R25" i="12"/>
  <c r="M25" i="12"/>
  <c r="J25" i="12"/>
  <c r="E25" i="12"/>
  <c r="C25" i="12"/>
  <c r="BD24" i="12"/>
  <c r="BC24" i="12"/>
  <c r="R24" i="12"/>
  <c r="M24" i="12"/>
  <c r="J24" i="12"/>
  <c r="E24" i="12"/>
  <c r="C24" i="12"/>
  <c r="BD23" i="12"/>
  <c r="BC23" i="12"/>
  <c r="R23" i="12"/>
  <c r="M23" i="12"/>
  <c r="J23" i="12"/>
  <c r="E23" i="12"/>
  <c r="C23" i="12"/>
  <c r="BD22" i="12"/>
  <c r="BC22" i="12"/>
  <c r="R22" i="12"/>
  <c r="M22" i="12"/>
  <c r="BA22" i="12" s="1"/>
  <c r="K11" i="12" s="1"/>
  <c r="J22" i="12"/>
  <c r="E22" i="12"/>
  <c r="C22" i="12"/>
  <c r="BH19" i="12"/>
  <c r="BD19" i="12"/>
  <c r="BC19" i="12"/>
  <c r="R19" i="12"/>
  <c r="M19" i="12"/>
  <c r="J19" i="12"/>
  <c r="BG19" i="12" s="1"/>
  <c r="E19" i="12"/>
  <c r="C19" i="12"/>
  <c r="BD18" i="12"/>
  <c r="BC18" i="12"/>
  <c r="R18" i="12"/>
  <c r="M18" i="12"/>
  <c r="J18" i="12"/>
  <c r="BG18" i="12" s="1"/>
  <c r="E18" i="12"/>
  <c r="C18" i="12"/>
  <c r="BD17" i="12"/>
  <c r="BC17" i="12"/>
  <c r="BA17" i="12"/>
  <c r="R17" i="12"/>
  <c r="M17" i="12"/>
  <c r="BH17" i="12" s="1"/>
  <c r="J17" i="12"/>
  <c r="BG17" i="12" s="1"/>
  <c r="E17" i="12"/>
  <c r="C17" i="12"/>
  <c r="BG16" i="12"/>
  <c r="BD16" i="12"/>
  <c r="BC16" i="12"/>
  <c r="R16" i="12"/>
  <c r="M16" i="12"/>
  <c r="J16" i="12"/>
  <c r="E16" i="12"/>
  <c r="C16" i="12"/>
  <c r="BL11" i="12"/>
  <c r="BK11" i="12"/>
  <c r="BI11" i="12"/>
  <c r="BH11" i="12"/>
  <c r="BG11" i="12"/>
  <c r="BE11" i="12"/>
  <c r="BD11" i="12"/>
  <c r="BO11" i="12" s="1"/>
  <c r="AE11" i="12"/>
  <c r="X11" i="12"/>
  <c r="O11" i="12"/>
  <c r="BL10" i="12"/>
  <c r="BK10" i="12"/>
  <c r="BI10" i="12"/>
  <c r="BF10" i="12"/>
  <c r="BD10" i="12"/>
  <c r="BO10" i="12" s="1"/>
  <c r="AE10" i="12"/>
  <c r="X10" i="12"/>
  <c r="N10" i="12"/>
  <c r="K10" i="12"/>
  <c r="I10" i="12"/>
  <c r="BL9" i="12"/>
  <c r="BK9" i="12"/>
  <c r="BJ9" i="12"/>
  <c r="BI9" i="12"/>
  <c r="BH9" i="12"/>
  <c r="BF9" i="12"/>
  <c r="BD9" i="12"/>
  <c r="BO9" i="12" s="1"/>
  <c r="AE9" i="12"/>
  <c r="X9" i="12"/>
  <c r="O9" i="12"/>
  <c r="M9" i="12"/>
  <c r="BL8" i="12"/>
  <c r="BK8" i="12"/>
  <c r="BJ8" i="12"/>
  <c r="BH8" i="12"/>
  <c r="BF8" i="12"/>
  <c r="BD8" i="12"/>
  <c r="BO8" i="12" s="1"/>
  <c r="AE8" i="12"/>
  <c r="X8" i="12"/>
  <c r="L8" i="12"/>
  <c r="I8" i="12"/>
  <c r="BL7" i="12"/>
  <c r="BK7" i="12"/>
  <c r="BJ7" i="12"/>
  <c r="BI7" i="12"/>
  <c r="BH7" i="12"/>
  <c r="BF7" i="12"/>
  <c r="BE7" i="12"/>
  <c r="BD7" i="12"/>
  <c r="BO7" i="12" s="1"/>
  <c r="AE7" i="12"/>
  <c r="X7" i="12"/>
  <c r="O7" i="12"/>
  <c r="K7" i="12"/>
  <c r="H7" i="12"/>
  <c r="BL6" i="12"/>
  <c r="BK6" i="12"/>
  <c r="BJ6" i="12"/>
  <c r="BI6" i="12"/>
  <c r="BH6" i="12"/>
  <c r="BG6" i="12"/>
  <c r="BF6" i="12"/>
  <c r="BE6" i="12"/>
  <c r="BD6" i="12"/>
  <c r="BO6" i="12" s="1"/>
  <c r="AE6" i="12"/>
  <c r="X6" i="12"/>
  <c r="O6" i="12"/>
  <c r="N6" i="12"/>
  <c r="J6" i="12"/>
  <c r="BL5" i="12"/>
  <c r="BK5" i="12"/>
  <c r="BJ5" i="12"/>
  <c r="BI5" i="12"/>
  <c r="BH5" i="12"/>
  <c r="BG5" i="12"/>
  <c r="BF5" i="12"/>
  <c r="BE5" i="12"/>
  <c r="BD5" i="12"/>
  <c r="BO5" i="12" s="1"/>
  <c r="BE24" i="12" s="1"/>
  <c r="AE5" i="12"/>
  <c r="X5" i="12"/>
  <c r="N5" i="12"/>
  <c r="L5" i="12"/>
  <c r="I5" i="12"/>
  <c r="H5" i="12"/>
  <c r="BL4" i="12"/>
  <c r="BK4" i="12"/>
  <c r="BJ4" i="12"/>
  <c r="BI4" i="12"/>
  <c r="BH4" i="12"/>
  <c r="BG4" i="12"/>
  <c r="BF4" i="12"/>
  <c r="BE4" i="12"/>
  <c r="BD4" i="12"/>
  <c r="BO4" i="12" s="1"/>
  <c r="AE4" i="12"/>
  <c r="X4" i="12"/>
  <c r="K4" i="12"/>
  <c r="I4" i="12"/>
  <c r="H4" i="12"/>
  <c r="W1" i="12"/>
  <c r="BD55" i="11"/>
  <c r="BC55" i="11"/>
  <c r="R55" i="11"/>
  <c r="M55" i="11"/>
  <c r="J55" i="11"/>
  <c r="BA55" i="11" s="1"/>
  <c r="E55" i="11"/>
  <c r="C55" i="11"/>
  <c r="BD54" i="11"/>
  <c r="BC54" i="11"/>
  <c r="R54" i="11"/>
  <c r="M54" i="11"/>
  <c r="J54" i="11"/>
  <c r="BA54" i="11" s="1"/>
  <c r="E54" i="11"/>
  <c r="C54" i="11"/>
  <c r="BD53" i="11"/>
  <c r="BC53" i="11"/>
  <c r="R53" i="11"/>
  <c r="M53" i="11"/>
  <c r="J53" i="11"/>
  <c r="BA53" i="11" s="1"/>
  <c r="E53" i="11"/>
  <c r="C53" i="11"/>
  <c r="BD52" i="11"/>
  <c r="BC52" i="11"/>
  <c r="R52" i="11"/>
  <c r="M52" i="11"/>
  <c r="J52" i="11"/>
  <c r="BA52" i="11" s="1"/>
  <c r="E52" i="11"/>
  <c r="C52" i="11"/>
  <c r="BD49" i="11"/>
  <c r="BC49" i="11"/>
  <c r="R49" i="11"/>
  <c r="M49" i="11"/>
  <c r="J49" i="11"/>
  <c r="BA49" i="11" s="1"/>
  <c r="E49" i="11"/>
  <c r="C49" i="11"/>
  <c r="BD48" i="11"/>
  <c r="BC48" i="11"/>
  <c r="R48" i="11"/>
  <c r="M48" i="11"/>
  <c r="J48" i="11"/>
  <c r="BA48" i="11" s="1"/>
  <c r="E48" i="11"/>
  <c r="C48" i="11"/>
  <c r="BD47" i="11"/>
  <c r="BC47" i="11"/>
  <c r="R47" i="11"/>
  <c r="M47" i="11"/>
  <c r="J47" i="11"/>
  <c r="BA47" i="11" s="1"/>
  <c r="E47" i="11"/>
  <c r="C47" i="11"/>
  <c r="BD46" i="11"/>
  <c r="BC46" i="11"/>
  <c r="R46" i="11"/>
  <c r="M46" i="11"/>
  <c r="J46" i="11"/>
  <c r="BA46" i="11" s="1"/>
  <c r="E46" i="11"/>
  <c r="C46" i="11"/>
  <c r="BD43" i="11"/>
  <c r="BC43" i="11"/>
  <c r="R43" i="11"/>
  <c r="M43" i="11"/>
  <c r="J43" i="11"/>
  <c r="BA43" i="11" s="1"/>
  <c r="E43" i="11"/>
  <c r="C43" i="11"/>
  <c r="BD42" i="11"/>
  <c r="BC42" i="11"/>
  <c r="R42" i="11"/>
  <c r="M42" i="11"/>
  <c r="J42" i="11"/>
  <c r="BA42" i="11" s="1"/>
  <c r="E42" i="11"/>
  <c r="C42" i="11"/>
  <c r="BD41" i="11"/>
  <c r="BC41" i="11"/>
  <c r="R41" i="11"/>
  <c r="M41" i="11"/>
  <c r="J41" i="11"/>
  <c r="BA41" i="11" s="1"/>
  <c r="E41" i="11"/>
  <c r="C41" i="11"/>
  <c r="BD40" i="11"/>
  <c r="BC40" i="11"/>
  <c r="R40" i="11"/>
  <c r="M40" i="11"/>
  <c r="BH11" i="11" s="1"/>
  <c r="J40" i="11"/>
  <c r="E40" i="11"/>
  <c r="C40" i="11"/>
  <c r="BD37" i="11"/>
  <c r="BC37" i="11"/>
  <c r="BA37" i="11"/>
  <c r="R37" i="11"/>
  <c r="M37" i="11"/>
  <c r="J37" i="11"/>
  <c r="E37" i="11"/>
  <c r="C37" i="11"/>
  <c r="BD36" i="11"/>
  <c r="BC36" i="11"/>
  <c r="BA36" i="11"/>
  <c r="R36" i="11"/>
  <c r="M36" i="11"/>
  <c r="J36" i="11"/>
  <c r="E36" i="11"/>
  <c r="C36" i="11"/>
  <c r="BD35" i="11"/>
  <c r="BC35" i="11"/>
  <c r="BA35" i="11"/>
  <c r="R35" i="11"/>
  <c r="M35" i="11"/>
  <c r="J35" i="11"/>
  <c r="E35" i="11"/>
  <c r="C35" i="11"/>
  <c r="BD34" i="11"/>
  <c r="BC34" i="11"/>
  <c r="BA34" i="11"/>
  <c r="R34" i="11"/>
  <c r="M34" i="11"/>
  <c r="J34" i="11"/>
  <c r="E34" i="11"/>
  <c r="C34" i="11"/>
  <c r="BD31" i="11"/>
  <c r="BC31" i="11"/>
  <c r="BA31" i="11"/>
  <c r="R31" i="11"/>
  <c r="M31" i="11"/>
  <c r="J31" i="11"/>
  <c r="E31" i="11"/>
  <c r="C31" i="11"/>
  <c r="BD30" i="11"/>
  <c r="BC30" i="11"/>
  <c r="BA30" i="11"/>
  <c r="R30" i="11"/>
  <c r="M30" i="11"/>
  <c r="J30" i="11"/>
  <c r="E30" i="11"/>
  <c r="C30" i="11"/>
  <c r="BD29" i="11"/>
  <c r="BC29" i="11"/>
  <c r="BA29" i="11"/>
  <c r="M4" i="11" s="1"/>
  <c r="R29" i="11"/>
  <c r="M29" i="11"/>
  <c r="J29" i="11"/>
  <c r="E29" i="11"/>
  <c r="C29" i="11"/>
  <c r="BD28" i="11"/>
  <c r="BC28" i="11"/>
  <c r="BA28" i="11"/>
  <c r="R28" i="11"/>
  <c r="M28" i="11"/>
  <c r="J28" i="11"/>
  <c r="E28" i="11"/>
  <c r="C28" i="11"/>
  <c r="BD25" i="11"/>
  <c r="BC25" i="11"/>
  <c r="BA25" i="11"/>
  <c r="H10" i="11" s="1"/>
  <c r="R25" i="11"/>
  <c r="M25" i="11"/>
  <c r="J25" i="11"/>
  <c r="E25" i="11"/>
  <c r="C25" i="11"/>
  <c r="BD24" i="11"/>
  <c r="BC24" i="11"/>
  <c r="BA24" i="11"/>
  <c r="R24" i="11"/>
  <c r="M24" i="11"/>
  <c r="J24" i="11"/>
  <c r="E24" i="11"/>
  <c r="C24" i="11"/>
  <c r="BD23" i="11"/>
  <c r="BC23" i="11"/>
  <c r="BA23" i="11"/>
  <c r="L6" i="11" s="1"/>
  <c r="R23" i="11"/>
  <c r="M23" i="11"/>
  <c r="J23" i="11"/>
  <c r="E23" i="11"/>
  <c r="C23" i="11"/>
  <c r="BD22" i="11"/>
  <c r="BC22" i="11"/>
  <c r="BA22" i="11"/>
  <c r="K11" i="11" s="1"/>
  <c r="R22" i="11"/>
  <c r="M22" i="11"/>
  <c r="J22" i="11"/>
  <c r="E22" i="11"/>
  <c r="C22" i="11"/>
  <c r="BD19" i="11"/>
  <c r="BC19" i="11"/>
  <c r="R19" i="11"/>
  <c r="M19" i="11"/>
  <c r="BH19" i="11" s="1"/>
  <c r="J19" i="11"/>
  <c r="E19" i="11"/>
  <c r="C19" i="11"/>
  <c r="BD18" i="11"/>
  <c r="BC18" i="11"/>
  <c r="R18" i="11"/>
  <c r="M18" i="11"/>
  <c r="BH18" i="11" s="1"/>
  <c r="J18" i="11"/>
  <c r="BG18" i="11" s="1"/>
  <c r="E18" i="11"/>
  <c r="C18" i="11"/>
  <c r="BD17" i="11"/>
  <c r="BC17" i="11"/>
  <c r="R17" i="11"/>
  <c r="M17" i="11"/>
  <c r="J17" i="11"/>
  <c r="E17" i="11"/>
  <c r="C17" i="11"/>
  <c r="BG16" i="11"/>
  <c r="BD16" i="11"/>
  <c r="BC16" i="11"/>
  <c r="R16" i="11"/>
  <c r="M16" i="11"/>
  <c r="BH16" i="11" s="1"/>
  <c r="J16" i="11"/>
  <c r="BA16" i="11" s="1"/>
  <c r="O4" i="11" s="1"/>
  <c r="E16" i="11"/>
  <c r="C16" i="11"/>
  <c r="BL11" i="11"/>
  <c r="BK11" i="11"/>
  <c r="BJ11" i="11"/>
  <c r="BI11" i="11"/>
  <c r="BG11" i="11"/>
  <c r="BF11" i="11"/>
  <c r="BE11" i="11"/>
  <c r="BD11" i="11"/>
  <c r="BO11" i="11" s="1"/>
  <c r="AE11" i="11"/>
  <c r="X11" i="11"/>
  <c r="O11" i="11"/>
  <c r="N11" i="11"/>
  <c r="J11" i="11"/>
  <c r="BL10" i="11"/>
  <c r="BK10" i="11"/>
  <c r="BJ10" i="11"/>
  <c r="BI10" i="11"/>
  <c r="BH10" i="11"/>
  <c r="BG10" i="11"/>
  <c r="BF10" i="11"/>
  <c r="BE10" i="11"/>
  <c r="BD10" i="11"/>
  <c r="BO10" i="11" s="1"/>
  <c r="AE10" i="11"/>
  <c r="X10" i="11"/>
  <c r="O10" i="11"/>
  <c r="N10" i="11"/>
  <c r="BL9" i="11"/>
  <c r="BK9" i="11"/>
  <c r="BJ9" i="11"/>
  <c r="BI9" i="11"/>
  <c r="BH9" i="11"/>
  <c r="BG9" i="11"/>
  <c r="BF9" i="11"/>
  <c r="BE9" i="11"/>
  <c r="BD9" i="11"/>
  <c r="BO9" i="11" s="1"/>
  <c r="AE9" i="11"/>
  <c r="X9" i="11"/>
  <c r="M9" i="11"/>
  <c r="I9" i="11"/>
  <c r="H9" i="11"/>
  <c r="BL8" i="11"/>
  <c r="BK8" i="11"/>
  <c r="BJ8" i="11"/>
  <c r="BI8" i="11"/>
  <c r="BH8" i="11"/>
  <c r="BG8" i="11"/>
  <c r="BF8" i="11"/>
  <c r="BE8" i="11"/>
  <c r="AE8" i="11"/>
  <c r="X8" i="11"/>
  <c r="L8" i="11"/>
  <c r="J8" i="11"/>
  <c r="I8" i="11"/>
  <c r="H8" i="11"/>
  <c r="BL7" i="11"/>
  <c r="BK7" i="11"/>
  <c r="BJ7" i="11"/>
  <c r="BI7" i="11"/>
  <c r="BH7" i="11"/>
  <c r="BG7" i="11"/>
  <c r="BF7" i="11"/>
  <c r="BE7" i="11"/>
  <c r="BD7" i="11"/>
  <c r="BO7" i="11" s="1"/>
  <c r="AE7" i="11"/>
  <c r="X7" i="11"/>
  <c r="O7" i="11"/>
  <c r="K7" i="11"/>
  <c r="BL6" i="11"/>
  <c r="BK6" i="11"/>
  <c r="BJ6" i="11"/>
  <c r="BI6" i="11"/>
  <c r="BH6" i="11"/>
  <c r="BG6" i="11"/>
  <c r="BF6" i="11"/>
  <c r="BE6" i="11"/>
  <c r="BD6" i="11"/>
  <c r="BO6" i="11" s="1"/>
  <c r="AE6" i="11"/>
  <c r="X6" i="11"/>
  <c r="O6" i="11"/>
  <c r="J6" i="11"/>
  <c r="BL5" i="11"/>
  <c r="BK5" i="11"/>
  <c r="BJ5" i="11"/>
  <c r="BI5" i="11"/>
  <c r="BH5" i="11"/>
  <c r="BG5" i="11"/>
  <c r="BF5" i="11"/>
  <c r="BE5" i="11"/>
  <c r="AE5" i="11"/>
  <c r="X5" i="11"/>
  <c r="M5" i="11"/>
  <c r="L5" i="11"/>
  <c r="I5" i="11"/>
  <c r="BL4" i="11"/>
  <c r="BK4" i="11"/>
  <c r="BJ4" i="11"/>
  <c r="BI4" i="11"/>
  <c r="BH4" i="11"/>
  <c r="BG4" i="11"/>
  <c r="BF4" i="11"/>
  <c r="BE4" i="11"/>
  <c r="BD4" i="11"/>
  <c r="BO4" i="11" s="1"/>
  <c r="AE4" i="11"/>
  <c r="X4" i="11"/>
  <c r="N4" i="11"/>
  <c r="L4" i="11"/>
  <c r="H4" i="11"/>
  <c r="W1" i="11"/>
  <c r="BD55" i="10"/>
  <c r="BC55" i="10"/>
  <c r="R55" i="10"/>
  <c r="M55" i="10"/>
  <c r="J55" i="10"/>
  <c r="BA55" i="10" s="1"/>
  <c r="E55" i="10"/>
  <c r="C55" i="10"/>
  <c r="BD54" i="10"/>
  <c r="BC54" i="10"/>
  <c r="R54" i="10"/>
  <c r="M54" i="10"/>
  <c r="J54" i="10"/>
  <c r="BA54" i="10" s="1"/>
  <c r="E54" i="10"/>
  <c r="C54" i="10"/>
  <c r="BD53" i="10"/>
  <c r="BC53" i="10"/>
  <c r="R53" i="10"/>
  <c r="M53" i="10"/>
  <c r="J53" i="10"/>
  <c r="BA53" i="10" s="1"/>
  <c r="E53" i="10"/>
  <c r="C53" i="10"/>
  <c r="BD52" i="10"/>
  <c r="BC52" i="10"/>
  <c r="R52" i="10"/>
  <c r="M52" i="10"/>
  <c r="J52" i="10"/>
  <c r="BA52" i="10" s="1"/>
  <c r="E52" i="10"/>
  <c r="C52" i="10"/>
  <c r="BD49" i="10"/>
  <c r="BC49" i="10"/>
  <c r="R49" i="10"/>
  <c r="M49" i="10"/>
  <c r="J49" i="10"/>
  <c r="BA49" i="10" s="1"/>
  <c r="E49" i="10"/>
  <c r="C49" i="10"/>
  <c r="BD48" i="10"/>
  <c r="BC48" i="10"/>
  <c r="R48" i="10"/>
  <c r="M48" i="10"/>
  <c r="J48" i="10"/>
  <c r="BA48" i="10" s="1"/>
  <c r="E48" i="10"/>
  <c r="C48" i="10"/>
  <c r="BD47" i="10"/>
  <c r="BC47" i="10"/>
  <c r="R47" i="10"/>
  <c r="M47" i="10"/>
  <c r="J47" i="10"/>
  <c r="BA47" i="10" s="1"/>
  <c r="J4" i="10" s="1"/>
  <c r="E47" i="10"/>
  <c r="C47" i="10"/>
  <c r="BD46" i="10"/>
  <c r="BC46" i="10"/>
  <c r="R46" i="10"/>
  <c r="M46" i="10"/>
  <c r="J46" i="10"/>
  <c r="BA46" i="10" s="1"/>
  <c r="E46" i="10"/>
  <c r="C46" i="10"/>
  <c r="BD43" i="10"/>
  <c r="BC43" i="10"/>
  <c r="R43" i="10"/>
  <c r="M43" i="10"/>
  <c r="J43" i="10"/>
  <c r="BA43" i="10" s="1"/>
  <c r="E43" i="10"/>
  <c r="C43" i="10"/>
  <c r="BD42" i="10"/>
  <c r="BC42" i="10"/>
  <c r="R42" i="10"/>
  <c r="M42" i="10"/>
  <c r="J42" i="10"/>
  <c r="BA42" i="10" s="1"/>
  <c r="H7" i="10" s="1"/>
  <c r="E42" i="10"/>
  <c r="C42" i="10"/>
  <c r="BD41" i="10"/>
  <c r="BC41" i="10"/>
  <c r="R41" i="10"/>
  <c r="M41" i="10"/>
  <c r="J41" i="10"/>
  <c r="BA41" i="10" s="1"/>
  <c r="E41" i="10"/>
  <c r="C41" i="10"/>
  <c r="BD40" i="10"/>
  <c r="BC40" i="10"/>
  <c r="R40" i="10"/>
  <c r="M40" i="10"/>
  <c r="J40" i="10"/>
  <c r="BA40" i="10" s="1"/>
  <c r="E40" i="10"/>
  <c r="C40" i="10"/>
  <c r="BD37" i="10"/>
  <c r="BC37" i="10"/>
  <c r="R37" i="10"/>
  <c r="M37" i="10"/>
  <c r="J37" i="10"/>
  <c r="BA37" i="10" s="1"/>
  <c r="E37" i="10"/>
  <c r="C37" i="10"/>
  <c r="BD36" i="10"/>
  <c r="BC36" i="10"/>
  <c r="R36" i="10"/>
  <c r="M36" i="10"/>
  <c r="J36" i="10"/>
  <c r="BA36" i="10" s="1"/>
  <c r="E36" i="10"/>
  <c r="C36" i="10"/>
  <c r="BD35" i="10"/>
  <c r="BC35" i="10"/>
  <c r="R35" i="10"/>
  <c r="M35" i="10"/>
  <c r="J35" i="10"/>
  <c r="BA35" i="10" s="1"/>
  <c r="E35" i="10"/>
  <c r="C35" i="10"/>
  <c r="BD34" i="10"/>
  <c r="BC34" i="10"/>
  <c r="R34" i="10"/>
  <c r="M34" i="10"/>
  <c r="J34" i="10"/>
  <c r="BA34" i="10" s="1"/>
  <c r="E34" i="10"/>
  <c r="C34" i="10"/>
  <c r="BD31" i="10"/>
  <c r="BC31" i="10"/>
  <c r="R31" i="10"/>
  <c r="M31" i="10"/>
  <c r="J31" i="10"/>
  <c r="BA31" i="10" s="1"/>
  <c r="E31" i="10"/>
  <c r="C31" i="10"/>
  <c r="BD30" i="10"/>
  <c r="BC30" i="10"/>
  <c r="R30" i="10"/>
  <c r="M30" i="10"/>
  <c r="J30" i="10"/>
  <c r="BA30" i="10" s="1"/>
  <c r="E30" i="10"/>
  <c r="C30" i="10"/>
  <c r="BD29" i="10"/>
  <c r="BC29" i="10"/>
  <c r="R29" i="10"/>
  <c r="M29" i="10"/>
  <c r="J29" i="10"/>
  <c r="BA29" i="10" s="1"/>
  <c r="E29" i="10"/>
  <c r="C29" i="10"/>
  <c r="BD28" i="10"/>
  <c r="BC28" i="10"/>
  <c r="R28" i="10"/>
  <c r="M28" i="10"/>
  <c r="J28" i="10"/>
  <c r="BA28" i="10" s="1"/>
  <c r="E28" i="10"/>
  <c r="C28" i="10"/>
  <c r="BD25" i="10"/>
  <c r="BC25" i="10"/>
  <c r="R25" i="10"/>
  <c r="M25" i="10"/>
  <c r="J25" i="10"/>
  <c r="BA25" i="10" s="1"/>
  <c r="E25" i="10"/>
  <c r="C25" i="10"/>
  <c r="BD24" i="10"/>
  <c r="BC24" i="10"/>
  <c r="R24" i="10"/>
  <c r="M24" i="10"/>
  <c r="J24" i="10"/>
  <c r="BA24" i="10" s="1"/>
  <c r="E24" i="10"/>
  <c r="C24" i="10"/>
  <c r="BD23" i="10"/>
  <c r="BC23" i="10"/>
  <c r="R23" i="10"/>
  <c r="M23" i="10"/>
  <c r="J23" i="10"/>
  <c r="BA23" i="10" s="1"/>
  <c r="E23" i="10"/>
  <c r="C23" i="10"/>
  <c r="BD22" i="10"/>
  <c r="BC22" i="10"/>
  <c r="R22" i="10"/>
  <c r="M22" i="10"/>
  <c r="J22" i="10"/>
  <c r="BA22" i="10" s="1"/>
  <c r="E22" i="10"/>
  <c r="C22" i="10"/>
  <c r="BD19" i="10"/>
  <c r="BC19" i="10"/>
  <c r="R19" i="10"/>
  <c r="M19" i="10"/>
  <c r="BH19" i="10" s="1"/>
  <c r="J19" i="10"/>
  <c r="E19" i="10"/>
  <c r="C19" i="10"/>
  <c r="BD18" i="10"/>
  <c r="BC18" i="10"/>
  <c r="R18" i="10"/>
  <c r="M18" i="10"/>
  <c r="BH18" i="10" s="1"/>
  <c r="J18" i="10"/>
  <c r="BA18" i="10" s="1"/>
  <c r="E18" i="10"/>
  <c r="C18" i="10"/>
  <c r="BD17" i="10"/>
  <c r="BC17" i="10"/>
  <c r="R17" i="10"/>
  <c r="M17" i="10"/>
  <c r="BH17" i="10" s="1"/>
  <c r="J17" i="10"/>
  <c r="E17" i="10"/>
  <c r="C17" i="10"/>
  <c r="BG16" i="10"/>
  <c r="BD16" i="10"/>
  <c r="BC16" i="10"/>
  <c r="R16" i="10"/>
  <c r="M16" i="10"/>
  <c r="BH16" i="10" s="1"/>
  <c r="J16" i="10"/>
  <c r="BA16" i="10" s="1"/>
  <c r="E16" i="10"/>
  <c r="C16" i="10"/>
  <c r="BL11" i="10"/>
  <c r="BK11" i="10"/>
  <c r="BJ11" i="10"/>
  <c r="BI11" i="10"/>
  <c r="BH11" i="10"/>
  <c r="BG11" i="10"/>
  <c r="BF11" i="10"/>
  <c r="BE11" i="10"/>
  <c r="BD11" i="10"/>
  <c r="BO11" i="10" s="1"/>
  <c r="BE22" i="10" s="1"/>
  <c r="AE11" i="10"/>
  <c r="X11" i="10"/>
  <c r="BL10" i="10"/>
  <c r="BK10" i="10"/>
  <c r="BJ10" i="10"/>
  <c r="BI10" i="10"/>
  <c r="BH10" i="10"/>
  <c r="BG10" i="10"/>
  <c r="BF10" i="10"/>
  <c r="BE10" i="10"/>
  <c r="AE10" i="10"/>
  <c r="X10" i="10"/>
  <c r="BL9" i="10"/>
  <c r="BK9" i="10"/>
  <c r="BJ9" i="10"/>
  <c r="BI9" i="10"/>
  <c r="BH9" i="10"/>
  <c r="BG9" i="10"/>
  <c r="BF9" i="10"/>
  <c r="BE9" i="10"/>
  <c r="BD9" i="10"/>
  <c r="BO9" i="10" s="1"/>
  <c r="AE9" i="10"/>
  <c r="X9" i="10"/>
  <c r="BL8" i="10"/>
  <c r="BK8" i="10"/>
  <c r="BJ8" i="10"/>
  <c r="BI8" i="10"/>
  <c r="BH8" i="10"/>
  <c r="BG8" i="10"/>
  <c r="BF8" i="10"/>
  <c r="BE8" i="10"/>
  <c r="AE8" i="10"/>
  <c r="X8" i="10"/>
  <c r="BL7" i="10"/>
  <c r="BK7" i="10"/>
  <c r="BJ7" i="10"/>
  <c r="BI7" i="10"/>
  <c r="BH7" i="10"/>
  <c r="BG7" i="10"/>
  <c r="BF7" i="10"/>
  <c r="BE7" i="10"/>
  <c r="BD7" i="10"/>
  <c r="BO7" i="10" s="1"/>
  <c r="AE7" i="10"/>
  <c r="X7" i="10"/>
  <c r="BL6" i="10"/>
  <c r="BK6" i="10"/>
  <c r="BJ6" i="10"/>
  <c r="BI6" i="10"/>
  <c r="BH6" i="10"/>
  <c r="BG6" i="10"/>
  <c r="BF6" i="10"/>
  <c r="BE6" i="10"/>
  <c r="BD6" i="10"/>
  <c r="BO6" i="10" s="1"/>
  <c r="AE6" i="10"/>
  <c r="X6" i="10"/>
  <c r="BL5" i="10"/>
  <c r="BK5" i="10"/>
  <c r="BJ5" i="10"/>
  <c r="BI5" i="10"/>
  <c r="BH5" i="10"/>
  <c r="BG5" i="10"/>
  <c r="BF5" i="10"/>
  <c r="BE5" i="10"/>
  <c r="BD5" i="10"/>
  <c r="BO5" i="10" s="1"/>
  <c r="BE24" i="10" s="1"/>
  <c r="AE5" i="10"/>
  <c r="X5" i="10"/>
  <c r="I5" i="10"/>
  <c r="BL4" i="10"/>
  <c r="BK4" i="10"/>
  <c r="BJ4" i="10"/>
  <c r="BI4" i="10"/>
  <c r="BH4" i="10"/>
  <c r="BG4" i="10"/>
  <c r="BF4" i="10"/>
  <c r="BE4" i="10"/>
  <c r="BD4" i="10"/>
  <c r="BO4" i="10" s="1"/>
  <c r="AE4" i="10"/>
  <c r="X4" i="10"/>
  <c r="W1" i="10"/>
  <c r="C50" i="5"/>
  <c r="B50" i="5"/>
  <c r="A50" i="5"/>
  <c r="C49" i="5"/>
  <c r="B49" i="5"/>
  <c r="A49" i="5"/>
  <c r="C48" i="5"/>
  <c r="B48" i="5"/>
  <c r="A48" i="5"/>
  <c r="C47" i="5"/>
  <c r="B47" i="5"/>
  <c r="A47" i="5"/>
  <c r="C46" i="5"/>
  <c r="B46" i="5"/>
  <c r="A46" i="5"/>
  <c r="C45" i="5"/>
  <c r="B45" i="5"/>
  <c r="A45" i="5"/>
  <c r="C44" i="5"/>
  <c r="B44" i="5"/>
  <c r="A44" i="5"/>
  <c r="C43" i="5"/>
  <c r="B43" i="5"/>
  <c r="A43" i="5"/>
  <c r="C42" i="5"/>
  <c r="B42" i="5"/>
  <c r="A42" i="5"/>
  <c r="C41" i="5"/>
  <c r="B41" i="5"/>
  <c r="A41" i="5"/>
  <c r="C40" i="5"/>
  <c r="B40" i="5"/>
  <c r="A40" i="5"/>
  <c r="C39" i="5"/>
  <c r="B39" i="5"/>
  <c r="A39" i="5"/>
  <c r="C38" i="5"/>
  <c r="B38" i="5"/>
  <c r="A38" i="5"/>
  <c r="C37" i="5"/>
  <c r="B37" i="5"/>
  <c r="A37" i="5"/>
  <c r="C36" i="5"/>
  <c r="B36" i="5"/>
  <c r="A36" i="5"/>
  <c r="C34" i="5"/>
  <c r="B34" i="5"/>
  <c r="A34" i="5"/>
  <c r="C33" i="5"/>
  <c r="B33" i="5"/>
  <c r="A33" i="5"/>
  <c r="C32" i="5"/>
  <c r="B32" i="5"/>
  <c r="A32" i="5"/>
  <c r="C31" i="5"/>
  <c r="B31" i="5"/>
  <c r="A31" i="5"/>
  <c r="C30" i="5"/>
  <c r="B30" i="5"/>
  <c r="A30" i="5"/>
  <c r="C29" i="5"/>
  <c r="B29" i="5"/>
  <c r="A29" i="5"/>
  <c r="C28" i="5"/>
  <c r="B28" i="5"/>
  <c r="A28" i="5"/>
  <c r="C26" i="5"/>
  <c r="B26" i="5"/>
  <c r="A26" i="5"/>
  <c r="C25" i="5"/>
  <c r="B25" i="5"/>
  <c r="A25" i="5"/>
  <c r="C24" i="5"/>
  <c r="B24" i="5"/>
  <c r="A24" i="5"/>
  <c r="C23" i="5"/>
  <c r="B23" i="5"/>
  <c r="A23" i="5"/>
  <c r="C22" i="5"/>
  <c r="B22" i="5"/>
  <c r="A22" i="5"/>
  <c r="C21" i="5"/>
  <c r="B21" i="5"/>
  <c r="A21" i="5"/>
  <c r="C20" i="5"/>
  <c r="B20" i="5"/>
  <c r="A20" i="5"/>
  <c r="C19" i="5"/>
  <c r="B19" i="5"/>
  <c r="A19" i="5"/>
  <c r="C18" i="5"/>
  <c r="B18" i="5"/>
  <c r="A18" i="5"/>
  <c r="C17" i="5"/>
  <c r="B17" i="5"/>
  <c r="A17" i="5"/>
  <c r="C16" i="5"/>
  <c r="B16" i="5"/>
  <c r="A16" i="5"/>
  <c r="C15" i="5"/>
  <c r="B15" i="5"/>
  <c r="A15" i="5"/>
  <c r="C14" i="5"/>
  <c r="B14" i="5"/>
  <c r="A14" i="5"/>
  <c r="C13" i="5"/>
  <c r="B13" i="5"/>
  <c r="A13" i="5"/>
  <c r="C12" i="5"/>
  <c r="B12" i="5"/>
  <c r="A12" i="5"/>
  <c r="C11" i="5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C4" i="5"/>
  <c r="B4" i="5"/>
  <c r="A4" i="5"/>
  <c r="D67" i="6"/>
  <c r="C67" i="6"/>
  <c r="B67" i="6"/>
  <c r="D66" i="6"/>
  <c r="C66" i="6"/>
  <c r="B66" i="6"/>
  <c r="D65" i="6"/>
  <c r="C65" i="6"/>
  <c r="B65" i="6"/>
  <c r="D64" i="6"/>
  <c r="C64" i="6"/>
  <c r="B64" i="6"/>
  <c r="D63" i="6"/>
  <c r="C63" i="6"/>
  <c r="B63" i="6"/>
  <c r="D62" i="6"/>
  <c r="C62" i="6"/>
  <c r="B62" i="6"/>
  <c r="D61" i="6"/>
  <c r="C61" i="6"/>
  <c r="B61" i="6"/>
  <c r="D60" i="6"/>
  <c r="C60" i="6"/>
  <c r="B60" i="6"/>
  <c r="D56" i="6"/>
  <c r="C56" i="6"/>
  <c r="B56" i="6"/>
  <c r="D55" i="6"/>
  <c r="C55" i="6"/>
  <c r="B55" i="6"/>
  <c r="D54" i="6"/>
  <c r="C54" i="6"/>
  <c r="B54" i="6"/>
  <c r="D53" i="6"/>
  <c r="C53" i="6"/>
  <c r="B53" i="6"/>
  <c r="D52" i="6"/>
  <c r="C52" i="6"/>
  <c r="B52" i="6"/>
  <c r="D51" i="6"/>
  <c r="C51" i="6"/>
  <c r="B51" i="6"/>
  <c r="D50" i="6"/>
  <c r="C50" i="6"/>
  <c r="B50" i="6"/>
  <c r="D49" i="6"/>
  <c r="C49" i="6"/>
  <c r="B49" i="6"/>
  <c r="D45" i="6"/>
  <c r="C45" i="6"/>
  <c r="B45" i="6"/>
  <c r="D44" i="6"/>
  <c r="C44" i="6"/>
  <c r="B44" i="6"/>
  <c r="D43" i="6"/>
  <c r="C43" i="6"/>
  <c r="B43" i="6"/>
  <c r="D42" i="6"/>
  <c r="C42" i="6"/>
  <c r="B42" i="6"/>
  <c r="D41" i="6"/>
  <c r="C41" i="6"/>
  <c r="B41" i="6"/>
  <c r="D40" i="6"/>
  <c r="C40" i="6"/>
  <c r="B40" i="6"/>
  <c r="D39" i="6"/>
  <c r="C39" i="6"/>
  <c r="B39" i="6"/>
  <c r="D38" i="6"/>
  <c r="C38" i="6"/>
  <c r="B38" i="6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2" i="6"/>
  <c r="C12" i="6"/>
  <c r="B12" i="6"/>
  <c r="D11" i="6"/>
  <c r="C11" i="6"/>
  <c r="B11" i="6"/>
  <c r="D10" i="6"/>
  <c r="C10" i="6"/>
  <c r="B10" i="6"/>
  <c r="D9" i="6"/>
  <c r="C9" i="6"/>
  <c r="B9" i="6"/>
  <c r="D8" i="6"/>
  <c r="C8" i="6"/>
  <c r="B8" i="6"/>
  <c r="D7" i="6"/>
  <c r="C7" i="6"/>
  <c r="B7" i="6"/>
  <c r="D6" i="6"/>
  <c r="C6" i="6"/>
  <c r="B6" i="6"/>
  <c r="D5" i="6"/>
  <c r="C5" i="6"/>
  <c r="B5" i="6"/>
  <c r="I4" i="15" l="1"/>
  <c r="H5" i="15"/>
  <c r="N6" i="15"/>
  <c r="J10" i="15"/>
  <c r="K9" i="15"/>
  <c r="M7" i="15"/>
  <c r="L11" i="15"/>
  <c r="O8" i="15"/>
  <c r="L9" i="15"/>
  <c r="M8" i="15"/>
  <c r="K10" i="15"/>
  <c r="N7" i="15"/>
  <c r="J4" i="15"/>
  <c r="H6" i="15"/>
  <c r="I11" i="15"/>
  <c r="O5" i="15"/>
  <c r="J5" i="15"/>
  <c r="I6" i="15"/>
  <c r="K4" i="15"/>
  <c r="H7" i="15"/>
  <c r="L10" i="15"/>
  <c r="N8" i="15"/>
  <c r="M11" i="15"/>
  <c r="O9" i="15"/>
  <c r="M10" i="15"/>
  <c r="N9" i="15"/>
  <c r="L4" i="15"/>
  <c r="H8" i="15"/>
  <c r="I7" i="15"/>
  <c r="K5" i="15"/>
  <c r="O6" i="15"/>
  <c r="J11" i="15"/>
  <c r="J7" i="15"/>
  <c r="K6" i="15"/>
  <c r="I8" i="15"/>
  <c r="L5" i="15"/>
  <c r="H9" i="15"/>
  <c r="M4" i="15"/>
  <c r="N11" i="15"/>
  <c r="O10" i="15"/>
  <c r="H10" i="15"/>
  <c r="N4" i="15"/>
  <c r="M5" i="15"/>
  <c r="I9" i="15"/>
  <c r="J8" i="15"/>
  <c r="L6" i="15"/>
  <c r="O7" i="15"/>
  <c r="K11" i="15"/>
  <c r="R11" i="15" s="1"/>
  <c r="M6" i="15"/>
  <c r="J9" i="15"/>
  <c r="BP9" i="15"/>
  <c r="BE29" i="15" s="1"/>
  <c r="BH29" i="15" s="1"/>
  <c r="BP7" i="15"/>
  <c r="BQ7" i="15" s="1"/>
  <c r="BA17" i="15"/>
  <c r="BP11" i="15"/>
  <c r="BF28" i="15" s="1"/>
  <c r="BG28" i="15" s="1"/>
  <c r="BJ7" i="14"/>
  <c r="BP5" i="14"/>
  <c r="BQ5" i="14" s="1"/>
  <c r="BA23" i="14"/>
  <c r="BA17" i="14"/>
  <c r="I4" i="13"/>
  <c r="H5" i="13"/>
  <c r="J10" i="13"/>
  <c r="N6" i="13"/>
  <c r="R6" i="13" s="1"/>
  <c r="K9" i="13"/>
  <c r="M7" i="13"/>
  <c r="I11" i="13"/>
  <c r="BI11" i="13"/>
  <c r="BG18" i="13"/>
  <c r="BP4" i="13"/>
  <c r="BF29" i="13" s="1"/>
  <c r="BG29" i="13" s="1"/>
  <c r="R4" i="13"/>
  <c r="BP9" i="13"/>
  <c r="BE29" i="13" s="1"/>
  <c r="BH29" i="13" s="1"/>
  <c r="BG23" i="13"/>
  <c r="BJ10" i="12"/>
  <c r="BA53" i="12"/>
  <c r="BA47" i="12"/>
  <c r="BA46" i="12"/>
  <c r="BA43" i="12"/>
  <c r="BA31" i="12"/>
  <c r="BA29" i="12"/>
  <c r="BA19" i="12"/>
  <c r="I4" i="11"/>
  <c r="H5" i="11"/>
  <c r="J10" i="11"/>
  <c r="N6" i="11"/>
  <c r="M7" i="11"/>
  <c r="K9" i="11"/>
  <c r="L11" i="11"/>
  <c r="O8" i="11"/>
  <c r="M8" i="11"/>
  <c r="L9" i="11"/>
  <c r="N7" i="11"/>
  <c r="K10" i="11"/>
  <c r="H6" i="11"/>
  <c r="J4" i="11"/>
  <c r="I11" i="11"/>
  <c r="O5" i="11"/>
  <c r="H7" i="11"/>
  <c r="K4" i="11"/>
  <c r="L10" i="11"/>
  <c r="N8" i="11"/>
  <c r="BA40" i="11"/>
  <c r="BP10" i="11"/>
  <c r="BE28" i="11" s="1"/>
  <c r="BH28" i="11" s="1"/>
  <c r="BA18" i="11"/>
  <c r="BF25" i="11"/>
  <c r="BG25" i="11" s="1"/>
  <c r="J10" i="10"/>
  <c r="N6" i="10"/>
  <c r="L9" i="10"/>
  <c r="H9" i="10"/>
  <c r="BG18" i="10"/>
  <c r="BP6" i="10"/>
  <c r="BF31" i="10" s="1"/>
  <c r="H11" i="10"/>
  <c r="O4" i="10"/>
  <c r="BP4" i="10"/>
  <c r="BF29" i="10" s="1"/>
  <c r="BG29" i="10" s="1"/>
  <c r="BA17" i="10"/>
  <c r="BG17" i="10"/>
  <c r="BD10" i="10"/>
  <c r="BO10" i="10" s="1"/>
  <c r="BE25" i="12"/>
  <c r="BH25" i="12" s="1"/>
  <c r="BP4" i="12"/>
  <c r="K4" i="10"/>
  <c r="L5" i="10"/>
  <c r="L7" i="10"/>
  <c r="BF24" i="10"/>
  <c r="BG24" i="10" s="1"/>
  <c r="BP9" i="10"/>
  <c r="N10" i="10"/>
  <c r="L11" i="10"/>
  <c r="BA19" i="10"/>
  <c r="BG19" i="10"/>
  <c r="BD8" i="10"/>
  <c r="BO8" i="10" s="1"/>
  <c r="BH22" i="10"/>
  <c r="BE25" i="10"/>
  <c r="BE25" i="11"/>
  <c r="BH25" i="11" s="1"/>
  <c r="BP4" i="11"/>
  <c r="BE23" i="11"/>
  <c r="BH23" i="11" s="1"/>
  <c r="BP6" i="11"/>
  <c r="H11" i="11"/>
  <c r="M10" i="11"/>
  <c r="N9" i="11"/>
  <c r="K5" i="11"/>
  <c r="I7" i="11"/>
  <c r="BF22" i="12"/>
  <c r="BG22" i="12" s="1"/>
  <c r="BP7" i="12"/>
  <c r="M4" i="10"/>
  <c r="M5" i="10"/>
  <c r="BP5" i="10"/>
  <c r="J8" i="10"/>
  <c r="BE22" i="11"/>
  <c r="BH22" i="11" s="1"/>
  <c r="BP11" i="11"/>
  <c r="BH17" i="11"/>
  <c r="BD5" i="11"/>
  <c r="BO5" i="11" s="1"/>
  <c r="BA19" i="11"/>
  <c r="BG19" i="11"/>
  <c r="BD8" i="11"/>
  <c r="BO8" i="11" s="1"/>
  <c r="I4" i="10"/>
  <c r="N4" i="10"/>
  <c r="H5" i="10"/>
  <c r="J6" i="10"/>
  <c r="BF22" i="10"/>
  <c r="BG22" i="10" s="1"/>
  <c r="BP7" i="10"/>
  <c r="N8" i="10"/>
  <c r="BP11" i="10"/>
  <c r="O11" i="10"/>
  <c r="K11" i="10"/>
  <c r="M10" i="10"/>
  <c r="I10" i="10"/>
  <c r="O9" i="10"/>
  <c r="K9" i="10"/>
  <c r="M8" i="10"/>
  <c r="I8" i="10"/>
  <c r="O7" i="10"/>
  <c r="K7" i="10"/>
  <c r="M6" i="10"/>
  <c r="I6" i="10"/>
  <c r="O5" i="10"/>
  <c r="K5" i="10"/>
  <c r="N11" i="10"/>
  <c r="J11" i="10"/>
  <c r="L10" i="10"/>
  <c r="H10" i="10"/>
  <c r="N9" i="10"/>
  <c r="J9" i="10"/>
  <c r="L8" i="10"/>
  <c r="H8" i="10"/>
  <c r="N7" i="10"/>
  <c r="J7" i="10"/>
  <c r="L6" i="10"/>
  <c r="H6" i="10"/>
  <c r="N5" i="10"/>
  <c r="J5" i="10"/>
  <c r="L4" i="10"/>
  <c r="H4" i="10"/>
  <c r="M11" i="10"/>
  <c r="I11" i="10"/>
  <c r="O10" i="10"/>
  <c r="K10" i="10"/>
  <c r="M9" i="10"/>
  <c r="I9" i="10"/>
  <c r="O8" i="10"/>
  <c r="K8" i="10"/>
  <c r="M7" i="10"/>
  <c r="I7" i="10"/>
  <c r="O6" i="10"/>
  <c r="K6" i="10"/>
  <c r="BE23" i="10"/>
  <c r="BH24" i="10"/>
  <c r="BG31" i="10"/>
  <c r="BF22" i="11"/>
  <c r="BG22" i="11" s="1"/>
  <c r="BP7" i="11"/>
  <c r="BF24" i="11"/>
  <c r="BG24" i="11" s="1"/>
  <c r="BP9" i="11"/>
  <c r="BQ10" i="11"/>
  <c r="J7" i="11"/>
  <c r="K6" i="11"/>
  <c r="I6" i="11"/>
  <c r="J5" i="11"/>
  <c r="BA17" i="11"/>
  <c r="BG17" i="11"/>
  <c r="BE23" i="12"/>
  <c r="BP6" i="12"/>
  <c r="BF24" i="12"/>
  <c r="BG24" i="12" s="1"/>
  <c r="BH16" i="12"/>
  <c r="BA16" i="12"/>
  <c r="BE23" i="13"/>
  <c r="BH23" i="13" s="1"/>
  <c r="BP11" i="12"/>
  <c r="BE22" i="12"/>
  <c r="BH18" i="12"/>
  <c r="BA18" i="12"/>
  <c r="BP6" i="13"/>
  <c r="BP7" i="13"/>
  <c r="BF22" i="13"/>
  <c r="BG22" i="13" s="1"/>
  <c r="BF23" i="12"/>
  <c r="BG23" i="12" s="1"/>
  <c r="BE8" i="12"/>
  <c r="BP8" i="12" s="1"/>
  <c r="BA23" i="12"/>
  <c r="BA24" i="12"/>
  <c r="BE9" i="12"/>
  <c r="BP9" i="12" s="1"/>
  <c r="BH24" i="12"/>
  <c r="BE10" i="12"/>
  <c r="BP10" i="12" s="1"/>
  <c r="BA25" i="12"/>
  <c r="BA28" i="12"/>
  <c r="O10" i="12" s="1"/>
  <c r="BF11" i="12"/>
  <c r="BG7" i="12"/>
  <c r="BA35" i="12"/>
  <c r="BA36" i="12"/>
  <c r="BG8" i="12"/>
  <c r="BG9" i="12"/>
  <c r="BA37" i="12"/>
  <c r="BA41" i="12"/>
  <c r="BH10" i="12"/>
  <c r="BI8" i="12"/>
  <c r="BA49" i="12"/>
  <c r="BA52" i="12"/>
  <c r="BJ11" i="12"/>
  <c r="BP5" i="12"/>
  <c r="BF25" i="12"/>
  <c r="BG25" i="12" s="1"/>
  <c r="BE25" i="13"/>
  <c r="BH25" i="13" s="1"/>
  <c r="BE24" i="13"/>
  <c r="BH24" i="13" s="1"/>
  <c r="BP5" i="13"/>
  <c r="BE25" i="14"/>
  <c r="BH25" i="14" s="1"/>
  <c r="BP4" i="14"/>
  <c r="BA31" i="14"/>
  <c r="BF7" i="14"/>
  <c r="N11" i="13"/>
  <c r="J11" i="13"/>
  <c r="L10" i="13"/>
  <c r="H10" i="13"/>
  <c r="N9" i="13"/>
  <c r="J9" i="13"/>
  <c r="K11" i="13"/>
  <c r="N10" i="13"/>
  <c r="BG24" i="13"/>
  <c r="M5" i="13"/>
  <c r="O8" i="13"/>
  <c r="BA17" i="13"/>
  <c r="N5" i="13" s="1"/>
  <c r="BG17" i="13"/>
  <c r="BF30" i="14"/>
  <c r="BG30" i="14" s="1"/>
  <c r="BE10" i="14"/>
  <c r="BP10" i="14" s="1"/>
  <c r="J11" i="12"/>
  <c r="BP8" i="13"/>
  <c r="O9" i="13"/>
  <c r="BP11" i="13"/>
  <c r="BG25" i="13"/>
  <c r="BF25" i="14"/>
  <c r="BG25" i="14" s="1"/>
  <c r="O11" i="14"/>
  <c r="K11" i="14"/>
  <c r="M10" i="14"/>
  <c r="I10" i="14"/>
  <c r="O9" i="14"/>
  <c r="K9" i="14"/>
  <c r="M8" i="14"/>
  <c r="O7" i="14"/>
  <c r="K7" i="14"/>
  <c r="I6" i="14"/>
  <c r="K5" i="14"/>
  <c r="M4" i="14"/>
  <c r="I4" i="14"/>
  <c r="N11" i="14"/>
  <c r="J11" i="14"/>
  <c r="L10" i="14"/>
  <c r="N9" i="14"/>
  <c r="L8" i="14"/>
  <c r="H8" i="14"/>
  <c r="N7" i="14"/>
  <c r="J7" i="14"/>
  <c r="L6" i="14"/>
  <c r="H6" i="14"/>
  <c r="N5" i="14"/>
  <c r="J5" i="14"/>
  <c r="L4" i="14"/>
  <c r="H4" i="14"/>
  <c r="M11" i="14"/>
  <c r="O10" i="14"/>
  <c r="M9" i="14"/>
  <c r="J8" i="14"/>
  <c r="M7" i="14"/>
  <c r="N6" i="14"/>
  <c r="L11" i="14"/>
  <c r="N10" i="14"/>
  <c r="L9" i="14"/>
  <c r="O8" i="14"/>
  <c r="K6" i="14"/>
  <c r="I5" i="14"/>
  <c r="K10" i="14"/>
  <c r="I9" i="14"/>
  <c r="N8" i="14"/>
  <c r="I7" i="14"/>
  <c r="J6" i="14"/>
  <c r="H5" i="14"/>
  <c r="K4" i="14"/>
  <c r="BA19" i="13"/>
  <c r="BG19" i="13"/>
  <c r="BH22" i="13"/>
  <c r="BE23" i="14"/>
  <c r="BP6" i="14"/>
  <c r="BG16" i="14"/>
  <c r="BA16" i="14"/>
  <c r="H11" i="14" s="1"/>
  <c r="BD11" i="14"/>
  <c r="BO11" i="14" s="1"/>
  <c r="BF24" i="14"/>
  <c r="BG24" i="14" s="1"/>
  <c r="BE24" i="14"/>
  <c r="BF23" i="14"/>
  <c r="BG23" i="14" s="1"/>
  <c r="BP8" i="14"/>
  <c r="BP9" i="14"/>
  <c r="BA24" i="14"/>
  <c r="M5" i="14" s="1"/>
  <c r="BE10" i="13"/>
  <c r="BP10" i="13" s="1"/>
  <c r="BG11" i="14"/>
  <c r="BA18" i="14"/>
  <c r="J9" i="14" s="1"/>
  <c r="BA25" i="14"/>
  <c r="H10" i="14" s="1"/>
  <c r="BA46" i="14"/>
  <c r="O5" i="14" s="1"/>
  <c r="BI11" i="14"/>
  <c r="BE25" i="15"/>
  <c r="BH25" i="15" s="1"/>
  <c r="BP4" i="15"/>
  <c r="BP8" i="15"/>
  <c r="BF23" i="15"/>
  <c r="BG23" i="15" s="1"/>
  <c r="BD7" i="14"/>
  <c r="BO7" i="14" s="1"/>
  <c r="BA19" i="14"/>
  <c r="K8" i="14" s="1"/>
  <c r="BA30" i="14"/>
  <c r="L5" i="14" s="1"/>
  <c r="BE24" i="15"/>
  <c r="BH24" i="15" s="1"/>
  <c r="BP6" i="15"/>
  <c r="BE23" i="15"/>
  <c r="BP5" i="15"/>
  <c r="BF22" i="15"/>
  <c r="BG22" i="15" s="1"/>
  <c r="BF24" i="15"/>
  <c r="BG24" i="15" s="1"/>
  <c r="BP10" i="15"/>
  <c r="BF25" i="15"/>
  <c r="BG25" i="15" s="1"/>
  <c r="BE22" i="15"/>
  <c r="BG17" i="15"/>
  <c r="BG19" i="15"/>
  <c r="BQ9" i="15" l="1"/>
  <c r="R7" i="15"/>
  <c r="R8" i="15"/>
  <c r="R4" i="15"/>
  <c r="BQ11" i="15"/>
  <c r="R9" i="15"/>
  <c r="R6" i="15"/>
  <c r="BE31" i="15"/>
  <c r="BH31" i="15" s="1"/>
  <c r="I10" i="15"/>
  <c r="R10" i="15" s="1"/>
  <c r="N5" i="15"/>
  <c r="R5" i="15" s="1"/>
  <c r="N4" i="14"/>
  <c r="O4" i="14"/>
  <c r="BQ9" i="13"/>
  <c r="BQ4" i="13"/>
  <c r="R11" i="13"/>
  <c r="R9" i="13"/>
  <c r="R5" i="13"/>
  <c r="K9" i="12"/>
  <c r="M7" i="12"/>
  <c r="J4" i="12"/>
  <c r="H6" i="12"/>
  <c r="I11" i="12"/>
  <c r="O5" i="12"/>
  <c r="I6" i="12"/>
  <c r="J5" i="12"/>
  <c r="K6" i="12"/>
  <c r="J7" i="12"/>
  <c r="H9" i="12"/>
  <c r="M4" i="12"/>
  <c r="N11" i="12"/>
  <c r="K8" i="12"/>
  <c r="L7" i="12"/>
  <c r="R4" i="11"/>
  <c r="O9" i="11"/>
  <c r="M11" i="11"/>
  <c r="J9" i="11"/>
  <c r="M6" i="11"/>
  <c r="R6" i="11" s="1"/>
  <c r="BQ6" i="10"/>
  <c r="BQ4" i="10"/>
  <c r="R7" i="10"/>
  <c r="R9" i="10"/>
  <c r="R11" i="10"/>
  <c r="BQ9" i="12"/>
  <c r="BE29" i="12"/>
  <c r="BQ10" i="13"/>
  <c r="BE28" i="13"/>
  <c r="R9" i="14"/>
  <c r="R10" i="14"/>
  <c r="BE28" i="14"/>
  <c r="BQ10" i="14"/>
  <c r="BE30" i="12"/>
  <c r="BQ8" i="12"/>
  <c r="BR9" i="15"/>
  <c r="BF37" i="15"/>
  <c r="BG37" i="15" s="1"/>
  <c r="BQ5" i="15"/>
  <c r="BF30" i="15"/>
  <c r="BG30" i="15" s="1"/>
  <c r="BF31" i="14"/>
  <c r="BG31" i="14" s="1"/>
  <c r="BQ6" i="14"/>
  <c r="I8" i="14"/>
  <c r="R8" i="14" s="1"/>
  <c r="BF29" i="14"/>
  <c r="BG29" i="14" s="1"/>
  <c r="BQ4" i="14"/>
  <c r="BF30" i="12"/>
  <c r="BG30" i="12" s="1"/>
  <c r="BQ5" i="12"/>
  <c r="J8" i="12"/>
  <c r="L6" i="12"/>
  <c r="H11" i="12"/>
  <c r="O4" i="12"/>
  <c r="I10" i="11"/>
  <c r="R10" i="11" s="1"/>
  <c r="N5" i="11"/>
  <c r="R5" i="11" s="1"/>
  <c r="BE29" i="11"/>
  <c r="BQ9" i="11"/>
  <c r="BE31" i="11"/>
  <c r="BQ7" i="11"/>
  <c r="K8" i="11"/>
  <c r="R8" i="11" s="1"/>
  <c r="L7" i="11"/>
  <c r="R7" i="11" s="1"/>
  <c r="BF28" i="11"/>
  <c r="BG28" i="11" s="1"/>
  <c r="BQ11" i="11"/>
  <c r="R11" i="11"/>
  <c r="BP8" i="10"/>
  <c r="BF23" i="10"/>
  <c r="BG23" i="10" s="1"/>
  <c r="BP10" i="10"/>
  <c r="BF25" i="10"/>
  <c r="BG25" i="10" s="1"/>
  <c r="BE29" i="14"/>
  <c r="BQ9" i="14"/>
  <c r="BH24" i="14"/>
  <c r="BE22" i="14"/>
  <c r="BP11" i="14"/>
  <c r="BH23" i="14"/>
  <c r="R5" i="14"/>
  <c r="M6" i="14"/>
  <c r="R6" i="14" s="1"/>
  <c r="L9" i="12"/>
  <c r="M8" i="12"/>
  <c r="N9" i="12"/>
  <c r="M10" i="12"/>
  <c r="H8" i="12"/>
  <c r="L4" i="12"/>
  <c r="BF31" i="13"/>
  <c r="BG31" i="13" s="1"/>
  <c r="BQ6" i="13"/>
  <c r="BE36" i="13"/>
  <c r="BH36" i="13" s="1"/>
  <c r="BR4" i="13"/>
  <c r="R4" i="10"/>
  <c r="R6" i="10"/>
  <c r="R8" i="10"/>
  <c r="R10" i="10"/>
  <c r="BH23" i="10"/>
  <c r="BF34" i="10"/>
  <c r="BG34" i="10" s="1"/>
  <c r="BR6" i="10"/>
  <c r="BQ7" i="12"/>
  <c r="BE31" i="12"/>
  <c r="BQ4" i="11"/>
  <c r="BF29" i="11"/>
  <c r="BG29" i="11" s="1"/>
  <c r="BH23" i="15"/>
  <c r="BE28" i="15"/>
  <c r="BQ10" i="15"/>
  <c r="BF31" i="15"/>
  <c r="BG31" i="15" s="1"/>
  <c r="BQ6" i="15"/>
  <c r="BE30" i="15"/>
  <c r="BQ8" i="15"/>
  <c r="BE30" i="14"/>
  <c r="BQ8" i="14"/>
  <c r="BE30" i="13"/>
  <c r="BQ8" i="13"/>
  <c r="BQ5" i="13"/>
  <c r="BF30" i="13"/>
  <c r="BG30" i="13" s="1"/>
  <c r="L10" i="12"/>
  <c r="N8" i="12"/>
  <c r="H10" i="12"/>
  <c r="N4" i="12"/>
  <c r="M5" i="12"/>
  <c r="I9" i="12"/>
  <c r="BH22" i="12"/>
  <c r="BQ11" i="12"/>
  <c r="BF28" i="12"/>
  <c r="BG28" i="12" s="1"/>
  <c r="BQ7" i="10"/>
  <c r="BE31" i="10"/>
  <c r="R5" i="10"/>
  <c r="BP8" i="11"/>
  <c r="BF23" i="11"/>
  <c r="BG23" i="11" s="1"/>
  <c r="BE24" i="11"/>
  <c r="BP5" i="11"/>
  <c r="BQ5" i="10"/>
  <c r="BF30" i="10"/>
  <c r="BG30" i="10" s="1"/>
  <c r="BF31" i="11"/>
  <c r="BG31" i="11" s="1"/>
  <c r="BQ6" i="11"/>
  <c r="BQ9" i="10"/>
  <c r="BE29" i="10"/>
  <c r="BF29" i="12"/>
  <c r="BG29" i="12" s="1"/>
  <c r="BQ4" i="12"/>
  <c r="BH25" i="10"/>
  <c r="BH22" i="15"/>
  <c r="BR7" i="15"/>
  <c r="BF35" i="15"/>
  <c r="BG35" i="15" s="1"/>
  <c r="BR11" i="15"/>
  <c r="BE34" i="15"/>
  <c r="BH34" i="15" s="1"/>
  <c r="BF22" i="14"/>
  <c r="BG22" i="14" s="1"/>
  <c r="BP7" i="14"/>
  <c r="BF29" i="15"/>
  <c r="BG29" i="15" s="1"/>
  <c r="BQ4" i="15"/>
  <c r="K8" i="13"/>
  <c r="R8" i="13" s="1"/>
  <c r="L7" i="13"/>
  <c r="R7" i="13" s="1"/>
  <c r="I11" i="14"/>
  <c r="R11" i="14" s="1"/>
  <c r="L7" i="14"/>
  <c r="R7" i="14" s="1"/>
  <c r="BQ11" i="13"/>
  <c r="BF28" i="13"/>
  <c r="BG28" i="13" s="1"/>
  <c r="BE35" i="14"/>
  <c r="BH35" i="14" s="1"/>
  <c r="BR5" i="14"/>
  <c r="I10" i="13"/>
  <c r="R10" i="13" s="1"/>
  <c r="BF37" i="13"/>
  <c r="BG37" i="13" s="1"/>
  <c r="BR9" i="13"/>
  <c r="L11" i="12"/>
  <c r="O8" i="12"/>
  <c r="I7" i="12"/>
  <c r="K5" i="12"/>
  <c r="BE28" i="12"/>
  <c r="BQ10" i="12"/>
  <c r="BH23" i="12"/>
  <c r="BQ7" i="13"/>
  <c r="BE31" i="13"/>
  <c r="J9" i="12"/>
  <c r="M6" i="12"/>
  <c r="BF31" i="12"/>
  <c r="BG31" i="12" s="1"/>
  <c r="BQ6" i="12"/>
  <c r="BE37" i="11"/>
  <c r="BR10" i="11"/>
  <c r="BQ11" i="10"/>
  <c r="BF28" i="10"/>
  <c r="BG28" i="10" s="1"/>
  <c r="BE36" i="10"/>
  <c r="BH36" i="10" s="1"/>
  <c r="BR4" i="10"/>
  <c r="AG10" i="15" l="1"/>
  <c r="AG6" i="15"/>
  <c r="S7" i="15"/>
  <c r="AG7" i="15"/>
  <c r="AG4" i="15"/>
  <c r="S9" i="15"/>
  <c r="S8" i="15"/>
  <c r="AG11" i="15"/>
  <c r="AG5" i="15"/>
  <c r="S11" i="15"/>
  <c r="S6" i="15"/>
  <c r="S4" i="15"/>
  <c r="S5" i="15"/>
  <c r="S10" i="15"/>
  <c r="AG8" i="15"/>
  <c r="AG9" i="15"/>
  <c r="R4" i="14"/>
  <c r="AG6" i="14" s="1"/>
  <c r="AG10" i="13"/>
  <c r="R7" i="12"/>
  <c r="R5" i="12"/>
  <c r="R9" i="11"/>
  <c r="S6" i="11" s="1"/>
  <c r="AG7" i="11"/>
  <c r="AG5" i="10"/>
  <c r="AG11" i="14"/>
  <c r="AG5" i="11"/>
  <c r="S8" i="11"/>
  <c r="S11" i="11"/>
  <c r="S7" i="11"/>
  <c r="AG6" i="11"/>
  <c r="S9" i="11"/>
  <c r="AG4" i="11"/>
  <c r="S4" i="11"/>
  <c r="AG9" i="11"/>
  <c r="S5" i="11"/>
  <c r="S10" i="11"/>
  <c r="AG5" i="13"/>
  <c r="AG8" i="14"/>
  <c r="S5" i="14"/>
  <c r="BH31" i="13"/>
  <c r="BH28" i="12"/>
  <c r="BS4" i="10"/>
  <c r="BF42" i="10"/>
  <c r="BG42" i="10" s="1"/>
  <c r="BR11" i="10"/>
  <c r="BE34" i="10"/>
  <c r="BH37" i="11"/>
  <c r="BF35" i="13"/>
  <c r="BG35" i="13" s="1"/>
  <c r="BR7" i="13"/>
  <c r="BR11" i="13"/>
  <c r="BE34" i="13"/>
  <c r="AG8" i="13"/>
  <c r="BE36" i="15"/>
  <c r="BR4" i="15"/>
  <c r="BH29" i="10"/>
  <c r="BF34" i="11"/>
  <c r="BG34" i="11" s="1"/>
  <c r="BR6" i="11"/>
  <c r="BR5" i="10"/>
  <c r="BE35" i="10"/>
  <c r="S5" i="10"/>
  <c r="BF34" i="15"/>
  <c r="BG34" i="15" s="1"/>
  <c r="BR6" i="15"/>
  <c r="BE37" i="15"/>
  <c r="BH37" i="15" s="1"/>
  <c r="BR10" i="15"/>
  <c r="S8" i="10"/>
  <c r="AG4" i="10"/>
  <c r="S11" i="10"/>
  <c r="S9" i="10"/>
  <c r="S7" i="10"/>
  <c r="BF34" i="13"/>
  <c r="BG34" i="13" s="1"/>
  <c r="BR6" i="13"/>
  <c r="AG6" i="13"/>
  <c r="BQ11" i="14"/>
  <c r="BF28" i="14"/>
  <c r="BG28" i="14" s="1"/>
  <c r="BF37" i="14"/>
  <c r="BG37" i="14" s="1"/>
  <c r="BR9" i="14"/>
  <c r="BE28" i="10"/>
  <c r="BQ10" i="10"/>
  <c r="BQ8" i="10"/>
  <c r="BE30" i="10"/>
  <c r="BR11" i="11"/>
  <c r="BE34" i="11"/>
  <c r="BH29" i="11"/>
  <c r="R11" i="12"/>
  <c r="BE35" i="12"/>
  <c r="BR5" i="12"/>
  <c r="BE36" i="14"/>
  <c r="BR4" i="14"/>
  <c r="BF34" i="14"/>
  <c r="BG34" i="14" s="1"/>
  <c r="BR6" i="14"/>
  <c r="BH30" i="12"/>
  <c r="BH28" i="13"/>
  <c r="AG7" i="10"/>
  <c r="BH29" i="12"/>
  <c r="S9" i="13"/>
  <c r="S4" i="13"/>
  <c r="BF34" i="12"/>
  <c r="BG34" i="12" s="1"/>
  <c r="BR6" i="12"/>
  <c r="BR10" i="12"/>
  <c r="BE37" i="12"/>
  <c r="BH37" i="12" s="1"/>
  <c r="BF43" i="14"/>
  <c r="BG43" i="14" s="1"/>
  <c r="BS5" i="14"/>
  <c r="BE36" i="12"/>
  <c r="BR4" i="12"/>
  <c r="BR9" i="10"/>
  <c r="BF37" i="10"/>
  <c r="BG37" i="10" s="1"/>
  <c r="BE34" i="12"/>
  <c r="BR11" i="12"/>
  <c r="BF36" i="13"/>
  <c r="BG36" i="13" s="1"/>
  <c r="BR8" i="13"/>
  <c r="BF36" i="14"/>
  <c r="BG36" i="14" s="1"/>
  <c r="BR8" i="14"/>
  <c r="BH28" i="15"/>
  <c r="BE36" i="11"/>
  <c r="BR4" i="11"/>
  <c r="BS6" i="10"/>
  <c r="BE43" i="10"/>
  <c r="AG10" i="10"/>
  <c r="AG6" i="10"/>
  <c r="BS4" i="13"/>
  <c r="BF42" i="13"/>
  <c r="BG42" i="13" s="1"/>
  <c r="BH22" i="14"/>
  <c r="BH29" i="14"/>
  <c r="AG11" i="11"/>
  <c r="BR7" i="11"/>
  <c r="BF35" i="11"/>
  <c r="BG35" i="11" s="1"/>
  <c r="AG4" i="14"/>
  <c r="BE40" i="15"/>
  <c r="BS9" i="15"/>
  <c r="BE37" i="13"/>
  <c r="BH37" i="13" s="1"/>
  <c r="BR10" i="13"/>
  <c r="BF37" i="12"/>
  <c r="BG37" i="12" s="1"/>
  <c r="BR9" i="12"/>
  <c r="AG4" i="13"/>
  <c r="S7" i="13"/>
  <c r="BE31" i="14"/>
  <c r="BQ7" i="14"/>
  <c r="BE42" i="15"/>
  <c r="BS7" i="15"/>
  <c r="BF30" i="11"/>
  <c r="BG30" i="11" s="1"/>
  <c r="BQ5" i="11"/>
  <c r="BH31" i="10"/>
  <c r="R10" i="12"/>
  <c r="BH30" i="13"/>
  <c r="BF36" i="15"/>
  <c r="BG36" i="15" s="1"/>
  <c r="BR8" i="15"/>
  <c r="BH31" i="12"/>
  <c r="S10" i="10"/>
  <c r="S6" i="10"/>
  <c r="R4" i="12"/>
  <c r="BH31" i="11"/>
  <c r="AG10" i="11"/>
  <c r="R6" i="12"/>
  <c r="S10" i="13"/>
  <c r="S8" i="14"/>
  <c r="S4" i="14"/>
  <c r="BE37" i="14"/>
  <c r="BH37" i="14" s="1"/>
  <c r="BR10" i="14"/>
  <c r="AG9" i="14"/>
  <c r="AG11" i="10"/>
  <c r="S11" i="13"/>
  <c r="S6" i="13"/>
  <c r="BS10" i="11"/>
  <c r="BF41" i="11"/>
  <c r="BG41" i="11" s="1"/>
  <c r="BE40" i="13"/>
  <c r="BS9" i="13"/>
  <c r="AG7" i="13"/>
  <c r="BF40" i="15"/>
  <c r="BG40" i="15" s="1"/>
  <c r="BS11" i="15"/>
  <c r="BH24" i="11"/>
  <c r="BE30" i="11"/>
  <c r="BQ8" i="11"/>
  <c r="BR7" i="10"/>
  <c r="BF35" i="10"/>
  <c r="BG35" i="10" s="1"/>
  <c r="R9" i="12"/>
  <c r="BE35" i="13"/>
  <c r="BR5" i="13"/>
  <c r="BH30" i="14"/>
  <c r="BH30" i="15"/>
  <c r="BF35" i="12"/>
  <c r="BG35" i="12" s="1"/>
  <c r="BR7" i="12"/>
  <c r="AG8" i="10"/>
  <c r="S4" i="10"/>
  <c r="R8" i="12"/>
  <c r="AG5" i="14"/>
  <c r="AG8" i="11"/>
  <c r="BR9" i="11"/>
  <c r="BF37" i="11"/>
  <c r="BG37" i="11" s="1"/>
  <c r="AG11" i="13"/>
  <c r="BE35" i="15"/>
  <c r="BR5" i="15"/>
  <c r="BF36" i="12"/>
  <c r="BG36" i="12" s="1"/>
  <c r="BR8" i="12"/>
  <c r="BH28" i="14"/>
  <c r="AG10" i="14"/>
  <c r="AG9" i="10"/>
  <c r="S8" i="13"/>
  <c r="S5" i="13"/>
  <c r="AG9" i="13"/>
  <c r="AO10" i="15" l="1"/>
  <c r="AG13" i="15"/>
  <c r="AH7" i="15" s="1"/>
  <c r="AO9" i="15"/>
  <c r="AO7" i="15"/>
  <c r="AO4" i="15"/>
  <c r="AO6" i="15"/>
  <c r="AO11" i="15"/>
  <c r="AO12" i="15"/>
  <c r="AP12" i="15" s="1"/>
  <c r="AO5" i="15"/>
  <c r="AO8" i="15"/>
  <c r="S9" i="14"/>
  <c r="S11" i="14"/>
  <c r="S7" i="14"/>
  <c r="S6" i="14"/>
  <c r="S10" i="14"/>
  <c r="AG7" i="14"/>
  <c r="AG13" i="14" s="1"/>
  <c r="AO8" i="13"/>
  <c r="S11" i="12"/>
  <c r="AG5" i="12"/>
  <c r="AG6" i="12"/>
  <c r="AO10" i="11"/>
  <c r="AO5" i="11"/>
  <c r="BT11" i="15"/>
  <c r="BE46" i="15"/>
  <c r="AO11" i="13"/>
  <c r="BS8" i="15"/>
  <c r="BE41" i="15"/>
  <c r="AG13" i="13"/>
  <c r="BF42" i="11"/>
  <c r="BG42" i="11" s="1"/>
  <c r="BS4" i="11"/>
  <c r="BF40" i="12"/>
  <c r="BG40" i="12" s="1"/>
  <c r="BS11" i="12"/>
  <c r="AO9" i="10"/>
  <c r="BS6" i="15"/>
  <c r="BE43" i="15"/>
  <c r="BF40" i="10"/>
  <c r="BG40" i="10" s="1"/>
  <c r="BS11" i="10"/>
  <c r="BF43" i="15"/>
  <c r="BG43" i="15" s="1"/>
  <c r="BS5" i="15"/>
  <c r="BF43" i="13"/>
  <c r="BG43" i="13" s="1"/>
  <c r="BS5" i="13"/>
  <c r="S10" i="12"/>
  <c r="BE40" i="12"/>
  <c r="BS9" i="12"/>
  <c r="BH34" i="12"/>
  <c r="BF46" i="14"/>
  <c r="BG46" i="14" s="1"/>
  <c r="BT5" i="14"/>
  <c r="BF42" i="14"/>
  <c r="BG42" i="14" s="1"/>
  <c r="BS4" i="14"/>
  <c r="BS10" i="15"/>
  <c r="BF41" i="15"/>
  <c r="BG41" i="15" s="1"/>
  <c r="BT9" i="13"/>
  <c r="BE49" i="13"/>
  <c r="BH49" i="13" s="1"/>
  <c r="AO10" i="10"/>
  <c r="BH31" i="14"/>
  <c r="BH40" i="15"/>
  <c r="BH36" i="12"/>
  <c r="AO9" i="13"/>
  <c r="BH36" i="14"/>
  <c r="BS11" i="11"/>
  <c r="BF40" i="11"/>
  <c r="BG40" i="11" s="1"/>
  <c r="AG13" i="10"/>
  <c r="BH35" i="10"/>
  <c r="BH36" i="15"/>
  <c r="BF40" i="13"/>
  <c r="BG40" i="13" s="1"/>
  <c r="BS11" i="13"/>
  <c r="BE42" i="13"/>
  <c r="BS7" i="13"/>
  <c r="BT4" i="10"/>
  <c r="BE47" i="10"/>
  <c r="AO8" i="11"/>
  <c r="AO12" i="10"/>
  <c r="AP12" i="10" s="1"/>
  <c r="AO4" i="10"/>
  <c r="BH30" i="11"/>
  <c r="AG4" i="12"/>
  <c r="S4" i="12"/>
  <c r="S5" i="12"/>
  <c r="S6" i="12"/>
  <c r="S7" i="12"/>
  <c r="S9" i="12"/>
  <c r="BE40" i="10"/>
  <c r="BS9" i="10"/>
  <c r="BE40" i="14"/>
  <c r="BS9" i="14"/>
  <c r="BE35" i="11"/>
  <c r="BR5" i="11"/>
  <c r="BF35" i="14"/>
  <c r="BG35" i="14" s="1"/>
  <c r="BR7" i="14"/>
  <c r="BE49" i="15"/>
  <c r="BH49" i="15" s="1"/>
  <c r="BT9" i="15"/>
  <c r="BS8" i="13"/>
  <c r="BE41" i="13"/>
  <c r="BF42" i="12"/>
  <c r="BG42" i="12" s="1"/>
  <c r="BS4" i="12"/>
  <c r="BS10" i="12"/>
  <c r="BF41" i="12"/>
  <c r="BG41" i="12" s="1"/>
  <c r="AO12" i="13"/>
  <c r="AP12" i="13" s="1"/>
  <c r="AO4" i="13"/>
  <c r="AG11" i="12"/>
  <c r="BH34" i="11"/>
  <c r="BR10" i="10"/>
  <c r="BE37" i="10"/>
  <c r="BH37" i="10" s="1"/>
  <c r="BS6" i="13"/>
  <c r="BE43" i="13"/>
  <c r="BH35" i="15"/>
  <c r="BE40" i="11"/>
  <c r="BS9" i="11"/>
  <c r="S8" i="12"/>
  <c r="BE42" i="12"/>
  <c r="BS7" i="12"/>
  <c r="BH35" i="13"/>
  <c r="BE42" i="10"/>
  <c r="BS7" i="10"/>
  <c r="BT10" i="11"/>
  <c r="BE48" i="11"/>
  <c r="AG10" i="12"/>
  <c r="BH43" i="10"/>
  <c r="BE43" i="14"/>
  <c r="BS6" i="14"/>
  <c r="BH28" i="10"/>
  <c r="AO5" i="13"/>
  <c r="BS8" i="12"/>
  <c r="BE41" i="12"/>
  <c r="AG8" i="12"/>
  <c r="AG9" i="12"/>
  <c r="BF36" i="11"/>
  <c r="BG36" i="11" s="1"/>
  <c r="BR8" i="11"/>
  <c r="BH40" i="13"/>
  <c r="AO6" i="13"/>
  <c r="BF41" i="14"/>
  <c r="BG41" i="14" s="1"/>
  <c r="BS10" i="14"/>
  <c r="AO10" i="13"/>
  <c r="BF48" i="15"/>
  <c r="BG48" i="15" s="1"/>
  <c r="BT7" i="15"/>
  <c r="AO7" i="13"/>
  <c r="BS10" i="13"/>
  <c r="BF41" i="13"/>
  <c r="BG41" i="13" s="1"/>
  <c r="BE42" i="11"/>
  <c r="BS7" i="11"/>
  <c r="BE47" i="13"/>
  <c r="BT4" i="13"/>
  <c r="BT6" i="10"/>
  <c r="BF47" i="10"/>
  <c r="BG47" i="10" s="1"/>
  <c r="BE41" i="14"/>
  <c r="BS8" i="14"/>
  <c r="BE43" i="12"/>
  <c r="BS6" i="12"/>
  <c r="BF43" i="12"/>
  <c r="BG43" i="12" s="1"/>
  <c r="BS5" i="12"/>
  <c r="BH30" i="10"/>
  <c r="BE34" i="14"/>
  <c r="BR11" i="14"/>
  <c r="AO7" i="10"/>
  <c r="AO8" i="10"/>
  <c r="AH11" i="15"/>
  <c r="AH9" i="15"/>
  <c r="AH4" i="15"/>
  <c r="AH6" i="15"/>
  <c r="AH8" i="15"/>
  <c r="AH10" i="15"/>
  <c r="BF43" i="10"/>
  <c r="BG43" i="10" s="1"/>
  <c r="BS5" i="10"/>
  <c r="AG7" i="12"/>
  <c r="BH34" i="10"/>
  <c r="AO12" i="11"/>
  <c r="AP12" i="11" s="1"/>
  <c r="AO4" i="11"/>
  <c r="AO7" i="11"/>
  <c r="AG13" i="11"/>
  <c r="AO11" i="11"/>
  <c r="BH42" i="15"/>
  <c r="BH35" i="12"/>
  <c r="BF36" i="10"/>
  <c r="BG36" i="10" s="1"/>
  <c r="BR8" i="10"/>
  <c r="BE43" i="11"/>
  <c r="BS6" i="11"/>
  <c r="AO6" i="10"/>
  <c r="BH36" i="11"/>
  <c r="AO11" i="10"/>
  <c r="AO5" i="10"/>
  <c r="BF42" i="15"/>
  <c r="BG42" i="15" s="1"/>
  <c r="BS4" i="15"/>
  <c r="BH34" i="13"/>
  <c r="AO9" i="11"/>
  <c r="AO6" i="11"/>
  <c r="AH5" i="15" l="1"/>
  <c r="AI10" i="15"/>
  <c r="AO5" i="14"/>
  <c r="AO12" i="14"/>
  <c r="AP12" i="14" s="1"/>
  <c r="AO11" i="14"/>
  <c r="AO7" i="14"/>
  <c r="AO4" i="14"/>
  <c r="AO9" i="14"/>
  <c r="AO10" i="14"/>
  <c r="AO8" i="14"/>
  <c r="AO6" i="14"/>
  <c r="AO9" i="12"/>
  <c r="AI4" i="15"/>
  <c r="BF40" i="14"/>
  <c r="BG40" i="14" s="1"/>
  <c r="BS11" i="14"/>
  <c r="AO12" i="12"/>
  <c r="AP12" i="12" s="1"/>
  <c r="AO4" i="12"/>
  <c r="BE46" i="13"/>
  <c r="BT11" i="13"/>
  <c r="BE55" i="14"/>
  <c r="BU5" i="14"/>
  <c r="BV5" i="14" s="1"/>
  <c r="BW5" i="14" s="1"/>
  <c r="BT4" i="11"/>
  <c r="BE47" i="11"/>
  <c r="AH11" i="14"/>
  <c r="AH9" i="14"/>
  <c r="AH7" i="14"/>
  <c r="AH5" i="14"/>
  <c r="AH6" i="14"/>
  <c r="AH10" i="14"/>
  <c r="AH4" i="14"/>
  <c r="AH8" i="14"/>
  <c r="BF47" i="11"/>
  <c r="BG47" i="11" s="1"/>
  <c r="BT6" i="11"/>
  <c r="AI5" i="15"/>
  <c r="AI7" i="15"/>
  <c r="BH34" i="14"/>
  <c r="BF47" i="12"/>
  <c r="BG47" i="12" s="1"/>
  <c r="BT6" i="12"/>
  <c r="BU6" i="10"/>
  <c r="BV6" i="10" s="1"/>
  <c r="BW6" i="10" s="1"/>
  <c r="BA6" i="10" s="1"/>
  <c r="AD8" i="10" s="1"/>
  <c r="BE54" i="10"/>
  <c r="BF48" i="11"/>
  <c r="BG48" i="11" s="1"/>
  <c r="BT7" i="11"/>
  <c r="BE48" i="13"/>
  <c r="BT10" i="13"/>
  <c r="BE41" i="11"/>
  <c r="BS8" i="11"/>
  <c r="BH42" i="10"/>
  <c r="BF48" i="12"/>
  <c r="BG48" i="12" s="1"/>
  <c r="BT7" i="12"/>
  <c r="BE49" i="11"/>
  <c r="BH49" i="11" s="1"/>
  <c r="BT9" i="11"/>
  <c r="BE48" i="12"/>
  <c r="BT10" i="12"/>
  <c r="BH41" i="13"/>
  <c r="BH35" i="11"/>
  <c r="BH40" i="14"/>
  <c r="AO7" i="12"/>
  <c r="AG13" i="12"/>
  <c r="BT11" i="11"/>
  <c r="BE46" i="11"/>
  <c r="BU9" i="13"/>
  <c r="BV9" i="13" s="1"/>
  <c r="BW9" i="13" s="1"/>
  <c r="BF53" i="13"/>
  <c r="BG53" i="13" s="1"/>
  <c r="BH40" i="12"/>
  <c r="BF46" i="15"/>
  <c r="BG46" i="15" s="1"/>
  <c r="BT5" i="15"/>
  <c r="BH43" i="15"/>
  <c r="BT11" i="12"/>
  <c r="BE46" i="12"/>
  <c r="BS8" i="10"/>
  <c r="BE41" i="10"/>
  <c r="AH11" i="11"/>
  <c r="AH9" i="11"/>
  <c r="AH7" i="11"/>
  <c r="AH5" i="11"/>
  <c r="AH10" i="11"/>
  <c r="AH8" i="11"/>
  <c r="AH6" i="11"/>
  <c r="AH4" i="11"/>
  <c r="BF48" i="10"/>
  <c r="BG48" i="10" s="1"/>
  <c r="BT7" i="10"/>
  <c r="BT10" i="15"/>
  <c r="BE48" i="15"/>
  <c r="BE49" i="12"/>
  <c r="BH49" i="12" s="1"/>
  <c r="BT9" i="12"/>
  <c r="BH43" i="11"/>
  <c r="BF46" i="10"/>
  <c r="BG46" i="10" s="1"/>
  <c r="BT5" i="10"/>
  <c r="AI8" i="15"/>
  <c r="AI9" i="15"/>
  <c r="BF46" i="12"/>
  <c r="BG46" i="12" s="1"/>
  <c r="BT5" i="12"/>
  <c r="BH43" i="12"/>
  <c r="BF49" i="14"/>
  <c r="BG49" i="14" s="1"/>
  <c r="BT8" i="14"/>
  <c r="BF55" i="13"/>
  <c r="BG55" i="13" s="1"/>
  <c r="BU4" i="13"/>
  <c r="BV4" i="13" s="1"/>
  <c r="BW4" i="13" s="1"/>
  <c r="BH42" i="11"/>
  <c r="BH41" i="12"/>
  <c r="BH48" i="11"/>
  <c r="BH42" i="12"/>
  <c r="BH40" i="11"/>
  <c r="BH43" i="13"/>
  <c r="BS10" i="10"/>
  <c r="BF41" i="10"/>
  <c r="BG41" i="10" s="1"/>
  <c r="BF49" i="13"/>
  <c r="BG49" i="13" s="1"/>
  <c r="BT8" i="13"/>
  <c r="BE42" i="14"/>
  <c r="BS7" i="14"/>
  <c r="BT9" i="10"/>
  <c r="BE49" i="10"/>
  <c r="BH49" i="10" s="1"/>
  <c r="AO6" i="12"/>
  <c r="BT7" i="13"/>
  <c r="BF48" i="13"/>
  <c r="BG48" i="13" s="1"/>
  <c r="AH11" i="10"/>
  <c r="AH9" i="10"/>
  <c r="AH7" i="10"/>
  <c r="AH5" i="10"/>
  <c r="AH10" i="10"/>
  <c r="AH8" i="10"/>
  <c r="AH6" i="10"/>
  <c r="AH4" i="10"/>
  <c r="BE47" i="14"/>
  <c r="BT4" i="14"/>
  <c r="AO10" i="12"/>
  <c r="BF46" i="13"/>
  <c r="BG46" i="13" s="1"/>
  <c r="BT5" i="13"/>
  <c r="BT6" i="15"/>
  <c r="BF47" i="15"/>
  <c r="BG47" i="15" s="1"/>
  <c r="AH11" i="13"/>
  <c r="AH6" i="13"/>
  <c r="AH4" i="13"/>
  <c r="AH8" i="13"/>
  <c r="AH10" i="13"/>
  <c r="AH9" i="13"/>
  <c r="AH7" i="13"/>
  <c r="AH5" i="13"/>
  <c r="BH46" i="15"/>
  <c r="BH43" i="14"/>
  <c r="BU9" i="15"/>
  <c r="BV9" i="15" s="1"/>
  <c r="BW9" i="15" s="1"/>
  <c r="BF53" i="15"/>
  <c r="BG53" i="15" s="1"/>
  <c r="BF43" i="11"/>
  <c r="BG43" i="11" s="1"/>
  <c r="BS5" i="11"/>
  <c r="BE49" i="14"/>
  <c r="BH49" i="14" s="1"/>
  <c r="BT9" i="14"/>
  <c r="BF55" i="10"/>
  <c r="BG55" i="10" s="1"/>
  <c r="BU4" i="10"/>
  <c r="BV4" i="10" s="1"/>
  <c r="BW4" i="10" s="1"/>
  <c r="BT8" i="15"/>
  <c r="BF49" i="15"/>
  <c r="BG49" i="15" s="1"/>
  <c r="BE47" i="15"/>
  <c r="BT4" i="15"/>
  <c r="AI6" i="15"/>
  <c r="AI11" i="15"/>
  <c r="BH41" i="14"/>
  <c r="BH47" i="13"/>
  <c r="AY4" i="13"/>
  <c r="AB6" i="13" s="1"/>
  <c r="BU7" i="15"/>
  <c r="BV7" i="15" s="1"/>
  <c r="BW7" i="15" s="1"/>
  <c r="BA7" i="15" s="1"/>
  <c r="AD10" i="15" s="1"/>
  <c r="BE53" i="15"/>
  <c r="BE48" i="14"/>
  <c r="BT10" i="14"/>
  <c r="BF49" i="12"/>
  <c r="BG49" i="12" s="1"/>
  <c r="BT8" i="12"/>
  <c r="BF47" i="14"/>
  <c r="BG47" i="14" s="1"/>
  <c r="BT6" i="14"/>
  <c r="BF54" i="11"/>
  <c r="BG54" i="11" s="1"/>
  <c r="BU10" i="11"/>
  <c r="BV10" i="11" s="1"/>
  <c r="BW10" i="11" s="1"/>
  <c r="BA10" i="11" s="1"/>
  <c r="AD5" i="11" s="1"/>
  <c r="AO8" i="12"/>
  <c r="BF47" i="13"/>
  <c r="BG47" i="13" s="1"/>
  <c r="BT6" i="13"/>
  <c r="BE47" i="12"/>
  <c r="BT4" i="12"/>
  <c r="BA9" i="15"/>
  <c r="AD7" i="15" s="1"/>
  <c r="BH40" i="10"/>
  <c r="AO5" i="12"/>
  <c r="BH47" i="10"/>
  <c r="BH42" i="13"/>
  <c r="AY9" i="15"/>
  <c r="AB7" i="15" s="1"/>
  <c r="BT11" i="10"/>
  <c r="BE46" i="10"/>
  <c r="BH41" i="15"/>
  <c r="BU11" i="15"/>
  <c r="BF52" i="15"/>
  <c r="BG52" i="15" s="1"/>
  <c r="AZ8" i="15" s="1"/>
  <c r="AO11" i="12"/>
  <c r="AI6" i="14" l="1"/>
  <c r="BA9" i="13"/>
  <c r="AD7" i="13" s="1"/>
  <c r="AY9" i="13"/>
  <c r="AB7" i="13" s="1"/>
  <c r="AI7" i="13"/>
  <c r="AY10" i="11"/>
  <c r="AB5" i="11" s="1"/>
  <c r="AI6" i="11"/>
  <c r="AI7" i="11"/>
  <c r="BA4" i="10"/>
  <c r="AD6" i="10" s="1"/>
  <c r="AI8" i="10"/>
  <c r="AI9" i="10"/>
  <c r="BF54" i="14"/>
  <c r="BG54" i="14" s="1"/>
  <c r="BU10" i="14"/>
  <c r="BV10" i="14" s="1"/>
  <c r="BW10" i="14" s="1"/>
  <c r="BA10" i="14" s="1"/>
  <c r="AD5" i="14" s="1"/>
  <c r="BU7" i="13"/>
  <c r="BV7" i="13" s="1"/>
  <c r="BW7" i="13" s="1"/>
  <c r="BE53" i="13"/>
  <c r="BF48" i="14"/>
  <c r="BG48" i="14" s="1"/>
  <c r="BT7" i="14"/>
  <c r="BT8" i="10"/>
  <c r="BF49" i="10"/>
  <c r="BG49" i="10" s="1"/>
  <c r="BU11" i="10"/>
  <c r="BV11" i="10" s="1"/>
  <c r="BW11" i="10" s="1"/>
  <c r="BF52" i="10"/>
  <c r="BG52" i="10" s="1"/>
  <c r="AZ8" i="10" s="1"/>
  <c r="BH47" i="12"/>
  <c r="BH48" i="14"/>
  <c r="AY10" i="14"/>
  <c r="AB5" i="14" s="1"/>
  <c r="BE52" i="15"/>
  <c r="BU8" i="15"/>
  <c r="BV8" i="15" s="1"/>
  <c r="BW8" i="15" s="1"/>
  <c r="BA8" i="15" s="1"/>
  <c r="AD9" i="15" s="1"/>
  <c r="BF53" i="14"/>
  <c r="BU9" i="14"/>
  <c r="BV9" i="14" s="1"/>
  <c r="BW9" i="14" s="1"/>
  <c r="BA9" i="14" s="1"/>
  <c r="AD7" i="14" s="1"/>
  <c r="AY11" i="15"/>
  <c r="AB11" i="15" s="1"/>
  <c r="AI9" i="13"/>
  <c r="AI6" i="13"/>
  <c r="BU5" i="13"/>
  <c r="BV5" i="13" s="1"/>
  <c r="BW5" i="13" s="1"/>
  <c r="BE55" i="13"/>
  <c r="BH47" i="14"/>
  <c r="AZ6" i="14" s="1"/>
  <c r="AI10" i="10"/>
  <c r="AI11" i="10"/>
  <c r="BH42" i="14"/>
  <c r="AZ4" i="14" s="1"/>
  <c r="BT10" i="10"/>
  <c r="BE48" i="10"/>
  <c r="BU7" i="10"/>
  <c r="BE53" i="10"/>
  <c r="AI8" i="11"/>
  <c r="AI9" i="11"/>
  <c r="BH46" i="12"/>
  <c r="BU5" i="15"/>
  <c r="BV5" i="15" s="1"/>
  <c r="BW5" i="15" s="1"/>
  <c r="BE55" i="15"/>
  <c r="BF52" i="11"/>
  <c r="BG52" i="11" s="1"/>
  <c r="AZ8" i="11" s="1"/>
  <c r="BU11" i="11"/>
  <c r="BE54" i="12"/>
  <c r="BU6" i="12"/>
  <c r="AI8" i="14"/>
  <c r="AI5" i="14"/>
  <c r="BH47" i="11"/>
  <c r="AZ6" i="11" s="1"/>
  <c r="BH55" i="14"/>
  <c r="AY5" i="14"/>
  <c r="AI13" i="15"/>
  <c r="BV11" i="15"/>
  <c r="BW11" i="15" s="1"/>
  <c r="BF55" i="12"/>
  <c r="BG55" i="12" s="1"/>
  <c r="AZ5" i="12" s="1"/>
  <c r="BU4" i="12"/>
  <c r="BV4" i="12" s="1"/>
  <c r="BW4" i="12" s="1"/>
  <c r="AI4" i="13"/>
  <c r="BE54" i="15"/>
  <c r="BU6" i="15"/>
  <c r="BV6" i="15" s="1"/>
  <c r="BW6" i="15" s="1"/>
  <c r="BF55" i="14"/>
  <c r="BG55" i="14" s="1"/>
  <c r="BU4" i="14"/>
  <c r="BV4" i="14" s="1"/>
  <c r="BW4" i="14" s="1"/>
  <c r="BH41" i="11"/>
  <c r="BE54" i="13"/>
  <c r="BU6" i="13"/>
  <c r="BV6" i="13" s="1"/>
  <c r="BW6" i="13" s="1"/>
  <c r="BF55" i="15"/>
  <c r="BG55" i="15" s="1"/>
  <c r="AZ5" i="15" s="1"/>
  <c r="BU4" i="15"/>
  <c r="BV4" i="15" s="1"/>
  <c r="BW4" i="15" s="1"/>
  <c r="BA4" i="15" s="1"/>
  <c r="AD6" i="15" s="1"/>
  <c r="AI10" i="13"/>
  <c r="AI11" i="13"/>
  <c r="AI4" i="10"/>
  <c r="AI5" i="10"/>
  <c r="BE52" i="13"/>
  <c r="BU8" i="13"/>
  <c r="BV8" i="13" s="1"/>
  <c r="BW8" i="13" s="1"/>
  <c r="BA8" i="13" s="1"/>
  <c r="AD9" i="13" s="1"/>
  <c r="BE52" i="14"/>
  <c r="BU8" i="14"/>
  <c r="BV8" i="14" s="1"/>
  <c r="BW8" i="14" s="1"/>
  <c r="BA8" i="14" s="1"/>
  <c r="AD9" i="14" s="1"/>
  <c r="BE55" i="12"/>
  <c r="BU5" i="12"/>
  <c r="BV5" i="12" s="1"/>
  <c r="BW5" i="12" s="1"/>
  <c r="BA5" i="12" s="1"/>
  <c r="AD4" i="12" s="1"/>
  <c r="BU5" i="10"/>
  <c r="BV5" i="10" s="1"/>
  <c r="BW5" i="10" s="1"/>
  <c r="BA5" i="10" s="1"/>
  <c r="AD4" i="10" s="1"/>
  <c r="BE55" i="10"/>
  <c r="BH48" i="15"/>
  <c r="AZ7" i="15" s="1"/>
  <c r="AI10" i="11"/>
  <c r="AI11" i="11"/>
  <c r="BU11" i="12"/>
  <c r="BV11" i="12" s="1"/>
  <c r="BW11" i="12" s="1"/>
  <c r="BF52" i="12"/>
  <c r="BG52" i="12" s="1"/>
  <c r="AZ8" i="12" s="1"/>
  <c r="AH10" i="12"/>
  <c r="AH6" i="12"/>
  <c r="AH4" i="12"/>
  <c r="AH11" i="12"/>
  <c r="AH9" i="12"/>
  <c r="AH7" i="12"/>
  <c r="AH5" i="12"/>
  <c r="AH8" i="12"/>
  <c r="BF54" i="12"/>
  <c r="BG54" i="12" s="1"/>
  <c r="BU10" i="12"/>
  <c r="BV10" i="12" s="1"/>
  <c r="BW10" i="12" s="1"/>
  <c r="BU7" i="12"/>
  <c r="BV7" i="12" s="1"/>
  <c r="BW7" i="12" s="1"/>
  <c r="BE53" i="12"/>
  <c r="BF54" i="13"/>
  <c r="BG54" i="13" s="1"/>
  <c r="AZ6" i="13" s="1"/>
  <c r="BU10" i="13"/>
  <c r="BV10" i="13" s="1"/>
  <c r="BW10" i="13" s="1"/>
  <c r="BA10" i="13" s="1"/>
  <c r="AD5" i="13" s="1"/>
  <c r="BH54" i="10"/>
  <c r="AY6" i="10"/>
  <c r="AB8" i="10" s="1"/>
  <c r="AI4" i="14"/>
  <c r="AI7" i="14"/>
  <c r="BF55" i="11"/>
  <c r="BG55" i="11" s="1"/>
  <c r="AZ5" i="11" s="1"/>
  <c r="BU4" i="11"/>
  <c r="BH46" i="10"/>
  <c r="AZ5" i="10" s="1"/>
  <c r="AY11" i="10"/>
  <c r="AB11" i="10" s="1"/>
  <c r="BH46" i="11"/>
  <c r="BF53" i="11"/>
  <c r="BU9" i="11"/>
  <c r="BV9" i="11" s="1"/>
  <c r="BW9" i="11" s="1"/>
  <c r="BU7" i="11"/>
  <c r="BV7" i="11" s="1"/>
  <c r="BW7" i="11" s="1"/>
  <c r="BE53" i="11"/>
  <c r="AI11" i="14"/>
  <c r="BH46" i="13"/>
  <c r="AZ5" i="13" s="1"/>
  <c r="AY4" i="10"/>
  <c r="AB6" i="10" s="1"/>
  <c r="BE52" i="12"/>
  <c r="BU8" i="12"/>
  <c r="BV8" i="12" s="1"/>
  <c r="BW8" i="12" s="1"/>
  <c r="BA8" i="12" s="1"/>
  <c r="AD9" i="12" s="1"/>
  <c r="BE54" i="14"/>
  <c r="BU6" i="14"/>
  <c r="BV6" i="14" s="1"/>
  <c r="BW6" i="14" s="1"/>
  <c r="BH53" i="15"/>
  <c r="AZ9" i="15" s="1"/>
  <c r="AY7" i="15"/>
  <c r="AB10" i="15" s="1"/>
  <c r="BH47" i="15"/>
  <c r="BF46" i="11"/>
  <c r="BG46" i="11" s="1"/>
  <c r="BT5" i="11"/>
  <c r="AI5" i="13"/>
  <c r="AI8" i="13"/>
  <c r="AI6" i="10"/>
  <c r="AI7" i="10"/>
  <c r="BU9" i="10"/>
  <c r="BV9" i="10" s="1"/>
  <c r="BW9" i="10" s="1"/>
  <c r="BF53" i="10"/>
  <c r="BA4" i="13"/>
  <c r="AD6" i="13" s="1"/>
  <c r="BU9" i="12"/>
  <c r="BF53" i="12"/>
  <c r="BG53" i="12" s="1"/>
  <c r="BF54" i="15"/>
  <c r="BG54" i="15" s="1"/>
  <c r="BU10" i="15"/>
  <c r="BV10" i="15" s="1"/>
  <c r="BW10" i="15" s="1"/>
  <c r="BA10" i="15" s="1"/>
  <c r="AD5" i="15" s="1"/>
  <c r="AI4" i="11"/>
  <c r="AI5" i="11"/>
  <c r="BH41" i="10"/>
  <c r="BH48" i="12"/>
  <c r="AY10" i="12"/>
  <c r="AB5" i="12" s="1"/>
  <c r="BF49" i="11"/>
  <c r="BG49" i="11" s="1"/>
  <c r="BT8" i="11"/>
  <c r="BH48" i="13"/>
  <c r="AZ7" i="13" s="1"/>
  <c r="BE54" i="11"/>
  <c r="BU6" i="11"/>
  <c r="BV6" i="11" s="1"/>
  <c r="BW6" i="11" s="1"/>
  <c r="AI10" i="14"/>
  <c r="AI9" i="14"/>
  <c r="BA5" i="14"/>
  <c r="AD4" i="14" s="1"/>
  <c r="BU11" i="13"/>
  <c r="BF52" i="13"/>
  <c r="BG52" i="13" s="1"/>
  <c r="AZ8" i="13" s="1"/>
  <c r="BE46" i="14"/>
  <c r="BT11" i="14"/>
  <c r="AZ6" i="15" l="1"/>
  <c r="AY10" i="15"/>
  <c r="AB5" i="15" s="1"/>
  <c r="BA6" i="15"/>
  <c r="AD8" i="15" s="1"/>
  <c r="BA11" i="15"/>
  <c r="AD11" i="15" s="1"/>
  <c r="BA5" i="15"/>
  <c r="AD4" i="15" s="1"/>
  <c r="BA7" i="13"/>
  <c r="AD10" i="13" s="1"/>
  <c r="AY11" i="13"/>
  <c r="AB11" i="13" s="1"/>
  <c r="BA6" i="13"/>
  <c r="AD8" i="13" s="1"/>
  <c r="BA5" i="13"/>
  <c r="AD4" i="13" s="1"/>
  <c r="AI13" i="13"/>
  <c r="AJ8" i="13" s="1"/>
  <c r="AZ6" i="12"/>
  <c r="AZ7" i="12"/>
  <c r="AY9" i="12"/>
  <c r="AB7" i="12" s="1"/>
  <c r="BA4" i="12"/>
  <c r="AD6" i="12" s="1"/>
  <c r="BA11" i="12"/>
  <c r="AD11" i="12" s="1"/>
  <c r="BA10" i="12"/>
  <c r="AD5" i="12" s="1"/>
  <c r="AI5" i="12"/>
  <c r="AI4" i="12"/>
  <c r="AI13" i="11"/>
  <c r="AZ10" i="10"/>
  <c r="BH54" i="11"/>
  <c r="AZ10" i="11" s="1"/>
  <c r="AY6" i="11"/>
  <c r="AB8" i="11" s="1"/>
  <c r="BE55" i="11"/>
  <c r="BU5" i="11"/>
  <c r="BV5" i="11" s="1"/>
  <c r="BW5" i="11" s="1"/>
  <c r="BA5" i="11" s="1"/>
  <c r="AD4" i="11" s="1"/>
  <c r="AI13" i="14"/>
  <c r="BH55" i="13"/>
  <c r="AZ4" i="13" s="1"/>
  <c r="AY5" i="13"/>
  <c r="BH53" i="13"/>
  <c r="AZ9" i="13" s="1"/>
  <c r="AY7" i="13"/>
  <c r="AB10" i="13" s="1"/>
  <c r="AJ9" i="13"/>
  <c r="AY10" i="13"/>
  <c r="AB5" i="13" s="1"/>
  <c r="BA9" i="10"/>
  <c r="AD7" i="10" s="1"/>
  <c r="AY11" i="11"/>
  <c r="AB11" i="11" s="1"/>
  <c r="BV4" i="11"/>
  <c r="BW4" i="11" s="1"/>
  <c r="BA7" i="12"/>
  <c r="AD10" i="12" s="1"/>
  <c r="AI7" i="12"/>
  <c r="AI6" i="12"/>
  <c r="BH55" i="12"/>
  <c r="AZ4" i="12" s="1"/>
  <c r="AY5" i="12"/>
  <c r="BH52" i="13"/>
  <c r="AZ11" i="13" s="1"/>
  <c r="AY8" i="13"/>
  <c r="AB9" i="13" s="1"/>
  <c r="AY4" i="11"/>
  <c r="AB6" i="11" s="1"/>
  <c r="BV6" i="12"/>
  <c r="BW6" i="12" s="1"/>
  <c r="BV7" i="10"/>
  <c r="BW7" i="10" s="1"/>
  <c r="BA7" i="10" s="1"/>
  <c r="AD10" i="10" s="1"/>
  <c r="AY4" i="14"/>
  <c r="AB6" i="14" s="1"/>
  <c r="BA11" i="10"/>
  <c r="AD11" i="10" s="1"/>
  <c r="BE52" i="10"/>
  <c r="BU8" i="10"/>
  <c r="BV8" i="10" s="1"/>
  <c r="BW8" i="10" s="1"/>
  <c r="BH54" i="14"/>
  <c r="AZ10" i="14" s="1"/>
  <c r="AY6" i="14"/>
  <c r="AB8" i="14" s="1"/>
  <c r="BH53" i="11"/>
  <c r="AZ9" i="11" s="1"/>
  <c r="AY7" i="11"/>
  <c r="AB10" i="11" s="1"/>
  <c r="AI13" i="10"/>
  <c r="AY11" i="12"/>
  <c r="AB11" i="12" s="1"/>
  <c r="BH53" i="10"/>
  <c r="AZ9" i="10" s="1"/>
  <c r="AY7" i="10"/>
  <c r="AB10" i="10" s="1"/>
  <c r="BF54" i="10"/>
  <c r="BG54" i="10" s="1"/>
  <c r="AZ6" i="10" s="1"/>
  <c r="BU10" i="10"/>
  <c r="BV10" i="10" s="1"/>
  <c r="BW10" i="10" s="1"/>
  <c r="BH52" i="15"/>
  <c r="AZ11" i="15" s="1"/>
  <c r="AY8" i="15"/>
  <c r="AB9" i="15" s="1"/>
  <c r="BV11" i="13"/>
  <c r="BW11" i="13" s="1"/>
  <c r="BA6" i="11"/>
  <c r="AD8" i="11" s="1"/>
  <c r="BG53" i="10"/>
  <c r="AY9" i="10"/>
  <c r="AB7" i="10" s="1"/>
  <c r="AY4" i="15"/>
  <c r="AB6" i="15" s="1"/>
  <c r="BA6" i="14"/>
  <c r="AD8" i="14" s="1"/>
  <c r="BH52" i="12"/>
  <c r="AZ11" i="12" s="1"/>
  <c r="AY8" i="12"/>
  <c r="AB9" i="12" s="1"/>
  <c r="BA9" i="11"/>
  <c r="AD7" i="11" s="1"/>
  <c r="BH53" i="12"/>
  <c r="AZ9" i="12" s="1"/>
  <c r="AY7" i="12"/>
  <c r="AB10" i="12" s="1"/>
  <c r="AI9" i="12"/>
  <c r="AI10" i="12"/>
  <c r="BH55" i="10"/>
  <c r="AZ4" i="10" s="1"/>
  <c r="AY5" i="10"/>
  <c r="BA4" i="14"/>
  <c r="AD6" i="14" s="1"/>
  <c r="AJ10" i="15"/>
  <c r="AJ8" i="15"/>
  <c r="AJ6" i="15"/>
  <c r="AJ9" i="15"/>
  <c r="AJ7" i="15"/>
  <c r="AJ5" i="15"/>
  <c r="AJ11" i="15"/>
  <c r="AJ4" i="15"/>
  <c r="BH54" i="12"/>
  <c r="AZ10" i="12" s="1"/>
  <c r="AY6" i="12"/>
  <c r="AB8" i="12" s="1"/>
  <c r="BH55" i="15"/>
  <c r="AZ4" i="15" s="1"/>
  <c r="AY5" i="15"/>
  <c r="BA10" i="10"/>
  <c r="AD5" i="10" s="1"/>
  <c r="BG53" i="14"/>
  <c r="AZ7" i="14" s="1"/>
  <c r="AY9" i="14"/>
  <c r="AB7" i="14" s="1"/>
  <c r="BE53" i="14"/>
  <c r="BU7" i="14"/>
  <c r="BV7" i="14" s="1"/>
  <c r="BW7" i="14" s="1"/>
  <c r="BA7" i="14" s="1"/>
  <c r="AD10" i="14" s="1"/>
  <c r="BH46" i="14"/>
  <c r="AZ5" i="14" s="1"/>
  <c r="BG53" i="11"/>
  <c r="AZ7" i="11" s="1"/>
  <c r="AY9" i="11"/>
  <c r="AB7" i="11" s="1"/>
  <c r="BF52" i="14"/>
  <c r="BG52" i="14" s="1"/>
  <c r="AZ8" i="14" s="1"/>
  <c r="BU11" i="14"/>
  <c r="BV11" i="14" s="1"/>
  <c r="BW11" i="14" s="1"/>
  <c r="BE52" i="11"/>
  <c r="BU8" i="11"/>
  <c r="BV8" i="11" s="1"/>
  <c r="BW8" i="11" s="1"/>
  <c r="AJ10" i="11"/>
  <c r="AJ8" i="11"/>
  <c r="AJ6" i="11"/>
  <c r="AJ4" i="11"/>
  <c r="AJ11" i="11"/>
  <c r="AJ9" i="11"/>
  <c r="AJ7" i="11"/>
  <c r="AJ5" i="11"/>
  <c r="BV9" i="12"/>
  <c r="BW9" i="12" s="1"/>
  <c r="BA7" i="11"/>
  <c r="AD10" i="11" s="1"/>
  <c r="AI8" i="12"/>
  <c r="AI11" i="12"/>
  <c r="BH52" i="14"/>
  <c r="AZ11" i="14" s="1"/>
  <c r="AY8" i="14"/>
  <c r="AB9" i="14" s="1"/>
  <c r="BH54" i="13"/>
  <c r="AZ10" i="13" s="1"/>
  <c r="AY6" i="13"/>
  <c r="AB8" i="13" s="1"/>
  <c r="BH54" i="15"/>
  <c r="AZ10" i="15" s="1"/>
  <c r="AY6" i="15"/>
  <c r="AB8" i="15" s="1"/>
  <c r="BV11" i="11"/>
  <c r="BW11" i="11" s="1"/>
  <c r="BA11" i="11" s="1"/>
  <c r="AD11" i="11" s="1"/>
  <c r="BH48" i="10"/>
  <c r="AZ7" i="10" s="1"/>
  <c r="AY10" i="10"/>
  <c r="AB5" i="10" s="1"/>
  <c r="AY4" i="12"/>
  <c r="AB6" i="12" s="1"/>
  <c r="AY11" i="14" l="1"/>
  <c r="AB11" i="14" s="1"/>
  <c r="AJ10" i="13"/>
  <c r="AJ4" i="13"/>
  <c r="AJ5" i="13"/>
  <c r="AJ6" i="13"/>
  <c r="AK4" i="13" s="1"/>
  <c r="AK5" i="13" s="1"/>
  <c r="AK6" i="13" s="1"/>
  <c r="AK7" i="13" s="1"/>
  <c r="AK8" i="13" s="1"/>
  <c r="AK9" i="13" s="1"/>
  <c r="AK10" i="13" s="1"/>
  <c r="AK11" i="13" s="1"/>
  <c r="AK12" i="13" s="1"/>
  <c r="AJ7" i="13"/>
  <c r="AJ11" i="13"/>
  <c r="BA11" i="13"/>
  <c r="AD11" i="13" s="1"/>
  <c r="AI13" i="12"/>
  <c r="AJ9" i="12" s="1"/>
  <c r="BA9" i="12"/>
  <c r="AD7" i="12" s="1"/>
  <c r="BA6" i="12"/>
  <c r="AD8" i="12" s="1"/>
  <c r="BA4" i="11"/>
  <c r="AD6" i="11" s="1"/>
  <c r="BA8" i="11"/>
  <c r="AD9" i="11" s="1"/>
  <c r="AJ11" i="12"/>
  <c r="AJ7" i="12"/>
  <c r="AJ5" i="12"/>
  <c r="AJ8" i="12"/>
  <c r="AJ4" i="12"/>
  <c r="AJ10" i="12"/>
  <c r="BA8" i="10"/>
  <c r="AD9" i="10" s="1"/>
  <c r="BH55" i="11"/>
  <c r="AZ4" i="11" s="1"/>
  <c r="AY5" i="11"/>
  <c r="BH52" i="11"/>
  <c r="AZ11" i="11" s="1"/>
  <c r="AY8" i="11"/>
  <c r="AB9" i="11" s="1"/>
  <c r="AK4" i="11"/>
  <c r="BA11" i="14"/>
  <c r="AD11" i="14" s="1"/>
  <c r="BH53" i="14"/>
  <c r="AZ9" i="14" s="1"/>
  <c r="AY7" i="14"/>
  <c r="AB10" i="14" s="1"/>
  <c r="AK4" i="15"/>
  <c r="AJ10" i="10"/>
  <c r="AJ8" i="10"/>
  <c r="AJ6" i="10"/>
  <c r="AJ11" i="10"/>
  <c r="AJ9" i="10"/>
  <c r="AJ7" i="10"/>
  <c r="AJ5" i="10"/>
  <c r="AJ4" i="10"/>
  <c r="BH52" i="10"/>
  <c r="AZ11" i="10" s="1"/>
  <c r="AY8" i="10"/>
  <c r="AB9" i="10" s="1"/>
  <c r="AJ10" i="14"/>
  <c r="AJ8" i="14"/>
  <c r="AJ6" i="14"/>
  <c r="AJ4" i="14"/>
  <c r="AJ5" i="14"/>
  <c r="AJ7" i="14"/>
  <c r="AJ11" i="14"/>
  <c r="AJ9" i="14"/>
  <c r="AJ6" i="12" l="1"/>
  <c r="AK4" i="14"/>
  <c r="AK5" i="14" s="1"/>
  <c r="AK6" i="14" s="1"/>
  <c r="AK7" i="14" s="1"/>
  <c r="AK8" i="14" s="1"/>
  <c r="AK9" i="14" s="1"/>
  <c r="AK10" i="14" s="1"/>
  <c r="AK11" i="14" s="1"/>
  <c r="AK12" i="14" s="1"/>
  <c r="AK13" i="13"/>
  <c r="AK4" i="10"/>
  <c r="AK4" i="12"/>
  <c r="AK5" i="15"/>
  <c r="AK6" i="15" s="1"/>
  <c r="AK7" i="15" s="1"/>
  <c r="AK8" i="15" s="1"/>
  <c r="AK9" i="15" s="1"/>
  <c r="AK10" i="15" s="1"/>
  <c r="AK11" i="15" s="1"/>
  <c r="AK12" i="15" s="1"/>
  <c r="AK5" i="11"/>
  <c r="AK6" i="11" s="1"/>
  <c r="AK7" i="11" s="1"/>
  <c r="AK8" i="11" s="1"/>
  <c r="AK9" i="11" s="1"/>
  <c r="AK10" i="11" s="1"/>
  <c r="AK11" i="11" s="1"/>
  <c r="AK12" i="11" s="1"/>
  <c r="AK13" i="15" l="1"/>
  <c r="AK13" i="14"/>
  <c r="AK5" i="12"/>
  <c r="AK6" i="12" s="1"/>
  <c r="AK7" i="12" s="1"/>
  <c r="AK8" i="12" s="1"/>
  <c r="AK9" i="12" s="1"/>
  <c r="AK10" i="12" s="1"/>
  <c r="AK11" i="12" s="1"/>
  <c r="AK12" i="12" s="1"/>
  <c r="AK5" i="10"/>
  <c r="AK6" i="10" s="1"/>
  <c r="AK7" i="10" s="1"/>
  <c r="AK8" i="10" s="1"/>
  <c r="AK9" i="10" s="1"/>
  <c r="AK10" i="10" s="1"/>
  <c r="AK11" i="10" s="1"/>
  <c r="AK12" i="10" s="1"/>
  <c r="AL9" i="13"/>
  <c r="AL10" i="13"/>
  <c r="AL6" i="13"/>
  <c r="AL4" i="13"/>
  <c r="AN4" i="13" s="1"/>
  <c r="AP4" i="13" s="1"/>
  <c r="AL11" i="13"/>
  <c r="AL8" i="13"/>
  <c r="AL7" i="13"/>
  <c r="AL5" i="13"/>
  <c r="AN5" i="13" s="1"/>
  <c r="AP5" i="13" s="1"/>
  <c r="AK13" i="11"/>
  <c r="AN7" i="13" l="1"/>
  <c r="AP7" i="13" s="1"/>
  <c r="AN6" i="13"/>
  <c r="AP6" i="13" s="1"/>
  <c r="AN8" i="13"/>
  <c r="AP8" i="13" s="1"/>
  <c r="AN10" i="13"/>
  <c r="AP10" i="13" s="1"/>
  <c r="AK13" i="12"/>
  <c r="AL11" i="11"/>
  <c r="AL9" i="11"/>
  <c r="AL7" i="11"/>
  <c r="AL5" i="11"/>
  <c r="AL10" i="11"/>
  <c r="AL8" i="11"/>
  <c r="AL6" i="11"/>
  <c r="AL4" i="11"/>
  <c r="AN11" i="13"/>
  <c r="AP11" i="13" s="1"/>
  <c r="AN9" i="13"/>
  <c r="AP9" i="13" s="1"/>
  <c r="AL11" i="14"/>
  <c r="AL9" i="14"/>
  <c r="AL7" i="14"/>
  <c r="AL5" i="14"/>
  <c r="AL8" i="14"/>
  <c r="AL6" i="14"/>
  <c r="AL4" i="14"/>
  <c r="AL10" i="14"/>
  <c r="AK13" i="10"/>
  <c r="AL11" i="15"/>
  <c r="AL9" i="15"/>
  <c r="AL7" i="15"/>
  <c r="AL6" i="15"/>
  <c r="AL4" i="15"/>
  <c r="AL8" i="15"/>
  <c r="AL10" i="15"/>
  <c r="AL5" i="15"/>
  <c r="AN7" i="15" l="1"/>
  <c r="AP7" i="15" s="1"/>
  <c r="AN10" i="15"/>
  <c r="AP10" i="15" s="1"/>
  <c r="AN10" i="14"/>
  <c r="AP10" i="14" s="1"/>
  <c r="AQ9" i="13"/>
  <c r="T9" i="13" s="1"/>
  <c r="A9" i="13" s="1"/>
  <c r="AN8" i="11"/>
  <c r="AP8" i="11" s="1"/>
  <c r="AN4" i="11"/>
  <c r="AP4" i="11" s="1"/>
  <c r="AN4" i="15"/>
  <c r="AP4" i="15" s="1"/>
  <c r="AN11" i="15"/>
  <c r="AP11" i="15" s="1"/>
  <c r="AN6" i="14"/>
  <c r="AP6" i="14" s="1"/>
  <c r="AN9" i="14"/>
  <c r="AP9" i="14" s="1"/>
  <c r="AN5" i="11"/>
  <c r="AP5" i="11" s="1"/>
  <c r="AQ12" i="13"/>
  <c r="T12" i="13" s="1"/>
  <c r="A12" i="13" s="1"/>
  <c r="AQ8" i="13"/>
  <c r="T8" i="13" s="1"/>
  <c r="A8" i="13" s="1"/>
  <c r="AN5" i="15"/>
  <c r="AP5" i="15" s="1"/>
  <c r="AN6" i="15"/>
  <c r="AP6" i="15" s="1"/>
  <c r="AL11" i="10"/>
  <c r="AL9" i="10"/>
  <c r="AL7" i="10"/>
  <c r="AL5" i="10"/>
  <c r="AL10" i="10"/>
  <c r="AL8" i="10"/>
  <c r="AL6" i="10"/>
  <c r="AL4" i="10"/>
  <c r="AN8" i="14"/>
  <c r="AP8" i="14" s="1"/>
  <c r="AN11" i="14"/>
  <c r="AP11" i="14" s="1"/>
  <c r="AN6" i="11"/>
  <c r="AP6" i="11" s="1"/>
  <c r="AN7" i="11"/>
  <c r="AP7" i="11" s="1"/>
  <c r="AQ4" i="13"/>
  <c r="T4" i="13" s="1"/>
  <c r="A4" i="13" s="1"/>
  <c r="AQ6" i="13"/>
  <c r="T6" i="13" s="1"/>
  <c r="A6" i="13" s="1"/>
  <c r="AN5" i="14"/>
  <c r="AP5" i="14" s="1"/>
  <c r="AN9" i="11"/>
  <c r="AP9" i="11" s="1"/>
  <c r="AL10" i="12"/>
  <c r="AL11" i="12"/>
  <c r="AL6" i="12"/>
  <c r="AL4" i="12"/>
  <c r="AL8" i="12"/>
  <c r="AN8" i="12" s="1"/>
  <c r="AP8" i="12" s="1"/>
  <c r="AL5" i="12"/>
  <c r="AL9" i="12"/>
  <c r="AL7" i="12"/>
  <c r="AQ7" i="13"/>
  <c r="T7" i="13" s="1"/>
  <c r="A7" i="13" s="1"/>
  <c r="AN8" i="15"/>
  <c r="AP8" i="15" s="1"/>
  <c r="AN9" i="15"/>
  <c r="AP9" i="15" s="1"/>
  <c r="AN4" i="14"/>
  <c r="AP4" i="14" s="1"/>
  <c r="AN7" i="14"/>
  <c r="AP7" i="14" s="1"/>
  <c r="AQ11" i="13"/>
  <c r="T11" i="13" s="1"/>
  <c r="A11" i="13" s="1"/>
  <c r="AN10" i="11"/>
  <c r="AP10" i="11" s="1"/>
  <c r="AN11" i="11"/>
  <c r="AP11" i="11" s="1"/>
  <c r="AQ10" i="13"/>
  <c r="T10" i="13" s="1"/>
  <c r="A10" i="13" s="1"/>
  <c r="AQ5" i="13"/>
  <c r="T5" i="13" s="1"/>
  <c r="A5" i="13" s="1"/>
  <c r="AQ9" i="15" l="1"/>
  <c r="T9" i="15" s="1"/>
  <c r="A9" i="15" s="1"/>
  <c r="AQ10" i="14"/>
  <c r="T10" i="14" s="1"/>
  <c r="A10" i="14" s="1"/>
  <c r="AQ11" i="11"/>
  <c r="T11" i="11" s="1"/>
  <c r="A11" i="11" s="1"/>
  <c r="AN6" i="10"/>
  <c r="AP6" i="10" s="1"/>
  <c r="AQ7" i="14"/>
  <c r="T7" i="14" s="1"/>
  <c r="A7" i="14" s="1"/>
  <c r="AN5" i="12"/>
  <c r="AP5" i="12" s="1"/>
  <c r="AN11" i="12"/>
  <c r="AP11" i="12" s="1"/>
  <c r="AQ5" i="14"/>
  <c r="T5" i="14" s="1"/>
  <c r="A5" i="14" s="1"/>
  <c r="AQ7" i="11"/>
  <c r="T7" i="11" s="1"/>
  <c r="A7" i="11" s="1"/>
  <c r="AN4" i="10"/>
  <c r="AP4" i="10" s="1"/>
  <c r="AN5" i="10"/>
  <c r="AP5" i="10" s="1"/>
  <c r="AQ6" i="15"/>
  <c r="T6" i="15" s="1"/>
  <c r="A6" i="15" s="1"/>
  <c r="AQ9" i="14"/>
  <c r="T9" i="14" s="1"/>
  <c r="A9" i="14" s="1"/>
  <c r="AN10" i="12"/>
  <c r="AP10" i="12" s="1"/>
  <c r="AQ10" i="15"/>
  <c r="T10" i="15" s="1"/>
  <c r="A10" i="15" s="1"/>
  <c r="AQ6" i="11"/>
  <c r="T6" i="11" s="1"/>
  <c r="A6" i="11" s="1"/>
  <c r="AN7" i="10"/>
  <c r="AP7" i="10" s="1"/>
  <c r="AQ5" i="15"/>
  <c r="T5" i="15" s="1"/>
  <c r="A5" i="15" s="1"/>
  <c r="AQ5" i="11"/>
  <c r="T5" i="11" s="1"/>
  <c r="A5" i="11" s="1"/>
  <c r="AQ6" i="14"/>
  <c r="T6" i="14" s="1"/>
  <c r="A6" i="14" s="1"/>
  <c r="AQ12" i="14"/>
  <c r="T12" i="14" s="1"/>
  <c r="A12" i="14" s="1"/>
  <c r="AQ4" i="14"/>
  <c r="T4" i="14" s="1"/>
  <c r="A4" i="14" s="1"/>
  <c r="AN7" i="12"/>
  <c r="AP7" i="12" s="1"/>
  <c r="AN4" i="12"/>
  <c r="AP4" i="12" s="1"/>
  <c r="AQ9" i="11"/>
  <c r="T9" i="11" s="1"/>
  <c r="A9" i="11" s="1"/>
  <c r="AQ11" i="14"/>
  <c r="T11" i="14" s="1"/>
  <c r="A11" i="14" s="1"/>
  <c r="AN8" i="10"/>
  <c r="AP8" i="10" s="1"/>
  <c r="AN9" i="10"/>
  <c r="AP9" i="10" s="1"/>
  <c r="AQ7" i="15"/>
  <c r="T7" i="15" s="1"/>
  <c r="A7" i="15" s="1"/>
  <c r="AQ4" i="11"/>
  <c r="T4" i="11" s="1"/>
  <c r="A4" i="11" s="1"/>
  <c r="AQ11" i="15"/>
  <c r="T11" i="15" s="1"/>
  <c r="A11" i="15" s="1"/>
  <c r="AQ10" i="11"/>
  <c r="T10" i="11" s="1"/>
  <c r="A10" i="11" s="1"/>
  <c r="AQ8" i="15"/>
  <c r="T8" i="15" s="1"/>
  <c r="A8" i="15" s="1"/>
  <c r="AN9" i="12"/>
  <c r="AP9" i="12" s="1"/>
  <c r="AN6" i="12"/>
  <c r="AP6" i="12" s="1"/>
  <c r="AQ8" i="11"/>
  <c r="T8" i="11" s="1"/>
  <c r="A8" i="11" s="1"/>
  <c r="Z12" i="13"/>
  <c r="Z10" i="13"/>
  <c r="AA11" i="13"/>
  <c r="AA12" i="13"/>
  <c r="Z11" i="13"/>
  <c r="AA10" i="13"/>
  <c r="Z9" i="13"/>
  <c r="Z8" i="13"/>
  <c r="Z6" i="13"/>
  <c r="Z4" i="13"/>
  <c r="AC8" i="13"/>
  <c r="AA7" i="13"/>
  <c r="AC6" i="13"/>
  <c r="AA5" i="13"/>
  <c r="AC4" i="13"/>
  <c r="AC10" i="13"/>
  <c r="AC9" i="13"/>
  <c r="Z7" i="13"/>
  <c r="Z5" i="13"/>
  <c r="AB4" i="13"/>
  <c r="AC11" i="13"/>
  <c r="AA9" i="13"/>
  <c r="AA8" i="13"/>
  <c r="AC7" i="13"/>
  <c r="AA6" i="13"/>
  <c r="AC5" i="13"/>
  <c r="AA4" i="13"/>
  <c r="AQ8" i="14"/>
  <c r="T8" i="14" s="1"/>
  <c r="A8" i="14" s="1"/>
  <c r="AN10" i="10"/>
  <c r="AP10" i="10" s="1"/>
  <c r="AN11" i="10"/>
  <c r="AP11" i="10" s="1"/>
  <c r="AQ12" i="11"/>
  <c r="T12" i="11" s="1"/>
  <c r="A12" i="11" s="1"/>
  <c r="AQ12" i="15"/>
  <c r="T12" i="15" s="1"/>
  <c r="A12" i="15" s="1"/>
  <c r="AQ4" i="15"/>
  <c r="T4" i="15" s="1"/>
  <c r="A4" i="15" s="1"/>
  <c r="AQ6" i="12" l="1"/>
  <c r="T6" i="12" s="1"/>
  <c r="A6" i="12" s="1"/>
  <c r="AQ11" i="10"/>
  <c r="T11" i="10" s="1"/>
  <c r="A11" i="10" s="1"/>
  <c r="AQ9" i="12"/>
  <c r="T9" i="12" s="1"/>
  <c r="A9" i="12" s="1"/>
  <c r="Z12" i="11"/>
  <c r="AA12" i="11"/>
  <c r="AC11" i="11"/>
  <c r="AA10" i="11"/>
  <c r="AC9" i="11"/>
  <c r="AA8" i="11"/>
  <c r="AC7" i="11"/>
  <c r="AA6" i="11"/>
  <c r="AC5" i="11"/>
  <c r="AA4" i="11"/>
  <c r="Z10" i="11"/>
  <c r="Z8" i="11"/>
  <c r="Z6" i="11"/>
  <c r="Z4" i="11"/>
  <c r="AA11" i="11"/>
  <c r="AC10" i="11"/>
  <c r="AA9" i="11"/>
  <c r="AC8" i="11"/>
  <c r="AA7" i="11"/>
  <c r="AC6" i="11"/>
  <c r="AA5" i="11"/>
  <c r="AC4" i="11"/>
  <c r="Z11" i="11"/>
  <c r="Z5" i="11"/>
  <c r="AB4" i="11"/>
  <c r="Z9" i="11"/>
  <c r="Z7" i="11"/>
  <c r="AA12" i="14"/>
  <c r="Z12" i="14"/>
  <c r="AC11" i="14"/>
  <c r="AA10" i="14"/>
  <c r="AC9" i="14"/>
  <c r="AA8" i="14"/>
  <c r="AC7" i="14"/>
  <c r="AA6" i="14"/>
  <c r="AC5" i="14"/>
  <c r="AA4" i="14"/>
  <c r="Z10" i="14"/>
  <c r="Z8" i="14"/>
  <c r="Z6" i="14"/>
  <c r="Z4" i="14"/>
  <c r="Z11" i="14"/>
  <c r="AC10" i="14"/>
  <c r="Z9" i="14"/>
  <c r="Z7" i="14"/>
  <c r="AC4" i="14"/>
  <c r="AC8" i="14"/>
  <c r="AB4" i="14"/>
  <c r="AA5" i="14"/>
  <c r="AA11" i="14"/>
  <c r="AA9" i="14"/>
  <c r="AC6" i="14"/>
  <c r="AA7" i="14"/>
  <c r="Z5" i="14"/>
  <c r="AQ10" i="10"/>
  <c r="T10" i="10" s="1"/>
  <c r="A10" i="10" s="1"/>
  <c r="AQ7" i="10"/>
  <c r="T7" i="10" s="1"/>
  <c r="A7" i="10" s="1"/>
  <c r="AQ10" i="12"/>
  <c r="T10" i="12" s="1"/>
  <c r="A10" i="12" s="1"/>
  <c r="AQ5" i="10"/>
  <c r="T5" i="10" s="1"/>
  <c r="A5" i="10" s="1"/>
  <c r="AQ11" i="12"/>
  <c r="T11" i="12" s="1"/>
  <c r="A11" i="12" s="1"/>
  <c r="Z12" i="15"/>
  <c r="AC11" i="15"/>
  <c r="AA10" i="15"/>
  <c r="AC9" i="15"/>
  <c r="AA8" i="15"/>
  <c r="AC7" i="15"/>
  <c r="AA6" i="15"/>
  <c r="Z10" i="15"/>
  <c r="Z8" i="15"/>
  <c r="Z6" i="15"/>
  <c r="AA12" i="15"/>
  <c r="Z11" i="15"/>
  <c r="Z9" i="15"/>
  <c r="Z7" i="15"/>
  <c r="AC8" i="15"/>
  <c r="AA5" i="15"/>
  <c r="AC4" i="15"/>
  <c r="AC10" i="15"/>
  <c r="Z5" i="15"/>
  <c r="AB4" i="15"/>
  <c r="AA9" i="15"/>
  <c r="AA7" i="15"/>
  <c r="AC5" i="15"/>
  <c r="AA4" i="15"/>
  <c r="AC6" i="15"/>
  <c r="Z4" i="15"/>
  <c r="AA11" i="15"/>
  <c r="AQ9" i="10"/>
  <c r="T9" i="10" s="1"/>
  <c r="A9" i="10" s="1"/>
  <c r="AQ12" i="12"/>
  <c r="T12" i="12" s="1"/>
  <c r="A12" i="12" s="1"/>
  <c r="AQ4" i="12"/>
  <c r="T4" i="12" s="1"/>
  <c r="A4" i="12" s="1"/>
  <c r="AQ6" i="10"/>
  <c r="T6" i="10" s="1"/>
  <c r="A6" i="10" s="1"/>
  <c r="AQ8" i="12"/>
  <c r="T8" i="12" s="1"/>
  <c r="A8" i="12" s="1"/>
  <c r="AQ12" i="10"/>
  <c r="T12" i="10" s="1"/>
  <c r="A12" i="10" s="1"/>
  <c r="AQ4" i="10"/>
  <c r="T4" i="10" s="1"/>
  <c r="A4" i="10" s="1"/>
  <c r="AQ5" i="12"/>
  <c r="T5" i="12" s="1"/>
  <c r="A5" i="12" s="1"/>
  <c r="AQ8" i="10"/>
  <c r="T8" i="10" s="1"/>
  <c r="A8" i="10" s="1"/>
  <c r="AQ7" i="12"/>
  <c r="T7" i="12" s="1"/>
  <c r="A7" i="12" s="1"/>
  <c r="Z12" i="10" l="1"/>
  <c r="AC11" i="10"/>
  <c r="AA10" i="10"/>
  <c r="AC9" i="10"/>
  <c r="AA8" i="10"/>
  <c r="AC7" i="10"/>
  <c r="AA6" i="10"/>
  <c r="AC5" i="10"/>
  <c r="Z10" i="10"/>
  <c r="Z8" i="10"/>
  <c r="Z6" i="10"/>
  <c r="Z4" i="10"/>
  <c r="AA11" i="10"/>
  <c r="AC10" i="10"/>
  <c r="AA9" i="10"/>
  <c r="AC8" i="10"/>
  <c r="AA7" i="10"/>
  <c r="AC6" i="10"/>
  <c r="AA5" i="10"/>
  <c r="Z11" i="10"/>
  <c r="Z7" i="10"/>
  <c r="AA4" i="10"/>
  <c r="AA12" i="10"/>
  <c r="Z9" i="10"/>
  <c r="Z5" i="10"/>
  <c r="AC4" i="10"/>
  <c r="AB4" i="10"/>
  <c r="Z10" i="12"/>
  <c r="Z8" i="12"/>
  <c r="AA11" i="12"/>
  <c r="AC10" i="12"/>
  <c r="AA12" i="12"/>
  <c r="Z11" i="12"/>
  <c r="Z9" i="12"/>
  <c r="AA9" i="12"/>
  <c r="AC6" i="12"/>
  <c r="AA5" i="12"/>
  <c r="AC4" i="12"/>
  <c r="Z12" i="12"/>
  <c r="AA10" i="12"/>
  <c r="AC8" i="12"/>
  <c r="AC7" i="12"/>
  <c r="Z5" i="12"/>
  <c r="AB4" i="12"/>
  <c r="AA8" i="12"/>
  <c r="AA7" i="12"/>
  <c r="AA6" i="12"/>
  <c r="AC5" i="12"/>
  <c r="AA4" i="12"/>
  <c r="AC11" i="12"/>
  <c r="AC9" i="12"/>
  <c r="Z7" i="12"/>
  <c r="Z6" i="12"/>
  <c r="Z4" i="12"/>
</calcChain>
</file>

<file path=xl/sharedStrings.xml><?xml version="1.0" encoding="utf-8"?>
<sst xmlns="http://schemas.openxmlformats.org/spreadsheetml/2006/main" count="868" uniqueCount="115">
  <si>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</si>
  <si>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</si>
  <si>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</si>
  <si>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</si>
  <si>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</si>
  <si>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</si>
  <si>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</si>
  <si>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</si>
  <si>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</si>
  <si>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</si>
  <si>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</si>
  <si>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</si>
  <si>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</si>
  <si>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</si>
  <si>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</si>
  <si>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</si>
  <si>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</si>
  <si>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</si>
  <si>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</si>
  <si>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</si>
  <si>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</si>
  <si>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</si>
  <si>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</si>
  <si>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</si>
  <si>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</si>
  <si>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</si>
  <si>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</si>
  <si>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</si>
  <si>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</si>
  <si>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</si>
  <si>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pos</t>
  </si>
  <si>
    <t>Prog</t>
  </si>
  <si>
    <t>Rat</t>
  </si>
  <si>
    <t>ID</t>
  </si>
  <si>
    <t>w/z</t>
  </si>
  <si>
    <t>z/w</t>
  </si>
  <si>
    <t>ronde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</si>
  <si>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</si>
  <si>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</si>
  <si>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</si>
  <si>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</si>
  <si>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</si>
  <si>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</si>
  <si>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</si>
  <si>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</si>
  <si>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</si>
  <si>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</si>
  <si>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</si>
  <si>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</si>
  <si>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</si>
  <si>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</si>
  <si>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</si>
  <si>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</si>
  <si>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</si>
  <si>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</si>
  <si>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</si>
  <si>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</si>
  <si>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</si>
  <si>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</si>
  <si>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</si>
  <si>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</si>
  <si>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</si>
  <si>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groep</t>
  </si>
  <si>
    <t>Groep A</t>
  </si>
  <si>
    <t>Matthijs van Dodeweerd</t>
  </si>
  <si>
    <t>Stein van Tol</t>
  </si>
  <si>
    <t>Jannes Westerhof</t>
  </si>
  <si>
    <t>Wouter Wieggers</t>
  </si>
  <si>
    <t>Bram Zaalmink</t>
  </si>
  <si>
    <t>Abel Hogenhout</t>
  </si>
  <si>
    <t>Joep Westerhof</t>
  </si>
  <si>
    <t>Katja Tangarife Ramirez *</t>
  </si>
  <si>
    <t>Groep B</t>
  </si>
  <si>
    <t>Wilfried Snijders</t>
  </si>
  <si>
    <t>Nestor Shirokov</t>
  </si>
  <si>
    <t>Floran Ahoud</t>
  </si>
  <si>
    <t>Faya Damen *</t>
  </si>
  <si>
    <t>Bram Wierbos</t>
  </si>
  <si>
    <t>Cecilia Pereira Garza *</t>
  </si>
  <si>
    <t>Tobias van Lieshout</t>
  </si>
  <si>
    <t>Karsten Dam</t>
  </si>
  <si>
    <t>Groep C</t>
  </si>
  <si>
    <t>Oscar Zecha</t>
  </si>
  <si>
    <t>Maarten van Eck</t>
  </si>
  <si>
    <t>Jelle van Mullekom</t>
  </si>
  <si>
    <t>Julian Frankema</t>
  </si>
  <si>
    <t>Philip Gabbert</t>
  </si>
  <si>
    <t>Iva Binnendijk *</t>
  </si>
  <si>
    <t>Ziad Dodik</t>
  </si>
  <si>
    <t>Bye</t>
  </si>
  <si>
    <t>Groep D</t>
  </si>
  <si>
    <t>Reiko Dirksen</t>
  </si>
  <si>
    <t>Fleur Westerhof *</t>
  </si>
  <si>
    <t>Magdalena Shirokov *</t>
  </si>
  <si>
    <t>Maurijn Ahoud</t>
  </si>
  <si>
    <t>Koen Wattel</t>
  </si>
  <si>
    <t>Teun Cloosterman</t>
  </si>
  <si>
    <t>Robert Nica</t>
  </si>
  <si>
    <t>Groep E</t>
  </si>
  <si>
    <t>Eelco Drijfhout</t>
  </si>
  <si>
    <t>Tigran Grigorjan</t>
  </si>
  <si>
    <t>Yaroslav Shirokov</t>
  </si>
  <si>
    <t>David Formanoy</t>
  </si>
  <si>
    <t>Joris Frankema</t>
  </si>
  <si>
    <t>Oscar Hengeveld</t>
  </si>
  <si>
    <t>David Militonian</t>
  </si>
  <si>
    <t>Elianne Snijders *</t>
  </si>
  <si>
    <t>Groep F</t>
  </si>
  <si>
    <t>Istar Snijders</t>
  </si>
  <si>
    <t>Teun Zaalmink</t>
  </si>
  <si>
    <t>Quintus Keij</t>
  </si>
  <si>
    <t>Max Zheng</t>
  </si>
  <si>
    <t>Einar Fokers</t>
  </si>
  <si>
    <t>Kailas Bense</t>
  </si>
  <si>
    <t>David de Koeijer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</si>
</sst>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4B4B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64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4" xfId="1" applyFont="1" applyBorder="1" applyAlignment="1" applyProtection="1">
      <alignment horizontal="center" vertical="center"/>
    </xf>
    <xf numFmtId="1" fontId="8" fillId="0" borderId="4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4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4" fillId="0" borderId="0" xfId="0" applyFont="1" applyFill="1" applyProtection="1"/>
    <xf numFmtId="0" fontId="0" fillId="4" borderId="3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6" borderId="0" xfId="0" applyFill="1"/>
    <xf numFmtId="0" fontId="5" fillId="0" borderId="0" xfId="0" applyFont="1" applyAlignment="1">
      <alignment horizontal="center"/>
    </xf>
    <xf numFmtId="0" fontId="0" fillId="0" borderId="0" xfId="0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5" fillId="0" borderId="0" xfId="0" applyFont="1" applyAlignment="1" applyProtection="1">
      <alignment horizontal="center"/>
    </xf>
  </cellXfs>
  <cellStyles count="2">
    <cellStyle name="Standaard" xfId="0" builtinId="0"/>
    <cellStyle name="Standaard_Kopie van Uitslagen" xfId="1"/>
  </cellStyles>
  <dxfs count="24"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56" t="s">
        <v>38</v>
      </c>
      <c r="B1" s="56"/>
      <c r="C1" s="56"/>
      <c r="D1" s="56"/>
      <c r="E1" s="56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 t="s">
        <v>63</v>
      </c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55" t="s">
        <v>4</v>
      </c>
      <c r="B4" s="55" t="s">
        <v>6</v>
      </c>
      <c r="C4" s="55" t="s">
        <v>7</v>
      </c>
      <c r="D4" s="55" t="s">
        <v>8</v>
      </c>
      <c r="E4" s="3"/>
      <c r="F4" s="1"/>
      <c r="G4" s="1"/>
      <c r="H4" s="1"/>
      <c r="I4" s="1"/>
      <c r="J4" s="1"/>
      <c r="K4" s="1"/>
    </row>
    <row r="5" spans="1:11" x14ac:dyDescent="0.25">
      <c r="A5" s="1">
        <v>1</v>
      </c>
      <c r="B5" s="1" t="str">
        <f>'Groep A'!C4</f>
        <v>Matthijs van Dodeweerd</v>
      </c>
      <c r="C5" s="1">
        <f>'Groep A'!D4</f>
        <v>8526958</v>
      </c>
      <c r="D5" s="1">
        <f>'Groep A'!F4</f>
        <v>1464</v>
      </c>
      <c r="E5" s="1"/>
      <c r="F5" s="1"/>
      <c r="G5" s="1"/>
      <c r="H5" s="1"/>
      <c r="I5" s="1"/>
      <c r="J5" s="1"/>
      <c r="K5" s="1"/>
    </row>
    <row r="6" spans="1:11" x14ac:dyDescent="0.25">
      <c r="A6" s="1">
        <v>2</v>
      </c>
      <c r="B6" s="1" t="str">
        <f>'Groep A'!C5</f>
        <v>Stein van Tol</v>
      </c>
      <c r="C6" s="1">
        <f>'Groep A'!D5</f>
        <v>8445019</v>
      </c>
      <c r="D6" s="1">
        <f>'Groep A'!F5</f>
        <v>1391</v>
      </c>
      <c r="E6" s="1"/>
      <c r="F6" s="1"/>
      <c r="G6" s="1"/>
      <c r="H6" s="1"/>
      <c r="I6" s="1"/>
      <c r="J6" s="1"/>
      <c r="K6" s="1"/>
    </row>
    <row r="7" spans="1:11" x14ac:dyDescent="0.25">
      <c r="A7" s="1">
        <v>3</v>
      </c>
      <c r="B7" s="1" t="str">
        <f>'Groep A'!C6</f>
        <v>Jannes Westerhof</v>
      </c>
      <c r="C7" s="1">
        <f>'Groep A'!D6</f>
        <v>8566503</v>
      </c>
      <c r="D7" s="1">
        <f>'Groep A'!F6</f>
        <v>1085</v>
      </c>
      <c r="E7" s="1"/>
      <c r="F7" s="1"/>
      <c r="G7" s="1"/>
      <c r="H7" s="1"/>
      <c r="I7" s="1"/>
      <c r="J7" s="1"/>
      <c r="K7" s="1"/>
    </row>
    <row r="8" spans="1:11" x14ac:dyDescent="0.25">
      <c r="A8" s="1">
        <v>4</v>
      </c>
      <c r="B8" s="1" t="str">
        <f>'Groep A'!C7</f>
        <v>Wouter Wieggers</v>
      </c>
      <c r="C8" s="1">
        <f>'Groep A'!D7</f>
        <v>8621800</v>
      </c>
      <c r="D8" s="1">
        <f>'Groep A'!F7</f>
        <v>846</v>
      </c>
      <c r="E8" s="1"/>
      <c r="F8" s="1"/>
      <c r="G8" s="1"/>
      <c r="H8" s="1"/>
      <c r="I8" s="1"/>
      <c r="J8" s="1"/>
      <c r="K8" s="1"/>
    </row>
    <row r="9" spans="1:11" x14ac:dyDescent="0.25">
      <c r="A9" s="1">
        <v>5</v>
      </c>
      <c r="B9" s="1" t="str">
        <f>'Groep A'!C8</f>
        <v>Bram Zaalmink</v>
      </c>
      <c r="C9" s="1">
        <f>'Groep A'!D8</f>
        <v>8632360</v>
      </c>
      <c r="D9" s="1">
        <f>'Groep A'!F8</f>
        <v>795</v>
      </c>
      <c r="E9" s="1"/>
      <c r="F9" s="1"/>
      <c r="G9" s="1"/>
      <c r="H9" s="1"/>
      <c r="I9" s="1"/>
      <c r="J9" s="1"/>
      <c r="K9" s="1"/>
    </row>
    <row r="10" spans="1:11" x14ac:dyDescent="0.25">
      <c r="A10" s="1">
        <v>6</v>
      </c>
      <c r="B10" s="1" t="str">
        <f>'Groep A'!C9</f>
        <v>Abel Hogenhout</v>
      </c>
      <c r="C10" s="1">
        <f>'Groep A'!D9</f>
        <v>8589856</v>
      </c>
      <c r="D10" s="1">
        <f>'Groep A'!F9</f>
        <v>794</v>
      </c>
      <c r="E10" s="1"/>
      <c r="F10" s="1"/>
      <c r="G10" s="1"/>
      <c r="H10" s="1"/>
      <c r="I10" s="1"/>
      <c r="J10" s="1"/>
      <c r="K10" s="1"/>
    </row>
    <row r="11" spans="1:11" x14ac:dyDescent="0.25">
      <c r="A11" s="1">
        <v>7</v>
      </c>
      <c r="B11" s="1" t="str">
        <f>'Groep A'!C10</f>
        <v>Joep Westerhof</v>
      </c>
      <c r="C11" s="1">
        <f>'Groep A'!D10</f>
        <v>8566492</v>
      </c>
      <c r="D11" s="1">
        <f>'Groep A'!F10</f>
        <v>749</v>
      </c>
      <c r="E11" s="1"/>
      <c r="F11" s="1"/>
      <c r="G11" s="1"/>
      <c r="H11" s="1"/>
      <c r="I11" s="1"/>
      <c r="J11" s="1"/>
      <c r="K11" s="1"/>
    </row>
    <row r="12" spans="1:11" x14ac:dyDescent="0.25">
      <c r="A12" s="1">
        <v>8</v>
      </c>
      <c r="B12" s="1" t="str">
        <f>'Groep A'!C11</f>
        <v>Katja Tangarife Ramirez *</v>
      </c>
      <c r="C12" s="1">
        <f>'Groep A'!D11</f>
        <v>8588492</v>
      </c>
      <c r="D12" s="1">
        <f>'Groep A'!F11</f>
        <v>729</v>
      </c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 t="s">
        <v>72</v>
      </c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55" t="s">
        <v>4</v>
      </c>
      <c r="B15" s="55" t="s">
        <v>6</v>
      </c>
      <c r="C15" s="55" t="s">
        <v>7</v>
      </c>
      <c r="D15" s="55" t="s">
        <v>8</v>
      </c>
      <c r="E15" s="1"/>
      <c r="F15" s="1"/>
      <c r="G15" s="1"/>
      <c r="H15" s="1"/>
      <c r="I15" s="1"/>
      <c r="J15" s="1"/>
      <c r="K15" s="1"/>
    </row>
    <row r="16" spans="1:11" x14ac:dyDescent="0.25">
      <c r="A16" s="1">
        <v>1</v>
      </c>
      <c r="B16" s="1" t="str">
        <f>'Groep B'!C4</f>
        <v>Wilfried Snijders</v>
      </c>
      <c r="C16" s="1">
        <f>'Groep B'!D4</f>
        <v>8697359</v>
      </c>
      <c r="D16" s="1">
        <f>'Groep B'!F4</f>
        <v>682</v>
      </c>
      <c r="E16" s="1"/>
      <c r="F16" s="1"/>
      <c r="G16" s="1"/>
      <c r="H16" s="1"/>
      <c r="I16" s="1"/>
      <c r="J16" s="1"/>
      <c r="K16" s="1"/>
    </row>
    <row r="17" spans="1:11" x14ac:dyDescent="0.25">
      <c r="A17" s="1">
        <v>2</v>
      </c>
      <c r="B17" s="1" t="str">
        <f>'Groep B'!C5</f>
        <v>Nestor Shirokov</v>
      </c>
      <c r="C17" s="1">
        <f>'Groep B'!D5</f>
        <v>8593464</v>
      </c>
      <c r="D17" s="1">
        <f>'Groep B'!F5</f>
        <v>569</v>
      </c>
      <c r="E17" s="1"/>
      <c r="F17" s="1"/>
      <c r="G17" s="1"/>
      <c r="H17" s="1"/>
      <c r="I17" s="1"/>
      <c r="J17" s="1"/>
      <c r="K17" s="1"/>
    </row>
    <row r="18" spans="1:11" x14ac:dyDescent="0.25">
      <c r="A18" s="1">
        <v>3</v>
      </c>
      <c r="B18" s="1" t="str">
        <f>'Groep B'!C6</f>
        <v>Floran Ahoud</v>
      </c>
      <c r="C18" s="1">
        <f>'Groep B'!D6</f>
        <v>8669210</v>
      </c>
      <c r="D18" s="1">
        <f>'Groep B'!F6</f>
        <v>533</v>
      </c>
      <c r="E18" s="1"/>
      <c r="F18" s="1"/>
      <c r="G18" s="1"/>
      <c r="H18" s="1"/>
      <c r="I18" s="1"/>
      <c r="J18" s="1"/>
      <c r="K18" s="1"/>
    </row>
    <row r="19" spans="1:11" x14ac:dyDescent="0.25">
      <c r="A19" s="1">
        <v>4</v>
      </c>
      <c r="B19" s="1" t="str">
        <f>'Groep B'!C7</f>
        <v>Faya Damen *</v>
      </c>
      <c r="C19" s="1">
        <f>'Groep B'!D7</f>
        <v>8750687</v>
      </c>
      <c r="D19" s="1">
        <f>'Groep B'!F7</f>
        <v>520</v>
      </c>
      <c r="E19" s="1"/>
      <c r="F19" s="1"/>
      <c r="G19" s="1"/>
      <c r="H19" s="1"/>
      <c r="I19" s="1"/>
      <c r="J19" s="1"/>
      <c r="K19" s="1"/>
    </row>
    <row r="20" spans="1:11" x14ac:dyDescent="0.25">
      <c r="A20" s="1">
        <v>5</v>
      </c>
      <c r="B20" s="1" t="str">
        <f>'Groep B'!C8</f>
        <v>Bram Wierbos</v>
      </c>
      <c r="C20" s="1">
        <f>'Groep B'!D8</f>
        <v>8729754</v>
      </c>
      <c r="D20" s="1">
        <f>'Groep B'!F8</f>
        <v>513</v>
      </c>
      <c r="E20" s="1"/>
      <c r="F20" s="1"/>
      <c r="G20" s="1"/>
      <c r="H20" s="1"/>
      <c r="I20" s="1"/>
      <c r="J20" s="1"/>
      <c r="K20" s="1"/>
    </row>
    <row r="21" spans="1:11" x14ac:dyDescent="0.25">
      <c r="A21" s="1">
        <v>6</v>
      </c>
      <c r="B21" s="1" t="str">
        <f>'Groep B'!C9</f>
        <v>Cecilia Pereira Garza *</v>
      </c>
      <c r="C21" s="1">
        <f>'Groep B'!D9</f>
        <v>8749455</v>
      </c>
      <c r="D21" s="1">
        <f>'Groep B'!F9</f>
        <v>486</v>
      </c>
      <c r="E21" s="1"/>
      <c r="F21" s="1"/>
      <c r="G21" s="1"/>
      <c r="H21" s="1"/>
      <c r="I21" s="1"/>
      <c r="J21" s="1"/>
      <c r="K21" s="1"/>
    </row>
    <row r="22" spans="1:11" x14ac:dyDescent="0.25">
      <c r="A22" s="1">
        <v>7</v>
      </c>
      <c r="B22" s="1" t="str">
        <f>'Groep B'!C10</f>
        <v>Tobias van Lieshout</v>
      </c>
      <c r="C22" s="1">
        <f>'Groep B'!D10</f>
        <v>8659233</v>
      </c>
      <c r="D22" s="1">
        <f>'Groep B'!F10</f>
        <v>473</v>
      </c>
      <c r="E22" s="1"/>
      <c r="F22" s="1"/>
      <c r="G22" s="1"/>
      <c r="H22" s="1"/>
      <c r="I22" s="1"/>
      <c r="J22" s="1"/>
      <c r="K22" s="1"/>
    </row>
    <row r="23" spans="1:11" x14ac:dyDescent="0.25">
      <c r="A23" s="1">
        <v>8</v>
      </c>
      <c r="B23" s="1" t="str">
        <f>'Groep B'!C11</f>
        <v>Karsten Dam</v>
      </c>
      <c r="C23" s="1">
        <f>'Groep B'!D11</f>
        <v>8647474</v>
      </c>
      <c r="D23" s="1">
        <f>'Groep B'!F11</f>
        <v>462</v>
      </c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 t="s">
        <v>81</v>
      </c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55" t="s">
        <v>4</v>
      </c>
      <c r="B26" s="55" t="s">
        <v>6</v>
      </c>
      <c r="C26" s="55" t="s">
        <v>7</v>
      </c>
      <c r="D26" s="55" t="s">
        <v>8</v>
      </c>
      <c r="E26" s="1"/>
      <c r="F26" s="1"/>
      <c r="G26" s="1"/>
      <c r="H26" s="1"/>
      <c r="I26" s="1"/>
      <c r="J26" s="1"/>
      <c r="K26" s="1"/>
    </row>
    <row r="27" spans="1:11" x14ac:dyDescent="0.25">
      <c r="A27" s="1">
        <v>1</v>
      </c>
      <c r="B27" s="1" t="str">
        <f>'Groep C'!C4</f>
        <v>Oscar Zecha</v>
      </c>
      <c r="C27" s="1">
        <f>'Groep C'!D4</f>
        <v>8794742</v>
      </c>
      <c r="D27" s="1">
        <f>'Groep C'!F4</f>
        <v>412</v>
      </c>
      <c r="E27" s="1"/>
      <c r="F27" s="1"/>
      <c r="G27" s="1"/>
      <c r="H27" s="1"/>
      <c r="I27" s="1"/>
      <c r="J27" s="1"/>
      <c r="K27" s="1"/>
    </row>
    <row r="28" spans="1:11" x14ac:dyDescent="0.25">
      <c r="A28" s="1">
        <v>2</v>
      </c>
      <c r="B28" s="1" t="str">
        <f>'Groep C'!C5</f>
        <v>Maarten van Eck</v>
      </c>
      <c r="C28" s="1">
        <f>'Groep C'!D5</f>
        <v>8704828</v>
      </c>
      <c r="D28" s="1">
        <f>'Groep C'!F5</f>
        <v>395</v>
      </c>
      <c r="E28" s="1"/>
      <c r="F28" s="1"/>
      <c r="G28" s="1"/>
      <c r="H28" s="1"/>
      <c r="I28" s="1"/>
      <c r="J28" s="1"/>
      <c r="K28" s="1"/>
    </row>
    <row r="29" spans="1:11" x14ac:dyDescent="0.25">
      <c r="A29" s="1">
        <v>3</v>
      </c>
      <c r="B29" s="1" t="str">
        <f>'Groep C'!C6</f>
        <v>Jelle van Mullekom</v>
      </c>
      <c r="C29" s="1">
        <f>'Groep C'!D6</f>
        <v>8631359</v>
      </c>
      <c r="D29" s="1">
        <f>'Groep C'!F6</f>
        <v>379</v>
      </c>
      <c r="E29" s="1"/>
      <c r="F29" s="1"/>
      <c r="G29" s="1"/>
      <c r="H29" s="1"/>
      <c r="I29" s="1"/>
      <c r="J29" s="1"/>
      <c r="K29" s="1"/>
    </row>
    <row r="30" spans="1:11" x14ac:dyDescent="0.25">
      <c r="A30" s="1">
        <v>4</v>
      </c>
      <c r="B30" s="1" t="str">
        <f>'Groep C'!C7</f>
        <v>Julian Frankema</v>
      </c>
      <c r="C30" s="1">
        <f>'Groep C'!D7</f>
        <v>8705015</v>
      </c>
      <c r="D30" s="1">
        <f>'Groep C'!F7</f>
        <v>372</v>
      </c>
      <c r="E30" s="1"/>
      <c r="F30" s="1"/>
      <c r="G30" s="1"/>
      <c r="H30" s="1"/>
      <c r="I30" s="1"/>
      <c r="J30" s="1"/>
      <c r="K30" s="1"/>
    </row>
    <row r="31" spans="1:11" x14ac:dyDescent="0.25">
      <c r="A31" s="1">
        <v>5</v>
      </c>
      <c r="B31" s="1" t="str">
        <f>'Groep C'!C8</f>
        <v>Philip Gabbert</v>
      </c>
      <c r="C31" s="1">
        <f>'Groep C'!D8</f>
        <v>8532414</v>
      </c>
      <c r="D31" s="1">
        <f>'Groep C'!F8</f>
        <v>358</v>
      </c>
      <c r="E31" s="1"/>
      <c r="F31" s="1"/>
      <c r="G31" s="1"/>
      <c r="H31" s="1"/>
      <c r="I31" s="1"/>
      <c r="J31" s="1"/>
      <c r="K31" s="1"/>
    </row>
    <row r="32" spans="1:11" x14ac:dyDescent="0.25">
      <c r="A32" s="1">
        <v>6</v>
      </c>
      <c r="B32" s="1" t="str">
        <f>'Groep C'!C9</f>
        <v>Iva Binnendijk *</v>
      </c>
      <c r="C32" s="1">
        <f>'Groep C'!D9</f>
        <v>8557670</v>
      </c>
      <c r="D32" s="1">
        <f>'Groep C'!F9</f>
        <v>356</v>
      </c>
      <c r="E32" s="1"/>
      <c r="F32" s="1"/>
      <c r="G32" s="1"/>
      <c r="H32" s="1"/>
      <c r="I32" s="1"/>
      <c r="J32" s="1"/>
      <c r="K32" s="1"/>
    </row>
    <row r="33" spans="1:11" x14ac:dyDescent="0.25">
      <c r="A33" s="1">
        <v>7</v>
      </c>
      <c r="B33" s="1" t="str">
        <f>'Groep C'!C10</f>
        <v>Ziad Dodik</v>
      </c>
      <c r="C33" s="1">
        <f>'Groep C'!D10</f>
        <v>8796139</v>
      </c>
      <c r="D33" s="1">
        <f>'Groep C'!F10</f>
        <v>333</v>
      </c>
      <c r="E33" s="1"/>
      <c r="F33" s="1"/>
      <c r="G33" s="1"/>
      <c r="H33" s="1"/>
      <c r="I33" s="1"/>
      <c r="J33" s="1"/>
      <c r="K33" s="1"/>
    </row>
    <row r="34" spans="1:11" x14ac:dyDescent="0.25">
      <c r="A34" s="1">
        <v>8</v>
      </c>
      <c r="B34" s="1" t="str">
        <f>'Groep C'!C11</f>
        <v>Bye</v>
      </c>
      <c r="C34" s="1">
        <f>'Groep C'!D11</f>
        <v>0</v>
      </c>
      <c r="D34" s="1">
        <f>'Groep C'!F11</f>
        <v>-1</v>
      </c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 t="s">
        <v>90</v>
      </c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55" t="s">
        <v>4</v>
      </c>
      <c r="B37" s="55" t="s">
        <v>6</v>
      </c>
      <c r="C37" s="55" t="s">
        <v>7</v>
      </c>
      <c r="D37" s="55" t="s">
        <v>8</v>
      </c>
      <c r="E37" s="1"/>
      <c r="F37" s="1"/>
      <c r="G37" s="1"/>
      <c r="H37" s="1"/>
      <c r="I37" s="1"/>
      <c r="J37" s="1"/>
      <c r="K37" s="1"/>
    </row>
    <row r="38" spans="1:11" x14ac:dyDescent="0.25">
      <c r="A38" s="1">
        <v>1</v>
      </c>
      <c r="B38" s="1" t="str">
        <f>'Groep D'!C4</f>
        <v>Reiko Dirksen</v>
      </c>
      <c r="C38" s="1">
        <f>'Groep D'!D4</f>
        <v>8704872</v>
      </c>
      <c r="D38" s="1">
        <f>'Groep D'!F4</f>
        <v>332</v>
      </c>
      <c r="E38" s="1"/>
      <c r="F38" s="1"/>
      <c r="G38" s="1"/>
      <c r="H38" s="1"/>
      <c r="I38" s="1"/>
      <c r="J38" s="1"/>
      <c r="K38" s="1"/>
    </row>
    <row r="39" spans="1:11" x14ac:dyDescent="0.25">
      <c r="A39" s="1">
        <v>2</v>
      </c>
      <c r="B39" s="1" t="str">
        <f>'Groep D'!C5</f>
        <v>Fleur Westerhof *</v>
      </c>
      <c r="C39" s="1">
        <f>'Groep D'!D5</f>
        <v>8731239</v>
      </c>
      <c r="D39" s="1">
        <f>'Groep D'!F5</f>
        <v>330</v>
      </c>
      <c r="E39" s="1"/>
      <c r="F39" s="1"/>
      <c r="G39" s="1"/>
      <c r="H39" s="1"/>
      <c r="I39" s="1"/>
      <c r="J39" s="1"/>
      <c r="K39" s="1"/>
    </row>
    <row r="40" spans="1:11" x14ac:dyDescent="0.25">
      <c r="A40" s="1">
        <v>3</v>
      </c>
      <c r="B40" s="1" t="str">
        <f>'Groep D'!C6</f>
        <v>Magdalena Shirokov *</v>
      </c>
      <c r="C40" s="1">
        <f>'Groep D'!D6</f>
        <v>8626068</v>
      </c>
      <c r="D40" s="1">
        <f>'Groep D'!F6</f>
        <v>321</v>
      </c>
      <c r="E40" s="1"/>
      <c r="F40" s="1"/>
      <c r="G40" s="1"/>
      <c r="H40" s="1"/>
      <c r="I40" s="1"/>
      <c r="J40" s="1"/>
      <c r="K40" s="1"/>
    </row>
    <row r="41" spans="1:11" x14ac:dyDescent="0.25">
      <c r="A41" s="1">
        <v>4</v>
      </c>
      <c r="B41" s="1" t="str">
        <f>'Groep D'!C7</f>
        <v>Maurijn Ahoud</v>
      </c>
      <c r="C41" s="1">
        <f>'Groep D'!D7</f>
        <v>8669353</v>
      </c>
      <c r="D41" s="1">
        <f>'Groep D'!F7</f>
        <v>282</v>
      </c>
      <c r="E41" s="1"/>
      <c r="F41" s="1"/>
      <c r="G41" s="1"/>
      <c r="H41" s="1"/>
      <c r="I41" s="1"/>
      <c r="J41" s="1"/>
      <c r="K41" s="1"/>
    </row>
    <row r="42" spans="1:11" x14ac:dyDescent="0.25">
      <c r="A42" s="1">
        <v>5</v>
      </c>
      <c r="B42" s="1" t="str">
        <f>'Groep D'!C8</f>
        <v>Koen Wattel</v>
      </c>
      <c r="C42" s="1">
        <f>'Groep D'!D8</f>
        <v>8768298</v>
      </c>
      <c r="D42" s="1">
        <f>'Groep D'!F8</f>
        <v>272</v>
      </c>
      <c r="E42" s="1"/>
      <c r="F42" s="1"/>
      <c r="G42" s="1"/>
      <c r="H42" s="1"/>
      <c r="I42" s="1"/>
      <c r="J42" s="1"/>
      <c r="K42" s="1"/>
    </row>
    <row r="43" spans="1:11" x14ac:dyDescent="0.25">
      <c r="A43" s="1">
        <v>6</v>
      </c>
      <c r="B43" s="1" t="str">
        <f>'Groep D'!C9</f>
        <v>Teun Cloosterman</v>
      </c>
      <c r="C43" s="1">
        <f>'Groep D'!D9</f>
        <v>8783709</v>
      </c>
      <c r="D43" s="1">
        <f>'Groep D'!F9</f>
        <v>268</v>
      </c>
      <c r="E43" s="1"/>
      <c r="F43" s="1"/>
      <c r="G43" s="1"/>
      <c r="H43" s="1"/>
      <c r="I43" s="1"/>
      <c r="J43" s="1"/>
      <c r="K43" s="1"/>
    </row>
    <row r="44" spans="1:11" x14ac:dyDescent="0.25">
      <c r="A44" s="1">
        <v>7</v>
      </c>
      <c r="B44" s="1" t="str">
        <f>'Groep D'!C10</f>
        <v>Robert Nica</v>
      </c>
      <c r="C44" s="1">
        <f>'Groep D'!D10</f>
        <v>8632261</v>
      </c>
      <c r="D44" s="1">
        <f>'Groep D'!F10</f>
        <v>237</v>
      </c>
      <c r="E44" s="1"/>
      <c r="F44" s="1"/>
      <c r="G44" s="1"/>
      <c r="H44" s="1"/>
      <c r="I44" s="1"/>
      <c r="J44" s="1"/>
      <c r="K44" s="1"/>
    </row>
    <row r="45" spans="1:11" x14ac:dyDescent="0.25">
      <c r="A45" s="1">
        <v>8</v>
      </c>
      <c r="B45" s="1" t="str">
        <f>'Groep D'!C11</f>
        <v>Bye</v>
      </c>
      <c r="C45" s="1">
        <f>'Groep D'!D11</f>
        <v>0</v>
      </c>
      <c r="D45" s="1">
        <f>'Groep D'!F11</f>
        <v>-1</v>
      </c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 t="s">
        <v>98</v>
      </c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55" t="s">
        <v>4</v>
      </c>
      <c r="B48" s="55" t="s">
        <v>6</v>
      </c>
      <c r="C48" s="55" t="s">
        <v>7</v>
      </c>
      <c r="D48" s="55" t="s">
        <v>8</v>
      </c>
      <c r="E48" s="1"/>
      <c r="F48" s="1"/>
      <c r="G48" s="1"/>
      <c r="H48" s="1"/>
      <c r="I48" s="1"/>
      <c r="J48" s="1"/>
      <c r="K48" s="1"/>
    </row>
    <row r="49" spans="1:11" x14ac:dyDescent="0.25">
      <c r="A49" s="1">
        <v>1</v>
      </c>
      <c r="B49" s="1" t="str">
        <f>'Groep E'!C4</f>
        <v>Eelco Drijfhout</v>
      </c>
      <c r="C49" s="1">
        <f>'Groep E'!D4</f>
        <v>8800671</v>
      </c>
      <c r="D49" s="1">
        <f>'Groep E'!F4</f>
        <v>224</v>
      </c>
      <c r="E49" s="1"/>
      <c r="F49" s="1"/>
      <c r="G49" s="1"/>
      <c r="H49" s="1"/>
      <c r="I49" s="1"/>
      <c r="J49" s="1"/>
      <c r="K49" s="1"/>
    </row>
    <row r="50" spans="1:11" x14ac:dyDescent="0.25">
      <c r="A50" s="1">
        <v>2</v>
      </c>
      <c r="B50" s="1" t="str">
        <f>'Groep E'!C5</f>
        <v>Tigran Grigorjan</v>
      </c>
      <c r="C50" s="1">
        <f>'Groep E'!D5</f>
        <v>8803520</v>
      </c>
      <c r="D50" s="1">
        <f>'Groep E'!F5</f>
        <v>223</v>
      </c>
      <c r="E50" s="1"/>
      <c r="F50" s="1"/>
      <c r="G50" s="1"/>
      <c r="H50" s="1"/>
      <c r="I50" s="1"/>
      <c r="J50" s="1"/>
      <c r="K50" s="1"/>
    </row>
    <row r="51" spans="1:11" x14ac:dyDescent="0.25">
      <c r="A51" s="1">
        <v>3</v>
      </c>
      <c r="B51" s="1" t="str">
        <f>'Groep E'!C6</f>
        <v>Yaroslav Shirokov</v>
      </c>
      <c r="C51" s="1">
        <f>'Groep E'!D6</f>
        <v>8724661</v>
      </c>
      <c r="D51" s="1">
        <f>'Groep E'!F6</f>
        <v>214</v>
      </c>
      <c r="E51" s="1"/>
      <c r="F51" s="1"/>
      <c r="G51" s="1"/>
      <c r="H51" s="1"/>
      <c r="I51" s="1"/>
      <c r="J51" s="1"/>
      <c r="K51" s="1"/>
    </row>
    <row r="52" spans="1:11" x14ac:dyDescent="0.25">
      <c r="A52" s="1">
        <v>4</v>
      </c>
      <c r="B52" s="1" t="str">
        <f>'Groep E'!C7</f>
        <v>David Formanoy</v>
      </c>
      <c r="C52" s="1">
        <f>'Groep E'!D7</f>
        <v>8762424</v>
      </c>
      <c r="D52" s="1">
        <f>'Groep E'!F7</f>
        <v>212</v>
      </c>
      <c r="E52" s="1"/>
      <c r="F52" s="1"/>
      <c r="G52" s="1"/>
      <c r="H52" s="1"/>
      <c r="I52" s="1"/>
      <c r="J52" s="1"/>
      <c r="K52" s="1"/>
    </row>
    <row r="53" spans="1:11" x14ac:dyDescent="0.25">
      <c r="A53" s="1">
        <v>5</v>
      </c>
      <c r="B53" s="1" t="str">
        <f>'Groep E'!C8</f>
        <v>Joris Frankema</v>
      </c>
      <c r="C53" s="1">
        <f>'Groep E'!D8</f>
        <v>8704993</v>
      </c>
      <c r="D53" s="1">
        <f>'Groep E'!F8</f>
        <v>211</v>
      </c>
      <c r="E53" s="1"/>
      <c r="F53" s="1"/>
      <c r="G53" s="1"/>
      <c r="H53" s="1"/>
      <c r="I53" s="1"/>
      <c r="J53" s="1"/>
      <c r="K53" s="1"/>
    </row>
    <row r="54" spans="1:11" x14ac:dyDescent="0.25">
      <c r="A54" s="1">
        <v>6</v>
      </c>
      <c r="B54" s="1" t="str">
        <f>'Groep E'!C9</f>
        <v>Oscar Hengeveld</v>
      </c>
      <c r="C54" s="1">
        <f>'Groep E'!D9</f>
        <v>8662632</v>
      </c>
      <c r="D54" s="1">
        <f>'Groep E'!F9</f>
        <v>198</v>
      </c>
      <c r="E54" s="1"/>
      <c r="F54" s="1"/>
      <c r="G54" s="1"/>
      <c r="H54" s="1"/>
      <c r="I54" s="1"/>
      <c r="J54" s="1"/>
      <c r="K54" s="1"/>
    </row>
    <row r="55" spans="1:11" x14ac:dyDescent="0.25">
      <c r="A55" s="1">
        <v>7</v>
      </c>
      <c r="B55" s="1" t="str">
        <f>'Groep E'!C10</f>
        <v>David Militonian</v>
      </c>
      <c r="C55" s="1">
        <f>'Groep E'!D10</f>
        <v>8795831</v>
      </c>
      <c r="D55" s="1">
        <f>'Groep E'!F10</f>
        <v>190</v>
      </c>
      <c r="E55" s="1"/>
      <c r="F55" s="1"/>
      <c r="G55" s="1"/>
      <c r="H55" s="1"/>
      <c r="I55" s="1"/>
      <c r="J55" s="1"/>
      <c r="K55" s="1"/>
    </row>
    <row r="56" spans="1:11" x14ac:dyDescent="0.25">
      <c r="A56" s="1">
        <v>8</v>
      </c>
      <c r="B56" s="1" t="str">
        <f>'Groep E'!C11</f>
        <v>Elianne Snijders *</v>
      </c>
      <c r="C56" s="1">
        <f>'Groep E'!D11</f>
        <v>8761390</v>
      </c>
      <c r="D56" s="1">
        <f>'Groep E'!F11</f>
        <v>190</v>
      </c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 t="s">
        <v>107</v>
      </c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55" t="s">
        <v>4</v>
      </c>
      <c r="B59" s="55" t="s">
        <v>6</v>
      </c>
      <c r="C59" s="55" t="s">
        <v>7</v>
      </c>
      <c r="D59" s="55" t="s">
        <v>8</v>
      </c>
      <c r="E59" s="1"/>
      <c r="F59" s="1"/>
      <c r="G59" s="1"/>
      <c r="H59" s="1"/>
      <c r="I59" s="1"/>
      <c r="J59" s="1"/>
      <c r="K59" s="1"/>
    </row>
    <row r="60" spans="1:11" x14ac:dyDescent="0.25">
      <c r="A60" s="1">
        <v>1</v>
      </c>
      <c r="B60" s="1" t="str">
        <f>'Groep F'!C4</f>
        <v>Istar Snijders</v>
      </c>
      <c r="C60" s="1">
        <f>'Groep F'!D4</f>
        <v>8697348</v>
      </c>
      <c r="D60" s="1">
        <f>'Groep F'!F4</f>
        <v>150</v>
      </c>
      <c r="E60" s="1"/>
      <c r="F60" s="1"/>
      <c r="G60" s="1"/>
      <c r="H60" s="1"/>
      <c r="I60" s="1"/>
      <c r="J60" s="1"/>
      <c r="K60" s="1"/>
    </row>
    <row r="61" spans="1:11" x14ac:dyDescent="0.25">
      <c r="A61" s="1">
        <v>2</v>
      </c>
      <c r="B61" s="1" t="str">
        <f>'Groep F'!C5</f>
        <v>Teun Zaalmink</v>
      </c>
      <c r="C61" s="1">
        <f>'Groep F'!D5</f>
        <v>8650444</v>
      </c>
      <c r="D61" s="1">
        <f>'Groep F'!F5</f>
        <v>150</v>
      </c>
      <c r="E61" s="1"/>
      <c r="F61" s="1"/>
      <c r="G61" s="1"/>
      <c r="H61" s="1"/>
      <c r="I61" s="1"/>
      <c r="J61" s="1"/>
      <c r="K61" s="1"/>
    </row>
    <row r="62" spans="1:11" x14ac:dyDescent="0.25">
      <c r="A62" s="1">
        <v>3</v>
      </c>
      <c r="B62" s="1" t="str">
        <f>'Groep F'!C6</f>
        <v>Quintus Keij</v>
      </c>
      <c r="C62" s="1">
        <f>'Groep F'!D6</f>
        <v>8787449</v>
      </c>
      <c r="D62" s="1">
        <f>'Groep F'!F6</f>
        <v>132</v>
      </c>
      <c r="E62" s="1"/>
      <c r="F62" s="1"/>
      <c r="G62" s="1"/>
      <c r="H62" s="1"/>
      <c r="I62" s="1"/>
      <c r="J62" s="1"/>
      <c r="K62" s="1"/>
    </row>
    <row r="63" spans="1:11" x14ac:dyDescent="0.25">
      <c r="A63" s="1">
        <v>4</v>
      </c>
      <c r="B63" s="1" t="str">
        <f>'Groep F'!C7</f>
        <v>Max Zheng</v>
      </c>
      <c r="C63" s="1">
        <f>'Groep F'!D7</f>
        <v>8809768</v>
      </c>
      <c r="D63" s="1">
        <f>'Groep F'!F7</f>
        <v>100</v>
      </c>
      <c r="E63" s="1"/>
      <c r="F63" s="1"/>
      <c r="G63" s="1"/>
      <c r="H63" s="1"/>
      <c r="I63" s="1"/>
      <c r="J63" s="1"/>
      <c r="K63" s="1"/>
    </row>
    <row r="64" spans="1:11" x14ac:dyDescent="0.25">
      <c r="A64" s="1">
        <v>5</v>
      </c>
      <c r="B64" s="1" t="str">
        <f>'Groep F'!C8</f>
        <v>Einar Fokers</v>
      </c>
      <c r="C64" s="1">
        <f>'Groep F'!D8</f>
        <v>8783280</v>
      </c>
      <c r="D64" s="1">
        <f>'Groep F'!F8</f>
        <v>150</v>
      </c>
      <c r="E64" s="1"/>
      <c r="F64" s="1"/>
      <c r="G64" s="1"/>
      <c r="H64" s="1"/>
      <c r="I64" s="1"/>
      <c r="J64" s="1"/>
      <c r="K64" s="1"/>
    </row>
    <row r="65" spans="1:11" x14ac:dyDescent="0.25">
      <c r="A65" s="1">
        <v>6</v>
      </c>
      <c r="B65" s="1" t="str">
        <f>'Groep F'!C9</f>
        <v>Kailas Bense</v>
      </c>
      <c r="C65" s="1">
        <f>'Groep F'!D9</f>
        <v>8809757</v>
      </c>
      <c r="D65" s="1">
        <f>'Groep F'!F9</f>
        <v>150</v>
      </c>
      <c r="E65" s="1"/>
      <c r="F65" s="1"/>
      <c r="G65" s="1"/>
      <c r="H65" s="1"/>
      <c r="I65" s="1"/>
      <c r="J65" s="1"/>
      <c r="K65" s="1"/>
    </row>
    <row r="66" spans="1:11" x14ac:dyDescent="0.25">
      <c r="A66" s="1">
        <v>7</v>
      </c>
      <c r="B66" s="1" t="str">
        <f>'Groep F'!C10</f>
        <v>David de Koeijer</v>
      </c>
      <c r="C66" s="1">
        <f>'Groep F'!D10</f>
        <v>8809735</v>
      </c>
      <c r="D66" s="1">
        <f>'Groep F'!F10</f>
        <v>150</v>
      </c>
      <c r="E66" s="1"/>
      <c r="F66" s="1"/>
      <c r="G66" s="1"/>
      <c r="H66" s="1"/>
      <c r="I66" s="1"/>
      <c r="J66" s="1"/>
      <c r="K66" s="1"/>
    </row>
    <row r="67" spans="1:11" x14ac:dyDescent="0.25">
      <c r="A67" s="1">
        <v>8</v>
      </c>
      <c r="B67" s="1" t="str">
        <f>'Groep F'!C11</f>
        <v>Bye</v>
      </c>
      <c r="C67" s="1">
        <f>'Groep F'!D11</f>
        <v>0</v>
      </c>
      <c r="D67" s="1">
        <f>'Groep F'!F11</f>
        <v>-1</v>
      </c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56" t="s">
        <v>37</v>
      </c>
      <c r="B1" s="56"/>
      <c r="C1" s="56"/>
      <c r="D1" s="56"/>
      <c r="E1" s="56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55" t="s">
        <v>6</v>
      </c>
      <c r="B3" s="55" t="s">
        <v>7</v>
      </c>
      <c r="C3" s="55" t="s">
        <v>8</v>
      </c>
      <c r="D3" s="55" t="s">
        <v>62</v>
      </c>
      <c r="E3" s="2"/>
      <c r="F3" s="1"/>
      <c r="G3" s="1"/>
      <c r="H3" s="1"/>
    </row>
    <row r="4" spans="1:8" x14ac:dyDescent="0.25">
      <c r="A4" s="3" t="str">
        <f>'Groep A'!C4</f>
        <v>Matthijs van Dodeweerd</v>
      </c>
      <c r="B4" s="3">
        <f>'Groep A'!D4</f>
        <v>8526958</v>
      </c>
      <c r="C4" s="3">
        <f>'Groep A'!F4</f>
        <v>1464</v>
      </c>
      <c r="D4" s="3" t="s">
        <v>63</v>
      </c>
      <c r="E4" s="3"/>
      <c r="F4" s="1"/>
      <c r="G4" s="1"/>
      <c r="H4" s="1"/>
    </row>
    <row r="5" spans="1:8" x14ac:dyDescent="0.25">
      <c r="A5" s="1" t="str">
        <f>'Groep A'!C5</f>
        <v>Stein van Tol</v>
      </c>
      <c r="B5" s="1">
        <f>'Groep A'!D5</f>
        <v>8445019</v>
      </c>
      <c r="C5" s="1">
        <f>'Groep A'!F5</f>
        <v>1391</v>
      </c>
      <c r="D5" s="1" t="s">
        <v>63</v>
      </c>
      <c r="E5" s="1"/>
      <c r="F5" s="1"/>
      <c r="G5" s="1"/>
      <c r="H5" s="1"/>
    </row>
    <row r="6" spans="1:8" x14ac:dyDescent="0.25">
      <c r="A6" s="1" t="str">
        <f>'Groep A'!C6</f>
        <v>Jannes Westerhof</v>
      </c>
      <c r="B6" s="1">
        <f>'Groep A'!D6</f>
        <v>8566503</v>
      </c>
      <c r="C6" s="1">
        <f>'Groep A'!F6</f>
        <v>1085</v>
      </c>
      <c r="D6" s="1" t="s">
        <v>63</v>
      </c>
      <c r="E6" s="1"/>
      <c r="F6" s="1"/>
      <c r="G6" s="1"/>
      <c r="H6" s="1"/>
    </row>
    <row r="7" spans="1:8" x14ac:dyDescent="0.25">
      <c r="A7" s="1" t="str">
        <f>'Groep A'!C7</f>
        <v>Wouter Wieggers</v>
      </c>
      <c r="B7" s="1">
        <f>'Groep A'!D7</f>
        <v>8621800</v>
      </c>
      <c r="C7" s="1">
        <f>'Groep A'!F7</f>
        <v>846</v>
      </c>
      <c r="D7" s="1" t="s">
        <v>63</v>
      </c>
      <c r="E7" s="1"/>
      <c r="F7" s="1"/>
      <c r="G7" s="1"/>
      <c r="H7" s="1"/>
    </row>
    <row r="8" spans="1:8" x14ac:dyDescent="0.25">
      <c r="A8" s="1" t="str">
        <f>'Groep A'!C8</f>
        <v>Bram Zaalmink</v>
      </c>
      <c r="B8" s="1">
        <f>'Groep A'!D8</f>
        <v>8632360</v>
      </c>
      <c r="C8" s="1">
        <f>'Groep A'!F8</f>
        <v>795</v>
      </c>
      <c r="D8" s="1" t="s">
        <v>63</v>
      </c>
      <c r="E8" s="1"/>
      <c r="F8" s="1"/>
      <c r="G8" s="1"/>
      <c r="H8" s="1"/>
    </row>
    <row r="9" spans="1:8" x14ac:dyDescent="0.25">
      <c r="A9" s="1" t="str">
        <f>'Groep A'!C9</f>
        <v>Abel Hogenhout</v>
      </c>
      <c r="B9" s="1">
        <f>'Groep A'!D9</f>
        <v>8589856</v>
      </c>
      <c r="C9" s="1">
        <f>'Groep A'!F9</f>
        <v>794</v>
      </c>
      <c r="D9" s="1" t="s">
        <v>63</v>
      </c>
      <c r="E9" s="1"/>
      <c r="F9" s="1"/>
      <c r="G9" s="1"/>
      <c r="H9" s="1"/>
    </row>
    <row r="10" spans="1:8" x14ac:dyDescent="0.25">
      <c r="A10" s="1" t="str">
        <f>'Groep A'!C10</f>
        <v>Joep Westerhof</v>
      </c>
      <c r="B10" s="1">
        <f>'Groep A'!D10</f>
        <v>8566492</v>
      </c>
      <c r="C10" s="1">
        <f>'Groep A'!F10</f>
        <v>749</v>
      </c>
      <c r="D10" s="1" t="s">
        <v>63</v>
      </c>
      <c r="E10" s="1"/>
      <c r="F10" s="1"/>
      <c r="G10" s="1"/>
      <c r="H10" s="1"/>
    </row>
    <row r="11" spans="1:8" x14ac:dyDescent="0.25">
      <c r="A11" s="1" t="str">
        <f>'Groep A'!C11</f>
        <v>Katja Tangarife Ramirez *</v>
      </c>
      <c r="B11" s="1">
        <f>'Groep A'!D11</f>
        <v>8588492</v>
      </c>
      <c r="C11" s="1">
        <f>'Groep A'!F11</f>
        <v>729</v>
      </c>
      <c r="D11" s="1" t="s">
        <v>63</v>
      </c>
      <c r="E11" s="1"/>
      <c r="F11" s="1"/>
      <c r="G11" s="1"/>
      <c r="H11" s="1"/>
    </row>
    <row r="12" spans="1:8" x14ac:dyDescent="0.25">
      <c r="A12" s="1" t="str">
        <f>'Groep B'!C4</f>
        <v>Wilfried Snijders</v>
      </c>
      <c r="B12" s="1">
        <f>'Groep B'!D4</f>
        <v>8697359</v>
      </c>
      <c r="C12" s="1">
        <f>'Groep B'!F4</f>
        <v>682</v>
      </c>
      <c r="D12" s="1" t="s">
        <v>72</v>
      </c>
      <c r="E12" s="1"/>
      <c r="F12" s="1"/>
      <c r="G12" s="1"/>
      <c r="H12" s="1"/>
    </row>
    <row r="13" spans="1:8" x14ac:dyDescent="0.25">
      <c r="A13" s="1" t="str">
        <f>'Groep B'!C5</f>
        <v>Nestor Shirokov</v>
      </c>
      <c r="B13" s="1">
        <f>'Groep B'!D5</f>
        <v>8593464</v>
      </c>
      <c r="C13" s="1">
        <f>'Groep B'!F5</f>
        <v>569</v>
      </c>
      <c r="D13" s="1" t="s">
        <v>72</v>
      </c>
      <c r="E13" s="1"/>
      <c r="F13" s="1"/>
      <c r="G13" s="1"/>
      <c r="H13" s="1"/>
    </row>
    <row r="14" spans="1:8" x14ac:dyDescent="0.25">
      <c r="A14" s="1" t="str">
        <f>'Groep B'!C6</f>
        <v>Floran Ahoud</v>
      </c>
      <c r="B14" s="1">
        <f>'Groep B'!D6</f>
        <v>8669210</v>
      </c>
      <c r="C14" s="1">
        <f>'Groep B'!F6</f>
        <v>533</v>
      </c>
      <c r="D14" s="1" t="s">
        <v>72</v>
      </c>
      <c r="E14" s="1"/>
      <c r="F14" s="1"/>
      <c r="G14" s="1"/>
      <c r="H14" s="1"/>
    </row>
    <row r="15" spans="1:8" x14ac:dyDescent="0.25">
      <c r="A15" s="1" t="str">
        <f>'Groep B'!C7</f>
        <v>Faya Damen *</v>
      </c>
      <c r="B15" s="1">
        <f>'Groep B'!D7</f>
        <v>8750687</v>
      </c>
      <c r="C15" s="1">
        <f>'Groep B'!F7</f>
        <v>520</v>
      </c>
      <c r="D15" s="1" t="s">
        <v>72</v>
      </c>
      <c r="E15" s="1"/>
      <c r="F15" s="1"/>
      <c r="G15" s="1"/>
      <c r="H15" s="1"/>
    </row>
    <row r="16" spans="1:8" x14ac:dyDescent="0.25">
      <c r="A16" s="1" t="str">
        <f>'Groep B'!C8</f>
        <v>Bram Wierbos</v>
      </c>
      <c r="B16" s="1">
        <f>'Groep B'!D8</f>
        <v>8729754</v>
      </c>
      <c r="C16" s="1">
        <f>'Groep B'!F8</f>
        <v>513</v>
      </c>
      <c r="D16" s="1" t="s">
        <v>72</v>
      </c>
      <c r="E16" s="1"/>
      <c r="F16" s="1"/>
      <c r="G16" s="1"/>
      <c r="H16" s="1"/>
    </row>
    <row r="17" spans="1:8" x14ac:dyDescent="0.25">
      <c r="A17" s="1" t="str">
        <f>'Groep B'!C9</f>
        <v>Cecilia Pereira Garza *</v>
      </c>
      <c r="B17" s="1">
        <f>'Groep B'!D9</f>
        <v>8749455</v>
      </c>
      <c r="C17" s="1">
        <f>'Groep B'!F9</f>
        <v>486</v>
      </c>
      <c r="D17" s="1" t="s">
        <v>72</v>
      </c>
      <c r="E17" s="1"/>
      <c r="F17" s="1"/>
      <c r="G17" s="1"/>
      <c r="H17" s="1"/>
    </row>
    <row r="18" spans="1:8" x14ac:dyDescent="0.25">
      <c r="A18" s="1" t="str">
        <f>'Groep B'!C10</f>
        <v>Tobias van Lieshout</v>
      </c>
      <c r="B18" s="1">
        <f>'Groep B'!D10</f>
        <v>8659233</v>
      </c>
      <c r="C18" s="1">
        <f>'Groep B'!F10</f>
        <v>473</v>
      </c>
      <c r="D18" s="1" t="s">
        <v>72</v>
      </c>
      <c r="E18" s="1"/>
      <c r="F18" s="1"/>
      <c r="G18" s="1"/>
      <c r="H18" s="1"/>
    </row>
    <row r="19" spans="1:8" x14ac:dyDescent="0.25">
      <c r="A19" s="1" t="str">
        <f>'Groep B'!C11</f>
        <v>Karsten Dam</v>
      </c>
      <c r="B19" s="1">
        <f>'Groep B'!D11</f>
        <v>8647474</v>
      </c>
      <c r="C19" s="1">
        <f>'Groep B'!F11</f>
        <v>462</v>
      </c>
      <c r="D19" s="1" t="s">
        <v>72</v>
      </c>
      <c r="E19" s="1"/>
      <c r="F19" s="1"/>
      <c r="G19" s="1"/>
      <c r="H19" s="1"/>
    </row>
    <row r="20" spans="1:8" x14ac:dyDescent="0.25">
      <c r="A20" s="1" t="str">
        <f>'Groep C'!C4</f>
        <v>Oscar Zecha</v>
      </c>
      <c r="B20" s="1">
        <f>'Groep C'!D4</f>
        <v>8794742</v>
      </c>
      <c r="C20" s="1">
        <f>'Groep C'!F4</f>
        <v>412</v>
      </c>
      <c r="D20" s="1" t="s">
        <v>81</v>
      </c>
      <c r="E20" s="1"/>
      <c r="F20" s="1"/>
      <c r="G20" s="1"/>
      <c r="H20" s="1"/>
    </row>
    <row r="21" spans="1:8" x14ac:dyDescent="0.25">
      <c r="A21" s="1" t="str">
        <f>'Groep C'!C5</f>
        <v>Maarten van Eck</v>
      </c>
      <c r="B21" s="1">
        <f>'Groep C'!D5</f>
        <v>8704828</v>
      </c>
      <c r="C21" s="1">
        <f>'Groep C'!F5</f>
        <v>395</v>
      </c>
      <c r="D21" s="1" t="s">
        <v>81</v>
      </c>
      <c r="E21" s="1"/>
      <c r="F21" s="1"/>
      <c r="G21" s="1"/>
      <c r="H21" s="1"/>
    </row>
    <row r="22" spans="1:8" x14ac:dyDescent="0.25">
      <c r="A22" s="1" t="str">
        <f>'Groep C'!C6</f>
        <v>Jelle van Mullekom</v>
      </c>
      <c r="B22" s="1">
        <f>'Groep C'!D6</f>
        <v>8631359</v>
      </c>
      <c r="C22" s="1">
        <f>'Groep C'!F6</f>
        <v>379</v>
      </c>
      <c r="D22" s="1" t="s">
        <v>81</v>
      </c>
      <c r="E22" s="1"/>
      <c r="F22" s="1"/>
      <c r="G22" s="1"/>
      <c r="H22" s="1"/>
    </row>
    <row r="23" spans="1:8" x14ac:dyDescent="0.25">
      <c r="A23" s="1" t="str">
        <f>'Groep C'!C7</f>
        <v>Julian Frankema</v>
      </c>
      <c r="B23" s="1">
        <f>'Groep C'!D7</f>
        <v>8705015</v>
      </c>
      <c r="C23" s="1">
        <f>'Groep C'!F7</f>
        <v>372</v>
      </c>
      <c r="D23" s="1" t="s">
        <v>81</v>
      </c>
      <c r="E23" s="1"/>
      <c r="F23" s="1"/>
      <c r="G23" s="1"/>
      <c r="H23" s="1"/>
    </row>
    <row r="24" spans="1:8" x14ac:dyDescent="0.25">
      <c r="A24" s="1" t="str">
        <f>'Groep C'!C8</f>
        <v>Philip Gabbert</v>
      </c>
      <c r="B24" s="1">
        <f>'Groep C'!D8</f>
        <v>8532414</v>
      </c>
      <c r="C24" s="1">
        <f>'Groep C'!F8</f>
        <v>358</v>
      </c>
      <c r="D24" s="1" t="s">
        <v>81</v>
      </c>
      <c r="E24" s="1"/>
      <c r="F24" s="1"/>
      <c r="G24" s="1"/>
      <c r="H24" s="1"/>
    </row>
    <row r="25" spans="1:8" x14ac:dyDescent="0.25">
      <c r="A25" s="1" t="str">
        <f>'Groep C'!C9</f>
        <v>Iva Binnendijk *</v>
      </c>
      <c r="B25" s="1">
        <f>'Groep C'!D9</f>
        <v>8557670</v>
      </c>
      <c r="C25" s="1">
        <f>'Groep C'!F9</f>
        <v>356</v>
      </c>
      <c r="D25" s="1" t="s">
        <v>81</v>
      </c>
      <c r="E25" s="1"/>
      <c r="F25" s="1"/>
      <c r="G25" s="1"/>
      <c r="H25" s="1"/>
    </row>
    <row r="26" spans="1:8" x14ac:dyDescent="0.25">
      <c r="A26" s="1" t="str">
        <f>'Groep C'!C10</f>
        <v>Ziad Dodik</v>
      </c>
      <c r="B26" s="1">
        <f>'Groep C'!D10</f>
        <v>8796139</v>
      </c>
      <c r="C26" s="1">
        <f>'Groep C'!F10</f>
        <v>333</v>
      </c>
      <c r="D26" s="1" t="s">
        <v>81</v>
      </c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 t="str">
        <f>'Groep D'!C4</f>
        <v>Reiko Dirksen</v>
      </c>
      <c r="B28" s="1">
        <f>'Groep D'!D4</f>
        <v>8704872</v>
      </c>
      <c r="C28" s="1">
        <f>'Groep D'!F4</f>
        <v>332</v>
      </c>
      <c r="D28" s="1" t="s">
        <v>90</v>
      </c>
      <c r="E28" s="1"/>
      <c r="F28" s="1"/>
      <c r="G28" s="1"/>
      <c r="H28" s="1"/>
    </row>
    <row r="29" spans="1:8" x14ac:dyDescent="0.25">
      <c r="A29" s="1" t="str">
        <f>'Groep D'!C5</f>
        <v>Fleur Westerhof *</v>
      </c>
      <c r="B29" s="1">
        <f>'Groep D'!D5</f>
        <v>8731239</v>
      </c>
      <c r="C29" s="1">
        <f>'Groep D'!F5</f>
        <v>330</v>
      </c>
      <c r="D29" s="1" t="s">
        <v>90</v>
      </c>
      <c r="E29" s="1"/>
      <c r="F29" s="1"/>
      <c r="G29" s="1"/>
      <c r="H29" s="1"/>
    </row>
    <row r="30" spans="1:8" x14ac:dyDescent="0.25">
      <c r="A30" s="1" t="str">
        <f>'Groep D'!C6</f>
        <v>Magdalena Shirokov *</v>
      </c>
      <c r="B30" s="1">
        <f>'Groep D'!D6</f>
        <v>8626068</v>
      </c>
      <c r="C30" s="1">
        <f>'Groep D'!F6</f>
        <v>321</v>
      </c>
      <c r="D30" s="1" t="s">
        <v>90</v>
      </c>
      <c r="E30" s="1"/>
      <c r="F30" s="1"/>
      <c r="G30" s="1"/>
      <c r="H30" s="1"/>
    </row>
    <row r="31" spans="1:8" x14ac:dyDescent="0.25">
      <c r="A31" s="1" t="str">
        <f>'Groep D'!C7</f>
        <v>Maurijn Ahoud</v>
      </c>
      <c r="B31" s="1">
        <f>'Groep D'!D7</f>
        <v>8669353</v>
      </c>
      <c r="C31" s="1">
        <f>'Groep D'!F7</f>
        <v>282</v>
      </c>
      <c r="D31" s="1" t="s">
        <v>90</v>
      </c>
      <c r="E31" s="1"/>
      <c r="F31" s="1"/>
      <c r="G31" s="1"/>
      <c r="H31" s="1"/>
    </row>
    <row r="32" spans="1:8" x14ac:dyDescent="0.25">
      <c r="A32" s="1" t="str">
        <f>'Groep D'!C8</f>
        <v>Koen Wattel</v>
      </c>
      <c r="B32" s="1">
        <f>'Groep D'!D8</f>
        <v>8768298</v>
      </c>
      <c r="C32" s="1">
        <f>'Groep D'!F8</f>
        <v>272</v>
      </c>
      <c r="D32" s="1" t="s">
        <v>90</v>
      </c>
      <c r="E32" s="1"/>
      <c r="F32" s="1"/>
      <c r="G32" s="1"/>
      <c r="H32" s="1"/>
    </row>
    <row r="33" spans="1:8" x14ac:dyDescent="0.25">
      <c r="A33" s="1" t="str">
        <f>'Groep D'!C9</f>
        <v>Teun Cloosterman</v>
      </c>
      <c r="B33" s="1">
        <f>'Groep D'!D9</f>
        <v>8783709</v>
      </c>
      <c r="C33" s="1">
        <f>'Groep D'!F9</f>
        <v>268</v>
      </c>
      <c r="D33" s="1" t="s">
        <v>90</v>
      </c>
      <c r="E33" s="1"/>
      <c r="F33" s="1"/>
      <c r="G33" s="1"/>
      <c r="H33" s="1"/>
    </row>
    <row r="34" spans="1:8" x14ac:dyDescent="0.25">
      <c r="A34" s="1" t="str">
        <f>'Groep D'!C10</f>
        <v>Robert Nica</v>
      </c>
      <c r="B34" s="1">
        <f>'Groep D'!D10</f>
        <v>8632261</v>
      </c>
      <c r="C34" s="1">
        <f>'Groep D'!F10</f>
        <v>237</v>
      </c>
      <c r="D34" s="1" t="s">
        <v>90</v>
      </c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 t="str">
        <f>'Groep E'!C4</f>
        <v>Eelco Drijfhout</v>
      </c>
      <c r="B36" s="1">
        <f>'Groep E'!D4</f>
        <v>8800671</v>
      </c>
      <c r="C36" s="1">
        <f>'Groep E'!F4</f>
        <v>224</v>
      </c>
      <c r="D36" s="1" t="s">
        <v>98</v>
      </c>
      <c r="E36" s="1"/>
      <c r="F36" s="1"/>
      <c r="G36" s="1"/>
      <c r="H36" s="1"/>
    </row>
    <row r="37" spans="1:8" x14ac:dyDescent="0.25">
      <c r="A37" s="1" t="str">
        <f>'Groep E'!C5</f>
        <v>Tigran Grigorjan</v>
      </c>
      <c r="B37" s="1">
        <f>'Groep E'!D5</f>
        <v>8803520</v>
      </c>
      <c r="C37" s="1">
        <f>'Groep E'!F5</f>
        <v>223</v>
      </c>
      <c r="D37" s="1" t="s">
        <v>98</v>
      </c>
      <c r="E37" s="1"/>
      <c r="F37" s="1"/>
      <c r="G37" s="1"/>
      <c r="H37" s="1"/>
    </row>
    <row r="38" spans="1:8" x14ac:dyDescent="0.25">
      <c r="A38" s="1" t="str">
        <f>'Groep E'!C6</f>
        <v>Yaroslav Shirokov</v>
      </c>
      <c r="B38" s="1">
        <f>'Groep E'!D6</f>
        <v>8724661</v>
      </c>
      <c r="C38" s="1">
        <f>'Groep E'!F6</f>
        <v>214</v>
      </c>
      <c r="D38" s="1" t="s">
        <v>98</v>
      </c>
      <c r="E38" s="1"/>
      <c r="F38" s="1"/>
      <c r="G38" s="1"/>
      <c r="H38" s="1"/>
    </row>
    <row r="39" spans="1:8" x14ac:dyDescent="0.25">
      <c r="A39" s="1" t="str">
        <f>'Groep E'!C7</f>
        <v>David Formanoy</v>
      </c>
      <c r="B39" s="1">
        <f>'Groep E'!D7</f>
        <v>8762424</v>
      </c>
      <c r="C39" s="1">
        <f>'Groep E'!F7</f>
        <v>212</v>
      </c>
      <c r="D39" s="1" t="s">
        <v>98</v>
      </c>
      <c r="E39" s="1"/>
      <c r="F39" s="1"/>
      <c r="G39" s="1"/>
      <c r="H39" s="1"/>
    </row>
    <row r="40" spans="1:8" x14ac:dyDescent="0.25">
      <c r="A40" s="1" t="str">
        <f>'Groep E'!C8</f>
        <v>Joris Frankema</v>
      </c>
      <c r="B40" s="1">
        <f>'Groep E'!D8</f>
        <v>8704993</v>
      </c>
      <c r="C40" s="1">
        <f>'Groep E'!F8</f>
        <v>211</v>
      </c>
      <c r="D40" s="1" t="s">
        <v>98</v>
      </c>
      <c r="E40" s="1"/>
      <c r="F40" s="1"/>
      <c r="G40" s="1"/>
      <c r="H40" s="1"/>
    </row>
    <row r="41" spans="1:8" x14ac:dyDescent="0.25">
      <c r="A41" s="1" t="str">
        <f>'Groep E'!C9</f>
        <v>Oscar Hengeveld</v>
      </c>
      <c r="B41" s="1">
        <f>'Groep E'!D9</f>
        <v>8662632</v>
      </c>
      <c r="C41" s="1">
        <f>'Groep E'!F9</f>
        <v>198</v>
      </c>
      <c r="D41" s="1" t="s">
        <v>98</v>
      </c>
      <c r="E41" s="1"/>
      <c r="F41" s="1"/>
      <c r="G41" s="1"/>
      <c r="H41" s="1"/>
    </row>
    <row r="42" spans="1:8" x14ac:dyDescent="0.25">
      <c r="A42" s="1" t="str">
        <f>'Groep E'!C10</f>
        <v>David Militonian</v>
      </c>
      <c r="B42" s="1">
        <f>'Groep E'!D10</f>
        <v>8795831</v>
      </c>
      <c r="C42" s="1">
        <f>'Groep E'!F10</f>
        <v>190</v>
      </c>
      <c r="D42" s="1" t="s">
        <v>98</v>
      </c>
      <c r="E42" s="1"/>
      <c r="F42" s="1"/>
      <c r="G42" s="1"/>
      <c r="H42" s="1"/>
    </row>
    <row r="43" spans="1:8" x14ac:dyDescent="0.25">
      <c r="A43" s="1" t="str">
        <f>'Groep E'!C11</f>
        <v>Elianne Snijders *</v>
      </c>
      <c r="B43" s="1">
        <f>'Groep E'!D11</f>
        <v>8761390</v>
      </c>
      <c r="C43" s="1">
        <f>'Groep E'!F11</f>
        <v>190</v>
      </c>
      <c r="D43" s="1" t="s">
        <v>98</v>
      </c>
      <c r="E43" s="1"/>
      <c r="F43" s="1"/>
      <c r="G43" s="1"/>
      <c r="H43" s="1"/>
    </row>
    <row r="44" spans="1:8" x14ac:dyDescent="0.25">
      <c r="A44" s="1" t="str">
        <f>'Groep F'!C4</f>
        <v>Istar Snijders</v>
      </c>
      <c r="B44" s="1">
        <f>'Groep F'!D4</f>
        <v>8697348</v>
      </c>
      <c r="C44" s="1">
        <f>'Groep F'!F4</f>
        <v>150</v>
      </c>
      <c r="D44" s="1" t="s">
        <v>107</v>
      </c>
      <c r="E44" s="1"/>
      <c r="F44" s="1"/>
      <c r="G44" s="1"/>
      <c r="H44" s="1"/>
    </row>
    <row r="45" spans="1:8" x14ac:dyDescent="0.25">
      <c r="A45" s="1" t="str">
        <f>'Groep F'!C5</f>
        <v>Teun Zaalmink</v>
      </c>
      <c r="B45" s="1">
        <f>'Groep F'!D5</f>
        <v>8650444</v>
      </c>
      <c r="C45" s="1">
        <f>'Groep F'!F5</f>
        <v>150</v>
      </c>
      <c r="D45" s="1" t="s">
        <v>107</v>
      </c>
      <c r="E45" s="1"/>
      <c r="F45" s="1"/>
      <c r="G45" s="1"/>
      <c r="H45" s="1"/>
    </row>
    <row r="46" spans="1:8" x14ac:dyDescent="0.25">
      <c r="A46" s="1" t="str">
        <f>'Groep F'!C6</f>
        <v>Quintus Keij</v>
      </c>
      <c r="B46" s="1">
        <f>'Groep F'!D6</f>
        <v>8787449</v>
      </c>
      <c r="C46" s="1">
        <f>'Groep F'!F6</f>
        <v>132</v>
      </c>
      <c r="D46" s="1" t="s">
        <v>107</v>
      </c>
      <c r="E46" s="1"/>
      <c r="F46" s="1"/>
      <c r="G46" s="1"/>
      <c r="H46" s="1"/>
    </row>
    <row r="47" spans="1:8" x14ac:dyDescent="0.25">
      <c r="A47" s="1" t="str">
        <f>'Groep F'!C7</f>
        <v>Max Zheng</v>
      </c>
      <c r="B47" s="1">
        <f>'Groep F'!D7</f>
        <v>8809768</v>
      </c>
      <c r="C47" s="1">
        <f>'Groep F'!F7</f>
        <v>100</v>
      </c>
      <c r="D47" s="1" t="s">
        <v>107</v>
      </c>
      <c r="E47" s="1"/>
      <c r="F47" s="1"/>
      <c r="G47" s="1"/>
      <c r="H47" s="1"/>
    </row>
    <row r="48" spans="1:8" x14ac:dyDescent="0.25">
      <c r="A48" s="1" t="str">
        <f>'Groep F'!C8</f>
        <v>Einar Fokers</v>
      </c>
      <c r="B48" s="1">
        <f>'Groep F'!D8</f>
        <v>8783280</v>
      </c>
      <c r="C48" s="1">
        <f>'Groep F'!F8</f>
        <v>150</v>
      </c>
      <c r="D48" s="1" t="s">
        <v>107</v>
      </c>
      <c r="E48" s="1"/>
      <c r="F48" s="1"/>
      <c r="G48" s="1"/>
      <c r="H48" s="1"/>
    </row>
    <row r="49" spans="1:8" x14ac:dyDescent="0.25">
      <c r="A49" s="1" t="str">
        <f>'Groep F'!C9</f>
        <v>Kailas Bense</v>
      </c>
      <c r="B49" s="1">
        <f>'Groep F'!D9</f>
        <v>8809757</v>
      </c>
      <c r="C49" s="1">
        <f>'Groep F'!F9</f>
        <v>150</v>
      </c>
      <c r="D49" s="1" t="s">
        <v>107</v>
      </c>
      <c r="E49" s="1"/>
      <c r="F49" s="1"/>
      <c r="G49" s="1"/>
      <c r="H49" s="1"/>
    </row>
    <row r="50" spans="1:8" x14ac:dyDescent="0.25">
      <c r="A50" s="1" t="str">
        <f>'Groep F'!C10</f>
        <v>David de Koeijer</v>
      </c>
      <c r="B50" s="1">
        <f>'Groep F'!D10</f>
        <v>8809735</v>
      </c>
      <c r="C50" s="1">
        <f>'Groep F'!F10</f>
        <v>150</v>
      </c>
      <c r="D50" s="1" t="s">
        <v>107</v>
      </c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39</v>
      </c>
      <c r="B1">
        <v>0</v>
      </c>
      <c r="C1" s="4" t="s">
        <v>41</v>
      </c>
      <c r="D1">
        <v>0</v>
      </c>
      <c r="E1">
        <v>1</v>
      </c>
    </row>
    <row r="2" spans="1:5" x14ac:dyDescent="0.25">
      <c r="A2" t="s">
        <v>61</v>
      </c>
      <c r="B2">
        <v>1</v>
      </c>
      <c r="C2" s="4" t="s">
        <v>40</v>
      </c>
      <c r="D2">
        <v>1</v>
      </c>
      <c r="E2">
        <v>0</v>
      </c>
    </row>
    <row r="3" spans="1:5" x14ac:dyDescent="0.25">
      <c r="B3">
        <v>2</v>
      </c>
      <c r="C3" s="4" t="s">
        <v>42</v>
      </c>
      <c r="D3">
        <v>0.5</v>
      </c>
      <c r="E3">
        <v>0.5</v>
      </c>
    </row>
    <row r="4" spans="1:5" x14ac:dyDescent="0.25">
      <c r="B4">
        <v>3</v>
      </c>
      <c r="C4" s="4" t="s">
        <v>59</v>
      </c>
      <c r="D4">
        <v>0</v>
      </c>
      <c r="E4">
        <v>1</v>
      </c>
    </row>
    <row r="5" spans="1:5" x14ac:dyDescent="0.25">
      <c r="B5">
        <v>4</v>
      </c>
      <c r="C5" s="4" t="s">
        <v>58</v>
      </c>
      <c r="D5">
        <v>1</v>
      </c>
      <c r="E5">
        <v>0</v>
      </c>
    </row>
    <row r="6" spans="1:5" x14ac:dyDescent="0.25">
      <c r="B6">
        <v>5</v>
      </c>
      <c r="C6" s="4" t="s">
        <v>60</v>
      </c>
      <c r="D6">
        <v>0.5</v>
      </c>
      <c r="E6">
        <v>0.5</v>
      </c>
    </row>
    <row r="7" spans="1:5" x14ac:dyDescent="0.25">
      <c r="B7">
        <v>6</v>
      </c>
      <c r="C7" s="4" t="s">
        <v>44</v>
      </c>
      <c r="D7">
        <v>0</v>
      </c>
      <c r="E7">
        <v>0</v>
      </c>
    </row>
    <row r="8" spans="1:5" x14ac:dyDescent="0.25">
      <c r="B8">
        <v>7</v>
      </c>
      <c r="C8" s="4" t="s">
        <v>45</v>
      </c>
      <c r="D8">
        <v>0</v>
      </c>
      <c r="E8">
        <v>1</v>
      </c>
    </row>
    <row r="9" spans="1:5" x14ac:dyDescent="0.25">
      <c r="B9">
        <v>8</v>
      </c>
      <c r="C9" s="4" t="s">
        <v>43</v>
      </c>
      <c r="D9">
        <v>1</v>
      </c>
      <c r="E9">
        <v>0</v>
      </c>
    </row>
    <row r="10" spans="1:5" x14ac:dyDescent="0.25">
      <c r="B10">
        <v>9</v>
      </c>
      <c r="C10" s="4" t="s">
        <v>46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63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A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2</v>
      </c>
      <c r="B4" s="25">
        <v>1</v>
      </c>
      <c r="C4" s="25" t="s">
        <v>64</v>
      </c>
      <c r="D4" s="58">
        <v>8526958</v>
      </c>
      <c r="E4" s="58"/>
      <c r="F4" s="25">
        <v>1464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0.5</v>
      </c>
      <c r="J4" s="27">
        <f t="shared" si="0"/>
        <v>0</v>
      </c>
      <c r="K4" s="27">
        <f t="shared" si="0"/>
        <v>1</v>
      </c>
      <c r="L4" s="27">
        <f t="shared" si="0"/>
        <v>1</v>
      </c>
      <c r="M4" s="27">
        <f t="shared" si="0"/>
        <v>1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5.5</v>
      </c>
      <c r="S4" s="8">
        <f>IF(H4="",0,H4)*$R$4+IF(I4="",0,I4)*$R$5+IF(J4="",0,J4)*$R$6+IF(K4="",0,K4)*$R$7+IF(L4="",0,L4)*$R$8+IF(M4="",0,M4)*$R$9+IF(N4="",0,N4)*$R$10+IF(O4="",0,O4)*$R$11</f>
        <v>15.75</v>
      </c>
      <c r="T4" s="8">
        <f>AQ4</f>
        <v>2</v>
      </c>
      <c r="U4" s="14"/>
      <c r="V4" s="29"/>
      <c r="W4" s="30">
        <v>1</v>
      </c>
      <c r="X4" s="30" t="str">
        <f>C4</f>
        <v>Matthijs van Dodeweerd</v>
      </c>
      <c r="Y4" s="31">
        <v>2</v>
      </c>
      <c r="Z4" s="32" t="str">
        <f>IF(ISNA(VLOOKUP(B4,$A$4:$T$11,3,FALSE)),C4,VLOOKUP(B4,$A$4:$T$11,3,FALSE))</f>
        <v>Stein van Tol</v>
      </c>
      <c r="AA4" s="50">
        <f>IF(ISNA(VLOOKUP($B4,$A$4:$T$11,18,FALSE)),0,VLOOKUP($B4,$A$4:$T$11,18,FALSE))</f>
        <v>6.5</v>
      </c>
      <c r="AB4" s="33">
        <f t="shared" ref="AB4" si="2">VLOOKUP($B4,$A$4:$T$11,18,FALSE)</f>
        <v>6.5</v>
      </c>
      <c r="AC4" s="12">
        <f>IF(ISNA(VLOOKUP($B4,$A$4:$T$11,19,FALSE)),0,VLOOKUP($B4,$A$4:$T$11,19,FALSE))</f>
        <v>18.75</v>
      </c>
      <c r="AD4" s="33">
        <f t="shared" ref="AD4:AD11" si="3">VLOOKUP($Y4,$AX$4:$BA$11,4,FALSE)</f>
        <v>40.5</v>
      </c>
      <c r="AE4" s="34">
        <f t="shared" ref="AE4:AE11" si="4">VLOOKUP($Y4,$B$4:$R$11,5,FALSE)</f>
        <v>1391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53">
        <f>$AG$13*R4+AG4</f>
        <v>16.5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16.5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16.5</v>
      </c>
      <c r="AM4" s="47"/>
      <c r="AN4" s="47">
        <f>RANK(AL4,$AL$4:$AL$11,1)-1</f>
        <v>6</v>
      </c>
      <c r="AO4" s="47">
        <f>RANK(S4,$S$4:$S$11,1)-1</f>
        <v>6</v>
      </c>
      <c r="AP4" s="47">
        <f>8*AN4+AO4</f>
        <v>54</v>
      </c>
      <c r="AQ4" s="47">
        <f>RANK(AP4,$AP$4:$AP$11)</f>
        <v>2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20</v>
      </c>
      <c r="AZ4" s="37">
        <f t="shared" ref="AZ4:AZ11" si="7">SUMIF($AY$13:$AY$55,B4,$BG$13:$BG$55)+SUMIF($AZ$13:$AZ$55,B4,$BH$13:$BH$55)</f>
        <v>7</v>
      </c>
      <c r="BA4" s="37">
        <f>SUM(BO4:BW4)</f>
        <v>36.5</v>
      </c>
      <c r="BC4" s="6">
        <v>1</v>
      </c>
      <c r="BD4" s="6">
        <f t="shared" ref="BD4:BL11" si="8">SUMIFS($J$16:$J$55,$AY$16:$AY$55,$BC4,$AX$16:$AX$55,BD$3)+SUMIFS($M$16:$M$55,$AZ$16:$AZ$55,$BC4,$AX$16:$AX$55,BD$3)</f>
        <v>1</v>
      </c>
      <c r="BE4" s="6">
        <f t="shared" si="8"/>
        <v>1</v>
      </c>
      <c r="BF4" s="6">
        <f t="shared" si="8"/>
        <v>1</v>
      </c>
      <c r="BG4" s="6">
        <f t="shared" si="8"/>
        <v>1</v>
      </c>
      <c r="BH4" s="6">
        <f t="shared" si="8"/>
        <v>1</v>
      </c>
      <c r="BI4" s="6">
        <f t="shared" si="8"/>
        <v>0</v>
      </c>
      <c r="BJ4" s="6">
        <f t="shared" si="8"/>
        <v>0.5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1</v>
      </c>
      <c r="BP4" s="6">
        <f t="shared" ref="BP4:BW11" si="9">BO4+BE4</f>
        <v>2</v>
      </c>
      <c r="BQ4" s="6">
        <f t="shared" si="9"/>
        <v>3</v>
      </c>
      <c r="BR4" s="6">
        <f t="shared" si="9"/>
        <v>4</v>
      </c>
      <c r="BS4" s="6">
        <f t="shared" si="9"/>
        <v>5</v>
      </c>
      <c r="BT4" s="6">
        <f t="shared" si="9"/>
        <v>5</v>
      </c>
      <c r="BU4" s="6">
        <f t="shared" si="9"/>
        <v>5.5</v>
      </c>
      <c r="BV4" s="6">
        <f t="shared" si="9"/>
        <v>5.5</v>
      </c>
      <c r="BW4" s="6">
        <f t="shared" si="9"/>
        <v>5.5</v>
      </c>
    </row>
    <row r="5" spans="1:75" x14ac:dyDescent="0.25">
      <c r="A5" s="24">
        <f t="shared" ref="A5:A12" si="10">T5</f>
        <v>1</v>
      </c>
      <c r="B5" s="25">
        <v>2</v>
      </c>
      <c r="C5" s="25" t="s">
        <v>65</v>
      </c>
      <c r="D5" s="58">
        <v>8445019</v>
      </c>
      <c r="E5" s="58"/>
      <c r="F5" s="25">
        <v>1391</v>
      </c>
      <c r="H5" s="27">
        <f t="shared" si="0"/>
        <v>0.5</v>
      </c>
      <c r="I5" s="26" t="str">
        <f t="shared" si="0"/>
        <v/>
      </c>
      <c r="J5" s="27">
        <f t="shared" si="0"/>
        <v>1</v>
      </c>
      <c r="K5" s="27">
        <f t="shared" si="0"/>
        <v>1</v>
      </c>
      <c r="L5" s="27">
        <f t="shared" si="0"/>
        <v>1</v>
      </c>
      <c r="M5" s="27">
        <f t="shared" si="0"/>
        <v>1</v>
      </c>
      <c r="N5" s="27">
        <f t="shared" si="0"/>
        <v>1</v>
      </c>
      <c r="O5" s="27">
        <f t="shared" si="0"/>
        <v>1</v>
      </c>
      <c r="P5" s="28"/>
      <c r="Q5" s="46"/>
      <c r="R5" s="49">
        <f t="shared" si="1"/>
        <v>6.5</v>
      </c>
      <c r="S5" s="8">
        <f t="shared" ref="S5:S11" si="11">IF(H5="",0,H5)*$R$4+IF(I5="",0,I5)*$R$5+IF(J5="",0,J5)*$R$6+IF(K5="",0,K5)*$R$7+IF(L5="",0,L5)*$R$8+IF(M5="",0,M5)*$R$9+IF(N5="",0,N5)*$R$10+IF(O5="",0,O5)*$R$11</f>
        <v>18.75</v>
      </c>
      <c r="T5" s="8">
        <f t="shared" ref="T5:T12" si="12">AQ5</f>
        <v>1</v>
      </c>
      <c r="U5" s="14"/>
      <c r="V5" s="29"/>
      <c r="W5" s="30">
        <v>2</v>
      </c>
      <c r="X5" s="30" t="str">
        <f t="shared" ref="X5:X11" si="13">C5</f>
        <v>Stein van Tol</v>
      </c>
      <c r="Y5" s="31">
        <v>7</v>
      </c>
      <c r="Z5" s="32" t="str">
        <f>IF(ISNA(VLOOKUP(B5,$A$4:$T$11,3,FALSE)),C5,VLOOKUP(B5,$A$4:$T$11,3,FALSE))</f>
        <v>Matthijs van Dodeweerd</v>
      </c>
      <c r="AA5" s="50">
        <f t="shared" ref="AA5:AA11" si="14">IF(ISNA(VLOOKUP($B5,$A$4:$T$11,18,FALSE)),0,VLOOKUP($B5,$A$4:$T$11,18,FALSE))</f>
        <v>5.5</v>
      </c>
      <c r="AB5" s="33">
        <f t="shared" ref="AB5:AB11" si="15">VLOOKUP($Y5,$AX$4:$BA$11,2,FALSE)</f>
        <v>5.5</v>
      </c>
      <c r="AC5" s="12">
        <f t="shared" ref="AC5:AC11" si="16">IF(ISNA(VLOOKUP($B5,$A$4:$T$11,19,FALSE)),0,VLOOKUP($B5,$A$4:$T$11,19,FALSE))</f>
        <v>15.75</v>
      </c>
      <c r="AD5" s="33">
        <f t="shared" si="3"/>
        <v>11.5</v>
      </c>
      <c r="AE5" s="34">
        <f t="shared" si="4"/>
        <v>749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53">
        <f t="shared" ref="AH5:AH11" si="18">$AG$13*R5+AG5</f>
        <v>19.5</v>
      </c>
      <c r="AI5" s="52">
        <f t="shared" si="5"/>
        <v>0</v>
      </c>
      <c r="AJ5" s="53">
        <f t="shared" ref="AJ5:AJ11" si="19">$AI$13*AH5+AI5</f>
        <v>19.5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19.5</v>
      </c>
      <c r="AM5" s="47"/>
      <c r="AN5" s="47">
        <f t="shared" ref="AN5:AN11" si="22">RANK(AL5,$AL$4:$AL$11,1)-1</f>
        <v>7</v>
      </c>
      <c r="AO5" s="47">
        <f t="shared" ref="AO5:AO12" si="23">RANK(S5,$S$4:$S$11,1)-1</f>
        <v>7</v>
      </c>
      <c r="AP5" s="47">
        <f t="shared" ref="AP5:AP12" si="24">8*AN5+AO5</f>
        <v>63</v>
      </c>
      <c r="AQ5" s="47">
        <f t="shared" ref="AQ5:AQ11" si="25">RANK(AP5,$AP$4:$AP$11)</f>
        <v>1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21</v>
      </c>
      <c r="AZ5" s="37">
        <f t="shared" si="7"/>
        <v>10</v>
      </c>
      <c r="BA5" s="37">
        <f t="shared" ref="BA5:BA11" si="26">SUM(BO5:BW5)</f>
        <v>40.5</v>
      </c>
      <c r="BC5" s="6">
        <v>2</v>
      </c>
      <c r="BD5" s="6">
        <f t="shared" si="8"/>
        <v>1</v>
      </c>
      <c r="BE5" s="6">
        <f t="shared" si="8"/>
        <v>1</v>
      </c>
      <c r="BF5" s="6">
        <f t="shared" si="8"/>
        <v>1</v>
      </c>
      <c r="BG5" s="6">
        <f t="shared" si="8"/>
        <v>1</v>
      </c>
      <c r="BH5" s="6">
        <f t="shared" si="8"/>
        <v>1</v>
      </c>
      <c r="BI5" s="6">
        <f t="shared" si="8"/>
        <v>1</v>
      </c>
      <c r="BJ5" s="6">
        <f t="shared" si="8"/>
        <v>0.5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1</v>
      </c>
      <c r="BP5" s="6">
        <f t="shared" si="9"/>
        <v>2</v>
      </c>
      <c r="BQ5" s="6">
        <f t="shared" si="9"/>
        <v>3</v>
      </c>
      <c r="BR5" s="6">
        <f t="shared" si="9"/>
        <v>4</v>
      </c>
      <c r="BS5" s="6">
        <f t="shared" si="9"/>
        <v>5</v>
      </c>
      <c r="BT5" s="6">
        <f t="shared" si="9"/>
        <v>6</v>
      </c>
      <c r="BU5" s="6">
        <f t="shared" si="9"/>
        <v>6.5</v>
      </c>
      <c r="BV5" s="6">
        <f t="shared" si="9"/>
        <v>6.5</v>
      </c>
      <c r="BW5" s="6">
        <f t="shared" si="9"/>
        <v>6.5</v>
      </c>
    </row>
    <row r="6" spans="1:75" x14ac:dyDescent="0.25">
      <c r="A6" s="24">
        <f t="shared" si="10"/>
        <v>4</v>
      </c>
      <c r="B6" s="25">
        <v>3</v>
      </c>
      <c r="C6" s="25" t="s">
        <v>66</v>
      </c>
      <c r="D6" s="58">
        <v>8566503</v>
      </c>
      <c r="E6" s="58"/>
      <c r="F6" s="25">
        <v>1085</v>
      </c>
      <c r="H6" s="27">
        <f t="shared" si="0"/>
        <v>1</v>
      </c>
      <c r="I6" s="27">
        <f t="shared" si="0"/>
        <v>0</v>
      </c>
      <c r="J6" s="26" t="str">
        <f t="shared" si="0"/>
        <v/>
      </c>
      <c r="K6" s="27">
        <f t="shared" si="0"/>
        <v>0</v>
      </c>
      <c r="L6" s="27">
        <f t="shared" si="0"/>
        <v>0</v>
      </c>
      <c r="M6" s="27">
        <f t="shared" si="0"/>
        <v>1</v>
      </c>
      <c r="N6" s="27">
        <f t="shared" si="0"/>
        <v>1</v>
      </c>
      <c r="O6" s="27">
        <f t="shared" si="0"/>
        <v>0.5</v>
      </c>
      <c r="P6" s="28"/>
      <c r="Q6" s="46"/>
      <c r="R6" s="49">
        <f t="shared" si="1"/>
        <v>3.5</v>
      </c>
      <c r="S6" s="8">
        <f t="shared" si="11"/>
        <v>9</v>
      </c>
      <c r="T6" s="9">
        <f>AQ6</f>
        <v>4</v>
      </c>
      <c r="U6" s="10"/>
      <c r="V6" s="29"/>
      <c r="W6" s="30">
        <v>3</v>
      </c>
      <c r="X6" s="30" t="str">
        <f t="shared" si="13"/>
        <v>Jannes Westerhof</v>
      </c>
      <c r="Y6" s="31">
        <v>1</v>
      </c>
      <c r="Z6" s="32" t="str">
        <f t="shared" ref="Z6:Z12" si="28">IF(ISNA(VLOOKUP(B6,$A$4:$T$11,3,FALSE)),C6,VLOOKUP(B6,$A$4:$T$11,3,FALSE))</f>
        <v>Wouter Wieggers</v>
      </c>
      <c r="AA6" s="50">
        <f t="shared" si="14"/>
        <v>4.5</v>
      </c>
      <c r="AB6" s="33">
        <f t="shared" si="15"/>
        <v>20</v>
      </c>
      <c r="AC6" s="12">
        <f t="shared" si="16"/>
        <v>10.5</v>
      </c>
      <c r="AD6" s="33">
        <f t="shared" si="3"/>
        <v>36.5</v>
      </c>
      <c r="AE6" s="34">
        <f t="shared" si="4"/>
        <v>1464</v>
      </c>
      <c r="AF6" s="47"/>
      <c r="AG6" s="52">
        <f t="shared" si="17"/>
        <v>0</v>
      </c>
      <c r="AH6" s="53">
        <f t="shared" si="18"/>
        <v>10.5</v>
      </c>
      <c r="AI6" s="52">
        <f t="shared" si="5"/>
        <v>0</v>
      </c>
      <c r="AJ6" s="53">
        <f t="shared" si="19"/>
        <v>10.5</v>
      </c>
      <c r="AK6" s="52">
        <f t="shared" si="20"/>
        <v>0</v>
      </c>
      <c r="AL6" s="47">
        <f t="shared" si="21"/>
        <v>10.5</v>
      </c>
      <c r="AM6" s="47"/>
      <c r="AN6" s="47">
        <f t="shared" si="22"/>
        <v>4</v>
      </c>
      <c r="AO6" s="47">
        <f t="shared" si="23"/>
        <v>4</v>
      </c>
      <c r="AP6" s="47">
        <f t="shared" si="24"/>
        <v>36</v>
      </c>
      <c r="AQ6" s="47">
        <f t="shared" si="25"/>
        <v>4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8.5</v>
      </c>
      <c r="AZ6" s="37">
        <f t="shared" si="7"/>
        <v>7.25</v>
      </c>
      <c r="BA6" s="37">
        <f t="shared" si="26"/>
        <v>19</v>
      </c>
      <c r="BC6" s="6">
        <v>3</v>
      </c>
      <c r="BD6" s="6">
        <f t="shared" si="8"/>
        <v>1</v>
      </c>
      <c r="BE6" s="6">
        <f t="shared" si="8"/>
        <v>0</v>
      </c>
      <c r="BF6" s="6">
        <f t="shared" si="8"/>
        <v>0</v>
      </c>
      <c r="BG6" s="6">
        <f t="shared" si="8"/>
        <v>0.5</v>
      </c>
      <c r="BH6" s="6">
        <f t="shared" si="8"/>
        <v>0</v>
      </c>
      <c r="BI6" s="6">
        <f t="shared" si="8"/>
        <v>1</v>
      </c>
      <c r="BJ6" s="6">
        <f t="shared" si="8"/>
        <v>1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1</v>
      </c>
      <c r="BP6" s="6">
        <f t="shared" si="9"/>
        <v>1</v>
      </c>
      <c r="BQ6" s="6">
        <f t="shared" si="9"/>
        <v>1</v>
      </c>
      <c r="BR6" s="6">
        <f t="shared" si="9"/>
        <v>1.5</v>
      </c>
      <c r="BS6" s="6">
        <f t="shared" si="9"/>
        <v>1.5</v>
      </c>
      <c r="BT6" s="6">
        <f t="shared" si="9"/>
        <v>2.5</v>
      </c>
      <c r="BU6" s="6">
        <f t="shared" si="9"/>
        <v>3.5</v>
      </c>
      <c r="BV6" s="6">
        <f t="shared" si="9"/>
        <v>3.5</v>
      </c>
      <c r="BW6" s="6">
        <f t="shared" si="9"/>
        <v>3.5</v>
      </c>
    </row>
    <row r="7" spans="1:75" x14ac:dyDescent="0.25">
      <c r="A7" s="24">
        <f t="shared" si="10"/>
        <v>3</v>
      </c>
      <c r="B7" s="25">
        <v>4</v>
      </c>
      <c r="C7" s="25" t="s">
        <v>67</v>
      </c>
      <c r="D7" s="58">
        <v>8621800</v>
      </c>
      <c r="E7" s="58"/>
      <c r="F7" s="25">
        <v>846</v>
      </c>
      <c r="H7" s="27">
        <f t="shared" si="0"/>
        <v>0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1</v>
      </c>
      <c r="M7" s="27">
        <f t="shared" si="0"/>
        <v>1</v>
      </c>
      <c r="N7" s="27">
        <f t="shared" si="0"/>
        <v>0.5</v>
      </c>
      <c r="O7" s="27">
        <f t="shared" si="0"/>
        <v>1</v>
      </c>
      <c r="P7" s="28"/>
      <c r="Q7" s="46"/>
      <c r="R7" s="49">
        <f t="shared" si="1"/>
        <v>4.5</v>
      </c>
      <c r="S7" s="8">
        <f t="shared" si="11"/>
        <v>10.5</v>
      </c>
      <c r="T7" s="8">
        <f t="shared" si="12"/>
        <v>3</v>
      </c>
      <c r="U7" s="14"/>
      <c r="V7" s="29"/>
      <c r="W7" s="30">
        <v>4</v>
      </c>
      <c r="X7" s="30" t="str">
        <f t="shared" si="13"/>
        <v>Wouter Wieggers</v>
      </c>
      <c r="Y7" s="31">
        <v>6</v>
      </c>
      <c r="Z7" s="32" t="str">
        <f t="shared" si="28"/>
        <v>Jannes Westerhof</v>
      </c>
      <c r="AA7" s="50">
        <f t="shared" si="14"/>
        <v>3.5</v>
      </c>
      <c r="AB7" s="33">
        <f t="shared" si="15"/>
        <v>0</v>
      </c>
      <c r="AC7" s="12">
        <f t="shared" si="16"/>
        <v>9</v>
      </c>
      <c r="AD7" s="33">
        <f t="shared" si="3"/>
        <v>0</v>
      </c>
      <c r="AE7" s="34">
        <f t="shared" si="4"/>
        <v>794</v>
      </c>
      <c r="AF7" s="47"/>
      <c r="AG7" s="52">
        <f t="shared" si="17"/>
        <v>0</v>
      </c>
      <c r="AH7" s="53">
        <f t="shared" si="18"/>
        <v>13.5</v>
      </c>
      <c r="AI7" s="52">
        <f t="shared" si="5"/>
        <v>0</v>
      </c>
      <c r="AJ7" s="53">
        <f t="shared" si="19"/>
        <v>13.5</v>
      </c>
      <c r="AK7" s="52">
        <f t="shared" si="20"/>
        <v>0</v>
      </c>
      <c r="AL7" s="47">
        <f t="shared" si="21"/>
        <v>13.5</v>
      </c>
      <c r="AM7" s="47"/>
      <c r="AN7" s="47">
        <f t="shared" si="22"/>
        <v>5</v>
      </c>
      <c r="AO7" s="47">
        <f t="shared" si="23"/>
        <v>5</v>
      </c>
      <c r="AP7" s="47">
        <f t="shared" si="24"/>
        <v>45</v>
      </c>
      <c r="AQ7" s="47">
        <f t="shared" si="25"/>
        <v>3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15.5</v>
      </c>
      <c r="AZ7" s="37">
        <f t="shared" si="7"/>
        <v>1.75</v>
      </c>
      <c r="BA7" s="37">
        <f t="shared" si="26"/>
        <v>29</v>
      </c>
      <c r="BC7" s="6">
        <v>4</v>
      </c>
      <c r="BD7" s="6">
        <f t="shared" si="8"/>
        <v>1</v>
      </c>
      <c r="BE7" s="6">
        <f t="shared" si="8"/>
        <v>1</v>
      </c>
      <c r="BF7" s="6">
        <f t="shared" si="8"/>
        <v>1</v>
      </c>
      <c r="BG7" s="6">
        <f t="shared" si="8"/>
        <v>0</v>
      </c>
      <c r="BH7" s="6">
        <f t="shared" si="8"/>
        <v>0</v>
      </c>
      <c r="BI7" s="6">
        <f t="shared" si="8"/>
        <v>0.5</v>
      </c>
      <c r="BJ7" s="6">
        <f t="shared" si="8"/>
        <v>1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2</v>
      </c>
      <c r="BQ7" s="6">
        <f t="shared" si="9"/>
        <v>3</v>
      </c>
      <c r="BR7" s="6">
        <f t="shared" si="9"/>
        <v>3</v>
      </c>
      <c r="BS7" s="6">
        <f t="shared" si="9"/>
        <v>3</v>
      </c>
      <c r="BT7" s="6">
        <f t="shared" si="9"/>
        <v>3.5</v>
      </c>
      <c r="BU7" s="6">
        <f t="shared" si="9"/>
        <v>4.5</v>
      </c>
      <c r="BV7" s="6">
        <f t="shared" si="9"/>
        <v>4.5</v>
      </c>
      <c r="BW7" s="6">
        <f t="shared" si="9"/>
        <v>4.5</v>
      </c>
    </row>
    <row r="8" spans="1:75" x14ac:dyDescent="0.25">
      <c r="A8" s="24">
        <f t="shared" si="10"/>
        <v>6</v>
      </c>
      <c r="B8" s="25">
        <v>5</v>
      </c>
      <c r="C8" s="25" t="s">
        <v>68</v>
      </c>
      <c r="D8" s="58">
        <v>8632360</v>
      </c>
      <c r="E8" s="58"/>
      <c r="F8" s="25">
        <v>795</v>
      </c>
      <c r="H8" s="27">
        <f t="shared" si="0"/>
        <v>0</v>
      </c>
      <c r="I8" s="27">
        <f t="shared" si="0"/>
        <v>0</v>
      </c>
      <c r="J8" s="27">
        <f t="shared" si="0"/>
        <v>1</v>
      </c>
      <c r="K8" s="27">
        <f t="shared" si="0"/>
        <v>0</v>
      </c>
      <c r="L8" s="26" t="str">
        <f t="shared" si="0"/>
        <v/>
      </c>
      <c r="M8" s="27">
        <f t="shared" si="0"/>
        <v>1</v>
      </c>
      <c r="N8" s="27">
        <f t="shared" si="0"/>
        <v>1</v>
      </c>
      <c r="O8" s="27">
        <f t="shared" si="0"/>
        <v>0</v>
      </c>
      <c r="P8" s="28"/>
      <c r="Q8" s="46"/>
      <c r="R8" s="49">
        <f t="shared" si="1"/>
        <v>3</v>
      </c>
      <c r="S8" s="8">
        <f t="shared" si="11"/>
        <v>5.5</v>
      </c>
      <c r="T8" s="8">
        <f t="shared" si="12"/>
        <v>6</v>
      </c>
      <c r="U8" s="14"/>
      <c r="V8" s="29"/>
      <c r="W8" s="30">
        <v>5</v>
      </c>
      <c r="X8" s="30" t="str">
        <f t="shared" si="13"/>
        <v>Bram Zaalmink</v>
      </c>
      <c r="Y8" s="31">
        <v>3</v>
      </c>
      <c r="Z8" s="32" t="str">
        <f t="shared" si="28"/>
        <v>Katja Tangarife Ramirez *</v>
      </c>
      <c r="AA8" s="50">
        <f t="shared" si="14"/>
        <v>3</v>
      </c>
      <c r="AB8" s="33">
        <f t="shared" si="15"/>
        <v>8.5</v>
      </c>
      <c r="AC8" s="12">
        <f t="shared" si="16"/>
        <v>5.75</v>
      </c>
      <c r="AD8" s="33">
        <f t="shared" si="3"/>
        <v>19</v>
      </c>
      <c r="AE8" s="34">
        <f t="shared" si="4"/>
        <v>1085</v>
      </c>
      <c r="AF8" s="47"/>
      <c r="AG8" s="52">
        <f t="shared" si="17"/>
        <v>0</v>
      </c>
      <c r="AH8" s="53">
        <f t="shared" si="18"/>
        <v>9</v>
      </c>
      <c r="AI8" s="52">
        <f t="shared" si="5"/>
        <v>0</v>
      </c>
      <c r="AJ8" s="53">
        <f t="shared" si="19"/>
        <v>9</v>
      </c>
      <c r="AK8" s="52">
        <f t="shared" si="20"/>
        <v>0</v>
      </c>
      <c r="AL8" s="47">
        <f t="shared" si="21"/>
        <v>9</v>
      </c>
      <c r="AM8" s="47"/>
      <c r="AN8" s="47">
        <f t="shared" si="22"/>
        <v>2</v>
      </c>
      <c r="AO8" s="47">
        <f t="shared" si="23"/>
        <v>2</v>
      </c>
      <c r="AP8" s="47">
        <f t="shared" si="24"/>
        <v>18</v>
      </c>
      <c r="AQ8" s="47">
        <f t="shared" si="25"/>
        <v>6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8</v>
      </c>
      <c r="AZ8" s="37">
        <f t="shared" si="7"/>
        <v>2.5</v>
      </c>
      <c r="BA8" s="37">
        <f t="shared" si="26"/>
        <v>17</v>
      </c>
      <c r="BC8" s="6">
        <v>5</v>
      </c>
      <c r="BD8" s="6">
        <f t="shared" si="8"/>
        <v>0</v>
      </c>
      <c r="BE8" s="6">
        <f t="shared" si="8"/>
        <v>1</v>
      </c>
      <c r="BF8" s="6">
        <f t="shared" si="8"/>
        <v>0</v>
      </c>
      <c r="BG8" s="6">
        <f t="shared" si="8"/>
        <v>0</v>
      </c>
      <c r="BH8" s="6">
        <f t="shared" si="8"/>
        <v>1</v>
      </c>
      <c r="BI8" s="6">
        <f t="shared" si="8"/>
        <v>1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1</v>
      </c>
      <c r="BQ8" s="6">
        <f t="shared" si="9"/>
        <v>1</v>
      </c>
      <c r="BR8" s="6">
        <f t="shared" si="9"/>
        <v>1</v>
      </c>
      <c r="BS8" s="6">
        <f t="shared" si="9"/>
        <v>2</v>
      </c>
      <c r="BT8" s="6">
        <f t="shared" si="9"/>
        <v>3</v>
      </c>
      <c r="BU8" s="6">
        <f t="shared" si="9"/>
        <v>3</v>
      </c>
      <c r="BV8" s="6">
        <f t="shared" si="9"/>
        <v>3</v>
      </c>
      <c r="BW8" s="6">
        <f t="shared" si="9"/>
        <v>3</v>
      </c>
    </row>
    <row r="9" spans="1:75" x14ac:dyDescent="0.25">
      <c r="A9" s="24">
        <f t="shared" si="10"/>
        <v>8</v>
      </c>
      <c r="B9" s="25">
        <v>6</v>
      </c>
      <c r="C9" s="25" t="s">
        <v>69</v>
      </c>
      <c r="D9" s="58">
        <v>8589856</v>
      </c>
      <c r="E9" s="58"/>
      <c r="F9" s="25">
        <v>794</v>
      </c>
      <c r="H9" s="27">
        <f t="shared" si="0"/>
        <v>0</v>
      </c>
      <c r="I9" s="27">
        <f t="shared" si="0"/>
        <v>0</v>
      </c>
      <c r="J9" s="27">
        <f t="shared" si="0"/>
        <v>0</v>
      </c>
      <c r="K9" s="27">
        <f t="shared" si="0"/>
        <v>0</v>
      </c>
      <c r="L9" s="27">
        <f t="shared" si="0"/>
        <v>0</v>
      </c>
      <c r="M9" s="26" t="str">
        <f t="shared" si="0"/>
        <v/>
      </c>
      <c r="N9" s="27">
        <f t="shared" si="0"/>
        <v>0</v>
      </c>
      <c r="O9" s="27">
        <f t="shared" si="0"/>
        <v>0</v>
      </c>
      <c r="P9" s="28"/>
      <c r="Q9" s="46"/>
      <c r="R9" s="49">
        <f t="shared" si="1"/>
        <v>0</v>
      </c>
      <c r="S9" s="8">
        <f t="shared" si="11"/>
        <v>0</v>
      </c>
      <c r="T9" s="8">
        <f t="shared" si="12"/>
        <v>8</v>
      </c>
      <c r="U9" s="14"/>
      <c r="V9" s="29"/>
      <c r="W9" s="30">
        <v>6</v>
      </c>
      <c r="X9" s="30" t="str">
        <f t="shared" si="13"/>
        <v>Abel Hogenhout</v>
      </c>
      <c r="Y9" s="31">
        <v>5</v>
      </c>
      <c r="Z9" s="32" t="str">
        <f t="shared" si="28"/>
        <v>Bram Zaalmink</v>
      </c>
      <c r="AA9" s="50">
        <f t="shared" si="14"/>
        <v>3</v>
      </c>
      <c r="AB9" s="33">
        <f t="shared" si="15"/>
        <v>8</v>
      </c>
      <c r="AC9" s="12">
        <f t="shared" si="16"/>
        <v>5.5</v>
      </c>
      <c r="AD9" s="33">
        <f t="shared" si="3"/>
        <v>17</v>
      </c>
      <c r="AE9" s="34">
        <f t="shared" si="4"/>
        <v>795</v>
      </c>
      <c r="AF9" s="47"/>
      <c r="AG9" s="52">
        <f t="shared" si="17"/>
        <v>0</v>
      </c>
      <c r="AH9" s="53">
        <f t="shared" si="18"/>
        <v>0</v>
      </c>
      <c r="AI9" s="52">
        <f t="shared" si="5"/>
        <v>0</v>
      </c>
      <c r="AJ9" s="53">
        <f t="shared" si="19"/>
        <v>0</v>
      </c>
      <c r="AK9" s="52">
        <f t="shared" si="20"/>
        <v>0</v>
      </c>
      <c r="AL9" s="47">
        <f t="shared" si="21"/>
        <v>0</v>
      </c>
      <c r="AM9" s="47"/>
      <c r="AN9" s="47">
        <f t="shared" si="22"/>
        <v>0</v>
      </c>
      <c r="AO9" s="47">
        <f t="shared" si="23"/>
        <v>0</v>
      </c>
      <c r="AP9" s="47">
        <f t="shared" si="24"/>
        <v>0</v>
      </c>
      <c r="AQ9" s="47">
        <f t="shared" si="25"/>
        <v>8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0</v>
      </c>
      <c r="AZ9" s="37">
        <f t="shared" si="7"/>
        <v>0</v>
      </c>
      <c r="BA9" s="37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7</v>
      </c>
      <c r="B10" s="25">
        <v>7</v>
      </c>
      <c r="C10" s="25" t="s">
        <v>70</v>
      </c>
      <c r="D10" s="58">
        <v>8566492</v>
      </c>
      <c r="E10" s="58"/>
      <c r="F10" s="25">
        <v>749</v>
      </c>
      <c r="H10" s="27">
        <f t="shared" si="0"/>
        <v>0</v>
      </c>
      <c r="I10" s="27">
        <f t="shared" si="0"/>
        <v>0</v>
      </c>
      <c r="J10" s="27">
        <f t="shared" si="0"/>
        <v>0</v>
      </c>
      <c r="K10" s="27">
        <f t="shared" si="0"/>
        <v>0.5</v>
      </c>
      <c r="L10" s="27">
        <f t="shared" si="0"/>
        <v>0</v>
      </c>
      <c r="M10" s="27">
        <f t="shared" si="0"/>
        <v>1</v>
      </c>
      <c r="N10" s="26" t="str">
        <f t="shared" si="0"/>
        <v/>
      </c>
      <c r="O10" s="27">
        <f t="shared" si="0"/>
        <v>0.5</v>
      </c>
      <c r="P10" s="28"/>
      <c r="Q10" s="46"/>
      <c r="R10" s="49">
        <f t="shared" si="1"/>
        <v>2</v>
      </c>
      <c r="S10" s="8">
        <f t="shared" si="11"/>
        <v>3.75</v>
      </c>
      <c r="T10" s="8">
        <f t="shared" si="12"/>
        <v>7</v>
      </c>
      <c r="U10" s="14"/>
      <c r="V10" s="29"/>
      <c r="W10" s="30">
        <v>7</v>
      </c>
      <c r="X10" s="30" t="str">
        <f t="shared" si="13"/>
        <v>Joep Westerhof</v>
      </c>
      <c r="Y10" s="31">
        <v>4</v>
      </c>
      <c r="Z10" s="32" t="str">
        <f t="shared" si="28"/>
        <v>Joep Westerhof</v>
      </c>
      <c r="AA10" s="50">
        <f t="shared" si="14"/>
        <v>2</v>
      </c>
      <c r="AB10" s="33">
        <f t="shared" si="15"/>
        <v>15.5</v>
      </c>
      <c r="AC10" s="12">
        <f t="shared" si="16"/>
        <v>3.75</v>
      </c>
      <c r="AD10" s="33">
        <f t="shared" si="3"/>
        <v>29</v>
      </c>
      <c r="AE10" s="34">
        <f t="shared" si="4"/>
        <v>846</v>
      </c>
      <c r="AF10" s="47"/>
      <c r="AG10" s="52">
        <f t="shared" si="17"/>
        <v>0</v>
      </c>
      <c r="AH10" s="53">
        <f t="shared" si="18"/>
        <v>6</v>
      </c>
      <c r="AI10" s="52">
        <f t="shared" si="5"/>
        <v>0</v>
      </c>
      <c r="AJ10" s="53">
        <f t="shared" si="19"/>
        <v>6</v>
      </c>
      <c r="AK10" s="52">
        <f t="shared" si="20"/>
        <v>0</v>
      </c>
      <c r="AL10" s="47">
        <f t="shared" si="21"/>
        <v>6</v>
      </c>
      <c r="AM10" s="47"/>
      <c r="AN10" s="47">
        <f t="shared" si="22"/>
        <v>1</v>
      </c>
      <c r="AO10" s="47">
        <f t="shared" si="23"/>
        <v>1</v>
      </c>
      <c r="AP10" s="47">
        <f t="shared" si="24"/>
        <v>9</v>
      </c>
      <c r="AQ10" s="47">
        <f t="shared" si="25"/>
        <v>7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5.5</v>
      </c>
      <c r="AZ10" s="37">
        <f t="shared" si="7"/>
        <v>1.5</v>
      </c>
      <c r="BA10" s="37">
        <f t="shared" si="26"/>
        <v>11.5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0.5</v>
      </c>
      <c r="BG10" s="6">
        <f t="shared" si="8"/>
        <v>1</v>
      </c>
      <c r="BH10" s="6">
        <f t="shared" si="8"/>
        <v>0</v>
      </c>
      <c r="BI10" s="6">
        <f t="shared" si="8"/>
        <v>0.5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0.5</v>
      </c>
      <c r="BR10" s="6">
        <f t="shared" si="9"/>
        <v>1.5</v>
      </c>
      <c r="BS10" s="6">
        <f t="shared" si="9"/>
        <v>1.5</v>
      </c>
      <c r="BT10" s="6">
        <f t="shared" si="9"/>
        <v>2</v>
      </c>
      <c r="BU10" s="6">
        <f t="shared" si="9"/>
        <v>2</v>
      </c>
      <c r="BV10" s="6">
        <f t="shared" si="9"/>
        <v>2</v>
      </c>
      <c r="BW10" s="6">
        <f t="shared" si="9"/>
        <v>2</v>
      </c>
    </row>
    <row r="11" spans="1:75" x14ac:dyDescent="0.25">
      <c r="A11" s="24">
        <f t="shared" si="10"/>
        <v>5</v>
      </c>
      <c r="B11" s="25">
        <v>8</v>
      </c>
      <c r="C11" s="25" t="s">
        <v>71</v>
      </c>
      <c r="D11" s="58">
        <v>8588492</v>
      </c>
      <c r="E11" s="58"/>
      <c r="F11" s="25">
        <v>729</v>
      </c>
      <c r="H11" s="27">
        <f t="shared" si="0"/>
        <v>0</v>
      </c>
      <c r="I11" s="27">
        <f t="shared" si="0"/>
        <v>0</v>
      </c>
      <c r="J11" s="27">
        <f t="shared" si="0"/>
        <v>0.5</v>
      </c>
      <c r="K11" s="27">
        <f t="shared" si="0"/>
        <v>0</v>
      </c>
      <c r="L11" s="27">
        <f t="shared" si="0"/>
        <v>1</v>
      </c>
      <c r="M11" s="27">
        <f t="shared" si="0"/>
        <v>1</v>
      </c>
      <c r="N11" s="27">
        <f t="shared" si="0"/>
        <v>0.5</v>
      </c>
      <c r="O11" s="26" t="str">
        <f t="shared" si="0"/>
        <v/>
      </c>
      <c r="P11" s="28"/>
      <c r="Q11" s="46"/>
      <c r="R11" s="49">
        <f t="shared" si="1"/>
        <v>3</v>
      </c>
      <c r="S11" s="8">
        <f t="shared" si="11"/>
        <v>5.75</v>
      </c>
      <c r="T11" s="8">
        <f t="shared" si="12"/>
        <v>5</v>
      </c>
      <c r="U11" s="14"/>
      <c r="V11" s="29"/>
      <c r="W11" s="30">
        <v>8</v>
      </c>
      <c r="X11" s="30" t="str">
        <f t="shared" si="13"/>
        <v>Katja Tangarife Ramirez *</v>
      </c>
      <c r="Y11" s="31">
        <v>8</v>
      </c>
      <c r="Z11" s="32" t="str">
        <f t="shared" si="28"/>
        <v>Abel Hogenhout</v>
      </c>
      <c r="AA11" s="50">
        <f t="shared" si="14"/>
        <v>0</v>
      </c>
      <c r="AB11" s="33">
        <f t="shared" si="15"/>
        <v>5.5</v>
      </c>
      <c r="AC11" s="12">
        <f t="shared" si="16"/>
        <v>0</v>
      </c>
      <c r="AD11" s="33">
        <f t="shared" si="3"/>
        <v>14.5</v>
      </c>
      <c r="AE11" s="34">
        <f t="shared" si="4"/>
        <v>729</v>
      </c>
      <c r="AF11" s="47"/>
      <c r="AG11" s="52">
        <f t="shared" si="17"/>
        <v>1</v>
      </c>
      <c r="AH11" s="53">
        <f t="shared" si="18"/>
        <v>10</v>
      </c>
      <c r="AI11" s="52">
        <f t="shared" si="5"/>
        <v>0</v>
      </c>
      <c r="AJ11" s="53">
        <f t="shared" si="19"/>
        <v>10</v>
      </c>
      <c r="AK11" s="52">
        <f t="shared" si="20"/>
        <v>0</v>
      </c>
      <c r="AL11" s="47">
        <f t="shared" si="21"/>
        <v>10</v>
      </c>
      <c r="AM11" s="47"/>
      <c r="AN11" s="47">
        <f t="shared" si="22"/>
        <v>3</v>
      </c>
      <c r="AO11" s="47">
        <f t="shared" si="23"/>
        <v>3</v>
      </c>
      <c r="AP11" s="47">
        <f t="shared" si="24"/>
        <v>27</v>
      </c>
      <c r="AQ11" s="47">
        <f t="shared" si="25"/>
        <v>5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5.5</v>
      </c>
      <c r="AZ11" s="37">
        <f t="shared" si="7"/>
        <v>3.5</v>
      </c>
      <c r="BA11" s="37">
        <f t="shared" si="26"/>
        <v>14.5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0.5</v>
      </c>
      <c r="BG11" s="6">
        <f t="shared" si="8"/>
        <v>0.5</v>
      </c>
      <c r="BH11" s="6">
        <f t="shared" si="8"/>
        <v>1</v>
      </c>
      <c r="BI11" s="6">
        <f t="shared" si="8"/>
        <v>0</v>
      </c>
      <c r="BJ11" s="6">
        <f t="shared" si="8"/>
        <v>1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0.5</v>
      </c>
      <c r="BR11" s="6">
        <f t="shared" si="9"/>
        <v>1</v>
      </c>
      <c r="BS11" s="6">
        <f t="shared" si="9"/>
        <v>2</v>
      </c>
      <c r="BT11" s="6">
        <f t="shared" si="9"/>
        <v>2</v>
      </c>
      <c r="BU11" s="6">
        <f t="shared" si="9"/>
        <v>3</v>
      </c>
      <c r="BV11" s="6">
        <f t="shared" si="9"/>
        <v>3</v>
      </c>
      <c r="BW11" s="6">
        <f t="shared" si="9"/>
        <v>3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>
        <f t="shared" si="23"/>
        <v>0</v>
      </c>
      <c r="AP12" s="47">
        <f t="shared" si="24"/>
        <v>0</v>
      </c>
      <c r="AQ12" s="47">
        <f>RANK(AP13,$AP$4:$AP$11,1)</f>
        <v>1</v>
      </c>
    </row>
    <row r="13" spans="1:75" x14ac:dyDescent="0.25">
      <c r="AG13" s="48">
        <f>2*MAX(AG4:AG11)+1</f>
        <v>3</v>
      </c>
      <c r="AH13" s="54"/>
      <c r="AI13" s="48">
        <f>2*MAX(AI4:AI11)+1</f>
        <v>1</v>
      </c>
      <c r="AK13" s="48">
        <f>2*MAX(AK4:AK11)+1</f>
        <v>1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Katja Tangarife Ramirez *</v>
      </c>
      <c r="D16" s="43" t="s">
        <v>5</v>
      </c>
      <c r="E16" s="57" t="str">
        <f>VLOOKUP(AZ16,$B$4:$F$11,2,FALSE)</f>
        <v>Matthijs van Dodeweerd</v>
      </c>
      <c r="F16" s="57"/>
      <c r="G16" s="57"/>
      <c r="H16" s="57"/>
      <c r="J16" s="57">
        <f>IF(T16="","",VLOOKUP(T16,Configuratie!$B$1:$E$10,3,FALSE))</f>
        <v>0</v>
      </c>
      <c r="K16" s="57"/>
      <c r="L16" s="6" t="s">
        <v>5</v>
      </c>
      <c r="M16" s="57">
        <f>IF(T16="","",VLOOKUP(T16,Configuratie!$B$1:$E$10,4,FALSE))</f>
        <v>1</v>
      </c>
      <c r="N16" s="57"/>
      <c r="R16" s="6" t="str">
        <f>IF(T16="","",VLOOKUP(T16,Configuratie!$B$1:$E$10,2,FALSE))</f>
        <v>0-1</v>
      </c>
      <c r="T16" s="5">
        <v>0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Joep Westerhof</v>
      </c>
      <c r="D17" s="43" t="s">
        <v>5</v>
      </c>
      <c r="E17" s="57" t="str">
        <f t="shared" ref="E17:E19" si="31">VLOOKUP(AZ17,$B$4:$F$11,2,FALSE)</f>
        <v>Stein van Tol</v>
      </c>
      <c r="F17" s="57"/>
      <c r="G17" s="57"/>
      <c r="H17" s="57"/>
      <c r="J17" s="57">
        <f>IF(T17="","",VLOOKUP(T17,Configuratie!$B$1:$E$10,3,FALSE))</f>
        <v>0</v>
      </c>
      <c r="K17" s="57"/>
      <c r="L17" s="6" t="s">
        <v>5</v>
      </c>
      <c r="M17" s="57">
        <f>IF(T17="","",VLOOKUP(T17,Configuratie!$B$1:$E$10,4,FALSE))</f>
        <v>1</v>
      </c>
      <c r="N17" s="57"/>
      <c r="R17" s="6" t="str">
        <f>IF(T17="","",VLOOKUP(T17,Configuratie!$B$1:$E$10,2,FALSE))</f>
        <v>0-1</v>
      </c>
      <c r="T17" s="5">
        <v>0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Abel Hogenhout</v>
      </c>
      <c r="D18" s="43" t="s">
        <v>5</v>
      </c>
      <c r="E18" s="57" t="str">
        <f t="shared" si="31"/>
        <v>Jannes Westerhof</v>
      </c>
      <c r="F18" s="57"/>
      <c r="G18" s="57"/>
      <c r="H18" s="57"/>
      <c r="J18" s="57">
        <f>IF(T18="","",VLOOKUP(T18,Configuratie!$B$1:$E$10,3,FALSE))</f>
        <v>0</v>
      </c>
      <c r="K18" s="57"/>
      <c r="L18" s="6" t="s">
        <v>5</v>
      </c>
      <c r="M18" s="57">
        <f>IF(T18="","",VLOOKUP(T18,Configuratie!$B$1:$E$10,4,FALSE))</f>
        <v>1</v>
      </c>
      <c r="N18" s="57"/>
      <c r="R18" s="6" t="str">
        <f>IF(T18="","",VLOOKUP(T18,Configuratie!$B$1:$E$10,2,FALSE))</f>
        <v>0-1</v>
      </c>
      <c r="T18" s="5">
        <v>0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Bram Zaalmink</v>
      </c>
      <c r="D19" s="43" t="s">
        <v>5</v>
      </c>
      <c r="E19" s="57" t="str">
        <f t="shared" si="31"/>
        <v>Wouter Wieggers</v>
      </c>
      <c r="F19" s="57"/>
      <c r="G19" s="57"/>
      <c r="H19" s="57"/>
      <c r="J19" s="57">
        <f>IF(T19="","",VLOOKUP(T19,Configuratie!$B$1:$E$10,3,FALSE))</f>
        <v>0</v>
      </c>
      <c r="K19" s="57"/>
      <c r="L19" s="6" t="s">
        <v>5</v>
      </c>
      <c r="M19" s="57">
        <f>IF(T19="","",VLOOKUP(T19,Configuratie!$B$1:$E$10,4,FALSE))</f>
        <v>1</v>
      </c>
      <c r="N19" s="57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Katja Tangarife Ramirez *</v>
      </c>
      <c r="D22" s="43" t="s">
        <v>5</v>
      </c>
      <c r="E22" s="57" t="str">
        <f>VLOOKUP(AZ22,$B$4:$F$11,2,FALSE)</f>
        <v>Wouter Wieggers</v>
      </c>
      <c r="F22" s="57"/>
      <c r="G22" s="57"/>
      <c r="H22" s="57"/>
      <c r="J22" s="57">
        <f>IF(T22="","",VLOOKUP(T22,Configuratie!$B$1:$E$10,3,FALSE))</f>
        <v>0</v>
      </c>
      <c r="K22" s="57"/>
      <c r="L22" s="6" t="s">
        <v>5</v>
      </c>
      <c r="M22" s="57">
        <f>IF(T22="","",VLOOKUP(T22,Configuratie!$B$1:$E$10,4,FALSE))</f>
        <v>1</v>
      </c>
      <c r="N22" s="57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0</v>
      </c>
      <c r="BF22" s="6">
        <f t="shared" si="32"/>
        <v>1</v>
      </c>
      <c r="BG22" s="6">
        <f>J22*BF22</f>
        <v>0</v>
      </c>
      <c r="BH22" s="6">
        <f>M22*BE22</f>
        <v>0</v>
      </c>
    </row>
    <row r="23" spans="2:60" x14ac:dyDescent="0.25">
      <c r="B23" s="6">
        <v>2</v>
      </c>
      <c r="C23" s="6" t="str">
        <f>VLOOKUP(AY23,$B$4:$F$11,2,FALSE)</f>
        <v>Jannes Westerhof</v>
      </c>
      <c r="D23" s="43" t="s">
        <v>5</v>
      </c>
      <c r="E23" s="57" t="str">
        <f t="shared" ref="E23:E25" si="33">VLOOKUP(AZ23,$B$4:$F$11,2,FALSE)</f>
        <v>Bram Zaalmink</v>
      </c>
      <c r="F23" s="57"/>
      <c r="G23" s="57"/>
      <c r="H23" s="57"/>
      <c r="J23" s="57">
        <f>IF(T23="","",VLOOKUP(T23,Configuratie!$B$1:$E$10,3,FALSE))</f>
        <v>0</v>
      </c>
      <c r="K23" s="57"/>
      <c r="L23" s="6" t="s">
        <v>5</v>
      </c>
      <c r="M23" s="57">
        <f>IF(T23="","",VLOOKUP(T23,Configuratie!$B$1:$E$10,4,FALSE))</f>
        <v>1</v>
      </c>
      <c r="N23" s="57"/>
      <c r="R23" s="6" t="str">
        <f>IF(T23="","",VLOOKUP(T23,Configuratie!$B$1:$E$10,2,FALSE))</f>
        <v>0-1</v>
      </c>
      <c r="T23" s="5">
        <v>0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1</v>
      </c>
      <c r="BF23" s="6">
        <f t="shared" si="32"/>
        <v>0</v>
      </c>
      <c r="BG23" s="6">
        <f>J23*BF23</f>
        <v>0</v>
      </c>
      <c r="BH23" s="6">
        <f>M23*BE23</f>
        <v>1</v>
      </c>
    </row>
    <row r="24" spans="2:60" x14ac:dyDescent="0.25">
      <c r="B24" s="6">
        <v>3</v>
      </c>
      <c r="C24" s="6" t="str">
        <f>VLOOKUP(AY24,$B$4:$F$11,2,FALSE)</f>
        <v>Stein van Tol</v>
      </c>
      <c r="D24" s="43" t="s">
        <v>5</v>
      </c>
      <c r="E24" s="57" t="str">
        <f t="shared" si="33"/>
        <v>Abel Hogenhout</v>
      </c>
      <c r="F24" s="57"/>
      <c r="G24" s="57"/>
      <c r="H24" s="57"/>
      <c r="J24" s="57">
        <f>IF(T24="","",VLOOKUP(T24,Configuratie!$B$1:$E$10,3,FALSE))</f>
        <v>1</v>
      </c>
      <c r="K24" s="57"/>
      <c r="L24" s="6" t="s">
        <v>5</v>
      </c>
      <c r="M24" s="57">
        <f>IF(T24="","",VLOOKUP(T24,Configuratie!$B$1:$E$10,4,FALSE))</f>
        <v>0</v>
      </c>
      <c r="N24" s="57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1</v>
      </c>
      <c r="BF24" s="6">
        <f t="shared" si="32"/>
        <v>0</v>
      </c>
      <c r="BG24" s="6">
        <f>J24*BF24</f>
        <v>0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Matthijs van Dodeweerd</v>
      </c>
      <c r="D25" s="43" t="s">
        <v>5</v>
      </c>
      <c r="E25" s="57" t="str">
        <f t="shared" si="33"/>
        <v>Joep Westerhof</v>
      </c>
      <c r="F25" s="57"/>
      <c r="G25" s="57"/>
      <c r="H25" s="57"/>
      <c r="J25" s="57">
        <f>IF(T25="","",VLOOKUP(T25,Configuratie!$B$1:$E$10,3,FALSE))</f>
        <v>1</v>
      </c>
      <c r="K25" s="57"/>
      <c r="L25" s="6" t="s">
        <v>5</v>
      </c>
      <c r="M25" s="57">
        <f>IF(T25="","",VLOOKUP(T25,Configuratie!$B$1:$E$10,4,FALSE))</f>
        <v>0</v>
      </c>
      <c r="N25" s="57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1</v>
      </c>
      <c r="BF25" s="6">
        <f t="shared" si="32"/>
        <v>0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Joep Westerhof</v>
      </c>
      <c r="D28" s="43" t="s">
        <v>5</v>
      </c>
      <c r="E28" s="57" t="str">
        <f>VLOOKUP(AZ28,$B$4:$F$11,2,FALSE)</f>
        <v>Katja Tangarife Ramirez *</v>
      </c>
      <c r="F28" s="57"/>
      <c r="G28" s="57"/>
      <c r="H28" s="57"/>
      <c r="J28" s="57">
        <f>IF(T28="","",VLOOKUP(T28,Configuratie!$B$1:$E$10,3,FALSE))</f>
        <v>0.5</v>
      </c>
      <c r="K28" s="57"/>
      <c r="L28" s="6" t="s">
        <v>5</v>
      </c>
      <c r="M28" s="57">
        <f>IF(T28="","",VLOOKUP(T28,Configuratie!$B$1:$E$10,4,FALSE))</f>
        <v>0.5</v>
      </c>
      <c r="N28" s="57"/>
      <c r="R28" s="6" t="str">
        <f>IF(T28="","",VLOOKUP(T28,Configuratie!$B$1:$E$10,2,FALSE))</f>
        <v>½-½</v>
      </c>
      <c r="T28" s="5">
        <v>2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>
        <f>J28*BF28</f>
        <v>0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Abel Hogenhout</v>
      </c>
      <c r="D29" s="43" t="s">
        <v>5</v>
      </c>
      <c r="E29" s="57" t="str">
        <f>VLOOKUP(AZ29,$B$4:$F$11,2,FALSE)</f>
        <v>Matthijs van Dodeweerd</v>
      </c>
      <c r="F29" s="57"/>
      <c r="G29" s="57"/>
      <c r="H29" s="57"/>
      <c r="J29" s="57">
        <f>IF(T29="","",VLOOKUP(T29,Configuratie!$B$1:$E$10,3,FALSE))</f>
        <v>0</v>
      </c>
      <c r="K29" s="57"/>
      <c r="L29" s="6" t="s">
        <v>5</v>
      </c>
      <c r="M29" s="57">
        <f>IF(T29="","",VLOOKUP(T29,Configuratie!$B$1:$E$10,4,FALSE))</f>
        <v>1</v>
      </c>
      <c r="N29" s="57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0</v>
      </c>
      <c r="BF29" s="6">
        <f t="shared" si="35"/>
        <v>2</v>
      </c>
      <c r="BG29" s="6">
        <f>J29*BF29</f>
        <v>0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Bram Zaalmink</v>
      </c>
      <c r="D30" s="43" t="s">
        <v>5</v>
      </c>
      <c r="E30" s="57" t="str">
        <f>VLOOKUP(AZ30,$B$4:$F$11,2,FALSE)</f>
        <v>Stein van Tol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1</v>
      </c>
      <c r="BF30" s="6">
        <f t="shared" si="35"/>
        <v>2</v>
      </c>
      <c r="BG30" s="6">
        <f>J30*BF30</f>
        <v>0</v>
      </c>
      <c r="BH30" s="6">
        <f>M30*BE30</f>
        <v>1</v>
      </c>
    </row>
    <row r="31" spans="2:60" x14ac:dyDescent="0.25">
      <c r="B31" s="6">
        <v>4</v>
      </c>
      <c r="C31" s="6" t="str">
        <f>VLOOKUP(AY31,$B$4:$F$11,2,FALSE)</f>
        <v>Wouter Wieggers</v>
      </c>
      <c r="D31" s="43" t="s">
        <v>5</v>
      </c>
      <c r="E31" s="57" t="str">
        <f>VLOOKUP(AZ31,$B$4:$F$11,2,FALSE)</f>
        <v>Jannes Westerhof</v>
      </c>
      <c r="F31" s="57"/>
      <c r="G31" s="57"/>
      <c r="H31" s="57"/>
      <c r="J31" s="57">
        <f>IF(T31="","",VLOOKUP(T31,Configuratie!$B$1:$E$10,3,FALSE))</f>
        <v>1</v>
      </c>
      <c r="K31" s="57"/>
      <c r="L31" s="6" t="s">
        <v>5</v>
      </c>
      <c r="M31" s="57">
        <f>IF(T31="","",VLOOKUP(T31,Configuratie!$B$1:$E$10,4,FALSE))</f>
        <v>0</v>
      </c>
      <c r="N31" s="57"/>
      <c r="R31" s="6" t="str">
        <f>IF(T31="","",VLOOKUP(T31,Configuratie!$B$1:$E$10,2,FALSE))</f>
        <v>1-0</v>
      </c>
      <c r="T31" s="5">
        <v>1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2</v>
      </c>
      <c r="BF31" s="6">
        <f t="shared" si="35"/>
        <v>1</v>
      </c>
      <c r="BG31" s="6">
        <f>J31*BF31</f>
        <v>1</v>
      </c>
      <c r="BH31" s="6">
        <f>M31*BE31</f>
        <v>0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Katja Tangarife Ramirez *</v>
      </c>
      <c r="D34" s="43" t="s">
        <v>5</v>
      </c>
      <c r="E34" s="57" t="str">
        <f>VLOOKUP(AZ34,$B$4:$F$11,2,FALSE)</f>
        <v>Jannes Westerhof</v>
      </c>
      <c r="F34" s="57"/>
      <c r="G34" s="57"/>
      <c r="H34" s="57"/>
      <c r="J34" s="57">
        <f>IF(T34="","",VLOOKUP(T34,Configuratie!$B$1:$E$10,3,FALSE))</f>
        <v>0.5</v>
      </c>
      <c r="K34" s="57"/>
      <c r="L34" s="6" t="s">
        <v>5</v>
      </c>
      <c r="M34" s="57">
        <f>IF(T34="","",VLOOKUP(T34,Configuratie!$B$1:$E$10,4,FALSE))</f>
        <v>0.5</v>
      </c>
      <c r="N34" s="57"/>
      <c r="R34" s="6" t="str">
        <f>IF(T34="","",VLOOKUP(T34,Configuratie!$B$1:$E$10,2,FALSE))</f>
        <v>½-½</v>
      </c>
      <c r="T34" s="5">
        <v>2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0.5</v>
      </c>
      <c r="BF34" s="6">
        <f t="shared" si="37"/>
        <v>1</v>
      </c>
      <c r="BG34" s="6">
        <f>J34*BF34</f>
        <v>0.5</v>
      </c>
      <c r="BH34" s="6">
        <f>M34*BE34</f>
        <v>0.25</v>
      </c>
    </row>
    <row r="35" spans="2:60" x14ac:dyDescent="0.25">
      <c r="B35" s="6">
        <v>2</v>
      </c>
      <c r="C35" s="6" t="str">
        <f>VLOOKUP(AY35,$B$4:$F$11,2,FALSE)</f>
        <v>Stein van Tol</v>
      </c>
      <c r="D35" s="43" t="s">
        <v>5</v>
      </c>
      <c r="E35" s="57" t="str">
        <f>VLOOKUP(AZ35,$B$4:$F$11,2,FALSE)</f>
        <v>Wouter Wieggers</v>
      </c>
      <c r="F35" s="57"/>
      <c r="G35" s="57"/>
      <c r="H35" s="57"/>
      <c r="J35" s="57">
        <f>IF(T35="","",VLOOKUP(T35,Configuratie!$B$1:$E$10,3,FALSE))</f>
        <v>1</v>
      </c>
      <c r="K35" s="57"/>
      <c r="L35" s="6" t="s">
        <v>5</v>
      </c>
      <c r="M35" s="57">
        <f>IF(T35="","",VLOOKUP(T35,Configuratie!$B$1:$E$10,4,FALSE))</f>
        <v>0</v>
      </c>
      <c r="N35" s="57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3</v>
      </c>
      <c r="BF35" s="6">
        <f t="shared" si="37"/>
        <v>3</v>
      </c>
      <c r="BG35" s="6">
        <f>J35*BF35</f>
        <v>3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Matthijs van Dodeweerd</v>
      </c>
      <c r="D36" s="43" t="s">
        <v>5</v>
      </c>
      <c r="E36" s="57" t="str">
        <f>VLOOKUP(AZ36,$B$4:$F$11,2,FALSE)</f>
        <v>Bram Zaalmink</v>
      </c>
      <c r="F36" s="57"/>
      <c r="G36" s="57"/>
      <c r="H36" s="57"/>
      <c r="J36" s="57">
        <f>IF(T36="","",VLOOKUP(T36,Configuratie!$B$1:$E$10,3,FALSE))</f>
        <v>1</v>
      </c>
      <c r="K36" s="57"/>
      <c r="L36" s="6" t="s">
        <v>5</v>
      </c>
      <c r="M36" s="57">
        <f>IF(T36="","",VLOOKUP(T36,Configuratie!$B$1:$E$10,4,FALSE))</f>
        <v>0</v>
      </c>
      <c r="N36" s="57"/>
      <c r="R36" s="6" t="str">
        <f>IF(T36="","",VLOOKUP(T36,Configuratie!$B$1:$E$10,2,FALSE))</f>
        <v>1-0</v>
      </c>
      <c r="T36" s="5">
        <v>1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3</v>
      </c>
      <c r="BF36" s="6">
        <f t="shared" si="37"/>
        <v>1</v>
      </c>
      <c r="BG36" s="6">
        <f>J36*BF36</f>
        <v>1</v>
      </c>
      <c r="BH36" s="6">
        <f>M36*BE36</f>
        <v>0</v>
      </c>
    </row>
    <row r="37" spans="2:60" x14ac:dyDescent="0.25">
      <c r="B37" s="6">
        <v>4</v>
      </c>
      <c r="C37" s="6" t="str">
        <f>VLOOKUP(AY37,$B$4:$F$11,2,FALSE)</f>
        <v>Joep Westerhof</v>
      </c>
      <c r="D37" s="43" t="s">
        <v>5</v>
      </c>
      <c r="E37" s="57" t="str">
        <f>VLOOKUP(AZ37,$B$4:$F$11,2,FALSE)</f>
        <v>Abel Hogenhout</v>
      </c>
      <c r="F37" s="57"/>
      <c r="G37" s="57"/>
      <c r="H37" s="57"/>
      <c r="J37" s="57">
        <f>IF(T37="","",VLOOKUP(T37,Configuratie!$B$1:$E$10,3,FALSE))</f>
        <v>1</v>
      </c>
      <c r="K37" s="57"/>
      <c r="L37" s="6" t="s">
        <v>5</v>
      </c>
      <c r="M37" s="57">
        <f>IF(T37="","",VLOOKUP(T37,Configuratie!$B$1:$E$10,4,FALSE))</f>
        <v>0</v>
      </c>
      <c r="N37" s="57"/>
      <c r="R37" s="6" t="str">
        <f>IF(T37="","",VLOOKUP(T37,Configuratie!$B$1:$E$10,2,FALSE))</f>
        <v>1-0</v>
      </c>
      <c r="T37" s="5">
        <v>1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0.5</v>
      </c>
      <c r="BF37" s="6">
        <f t="shared" si="37"/>
        <v>0</v>
      </c>
      <c r="BG37" s="6">
        <f>J37*BF37</f>
        <v>0</v>
      </c>
      <c r="BH37" s="6">
        <f>M37*BE37</f>
        <v>0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Abel Hogenhout</v>
      </c>
      <c r="D40" s="43" t="s">
        <v>5</v>
      </c>
      <c r="E40" s="57" t="str">
        <f>VLOOKUP(AZ40,$B$4:$F$11,2,FALSE)</f>
        <v>Katja Tangarife Ramirez *</v>
      </c>
      <c r="F40" s="57"/>
      <c r="G40" s="57"/>
      <c r="H40" s="57"/>
      <c r="J40" s="57">
        <f>IF(T40="","",VLOOKUP(T40,Configuratie!$B$1:$E$10,3,FALSE))</f>
        <v>0</v>
      </c>
      <c r="K40" s="57"/>
      <c r="L40" s="6" t="s">
        <v>5</v>
      </c>
      <c r="M40" s="57">
        <f>IF(T40="","",VLOOKUP(T40,Configuratie!$B$1:$E$10,4,FALSE))</f>
        <v>1</v>
      </c>
      <c r="N40" s="57"/>
      <c r="R40" s="6" t="str">
        <f>IF(T40="","",VLOOKUP(T40,Configuratie!$B$1:$E$10,2,FALSE))</f>
        <v>0-1</v>
      </c>
      <c r="T40" s="5">
        <v>0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0</v>
      </c>
      <c r="BF40" s="6">
        <f t="shared" si="39"/>
        <v>1</v>
      </c>
      <c r="BG40" s="6">
        <f>J40*BF40</f>
        <v>0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Bram Zaalmink</v>
      </c>
      <c r="D41" s="43" t="s">
        <v>5</v>
      </c>
      <c r="E41" s="57" t="str">
        <f>VLOOKUP(AZ41,$B$4:$F$11,2,FALSE)</f>
        <v>Joep Westerhof</v>
      </c>
      <c r="F41" s="57"/>
      <c r="G41" s="57"/>
      <c r="H41" s="57"/>
      <c r="J41" s="57">
        <f>IF(T41="","",VLOOKUP(T41,Configuratie!$B$1:$E$10,3,FALSE))</f>
        <v>1</v>
      </c>
      <c r="K41" s="57"/>
      <c r="L41" s="6" t="s">
        <v>5</v>
      </c>
      <c r="M41" s="57">
        <f>IF(T41="","",VLOOKUP(T41,Configuratie!$B$1:$E$10,4,FALSE))</f>
        <v>0</v>
      </c>
      <c r="N41" s="57"/>
      <c r="R41" s="6" t="str">
        <f>IF(T41="","",VLOOKUP(T41,Configuratie!$B$1:$E$10,2,FALSE))</f>
        <v>1-0</v>
      </c>
      <c r="T41" s="5">
        <v>1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1</v>
      </c>
      <c r="BF41" s="6">
        <f t="shared" si="39"/>
        <v>1.5</v>
      </c>
      <c r="BG41" s="6">
        <f>J41*BF41</f>
        <v>1.5</v>
      </c>
      <c r="BH41" s="6">
        <f>M41*BE41</f>
        <v>0</v>
      </c>
    </row>
    <row r="42" spans="2:60" x14ac:dyDescent="0.25">
      <c r="B42" s="6">
        <v>3</v>
      </c>
      <c r="C42" s="6" t="str">
        <f>VLOOKUP(AY42,$B$4:$F$11,2,FALSE)</f>
        <v>Wouter Wieggers</v>
      </c>
      <c r="D42" s="43" t="s">
        <v>5</v>
      </c>
      <c r="E42" s="57" t="str">
        <f>VLOOKUP(AZ42,$B$4:$F$11,2,FALSE)</f>
        <v>Matthijs van Dodeweerd</v>
      </c>
      <c r="F42" s="57"/>
      <c r="G42" s="57"/>
      <c r="H42" s="57"/>
      <c r="J42" s="57">
        <f>IF(T42="","",VLOOKUP(T42,Configuratie!$B$1:$E$10,3,FALSE))</f>
        <v>0</v>
      </c>
      <c r="K42" s="57"/>
      <c r="L42" s="6" t="s">
        <v>5</v>
      </c>
      <c r="M42" s="57">
        <f>IF(T42="","",VLOOKUP(T42,Configuratie!$B$1:$E$10,4,FALSE))</f>
        <v>1</v>
      </c>
      <c r="N42" s="57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3</v>
      </c>
      <c r="BF42" s="6">
        <f t="shared" si="39"/>
        <v>4</v>
      </c>
      <c r="BG42" s="6">
        <f>J42*BF42</f>
        <v>0</v>
      </c>
      <c r="BH42" s="6">
        <f>M42*BE42</f>
        <v>3</v>
      </c>
    </row>
    <row r="43" spans="2:60" x14ac:dyDescent="0.25">
      <c r="B43" s="6">
        <v>4</v>
      </c>
      <c r="C43" s="6" t="str">
        <f>VLOOKUP(AY43,$B$4:$F$11,2,FALSE)</f>
        <v>Jannes Westerhof</v>
      </c>
      <c r="D43" s="43" t="s">
        <v>5</v>
      </c>
      <c r="E43" s="57" t="str">
        <f>VLOOKUP(AZ43,$B$4:$F$11,2,FALSE)</f>
        <v>Stein van Tol</v>
      </c>
      <c r="F43" s="57"/>
      <c r="G43" s="57"/>
      <c r="H43" s="57"/>
      <c r="J43" s="57">
        <f>IF(T43="","",VLOOKUP(T43,Configuratie!$B$1:$E$10,3,FALSE))</f>
        <v>0</v>
      </c>
      <c r="K43" s="57"/>
      <c r="L43" s="6" t="s">
        <v>5</v>
      </c>
      <c r="M43" s="57">
        <f>IF(T43="","",VLOOKUP(T43,Configuratie!$B$1:$E$10,4,FALSE))</f>
        <v>1</v>
      </c>
      <c r="N43" s="57"/>
      <c r="R43" s="6" t="str">
        <f>IF(T43="","",VLOOKUP(T43,Configuratie!$B$1:$E$10,2,FALSE))</f>
        <v>0-1</v>
      </c>
      <c r="T43" s="5">
        <v>0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1.5</v>
      </c>
      <c r="BF43" s="6">
        <f t="shared" si="39"/>
        <v>4</v>
      </c>
      <c r="BG43" s="6">
        <f>J43*BF43</f>
        <v>0</v>
      </c>
      <c r="BH43" s="6">
        <f>M43*BE43</f>
        <v>1.5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Katja Tangarife Ramirez *</v>
      </c>
      <c r="D46" s="43" t="s">
        <v>5</v>
      </c>
      <c r="E46" s="57" t="str">
        <f>VLOOKUP(AZ46,$B$4:$F$11,2,FALSE)</f>
        <v>Stein van Tol</v>
      </c>
      <c r="F46" s="57"/>
      <c r="G46" s="57"/>
      <c r="H46" s="57"/>
      <c r="J46" s="57">
        <f>IF(T46="","",VLOOKUP(T46,Configuratie!$B$1:$E$10,3,FALSE))</f>
        <v>0</v>
      </c>
      <c r="K46" s="57"/>
      <c r="L46" s="6" t="s">
        <v>5</v>
      </c>
      <c r="M46" s="57">
        <f>IF(T46="","",VLOOKUP(T46,Configuratie!$B$1:$E$10,4,FALSE))</f>
        <v>1</v>
      </c>
      <c r="N46" s="57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2</v>
      </c>
      <c r="BF46" s="6">
        <f t="shared" si="41"/>
        <v>5</v>
      </c>
      <c r="BG46" s="6">
        <f>J46*BF46</f>
        <v>0</v>
      </c>
      <c r="BH46" s="6">
        <f>M46*BE46</f>
        <v>2</v>
      </c>
    </row>
    <row r="47" spans="2:60" x14ac:dyDescent="0.25">
      <c r="B47" s="6">
        <v>2</v>
      </c>
      <c r="C47" s="6" t="str">
        <f>VLOOKUP(AY47,$B$4:$F$11,2,FALSE)</f>
        <v>Matthijs van Dodeweerd</v>
      </c>
      <c r="D47" s="43" t="s">
        <v>5</v>
      </c>
      <c r="E47" s="57" t="str">
        <f>VLOOKUP(AZ47,$B$4:$F$11,2,FALSE)</f>
        <v>Jannes Westerhof</v>
      </c>
      <c r="F47" s="57"/>
      <c r="G47" s="57"/>
      <c r="H47" s="57"/>
      <c r="J47" s="57">
        <f>IF(T47="","",VLOOKUP(T47,Configuratie!$B$1:$E$10,3,FALSE))</f>
        <v>0</v>
      </c>
      <c r="K47" s="57"/>
      <c r="L47" s="6" t="s">
        <v>5</v>
      </c>
      <c r="M47" s="57">
        <f>IF(T47="","",VLOOKUP(T47,Configuratie!$B$1:$E$10,4,FALSE))</f>
        <v>1</v>
      </c>
      <c r="N47" s="57"/>
      <c r="R47" s="6" t="str">
        <f>IF(T47="","",VLOOKUP(T47,Configuratie!$B$1:$E$10,2,FALSE))</f>
        <v>0-1</v>
      </c>
      <c r="T47" s="5">
        <v>0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5</v>
      </c>
      <c r="BF47" s="6">
        <f t="shared" si="41"/>
        <v>1.5</v>
      </c>
      <c r="BG47" s="6">
        <f>J47*BF47</f>
        <v>0</v>
      </c>
      <c r="BH47" s="6">
        <f>M47*BE47</f>
        <v>5</v>
      </c>
    </row>
    <row r="48" spans="2:60" x14ac:dyDescent="0.25">
      <c r="B48" s="6">
        <v>3</v>
      </c>
      <c r="C48" s="6" t="str">
        <f>VLOOKUP(AY48,$B$4:$F$11,2,FALSE)</f>
        <v>Joep Westerhof</v>
      </c>
      <c r="D48" s="43" t="s">
        <v>5</v>
      </c>
      <c r="E48" s="57" t="str">
        <f>VLOOKUP(AZ48,$B$4:$F$11,2,FALSE)</f>
        <v>Wouter Wieggers</v>
      </c>
      <c r="F48" s="57"/>
      <c r="G48" s="57"/>
      <c r="H48" s="57"/>
      <c r="J48" s="57">
        <f>IF(T48="","",VLOOKUP(T48,Configuratie!$B$1:$E$10,3,FALSE))</f>
        <v>0.5</v>
      </c>
      <c r="K48" s="57"/>
      <c r="L48" s="6" t="s">
        <v>5</v>
      </c>
      <c r="M48" s="57">
        <f>IF(T48="","",VLOOKUP(T48,Configuratie!$B$1:$E$10,4,FALSE))</f>
        <v>0.5</v>
      </c>
      <c r="N48" s="57"/>
      <c r="R48" s="6" t="str">
        <f>IF(T48="","",VLOOKUP(T48,Configuratie!$B$1:$E$10,2,FALSE))</f>
        <v>½-½</v>
      </c>
      <c r="T48" s="5">
        <v>2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1.5</v>
      </c>
      <c r="BF48" s="6">
        <f t="shared" si="41"/>
        <v>3</v>
      </c>
      <c r="BG48" s="6">
        <f>J48*BF48</f>
        <v>1.5</v>
      </c>
      <c r="BH48" s="6">
        <f>M48*BE48</f>
        <v>0.75</v>
      </c>
    </row>
    <row r="49" spans="2:60" x14ac:dyDescent="0.25">
      <c r="B49" s="6">
        <v>4</v>
      </c>
      <c r="C49" s="6" t="str">
        <f>VLOOKUP(AY49,$B$4:$F$11,2,FALSE)</f>
        <v>Abel Hogenhout</v>
      </c>
      <c r="D49" s="43" t="s">
        <v>5</v>
      </c>
      <c r="E49" s="57" t="str">
        <f>VLOOKUP(AZ49,$B$4:$F$11,2,FALSE)</f>
        <v>Bram Zaalmink</v>
      </c>
      <c r="F49" s="57"/>
      <c r="G49" s="57"/>
      <c r="H49" s="57"/>
      <c r="J49" s="57">
        <f>IF(T49="","",VLOOKUP(T49,Configuratie!$B$1:$E$10,3,FALSE))</f>
        <v>0</v>
      </c>
      <c r="K49" s="57"/>
      <c r="L49" s="6" t="s">
        <v>5</v>
      </c>
      <c r="M49" s="57">
        <f>IF(T49="","",VLOOKUP(T49,Configuratie!$B$1:$E$10,4,FALSE))</f>
        <v>1</v>
      </c>
      <c r="N49" s="57"/>
      <c r="R49" s="6" t="str">
        <f>IF(T49="","",VLOOKUP(T49,Configuratie!$B$1:$E$10,2,FALSE))</f>
        <v>0-1</v>
      </c>
      <c r="T49" s="5">
        <v>0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0</v>
      </c>
      <c r="BF49" s="6">
        <f t="shared" si="41"/>
        <v>2</v>
      </c>
      <c r="BG49" s="6">
        <f>J49*BF49</f>
        <v>0</v>
      </c>
      <c r="BH49" s="6">
        <f>M49*BE49</f>
        <v>0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Bram Zaalmink</v>
      </c>
      <c r="D52" s="43" t="s">
        <v>5</v>
      </c>
      <c r="E52" s="57" t="str">
        <f>VLOOKUP(AZ52,$B$4:$F$11,2,FALSE)</f>
        <v>Katja Tangarife Ramirez *</v>
      </c>
      <c r="F52" s="57"/>
      <c r="G52" s="57"/>
      <c r="H52" s="57"/>
      <c r="J52" s="57">
        <f>IF(T52="","",VLOOKUP(T52,Configuratie!$B$1:$E$10,3,FALSE))</f>
        <v>0</v>
      </c>
      <c r="K52" s="57"/>
      <c r="L52" s="6" t="s">
        <v>5</v>
      </c>
      <c r="M52" s="57">
        <f>IF(T52="","",VLOOKUP(T52,Configuratie!$B$1:$E$10,4,FALSE))</f>
        <v>1</v>
      </c>
      <c r="N52" s="57"/>
      <c r="R52" s="6" t="str">
        <f>IF(T52="","",VLOOKUP(T52,Configuratie!$B$1:$E$10,2,FALSE))</f>
        <v>0-1</v>
      </c>
      <c r="T52" s="5">
        <v>0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3</v>
      </c>
      <c r="BF52" s="6">
        <f t="shared" si="43"/>
        <v>2</v>
      </c>
      <c r="BG52" s="6">
        <f>J52*BF52</f>
        <v>0</v>
      </c>
      <c r="BH52" s="6">
        <f>M52*BE52</f>
        <v>3</v>
      </c>
    </row>
    <row r="53" spans="2:60" x14ac:dyDescent="0.25">
      <c r="B53" s="6">
        <v>2</v>
      </c>
      <c r="C53" s="6" t="str">
        <f>VLOOKUP(AY53,$B$4:$F$11,2,FALSE)</f>
        <v>Wouter Wieggers</v>
      </c>
      <c r="D53" s="43" t="s">
        <v>5</v>
      </c>
      <c r="E53" s="57" t="str">
        <f>VLOOKUP(AZ53,$B$4:$F$11,2,FALSE)</f>
        <v>Abel Hogenhout</v>
      </c>
      <c r="F53" s="57"/>
      <c r="G53" s="57"/>
      <c r="H53" s="57"/>
      <c r="J53" s="57">
        <f>IF(T53="","",VLOOKUP(T53,Configuratie!$B$1:$E$10,3,FALSE))</f>
        <v>1</v>
      </c>
      <c r="K53" s="57"/>
      <c r="L53" s="6" t="s">
        <v>5</v>
      </c>
      <c r="M53" s="57">
        <f>IF(T53="","",VLOOKUP(T53,Configuratie!$B$1:$E$10,4,FALSE))</f>
        <v>0</v>
      </c>
      <c r="N53" s="57"/>
      <c r="R53" s="6" t="str">
        <f>IF(T53="","",VLOOKUP(T53,Configuratie!$B$1:$E$10,2,FALSE))</f>
        <v>1-0</v>
      </c>
      <c r="T53" s="5">
        <v>1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3.5</v>
      </c>
      <c r="BF53" s="6">
        <f t="shared" si="43"/>
        <v>0</v>
      </c>
      <c r="BG53" s="6">
        <f>J53*BF53</f>
        <v>0</v>
      </c>
      <c r="BH53" s="6">
        <f>M53*BE53</f>
        <v>0</v>
      </c>
    </row>
    <row r="54" spans="2:60" x14ac:dyDescent="0.25">
      <c r="B54" s="6">
        <v>3</v>
      </c>
      <c r="C54" s="6" t="str">
        <f>VLOOKUP(AY54,$B$4:$F$11,2,FALSE)</f>
        <v>Jannes Westerhof</v>
      </c>
      <c r="D54" s="43" t="s">
        <v>5</v>
      </c>
      <c r="E54" s="57" t="str">
        <f>VLOOKUP(AZ54,$B$4:$F$11,2,FALSE)</f>
        <v>Joep Westerhof</v>
      </c>
      <c r="F54" s="57"/>
      <c r="G54" s="57"/>
      <c r="H54" s="57"/>
      <c r="J54" s="57">
        <f>IF(T54="","",VLOOKUP(T54,Configuratie!$B$1:$E$10,3,FALSE))</f>
        <v>1</v>
      </c>
      <c r="K54" s="57"/>
      <c r="L54" s="6" t="s">
        <v>5</v>
      </c>
      <c r="M54" s="57">
        <f>IF(T54="","",VLOOKUP(T54,Configuratie!$B$1:$E$10,4,FALSE))</f>
        <v>0</v>
      </c>
      <c r="N54" s="57"/>
      <c r="R54" s="6" t="str">
        <f>IF(T54="","",VLOOKUP(T54,Configuratie!$B$1:$E$10,2,FALSE))</f>
        <v>1-0</v>
      </c>
      <c r="T54" s="5">
        <v>1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2.5</v>
      </c>
      <c r="BF54" s="6">
        <f t="shared" si="43"/>
        <v>2</v>
      </c>
      <c r="BG54" s="6">
        <f>J54*BF54</f>
        <v>2</v>
      </c>
      <c r="BH54" s="6">
        <f>M54*BE54</f>
        <v>0</v>
      </c>
    </row>
    <row r="55" spans="2:60" x14ac:dyDescent="0.25">
      <c r="B55" s="6">
        <v>4</v>
      </c>
      <c r="C55" s="6" t="str">
        <f>VLOOKUP(AY55,$B$4:$F$11,2,FALSE)</f>
        <v>Stein van Tol</v>
      </c>
      <c r="D55" s="43" t="s">
        <v>5</v>
      </c>
      <c r="E55" s="57" t="str">
        <f>VLOOKUP(AZ55,$B$4:$F$11,2,FALSE)</f>
        <v>Matthijs van Dodeweerd</v>
      </c>
      <c r="F55" s="57"/>
      <c r="G55" s="57"/>
      <c r="H55" s="57"/>
      <c r="J55" s="57">
        <f>IF(T55="","",VLOOKUP(T55,Configuratie!$B$1:$E$10,3,FALSE))</f>
        <v>0.5</v>
      </c>
      <c r="K55" s="57"/>
      <c r="L55" s="6" t="s">
        <v>5</v>
      </c>
      <c r="M55" s="57">
        <f>IF(T55="","",VLOOKUP(T55,Configuratie!$B$1:$E$10,4,FALSE))</f>
        <v>0.5</v>
      </c>
      <c r="N55" s="57"/>
      <c r="R55" s="6" t="str">
        <f>IF(T55="","",VLOOKUP(T55,Configuratie!$B$1:$E$10,2,FALSE))</f>
        <v>½-½</v>
      </c>
      <c r="T55" s="5">
        <v>2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6</v>
      </c>
      <c r="BF55" s="6">
        <f t="shared" si="43"/>
        <v>5</v>
      </c>
      <c r="BG55" s="6">
        <f>J55*BF55</f>
        <v>2.5</v>
      </c>
      <c r="BH55" s="6">
        <f>M55*BE55</f>
        <v>3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23" priority="4" stopIfTrue="1" operator="between">
      <formula>0</formula>
      <formula>1</formula>
    </cfRule>
  </conditionalFormatting>
  <conditionalFormatting sqref="T4:U11">
    <cfRule type="cellIs" dxfId="22" priority="1" operator="equal">
      <formula>3</formula>
    </cfRule>
    <cfRule type="cellIs" dxfId="21" priority="2" operator="equal">
      <formula>2</formula>
    </cfRule>
    <cfRule type="cellIs" dxfId="20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view="pageBreakPreview" topLeftCell="B1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72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B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7</v>
      </c>
      <c r="B4" s="25">
        <v>1</v>
      </c>
      <c r="C4" s="25" t="s">
        <v>73</v>
      </c>
      <c r="D4" s="58">
        <v>8697359</v>
      </c>
      <c r="E4" s="58"/>
      <c r="F4" s="25">
        <v>682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1</v>
      </c>
      <c r="J4" s="27">
        <f t="shared" si="0"/>
        <v>1</v>
      </c>
      <c r="K4" s="27">
        <f t="shared" si="0"/>
        <v>1</v>
      </c>
      <c r="L4" s="27">
        <f t="shared" si="0"/>
        <v>0</v>
      </c>
      <c r="M4" s="27">
        <f t="shared" si="0"/>
        <v>0</v>
      </c>
      <c r="N4" s="27">
        <f t="shared" si="0"/>
        <v>0</v>
      </c>
      <c r="O4" s="27">
        <f t="shared" si="0"/>
        <v>0</v>
      </c>
      <c r="P4" s="28"/>
      <c r="Q4" s="46"/>
      <c r="R4" s="49">
        <f t="shared" ref="R4:R11" si="1">SUM(H4:Q4)</f>
        <v>3</v>
      </c>
      <c r="S4" s="8">
        <f>IF(H4="",0,H4)*$R$4+IF(I4="",0,I4)*$R$5+IF(J4="",0,J4)*$R$6+IF(K4="",0,K4)*$R$7+IF(L4="",0,L4)*$R$8+IF(M4="",0,M4)*$R$9+IF(N4="",0,N4)*$R$10+IF(O4="",0,O4)*$R$11</f>
        <v>10.5</v>
      </c>
      <c r="T4" s="8">
        <f>AQ4</f>
        <v>7</v>
      </c>
      <c r="U4" s="14"/>
      <c r="V4" s="29"/>
      <c r="W4" s="30">
        <v>1</v>
      </c>
      <c r="X4" s="30" t="str">
        <f>C4</f>
        <v>Wilfried Snijders</v>
      </c>
      <c r="Y4" s="31">
        <v>2</v>
      </c>
      <c r="Z4" s="32" t="str">
        <f>IF(ISNA(VLOOKUP(B4,$A$4:$T$11,3,FALSE)),C4,VLOOKUP(B4,$A$4:$T$11,3,FALSE))</f>
        <v>Cecilia Pereira Garza *</v>
      </c>
      <c r="AA4" s="50">
        <f>IF(ISNA(VLOOKUP($B4,$A$4:$T$11,18,FALSE)),0,VLOOKUP($B4,$A$4:$T$11,18,FALSE))</f>
        <v>4.5</v>
      </c>
      <c r="AB4" s="33">
        <f t="shared" ref="AB4" si="2">VLOOKUP($B4,$A$4:$T$11,18,FALSE)</f>
        <v>4.5</v>
      </c>
      <c r="AC4" s="12">
        <f>IF(ISNA(VLOOKUP($B4,$A$4:$T$11,19,FALSE)),0,VLOOKUP($B4,$A$4:$T$11,19,FALSE))</f>
        <v>14.5</v>
      </c>
      <c r="AD4" s="33">
        <f t="shared" ref="AD4:AD11" si="3">VLOOKUP($Y4,$AX$4:$BA$11,4,FALSE)</f>
        <v>21.5</v>
      </c>
      <c r="AE4" s="34">
        <f t="shared" ref="AE4:AE11" si="4">VLOOKUP($Y4,$B$4:$R$11,5,FALSE)</f>
        <v>569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1</v>
      </c>
      <c r="AH4" s="53">
        <f>$AG$13*R4+AG4</f>
        <v>16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16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16</v>
      </c>
      <c r="AM4" s="47"/>
      <c r="AN4" s="47">
        <f>RANK(AL4,$AL$4:$AL$11,1)-1</f>
        <v>1</v>
      </c>
      <c r="AO4" s="47">
        <f>RANK(S4,$S$4:$S$11,1)-1</f>
        <v>1</v>
      </c>
      <c r="AP4" s="47">
        <f>8*AN4+AO4</f>
        <v>9</v>
      </c>
      <c r="AQ4" s="47">
        <f>RANK(AP4,$AP$4:$AP$11)</f>
        <v>7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3</v>
      </c>
      <c r="AZ4" s="37">
        <f t="shared" ref="AZ4:AZ11" si="7">SUMIF($AY$13:$AY$55,B4,$BG$13:$BG$55)+SUMIF($AZ$13:$AZ$55,B4,$BH$13:$BH$55)</f>
        <v>8.5</v>
      </c>
      <c r="BA4" s="37">
        <f>SUM(BO4:BW4)</f>
        <v>12</v>
      </c>
      <c r="BC4" s="6">
        <v>1</v>
      </c>
      <c r="BD4" s="6">
        <f t="shared" ref="BD4:BL11" si="8">SUMIFS($J$16:$J$55,$AY$16:$AY$55,$BC4,$AX$16:$AX$55,BD$3)+SUMIFS($M$16:$M$55,$AZ$16:$AZ$55,$BC4,$AX$16:$AX$55,BD$3)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1</v>
      </c>
      <c r="BI4" s="6">
        <f t="shared" si="8"/>
        <v>1</v>
      </c>
      <c r="BJ4" s="6">
        <f t="shared" si="8"/>
        <v>1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1</v>
      </c>
      <c r="BT4" s="6">
        <f t="shared" si="9"/>
        <v>2</v>
      </c>
      <c r="BU4" s="6">
        <f t="shared" si="9"/>
        <v>3</v>
      </c>
      <c r="BV4" s="6">
        <f t="shared" si="9"/>
        <v>3</v>
      </c>
      <c r="BW4" s="6">
        <f t="shared" si="9"/>
        <v>3</v>
      </c>
    </row>
    <row r="5" spans="1:75" x14ac:dyDescent="0.25">
      <c r="A5" s="24">
        <f t="shared" ref="A5:A12" si="10">T5</f>
        <v>4</v>
      </c>
      <c r="B5" s="25">
        <v>2</v>
      </c>
      <c r="C5" s="25" t="s">
        <v>74</v>
      </c>
      <c r="D5" s="58">
        <v>8593464</v>
      </c>
      <c r="E5" s="58"/>
      <c r="F5" s="25">
        <v>569</v>
      </c>
      <c r="H5" s="27">
        <f t="shared" si="0"/>
        <v>0</v>
      </c>
      <c r="I5" s="26" t="str">
        <f t="shared" si="0"/>
        <v/>
      </c>
      <c r="J5" s="27">
        <f t="shared" si="0"/>
        <v>0.5</v>
      </c>
      <c r="K5" s="27">
        <f t="shared" si="0"/>
        <v>0</v>
      </c>
      <c r="L5" s="27">
        <f t="shared" si="0"/>
        <v>1</v>
      </c>
      <c r="M5" s="27">
        <f t="shared" si="0"/>
        <v>1</v>
      </c>
      <c r="N5" s="27">
        <f t="shared" si="0"/>
        <v>0</v>
      </c>
      <c r="O5" s="27">
        <f t="shared" si="0"/>
        <v>1</v>
      </c>
      <c r="P5" s="28"/>
      <c r="Q5" s="46"/>
      <c r="R5" s="49">
        <f t="shared" si="1"/>
        <v>3.5</v>
      </c>
      <c r="S5" s="8">
        <f t="shared" ref="S5:S11" si="11">IF(H5="",0,H5)*$R$4+IF(I5="",0,I5)*$R$5+IF(J5="",0,J5)*$R$6+IF(K5="",0,K5)*$R$7+IF(L5="",0,L5)*$R$8+IF(M5="",0,M5)*$R$9+IF(N5="",0,N5)*$R$10+IF(O5="",0,O5)*$R$11</f>
        <v>13</v>
      </c>
      <c r="T5" s="8">
        <f t="shared" ref="T5:T12" si="12">AQ5</f>
        <v>4</v>
      </c>
      <c r="U5" s="14"/>
      <c r="V5" s="29"/>
      <c r="W5" s="30">
        <v>2</v>
      </c>
      <c r="X5" s="30" t="str">
        <f t="shared" ref="X5:X11" si="13">C5</f>
        <v>Nestor Shirokov</v>
      </c>
      <c r="Y5" s="31">
        <v>7</v>
      </c>
      <c r="Z5" s="32" t="str">
        <f>IF(ISNA(VLOOKUP(B5,$A$4:$T$11,3,FALSE)),C5,VLOOKUP(B5,$A$4:$T$11,3,FALSE))</f>
        <v>Floran Ahoud</v>
      </c>
      <c r="AA5" s="50">
        <f t="shared" ref="AA5:AA11" si="14">IF(ISNA(VLOOKUP($B5,$A$4:$T$11,18,FALSE)),0,VLOOKUP($B5,$A$4:$T$11,18,FALSE))</f>
        <v>4</v>
      </c>
      <c r="AB5" s="33">
        <f t="shared" ref="AB5:AB11" si="15">VLOOKUP($Y5,$AX$4:$BA$11,2,FALSE)</f>
        <v>15</v>
      </c>
      <c r="AC5" s="12">
        <f t="shared" ref="AC5:AC11" si="16">IF(ISNA(VLOOKUP($B5,$A$4:$T$11,19,FALSE)),0,VLOOKUP($B5,$A$4:$T$11,19,FALSE))</f>
        <v>14</v>
      </c>
      <c r="AD5" s="33">
        <f t="shared" si="3"/>
        <v>25.5</v>
      </c>
      <c r="AE5" s="34">
        <f t="shared" si="4"/>
        <v>473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1</v>
      </c>
      <c r="AH5" s="53">
        <f t="shared" ref="AH5:AH11" si="18">$AG$13*R5+AG5</f>
        <v>18.5</v>
      </c>
      <c r="AI5" s="52">
        <f t="shared" si="5"/>
        <v>0</v>
      </c>
      <c r="AJ5" s="53">
        <f t="shared" ref="AJ5:AJ11" si="19">$AI$13*AH5+AI5</f>
        <v>18.5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18.5</v>
      </c>
      <c r="AM5" s="47"/>
      <c r="AN5" s="47">
        <f t="shared" ref="AN5:AN11" si="22">RANK(AL5,$AL$4:$AL$11,1)-1</f>
        <v>4</v>
      </c>
      <c r="AO5" s="47">
        <f t="shared" ref="AO5:AO12" si="23">RANK(S5,$S$4:$S$11,1)-1</f>
        <v>5</v>
      </c>
      <c r="AP5" s="47">
        <f t="shared" ref="AP5:AP12" si="24">8*AN5+AO5</f>
        <v>37</v>
      </c>
      <c r="AQ5" s="47">
        <f t="shared" ref="AQ5:AQ11" si="25">RANK(AP5,$AP$4:$AP$11)</f>
        <v>4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11</v>
      </c>
      <c r="AZ5" s="37">
        <f t="shared" si="7"/>
        <v>6.25</v>
      </c>
      <c r="BA5" s="37">
        <f t="shared" ref="BA5:BA11" si="26">SUM(BO5:BW5)</f>
        <v>21.5</v>
      </c>
      <c r="BC5" s="6">
        <v>2</v>
      </c>
      <c r="BD5" s="6">
        <f t="shared" si="8"/>
        <v>0</v>
      </c>
      <c r="BE5" s="6">
        <f t="shared" si="8"/>
        <v>1</v>
      </c>
      <c r="BF5" s="6">
        <f t="shared" si="8"/>
        <v>1</v>
      </c>
      <c r="BG5" s="6">
        <f t="shared" si="8"/>
        <v>0</v>
      </c>
      <c r="BH5" s="6">
        <f t="shared" si="8"/>
        <v>0.5</v>
      </c>
      <c r="BI5" s="6">
        <f t="shared" si="8"/>
        <v>1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1</v>
      </c>
      <c r="BQ5" s="6">
        <f t="shared" si="9"/>
        <v>2</v>
      </c>
      <c r="BR5" s="6">
        <f t="shared" si="9"/>
        <v>2</v>
      </c>
      <c r="BS5" s="6">
        <f t="shared" si="9"/>
        <v>2.5</v>
      </c>
      <c r="BT5" s="6">
        <f t="shared" si="9"/>
        <v>3.5</v>
      </c>
      <c r="BU5" s="6">
        <f t="shared" si="9"/>
        <v>3.5</v>
      </c>
      <c r="BV5" s="6">
        <f t="shared" si="9"/>
        <v>3.5</v>
      </c>
      <c r="BW5" s="6">
        <f t="shared" si="9"/>
        <v>3.5</v>
      </c>
    </row>
    <row r="6" spans="1:75" x14ac:dyDescent="0.25">
      <c r="A6" s="24">
        <f t="shared" si="10"/>
        <v>2</v>
      </c>
      <c r="B6" s="25">
        <v>3</v>
      </c>
      <c r="C6" s="25" t="s">
        <v>75</v>
      </c>
      <c r="D6" s="58">
        <v>8669210</v>
      </c>
      <c r="E6" s="58"/>
      <c r="F6" s="25">
        <v>533</v>
      </c>
      <c r="H6" s="27">
        <f t="shared" si="0"/>
        <v>0</v>
      </c>
      <c r="I6" s="27">
        <f t="shared" si="0"/>
        <v>0.5</v>
      </c>
      <c r="J6" s="26" t="str">
        <f t="shared" si="0"/>
        <v/>
      </c>
      <c r="K6" s="27">
        <f t="shared" si="0"/>
        <v>1</v>
      </c>
      <c r="L6" s="27">
        <f t="shared" si="0"/>
        <v>0</v>
      </c>
      <c r="M6" s="27">
        <f t="shared" si="0"/>
        <v>0.5</v>
      </c>
      <c r="N6" s="27">
        <f t="shared" si="0"/>
        <v>1</v>
      </c>
      <c r="O6" s="27">
        <f t="shared" si="0"/>
        <v>1</v>
      </c>
      <c r="P6" s="28"/>
      <c r="Q6" s="46"/>
      <c r="R6" s="49">
        <f t="shared" si="1"/>
        <v>4</v>
      </c>
      <c r="S6" s="8">
        <f t="shared" si="11"/>
        <v>14</v>
      </c>
      <c r="T6" s="9">
        <f>AQ6</f>
        <v>2</v>
      </c>
      <c r="U6" s="10"/>
      <c r="V6" s="29"/>
      <c r="W6" s="30">
        <v>3</v>
      </c>
      <c r="X6" s="30" t="str">
        <f t="shared" si="13"/>
        <v>Floran Ahoud</v>
      </c>
      <c r="Y6" s="31">
        <v>1</v>
      </c>
      <c r="Z6" s="32" t="str">
        <f t="shared" ref="Z6:Z12" si="28">IF(ISNA(VLOOKUP(B6,$A$4:$T$11,3,FALSE)),C6,VLOOKUP(B6,$A$4:$T$11,3,FALSE))</f>
        <v>Tobias van Lieshout</v>
      </c>
      <c r="AA6" s="50">
        <f t="shared" si="14"/>
        <v>3.5</v>
      </c>
      <c r="AB6" s="33">
        <f t="shared" si="15"/>
        <v>3</v>
      </c>
      <c r="AC6" s="12">
        <f t="shared" si="16"/>
        <v>11.25</v>
      </c>
      <c r="AD6" s="33">
        <f t="shared" si="3"/>
        <v>12</v>
      </c>
      <c r="AE6" s="34">
        <f t="shared" si="4"/>
        <v>682</v>
      </c>
      <c r="AF6" s="47"/>
      <c r="AG6" s="52">
        <f t="shared" si="17"/>
        <v>0</v>
      </c>
      <c r="AH6" s="53">
        <f t="shared" si="18"/>
        <v>20</v>
      </c>
      <c r="AI6" s="52">
        <f t="shared" si="5"/>
        <v>0</v>
      </c>
      <c r="AJ6" s="53">
        <f t="shared" si="19"/>
        <v>20</v>
      </c>
      <c r="AK6" s="52">
        <f t="shared" si="20"/>
        <v>0</v>
      </c>
      <c r="AL6" s="47">
        <f t="shared" si="21"/>
        <v>20</v>
      </c>
      <c r="AM6" s="47"/>
      <c r="AN6" s="47">
        <f t="shared" si="22"/>
        <v>6</v>
      </c>
      <c r="AO6" s="47">
        <f t="shared" si="23"/>
        <v>6</v>
      </c>
      <c r="AP6" s="47">
        <f t="shared" si="24"/>
        <v>54</v>
      </c>
      <c r="AQ6" s="47">
        <f t="shared" si="25"/>
        <v>2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11</v>
      </c>
      <c r="AZ6" s="37">
        <f t="shared" si="7"/>
        <v>7</v>
      </c>
      <c r="BA6" s="37">
        <f t="shared" si="26"/>
        <v>23</v>
      </c>
      <c r="BC6" s="6">
        <v>3</v>
      </c>
      <c r="BD6" s="6">
        <f t="shared" si="8"/>
        <v>0.5</v>
      </c>
      <c r="BE6" s="6">
        <f t="shared" si="8"/>
        <v>0</v>
      </c>
      <c r="BF6" s="6">
        <f t="shared" si="8"/>
        <v>1</v>
      </c>
      <c r="BG6" s="6">
        <f t="shared" si="8"/>
        <v>1</v>
      </c>
      <c r="BH6" s="6">
        <f t="shared" si="8"/>
        <v>0.5</v>
      </c>
      <c r="BI6" s="6">
        <f t="shared" si="8"/>
        <v>0</v>
      </c>
      <c r="BJ6" s="6">
        <f t="shared" si="8"/>
        <v>1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0.5</v>
      </c>
      <c r="BP6" s="6">
        <f t="shared" si="9"/>
        <v>0.5</v>
      </c>
      <c r="BQ6" s="6">
        <f t="shared" si="9"/>
        <v>1.5</v>
      </c>
      <c r="BR6" s="6">
        <f t="shared" si="9"/>
        <v>2.5</v>
      </c>
      <c r="BS6" s="6">
        <f t="shared" si="9"/>
        <v>3</v>
      </c>
      <c r="BT6" s="6">
        <f t="shared" si="9"/>
        <v>3</v>
      </c>
      <c r="BU6" s="6">
        <f t="shared" si="9"/>
        <v>4</v>
      </c>
      <c r="BV6" s="6">
        <f t="shared" si="9"/>
        <v>4</v>
      </c>
      <c r="BW6" s="6">
        <f t="shared" si="9"/>
        <v>4</v>
      </c>
    </row>
    <row r="7" spans="1:75" x14ac:dyDescent="0.25">
      <c r="A7" s="24">
        <f t="shared" si="10"/>
        <v>8</v>
      </c>
      <c r="B7" s="25">
        <v>4</v>
      </c>
      <c r="C7" s="25" t="s">
        <v>76</v>
      </c>
      <c r="D7" s="58">
        <v>8750687</v>
      </c>
      <c r="E7" s="58"/>
      <c r="F7" s="25">
        <v>520</v>
      </c>
      <c r="H7" s="27">
        <f t="shared" si="0"/>
        <v>0</v>
      </c>
      <c r="I7" s="27">
        <f t="shared" si="0"/>
        <v>1</v>
      </c>
      <c r="J7" s="27">
        <f t="shared" si="0"/>
        <v>0</v>
      </c>
      <c r="K7" s="26" t="str">
        <f t="shared" si="0"/>
        <v/>
      </c>
      <c r="L7" s="27">
        <f t="shared" si="0"/>
        <v>0</v>
      </c>
      <c r="M7" s="27">
        <f t="shared" si="0"/>
        <v>0</v>
      </c>
      <c r="N7" s="27">
        <f t="shared" si="0"/>
        <v>1</v>
      </c>
      <c r="O7" s="27">
        <f t="shared" si="0"/>
        <v>1</v>
      </c>
      <c r="P7" s="28"/>
      <c r="Q7" s="46"/>
      <c r="R7" s="49">
        <f t="shared" si="1"/>
        <v>3</v>
      </c>
      <c r="S7" s="8">
        <f t="shared" si="11"/>
        <v>10.5</v>
      </c>
      <c r="T7" s="8">
        <f t="shared" si="12"/>
        <v>8</v>
      </c>
      <c r="U7" s="14"/>
      <c r="V7" s="29"/>
      <c r="W7" s="30">
        <v>4</v>
      </c>
      <c r="X7" s="30" t="str">
        <f t="shared" si="13"/>
        <v>Faya Damen *</v>
      </c>
      <c r="Y7" s="31">
        <v>6</v>
      </c>
      <c r="Z7" s="32" t="str">
        <f t="shared" si="28"/>
        <v>Nestor Shirokov</v>
      </c>
      <c r="AA7" s="50">
        <f t="shared" si="14"/>
        <v>3.5</v>
      </c>
      <c r="AB7" s="33">
        <f t="shared" si="15"/>
        <v>11</v>
      </c>
      <c r="AC7" s="12">
        <f t="shared" si="16"/>
        <v>13</v>
      </c>
      <c r="AD7" s="33">
        <f t="shared" si="3"/>
        <v>24.5</v>
      </c>
      <c r="AE7" s="34">
        <f t="shared" si="4"/>
        <v>486</v>
      </c>
      <c r="AF7" s="47"/>
      <c r="AG7" s="52">
        <f t="shared" si="17"/>
        <v>0</v>
      </c>
      <c r="AH7" s="53">
        <f t="shared" si="18"/>
        <v>15</v>
      </c>
      <c r="AI7" s="52">
        <f t="shared" si="5"/>
        <v>0</v>
      </c>
      <c r="AJ7" s="53">
        <f t="shared" si="19"/>
        <v>15</v>
      </c>
      <c r="AK7" s="52">
        <f t="shared" si="20"/>
        <v>0</v>
      </c>
      <c r="AL7" s="47">
        <f t="shared" si="21"/>
        <v>15</v>
      </c>
      <c r="AM7" s="47"/>
      <c r="AN7" s="47">
        <f t="shared" si="22"/>
        <v>0</v>
      </c>
      <c r="AO7" s="47">
        <f t="shared" si="23"/>
        <v>1</v>
      </c>
      <c r="AP7" s="47">
        <f t="shared" si="24"/>
        <v>1</v>
      </c>
      <c r="AQ7" s="47">
        <f t="shared" si="25"/>
        <v>8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9</v>
      </c>
      <c r="AZ7" s="37">
        <f t="shared" si="7"/>
        <v>6.5</v>
      </c>
      <c r="BA7" s="37">
        <f t="shared" si="26"/>
        <v>18</v>
      </c>
      <c r="BC7" s="6">
        <v>4</v>
      </c>
      <c r="BD7" s="6">
        <f t="shared" si="8"/>
        <v>0</v>
      </c>
      <c r="BE7" s="6">
        <f t="shared" si="8"/>
        <v>1</v>
      </c>
      <c r="BF7" s="6">
        <f t="shared" si="8"/>
        <v>0</v>
      </c>
      <c r="BG7" s="6">
        <f t="shared" si="8"/>
        <v>1</v>
      </c>
      <c r="BH7" s="6">
        <f t="shared" si="8"/>
        <v>0</v>
      </c>
      <c r="BI7" s="6">
        <f t="shared" si="8"/>
        <v>1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1</v>
      </c>
      <c r="BQ7" s="6">
        <f t="shared" si="9"/>
        <v>1</v>
      </c>
      <c r="BR7" s="6">
        <f t="shared" si="9"/>
        <v>2</v>
      </c>
      <c r="BS7" s="6">
        <f t="shared" si="9"/>
        <v>2</v>
      </c>
      <c r="BT7" s="6">
        <f t="shared" si="9"/>
        <v>3</v>
      </c>
      <c r="BU7" s="6">
        <f t="shared" si="9"/>
        <v>3</v>
      </c>
      <c r="BV7" s="6">
        <f t="shared" si="9"/>
        <v>3</v>
      </c>
      <c r="BW7" s="6">
        <f t="shared" si="9"/>
        <v>3</v>
      </c>
    </row>
    <row r="8" spans="1:75" x14ac:dyDescent="0.25">
      <c r="A8" s="24">
        <f t="shared" si="10"/>
        <v>6</v>
      </c>
      <c r="B8" s="25">
        <v>5</v>
      </c>
      <c r="C8" s="25" t="s">
        <v>77</v>
      </c>
      <c r="D8" s="58">
        <v>8729754</v>
      </c>
      <c r="E8" s="58"/>
      <c r="F8" s="25">
        <v>513</v>
      </c>
      <c r="H8" s="27">
        <f t="shared" si="0"/>
        <v>1</v>
      </c>
      <c r="I8" s="27">
        <f t="shared" si="0"/>
        <v>0</v>
      </c>
      <c r="J8" s="27">
        <f t="shared" si="0"/>
        <v>1</v>
      </c>
      <c r="K8" s="27">
        <f t="shared" si="0"/>
        <v>1</v>
      </c>
      <c r="L8" s="26" t="str">
        <f t="shared" si="0"/>
        <v/>
      </c>
      <c r="M8" s="27">
        <f t="shared" si="0"/>
        <v>0</v>
      </c>
      <c r="N8" s="27">
        <f t="shared" si="0"/>
        <v>0</v>
      </c>
      <c r="O8" s="27">
        <f t="shared" si="0"/>
        <v>0</v>
      </c>
      <c r="P8" s="28"/>
      <c r="Q8" s="46"/>
      <c r="R8" s="49">
        <f t="shared" si="1"/>
        <v>3</v>
      </c>
      <c r="S8" s="8">
        <f t="shared" si="11"/>
        <v>10</v>
      </c>
      <c r="T8" s="8">
        <f t="shared" si="12"/>
        <v>6</v>
      </c>
      <c r="U8" s="14"/>
      <c r="V8" s="29"/>
      <c r="W8" s="30">
        <v>5</v>
      </c>
      <c r="X8" s="30" t="str">
        <f t="shared" si="13"/>
        <v>Bram Wierbos</v>
      </c>
      <c r="Y8" s="31">
        <v>3</v>
      </c>
      <c r="Z8" s="32" t="str">
        <f t="shared" si="28"/>
        <v>Karsten Dam</v>
      </c>
      <c r="AA8" s="50">
        <f t="shared" si="14"/>
        <v>3.5</v>
      </c>
      <c r="AB8" s="33">
        <f t="shared" si="15"/>
        <v>11</v>
      </c>
      <c r="AC8" s="12">
        <f t="shared" si="16"/>
        <v>12.25</v>
      </c>
      <c r="AD8" s="33">
        <f t="shared" si="3"/>
        <v>23</v>
      </c>
      <c r="AE8" s="34">
        <f t="shared" si="4"/>
        <v>533</v>
      </c>
      <c r="AF8" s="47"/>
      <c r="AG8" s="52">
        <f t="shared" si="17"/>
        <v>2</v>
      </c>
      <c r="AH8" s="53">
        <f t="shared" si="18"/>
        <v>17</v>
      </c>
      <c r="AI8" s="52">
        <f t="shared" si="5"/>
        <v>0</v>
      </c>
      <c r="AJ8" s="53">
        <f t="shared" si="19"/>
        <v>17</v>
      </c>
      <c r="AK8" s="52">
        <f t="shared" si="20"/>
        <v>0</v>
      </c>
      <c r="AL8" s="47">
        <f t="shared" si="21"/>
        <v>17</v>
      </c>
      <c r="AM8" s="47"/>
      <c r="AN8" s="47">
        <f t="shared" si="22"/>
        <v>2</v>
      </c>
      <c r="AO8" s="47">
        <f t="shared" si="23"/>
        <v>0</v>
      </c>
      <c r="AP8" s="47">
        <f t="shared" si="24"/>
        <v>16</v>
      </c>
      <c r="AQ8" s="47">
        <f t="shared" si="25"/>
        <v>6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14</v>
      </c>
      <c r="AZ8" s="37">
        <f t="shared" si="7"/>
        <v>0.5</v>
      </c>
      <c r="BA8" s="37">
        <f t="shared" si="26"/>
        <v>23</v>
      </c>
      <c r="BC8" s="6">
        <v>5</v>
      </c>
      <c r="BD8" s="6">
        <f t="shared" si="8"/>
        <v>1</v>
      </c>
      <c r="BE8" s="6">
        <f t="shared" si="8"/>
        <v>1</v>
      </c>
      <c r="BF8" s="6">
        <f t="shared" si="8"/>
        <v>0</v>
      </c>
      <c r="BG8" s="6">
        <f t="shared" si="8"/>
        <v>1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1</v>
      </c>
      <c r="BP8" s="6">
        <f t="shared" si="9"/>
        <v>2</v>
      </c>
      <c r="BQ8" s="6">
        <f t="shared" si="9"/>
        <v>2</v>
      </c>
      <c r="BR8" s="6">
        <f t="shared" si="9"/>
        <v>3</v>
      </c>
      <c r="BS8" s="6">
        <f t="shared" si="9"/>
        <v>3</v>
      </c>
      <c r="BT8" s="6">
        <f t="shared" si="9"/>
        <v>3</v>
      </c>
      <c r="BU8" s="6">
        <f t="shared" si="9"/>
        <v>3</v>
      </c>
      <c r="BV8" s="6">
        <f t="shared" si="9"/>
        <v>3</v>
      </c>
      <c r="BW8" s="6">
        <f t="shared" si="9"/>
        <v>3</v>
      </c>
    </row>
    <row r="9" spans="1:75" x14ac:dyDescent="0.25">
      <c r="A9" s="24">
        <f t="shared" si="10"/>
        <v>1</v>
      </c>
      <c r="B9" s="25">
        <v>6</v>
      </c>
      <c r="C9" s="25" t="s">
        <v>78</v>
      </c>
      <c r="D9" s="58">
        <v>8749455</v>
      </c>
      <c r="E9" s="58"/>
      <c r="F9" s="25">
        <v>486</v>
      </c>
      <c r="H9" s="27">
        <f t="shared" si="0"/>
        <v>1</v>
      </c>
      <c r="I9" s="27">
        <f t="shared" si="0"/>
        <v>0</v>
      </c>
      <c r="J9" s="27">
        <f t="shared" si="0"/>
        <v>0.5</v>
      </c>
      <c r="K9" s="27">
        <f t="shared" si="0"/>
        <v>1</v>
      </c>
      <c r="L9" s="27">
        <f t="shared" si="0"/>
        <v>1</v>
      </c>
      <c r="M9" s="26" t="str">
        <f t="shared" si="0"/>
        <v/>
      </c>
      <c r="N9" s="27">
        <f t="shared" si="0"/>
        <v>1</v>
      </c>
      <c r="O9" s="27">
        <f t="shared" si="0"/>
        <v>0</v>
      </c>
      <c r="P9" s="28"/>
      <c r="Q9" s="46"/>
      <c r="R9" s="49">
        <f t="shared" si="1"/>
        <v>4.5</v>
      </c>
      <c r="S9" s="8">
        <f t="shared" si="11"/>
        <v>14.5</v>
      </c>
      <c r="T9" s="8">
        <f t="shared" si="12"/>
        <v>1</v>
      </c>
      <c r="U9" s="14"/>
      <c r="V9" s="29"/>
      <c r="W9" s="30">
        <v>6</v>
      </c>
      <c r="X9" s="30" t="str">
        <f t="shared" si="13"/>
        <v>Cecilia Pereira Garza *</v>
      </c>
      <c r="Y9" s="31">
        <v>5</v>
      </c>
      <c r="Z9" s="32" t="str">
        <f t="shared" si="28"/>
        <v>Bram Wierbos</v>
      </c>
      <c r="AA9" s="50">
        <f t="shared" si="14"/>
        <v>3</v>
      </c>
      <c r="AB9" s="33">
        <f t="shared" si="15"/>
        <v>14</v>
      </c>
      <c r="AC9" s="12">
        <f t="shared" si="16"/>
        <v>10</v>
      </c>
      <c r="AD9" s="33">
        <f t="shared" si="3"/>
        <v>23</v>
      </c>
      <c r="AE9" s="34">
        <f t="shared" si="4"/>
        <v>513</v>
      </c>
      <c r="AF9" s="47"/>
      <c r="AG9" s="52">
        <f t="shared" si="17"/>
        <v>0</v>
      </c>
      <c r="AH9" s="53">
        <f t="shared" si="18"/>
        <v>22.5</v>
      </c>
      <c r="AI9" s="52">
        <f t="shared" si="5"/>
        <v>0</v>
      </c>
      <c r="AJ9" s="53">
        <f t="shared" si="19"/>
        <v>22.5</v>
      </c>
      <c r="AK9" s="52">
        <f t="shared" si="20"/>
        <v>0</v>
      </c>
      <c r="AL9" s="47">
        <f t="shared" si="21"/>
        <v>22.5</v>
      </c>
      <c r="AM9" s="47"/>
      <c r="AN9" s="47">
        <f t="shared" si="22"/>
        <v>7</v>
      </c>
      <c r="AO9" s="47">
        <f t="shared" si="23"/>
        <v>7</v>
      </c>
      <c r="AP9" s="47">
        <f t="shared" si="24"/>
        <v>63</v>
      </c>
      <c r="AQ9" s="47">
        <f t="shared" si="25"/>
        <v>1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11</v>
      </c>
      <c r="AZ9" s="37">
        <f t="shared" si="7"/>
        <v>8.5</v>
      </c>
      <c r="BA9" s="37">
        <f t="shared" si="26"/>
        <v>24.5</v>
      </c>
      <c r="BC9" s="6">
        <v>6</v>
      </c>
      <c r="BD9" s="6">
        <f t="shared" si="8"/>
        <v>0.5</v>
      </c>
      <c r="BE9" s="6">
        <f t="shared" si="8"/>
        <v>0</v>
      </c>
      <c r="BF9" s="6">
        <f t="shared" si="8"/>
        <v>1</v>
      </c>
      <c r="BG9" s="6">
        <f t="shared" si="8"/>
        <v>1</v>
      </c>
      <c r="BH9" s="6">
        <f t="shared" si="8"/>
        <v>0</v>
      </c>
      <c r="BI9" s="6">
        <f t="shared" si="8"/>
        <v>1</v>
      </c>
      <c r="BJ9" s="6">
        <f t="shared" si="8"/>
        <v>1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0.5</v>
      </c>
      <c r="BP9" s="6">
        <f t="shared" si="9"/>
        <v>0.5</v>
      </c>
      <c r="BQ9" s="6">
        <f t="shared" si="9"/>
        <v>1.5</v>
      </c>
      <c r="BR9" s="6">
        <f t="shared" si="9"/>
        <v>2.5</v>
      </c>
      <c r="BS9" s="6">
        <f t="shared" si="9"/>
        <v>2.5</v>
      </c>
      <c r="BT9" s="6">
        <f t="shared" si="9"/>
        <v>3.5</v>
      </c>
      <c r="BU9" s="6">
        <f t="shared" si="9"/>
        <v>4.5</v>
      </c>
      <c r="BV9" s="6">
        <f t="shared" si="9"/>
        <v>4.5</v>
      </c>
      <c r="BW9" s="6">
        <f t="shared" si="9"/>
        <v>4.5</v>
      </c>
    </row>
    <row r="10" spans="1:75" x14ac:dyDescent="0.25">
      <c r="A10" s="24">
        <f t="shared" si="10"/>
        <v>3</v>
      </c>
      <c r="B10" s="25">
        <v>7</v>
      </c>
      <c r="C10" s="25" t="s">
        <v>79</v>
      </c>
      <c r="D10" s="58">
        <v>8659233</v>
      </c>
      <c r="E10" s="58"/>
      <c r="F10" s="25">
        <v>473</v>
      </c>
      <c r="H10" s="27">
        <f t="shared" si="0"/>
        <v>1</v>
      </c>
      <c r="I10" s="27">
        <f t="shared" si="0"/>
        <v>1</v>
      </c>
      <c r="J10" s="27">
        <f t="shared" si="0"/>
        <v>0</v>
      </c>
      <c r="K10" s="27">
        <f t="shared" si="0"/>
        <v>0</v>
      </c>
      <c r="L10" s="27">
        <f t="shared" si="0"/>
        <v>1</v>
      </c>
      <c r="M10" s="27">
        <f t="shared" si="0"/>
        <v>0</v>
      </c>
      <c r="N10" s="26" t="str">
        <f t="shared" si="0"/>
        <v/>
      </c>
      <c r="O10" s="27">
        <f t="shared" si="0"/>
        <v>0.5</v>
      </c>
      <c r="P10" s="28"/>
      <c r="Q10" s="46"/>
      <c r="R10" s="49">
        <f t="shared" si="1"/>
        <v>3.5</v>
      </c>
      <c r="S10" s="8">
        <f t="shared" si="11"/>
        <v>11.25</v>
      </c>
      <c r="T10" s="8">
        <f t="shared" si="12"/>
        <v>3</v>
      </c>
      <c r="U10" s="14"/>
      <c r="V10" s="29"/>
      <c r="W10" s="30">
        <v>7</v>
      </c>
      <c r="X10" s="30" t="str">
        <f t="shared" si="13"/>
        <v>Tobias van Lieshout</v>
      </c>
      <c r="Y10" s="31">
        <v>4</v>
      </c>
      <c r="Z10" s="32" t="str">
        <f t="shared" si="28"/>
        <v>Wilfried Snijders</v>
      </c>
      <c r="AA10" s="50">
        <f t="shared" si="14"/>
        <v>3</v>
      </c>
      <c r="AB10" s="33">
        <f t="shared" si="15"/>
        <v>9</v>
      </c>
      <c r="AC10" s="12">
        <f t="shared" si="16"/>
        <v>10.5</v>
      </c>
      <c r="AD10" s="33">
        <f t="shared" si="3"/>
        <v>18</v>
      </c>
      <c r="AE10" s="34">
        <f t="shared" si="4"/>
        <v>520</v>
      </c>
      <c r="AF10" s="47"/>
      <c r="AG10" s="52">
        <f t="shared" si="17"/>
        <v>1.5</v>
      </c>
      <c r="AH10" s="53">
        <f t="shared" si="18"/>
        <v>19</v>
      </c>
      <c r="AI10" s="52">
        <f t="shared" si="5"/>
        <v>0</v>
      </c>
      <c r="AJ10" s="53">
        <f t="shared" si="19"/>
        <v>19</v>
      </c>
      <c r="AK10" s="52">
        <f t="shared" si="20"/>
        <v>0</v>
      </c>
      <c r="AL10" s="47">
        <f t="shared" si="21"/>
        <v>19</v>
      </c>
      <c r="AM10" s="47"/>
      <c r="AN10" s="47">
        <f t="shared" si="22"/>
        <v>5</v>
      </c>
      <c r="AO10" s="47">
        <f t="shared" si="23"/>
        <v>3</v>
      </c>
      <c r="AP10" s="47">
        <f t="shared" si="24"/>
        <v>43</v>
      </c>
      <c r="AQ10" s="47">
        <f t="shared" si="25"/>
        <v>3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15</v>
      </c>
      <c r="AZ10" s="37">
        <f t="shared" si="7"/>
        <v>3.5</v>
      </c>
      <c r="BA10" s="37">
        <f t="shared" si="26"/>
        <v>25.5</v>
      </c>
      <c r="BC10" s="6">
        <v>7</v>
      </c>
      <c r="BD10" s="6">
        <f t="shared" si="8"/>
        <v>1</v>
      </c>
      <c r="BE10" s="6">
        <f t="shared" si="8"/>
        <v>1</v>
      </c>
      <c r="BF10" s="6">
        <f t="shared" si="8"/>
        <v>0.5</v>
      </c>
      <c r="BG10" s="6">
        <f t="shared" si="8"/>
        <v>0</v>
      </c>
      <c r="BH10" s="6">
        <f t="shared" si="8"/>
        <v>1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1</v>
      </c>
      <c r="BP10" s="6">
        <f t="shared" si="9"/>
        <v>2</v>
      </c>
      <c r="BQ10" s="6">
        <f t="shared" si="9"/>
        <v>2.5</v>
      </c>
      <c r="BR10" s="6">
        <f t="shared" si="9"/>
        <v>2.5</v>
      </c>
      <c r="BS10" s="6">
        <f t="shared" si="9"/>
        <v>3.5</v>
      </c>
      <c r="BT10" s="6">
        <f t="shared" si="9"/>
        <v>3.5</v>
      </c>
      <c r="BU10" s="6">
        <f t="shared" si="9"/>
        <v>3.5</v>
      </c>
      <c r="BV10" s="6">
        <f t="shared" si="9"/>
        <v>3.5</v>
      </c>
      <c r="BW10" s="6">
        <f t="shared" si="9"/>
        <v>3.5</v>
      </c>
    </row>
    <row r="11" spans="1:75" x14ac:dyDescent="0.25">
      <c r="A11" s="24">
        <f t="shared" si="10"/>
        <v>5</v>
      </c>
      <c r="B11" s="25">
        <v>8</v>
      </c>
      <c r="C11" s="25" t="s">
        <v>80</v>
      </c>
      <c r="D11" s="58">
        <v>8647474</v>
      </c>
      <c r="E11" s="58"/>
      <c r="F11" s="25">
        <v>462</v>
      </c>
      <c r="H11" s="27">
        <f t="shared" si="0"/>
        <v>1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1</v>
      </c>
      <c r="M11" s="27">
        <f t="shared" si="0"/>
        <v>1</v>
      </c>
      <c r="N11" s="27">
        <f t="shared" si="0"/>
        <v>0.5</v>
      </c>
      <c r="O11" s="26" t="str">
        <f t="shared" si="0"/>
        <v/>
      </c>
      <c r="P11" s="28"/>
      <c r="Q11" s="46"/>
      <c r="R11" s="49">
        <f t="shared" si="1"/>
        <v>3.5</v>
      </c>
      <c r="S11" s="8">
        <f t="shared" si="11"/>
        <v>12.25</v>
      </c>
      <c r="T11" s="8">
        <f t="shared" si="12"/>
        <v>5</v>
      </c>
      <c r="U11" s="14"/>
      <c r="V11" s="29"/>
      <c r="W11" s="30">
        <v>8</v>
      </c>
      <c r="X11" s="30" t="str">
        <f t="shared" si="13"/>
        <v>Karsten Dam</v>
      </c>
      <c r="Y11" s="31">
        <v>8</v>
      </c>
      <c r="Z11" s="32" t="str">
        <f t="shared" si="28"/>
        <v>Faya Damen *</v>
      </c>
      <c r="AA11" s="50">
        <f t="shared" si="14"/>
        <v>3</v>
      </c>
      <c r="AB11" s="33">
        <f t="shared" si="15"/>
        <v>10</v>
      </c>
      <c r="AC11" s="12">
        <f t="shared" si="16"/>
        <v>10.5</v>
      </c>
      <c r="AD11" s="33">
        <f t="shared" si="3"/>
        <v>20.5</v>
      </c>
      <c r="AE11" s="34">
        <f t="shared" si="4"/>
        <v>462</v>
      </c>
      <c r="AF11" s="47"/>
      <c r="AG11" s="52">
        <f t="shared" si="17"/>
        <v>0.5</v>
      </c>
      <c r="AH11" s="53">
        <f t="shared" si="18"/>
        <v>18</v>
      </c>
      <c r="AI11" s="52">
        <f t="shared" si="5"/>
        <v>0</v>
      </c>
      <c r="AJ11" s="53">
        <f t="shared" si="19"/>
        <v>18</v>
      </c>
      <c r="AK11" s="52">
        <f t="shared" si="20"/>
        <v>0</v>
      </c>
      <c r="AL11" s="47">
        <f t="shared" si="21"/>
        <v>18</v>
      </c>
      <c r="AM11" s="47"/>
      <c r="AN11" s="47">
        <f t="shared" si="22"/>
        <v>3</v>
      </c>
      <c r="AO11" s="47">
        <f t="shared" si="23"/>
        <v>4</v>
      </c>
      <c r="AP11" s="47">
        <f t="shared" si="24"/>
        <v>28</v>
      </c>
      <c r="AQ11" s="47">
        <f t="shared" si="25"/>
        <v>5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10</v>
      </c>
      <c r="AZ11" s="37">
        <f t="shared" si="7"/>
        <v>6.5</v>
      </c>
      <c r="BA11" s="37">
        <f t="shared" si="26"/>
        <v>20.5</v>
      </c>
      <c r="BC11" s="6">
        <v>8</v>
      </c>
      <c r="BD11" s="6">
        <f t="shared" si="8"/>
        <v>1</v>
      </c>
      <c r="BE11" s="6">
        <f t="shared" si="8"/>
        <v>0</v>
      </c>
      <c r="BF11" s="6">
        <f t="shared" si="8"/>
        <v>0.5</v>
      </c>
      <c r="BG11" s="6">
        <f t="shared" si="8"/>
        <v>0</v>
      </c>
      <c r="BH11" s="6">
        <f t="shared" si="8"/>
        <v>1</v>
      </c>
      <c r="BI11" s="6">
        <f t="shared" si="8"/>
        <v>0</v>
      </c>
      <c r="BJ11" s="6">
        <f t="shared" si="8"/>
        <v>1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1</v>
      </c>
      <c r="BP11" s="6">
        <f t="shared" si="9"/>
        <v>1</v>
      </c>
      <c r="BQ11" s="6">
        <f t="shared" si="9"/>
        <v>1.5</v>
      </c>
      <c r="BR11" s="6">
        <f t="shared" si="9"/>
        <v>1.5</v>
      </c>
      <c r="BS11" s="6">
        <f t="shared" si="9"/>
        <v>2.5</v>
      </c>
      <c r="BT11" s="6">
        <f t="shared" si="9"/>
        <v>2.5</v>
      </c>
      <c r="BU11" s="6">
        <f t="shared" si="9"/>
        <v>3.5</v>
      </c>
      <c r="BV11" s="6">
        <f t="shared" si="9"/>
        <v>3.5</v>
      </c>
      <c r="BW11" s="6">
        <f t="shared" si="9"/>
        <v>3.5</v>
      </c>
    </row>
    <row r="12" spans="1:75" hidden="1" x14ac:dyDescent="0.25">
      <c r="A12" s="6" t="e">
        <f t="shared" si="10"/>
        <v>#N/A</v>
      </c>
      <c r="T12" s="10" t="e">
        <f t="shared" si="12"/>
        <v>#N/A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 t="e">
        <f t="shared" si="23"/>
        <v>#N/A</v>
      </c>
      <c r="AP12" s="47" t="e">
        <f t="shared" si="24"/>
        <v>#N/A</v>
      </c>
      <c r="AQ12" s="47" t="e">
        <f>RANK(AP13,$AP$4:$AP$11,1)</f>
        <v>#N/A</v>
      </c>
    </row>
    <row r="13" spans="1:75" x14ac:dyDescent="0.25">
      <c r="AG13" s="48">
        <f>2*MAX(AG4:AG11)+1</f>
        <v>5</v>
      </c>
      <c r="AH13" s="54"/>
      <c r="AI13" s="48">
        <f>2*MAX(AI4:AI11)+1</f>
        <v>1</v>
      </c>
      <c r="AK13" s="48">
        <f>2*MAX(AK4:AK11)+1</f>
        <v>1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Karsten Dam</v>
      </c>
      <c r="D16" s="43" t="s">
        <v>5</v>
      </c>
      <c r="E16" s="57" t="str">
        <f>VLOOKUP(AZ16,$B$4:$F$11,2,FALSE)</f>
        <v>Wilfried Snijders</v>
      </c>
      <c r="F16" s="57"/>
      <c r="G16" s="57"/>
      <c r="H16" s="57"/>
      <c r="J16" s="57">
        <f>IF(T16="","",VLOOKUP(T16,Configuratie!$B$1:$E$10,3,FALSE))</f>
        <v>1</v>
      </c>
      <c r="K16" s="57"/>
      <c r="L16" s="6" t="s">
        <v>5</v>
      </c>
      <c r="M16" s="57">
        <f>IF(T16="","",VLOOKUP(T16,Configuratie!$B$1:$E$10,4,FALSE))</f>
        <v>0</v>
      </c>
      <c r="N16" s="57"/>
      <c r="R16" s="6" t="str">
        <f>IF(T16="","",VLOOKUP(T16,Configuratie!$B$1:$E$10,2,FALSE))</f>
        <v>1-0</v>
      </c>
      <c r="T16" s="5">
        <v>1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Tobias van Lieshout</v>
      </c>
      <c r="D17" s="43" t="s">
        <v>5</v>
      </c>
      <c r="E17" s="57" t="str">
        <f t="shared" ref="E17:E19" si="31">VLOOKUP(AZ17,$B$4:$F$11,2,FALSE)</f>
        <v>Nestor Shirokov</v>
      </c>
      <c r="F17" s="57"/>
      <c r="G17" s="57"/>
      <c r="H17" s="57"/>
      <c r="J17" s="57">
        <f>IF(T17="","",VLOOKUP(T17,Configuratie!$B$1:$E$10,3,FALSE))</f>
        <v>1</v>
      </c>
      <c r="K17" s="57"/>
      <c r="L17" s="6" t="s">
        <v>5</v>
      </c>
      <c r="M17" s="57">
        <f>IF(T17="","",VLOOKUP(T17,Configuratie!$B$1:$E$10,4,FALSE))</f>
        <v>0</v>
      </c>
      <c r="N17" s="57"/>
      <c r="R17" s="6" t="str">
        <f>IF(T17="","",VLOOKUP(T17,Configuratie!$B$1:$E$10,2,FALSE))</f>
        <v>1-0</v>
      </c>
      <c r="T17" s="5">
        <v>1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Cecilia Pereira Garza *</v>
      </c>
      <c r="D18" s="43" t="s">
        <v>5</v>
      </c>
      <c r="E18" s="57" t="str">
        <f t="shared" si="31"/>
        <v>Floran Ahoud</v>
      </c>
      <c r="F18" s="57"/>
      <c r="G18" s="57"/>
      <c r="H18" s="57"/>
      <c r="J18" s="57">
        <f>IF(T18="","",VLOOKUP(T18,Configuratie!$B$1:$E$10,3,FALSE))</f>
        <v>0.5</v>
      </c>
      <c r="K18" s="57"/>
      <c r="L18" s="6" t="s">
        <v>5</v>
      </c>
      <c r="M18" s="57">
        <f>IF(T18="","",VLOOKUP(T18,Configuratie!$B$1:$E$10,4,FALSE))</f>
        <v>0.5</v>
      </c>
      <c r="N18" s="57"/>
      <c r="R18" s="6" t="str">
        <f>IF(T18="","",VLOOKUP(T18,Configuratie!$B$1:$E$10,2,FALSE))</f>
        <v>½-½</v>
      </c>
      <c r="T18" s="5">
        <v>2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Bram Wierbos</v>
      </c>
      <c r="D19" s="43" t="s">
        <v>5</v>
      </c>
      <c r="E19" s="57" t="str">
        <f t="shared" si="31"/>
        <v>Faya Damen *</v>
      </c>
      <c r="F19" s="57"/>
      <c r="G19" s="57"/>
      <c r="H19" s="57"/>
      <c r="J19" s="57">
        <f>IF(T19="","",VLOOKUP(T19,Configuratie!$B$1:$E$10,3,FALSE))</f>
        <v>1</v>
      </c>
      <c r="K19" s="57"/>
      <c r="L19" s="6" t="s">
        <v>5</v>
      </c>
      <c r="M19" s="57">
        <f>IF(T19="","",VLOOKUP(T19,Configuratie!$B$1:$E$10,4,FALSE))</f>
        <v>0</v>
      </c>
      <c r="N19" s="57"/>
      <c r="R19" s="6" t="str">
        <f>IF(T19="","",VLOOKUP(T19,Configuratie!$B$1:$E$10,2,FALSE))</f>
        <v>1-0</v>
      </c>
      <c r="T19" s="5">
        <v>1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Karsten Dam</v>
      </c>
      <c r="D22" s="43" t="s">
        <v>5</v>
      </c>
      <c r="E22" s="57" t="str">
        <f>VLOOKUP(AZ22,$B$4:$F$11,2,FALSE)</f>
        <v>Faya Damen *</v>
      </c>
      <c r="F22" s="57"/>
      <c r="G22" s="57"/>
      <c r="H22" s="57"/>
      <c r="J22" s="57">
        <f>IF(T22="","",VLOOKUP(T22,Configuratie!$B$1:$E$10,3,FALSE))</f>
        <v>0</v>
      </c>
      <c r="K22" s="57"/>
      <c r="L22" s="6" t="s">
        <v>5</v>
      </c>
      <c r="M22" s="57">
        <f>IF(T22="","",VLOOKUP(T22,Configuratie!$B$1:$E$10,4,FALSE))</f>
        <v>1</v>
      </c>
      <c r="N22" s="57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1</v>
      </c>
      <c r="BF22" s="6">
        <f t="shared" si="32"/>
        <v>0</v>
      </c>
      <c r="BG22" s="6">
        <f>J22*BF22</f>
        <v>0</v>
      </c>
      <c r="BH22" s="6">
        <f>M22*BE22</f>
        <v>1</v>
      </c>
    </row>
    <row r="23" spans="2:60" x14ac:dyDescent="0.25">
      <c r="B23" s="6">
        <v>2</v>
      </c>
      <c r="C23" s="6" t="str">
        <f>VLOOKUP(AY23,$B$4:$F$11,2,FALSE)</f>
        <v>Floran Ahoud</v>
      </c>
      <c r="D23" s="43" t="s">
        <v>5</v>
      </c>
      <c r="E23" s="57" t="str">
        <f t="shared" ref="E23:E25" si="33">VLOOKUP(AZ23,$B$4:$F$11,2,FALSE)</f>
        <v>Bram Wierbos</v>
      </c>
      <c r="F23" s="57"/>
      <c r="G23" s="57"/>
      <c r="H23" s="57"/>
      <c r="J23" s="57">
        <f>IF(T23="","",VLOOKUP(T23,Configuratie!$B$1:$E$10,3,FALSE))</f>
        <v>0</v>
      </c>
      <c r="K23" s="57"/>
      <c r="L23" s="6" t="s">
        <v>5</v>
      </c>
      <c r="M23" s="57">
        <f>IF(T23="","",VLOOKUP(T23,Configuratie!$B$1:$E$10,4,FALSE))</f>
        <v>1</v>
      </c>
      <c r="N23" s="57"/>
      <c r="R23" s="6" t="str">
        <f>IF(T23="","",VLOOKUP(T23,Configuratie!$B$1:$E$10,2,FALSE))</f>
        <v>0-1</v>
      </c>
      <c r="T23" s="5">
        <v>0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0.5</v>
      </c>
      <c r="BF23" s="6">
        <f t="shared" si="32"/>
        <v>1</v>
      </c>
      <c r="BG23" s="6">
        <f>J23*BF23</f>
        <v>0</v>
      </c>
      <c r="BH23" s="6">
        <f>M23*BE23</f>
        <v>0.5</v>
      </c>
    </row>
    <row r="24" spans="2:60" x14ac:dyDescent="0.25">
      <c r="B24" s="6">
        <v>3</v>
      </c>
      <c r="C24" s="6" t="str">
        <f>VLOOKUP(AY24,$B$4:$F$11,2,FALSE)</f>
        <v>Nestor Shirokov</v>
      </c>
      <c r="D24" s="43" t="s">
        <v>5</v>
      </c>
      <c r="E24" s="57" t="str">
        <f t="shared" si="33"/>
        <v>Cecilia Pereira Garza *</v>
      </c>
      <c r="F24" s="57"/>
      <c r="G24" s="57"/>
      <c r="H24" s="57"/>
      <c r="J24" s="57">
        <f>IF(T24="","",VLOOKUP(T24,Configuratie!$B$1:$E$10,3,FALSE))</f>
        <v>1</v>
      </c>
      <c r="K24" s="57"/>
      <c r="L24" s="6" t="s">
        <v>5</v>
      </c>
      <c r="M24" s="57">
        <f>IF(T24="","",VLOOKUP(T24,Configuratie!$B$1:$E$10,4,FALSE))</f>
        <v>0</v>
      </c>
      <c r="N24" s="57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0</v>
      </c>
      <c r="BF24" s="6">
        <f t="shared" si="32"/>
        <v>0.5</v>
      </c>
      <c r="BG24" s="6">
        <f>J24*BF24</f>
        <v>0.5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Wilfried Snijders</v>
      </c>
      <c r="D25" s="43" t="s">
        <v>5</v>
      </c>
      <c r="E25" s="57" t="str">
        <f t="shared" si="33"/>
        <v>Tobias van Lieshout</v>
      </c>
      <c r="F25" s="57"/>
      <c r="G25" s="57"/>
      <c r="H25" s="57"/>
      <c r="J25" s="57">
        <f>IF(T25="","",VLOOKUP(T25,Configuratie!$B$1:$E$10,3,FALSE))</f>
        <v>0</v>
      </c>
      <c r="K25" s="57"/>
      <c r="L25" s="6" t="s">
        <v>5</v>
      </c>
      <c r="M25" s="57">
        <f>IF(T25="","",VLOOKUP(T25,Configuratie!$B$1:$E$10,4,FALSE))</f>
        <v>1</v>
      </c>
      <c r="N25" s="57"/>
      <c r="R25" s="6" t="str">
        <f>IF(T25="","",VLOOKUP(T25,Configuratie!$B$1:$E$10,2,FALSE))</f>
        <v>0-1</v>
      </c>
      <c r="T25" s="5">
        <v>0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0</v>
      </c>
      <c r="BF25" s="6">
        <f t="shared" si="32"/>
        <v>1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Tobias van Lieshout</v>
      </c>
      <c r="D28" s="43" t="s">
        <v>5</v>
      </c>
      <c r="E28" s="57" t="str">
        <f>VLOOKUP(AZ28,$B$4:$F$11,2,FALSE)</f>
        <v>Karsten Dam</v>
      </c>
      <c r="F28" s="57"/>
      <c r="G28" s="57"/>
      <c r="H28" s="57"/>
      <c r="J28" s="57">
        <f>IF(T28="","",VLOOKUP(T28,Configuratie!$B$1:$E$10,3,FALSE))</f>
        <v>0.5</v>
      </c>
      <c r="K28" s="57"/>
      <c r="L28" s="6" t="s">
        <v>5</v>
      </c>
      <c r="M28" s="57">
        <f>IF(T28="","",VLOOKUP(T28,Configuratie!$B$1:$E$10,4,FALSE))</f>
        <v>0.5</v>
      </c>
      <c r="N28" s="57"/>
      <c r="R28" s="6" t="str">
        <f>IF(T28="","",VLOOKUP(T28,Configuratie!$B$1:$E$10,2,FALSE))</f>
        <v>½-½</v>
      </c>
      <c r="T28" s="5">
        <v>2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2</v>
      </c>
      <c r="BF28" s="6">
        <f t="shared" si="35"/>
        <v>1</v>
      </c>
      <c r="BG28" s="6">
        <f>J28*BF28</f>
        <v>0.5</v>
      </c>
      <c r="BH28" s="6">
        <f>M28*BE28</f>
        <v>1</v>
      </c>
    </row>
    <row r="29" spans="2:60" x14ac:dyDescent="0.25">
      <c r="B29" s="6">
        <v>2</v>
      </c>
      <c r="C29" s="6" t="str">
        <f>VLOOKUP(AY29,$B$4:$F$11,2,FALSE)</f>
        <v>Cecilia Pereira Garza *</v>
      </c>
      <c r="D29" s="43" t="s">
        <v>5</v>
      </c>
      <c r="E29" s="57" t="str">
        <f>VLOOKUP(AZ29,$B$4:$F$11,2,FALSE)</f>
        <v>Wilfried Snijders</v>
      </c>
      <c r="F29" s="57"/>
      <c r="G29" s="57"/>
      <c r="H29" s="57"/>
      <c r="J29" s="57">
        <f>IF(T29="","",VLOOKUP(T29,Configuratie!$B$1:$E$10,3,FALSE))</f>
        <v>1</v>
      </c>
      <c r="K29" s="57"/>
      <c r="L29" s="6" t="s">
        <v>5</v>
      </c>
      <c r="M29" s="57">
        <f>IF(T29="","",VLOOKUP(T29,Configuratie!$B$1:$E$10,4,FALSE))</f>
        <v>0</v>
      </c>
      <c r="N29" s="57"/>
      <c r="R29" s="6" t="str">
        <f>IF(T29="","",VLOOKUP(T29,Configuratie!$B$1:$E$10,2,FALSE))</f>
        <v>1-0</v>
      </c>
      <c r="T29" s="5">
        <v>1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0.5</v>
      </c>
      <c r="BF29" s="6">
        <f t="shared" si="35"/>
        <v>0</v>
      </c>
      <c r="BG29" s="6">
        <f>J29*BF29</f>
        <v>0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Bram Wierbos</v>
      </c>
      <c r="D30" s="43" t="s">
        <v>5</v>
      </c>
      <c r="E30" s="57" t="str">
        <f>VLOOKUP(AZ30,$B$4:$F$11,2,FALSE)</f>
        <v>Nestor Shirokov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2</v>
      </c>
      <c r="BF30" s="6">
        <f t="shared" si="35"/>
        <v>1</v>
      </c>
      <c r="BG30" s="6">
        <f>J30*BF30</f>
        <v>0</v>
      </c>
      <c r="BH30" s="6">
        <f>M30*BE30</f>
        <v>2</v>
      </c>
    </row>
    <row r="31" spans="2:60" x14ac:dyDescent="0.25">
      <c r="B31" s="6">
        <v>4</v>
      </c>
      <c r="C31" s="6" t="str">
        <f>VLOOKUP(AY31,$B$4:$F$11,2,FALSE)</f>
        <v>Faya Damen *</v>
      </c>
      <c r="D31" s="43" t="s">
        <v>5</v>
      </c>
      <c r="E31" s="57" t="str">
        <f>VLOOKUP(AZ31,$B$4:$F$11,2,FALSE)</f>
        <v>Floran Ahoud</v>
      </c>
      <c r="F31" s="57"/>
      <c r="G31" s="57"/>
      <c r="H31" s="57"/>
      <c r="J31" s="57">
        <f>IF(T31="","",VLOOKUP(T31,Configuratie!$B$1:$E$10,3,FALSE))</f>
        <v>0</v>
      </c>
      <c r="K31" s="57"/>
      <c r="L31" s="6" t="s">
        <v>5</v>
      </c>
      <c r="M31" s="57">
        <f>IF(T31="","",VLOOKUP(T31,Configuratie!$B$1:$E$10,4,FALSE))</f>
        <v>1</v>
      </c>
      <c r="N31" s="57"/>
      <c r="R31" s="6" t="str">
        <f>IF(T31="","",VLOOKUP(T31,Configuratie!$B$1:$E$10,2,FALSE))</f>
        <v>0-1</v>
      </c>
      <c r="T31" s="5">
        <v>0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1</v>
      </c>
      <c r="BF31" s="6">
        <f t="shared" si="35"/>
        <v>0.5</v>
      </c>
      <c r="BG31" s="6">
        <f>J31*BF31</f>
        <v>0</v>
      </c>
      <c r="BH31" s="6">
        <f>M31*BE31</f>
        <v>1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Karsten Dam</v>
      </c>
      <c r="D34" s="43" t="s">
        <v>5</v>
      </c>
      <c r="E34" s="57" t="str">
        <f>VLOOKUP(AZ34,$B$4:$F$11,2,FALSE)</f>
        <v>Floran Ahoud</v>
      </c>
      <c r="F34" s="57"/>
      <c r="G34" s="57"/>
      <c r="H34" s="57"/>
      <c r="J34" s="57">
        <f>IF(T34="","",VLOOKUP(T34,Configuratie!$B$1:$E$10,3,FALSE))</f>
        <v>0</v>
      </c>
      <c r="K34" s="57"/>
      <c r="L34" s="6" t="s">
        <v>5</v>
      </c>
      <c r="M34" s="57">
        <f>IF(T34="","",VLOOKUP(T34,Configuratie!$B$1:$E$10,4,FALSE))</f>
        <v>1</v>
      </c>
      <c r="N34" s="57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1.5</v>
      </c>
      <c r="BF34" s="6">
        <f t="shared" si="37"/>
        <v>1.5</v>
      </c>
      <c r="BG34" s="6">
        <f>J34*BF34</f>
        <v>0</v>
      </c>
      <c r="BH34" s="6">
        <f>M34*BE34</f>
        <v>1.5</v>
      </c>
    </row>
    <row r="35" spans="2:60" x14ac:dyDescent="0.25">
      <c r="B35" s="6">
        <v>2</v>
      </c>
      <c r="C35" s="6" t="str">
        <f>VLOOKUP(AY35,$B$4:$F$11,2,FALSE)</f>
        <v>Nestor Shirokov</v>
      </c>
      <c r="D35" s="43" t="s">
        <v>5</v>
      </c>
      <c r="E35" s="57" t="str">
        <f>VLOOKUP(AZ35,$B$4:$F$11,2,FALSE)</f>
        <v>Faya Damen *</v>
      </c>
      <c r="F35" s="57"/>
      <c r="G35" s="57"/>
      <c r="H35" s="57"/>
      <c r="J35" s="57">
        <f>IF(T35="","",VLOOKUP(T35,Configuratie!$B$1:$E$10,3,FALSE))</f>
        <v>0</v>
      </c>
      <c r="K35" s="57"/>
      <c r="L35" s="6" t="s">
        <v>5</v>
      </c>
      <c r="M35" s="57">
        <f>IF(T35="","",VLOOKUP(T35,Configuratie!$B$1:$E$10,4,FALSE))</f>
        <v>1</v>
      </c>
      <c r="N35" s="57"/>
      <c r="R35" s="6" t="str">
        <f>IF(T35="","",VLOOKUP(T35,Configuratie!$B$1:$E$10,2,FALSE))</f>
        <v>0-1</v>
      </c>
      <c r="T35" s="5">
        <v>0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2</v>
      </c>
      <c r="BF35" s="6">
        <f t="shared" si="37"/>
        <v>1</v>
      </c>
      <c r="BG35" s="6">
        <f>J35*BF35</f>
        <v>0</v>
      </c>
      <c r="BH35" s="6">
        <f>M35*BE35</f>
        <v>2</v>
      </c>
    </row>
    <row r="36" spans="2:60" x14ac:dyDescent="0.25">
      <c r="B36" s="6">
        <v>3</v>
      </c>
      <c r="C36" s="6" t="str">
        <f>VLOOKUP(AY36,$B$4:$F$11,2,FALSE)</f>
        <v>Wilfried Snijders</v>
      </c>
      <c r="D36" s="43" t="s">
        <v>5</v>
      </c>
      <c r="E36" s="57" t="str">
        <f>VLOOKUP(AZ36,$B$4:$F$11,2,FALSE)</f>
        <v>Bram Wierbos</v>
      </c>
      <c r="F36" s="57"/>
      <c r="G36" s="57"/>
      <c r="H36" s="57"/>
      <c r="J36" s="57">
        <f>IF(T36="","",VLOOKUP(T36,Configuratie!$B$1:$E$10,3,FALSE))</f>
        <v>0</v>
      </c>
      <c r="K36" s="57"/>
      <c r="L36" s="6" t="s">
        <v>5</v>
      </c>
      <c r="M36" s="57">
        <f>IF(T36="","",VLOOKUP(T36,Configuratie!$B$1:$E$10,4,FALSE))</f>
        <v>1</v>
      </c>
      <c r="N36" s="57"/>
      <c r="R36" s="6" t="str">
        <f>IF(T36="","",VLOOKUP(T36,Configuratie!$B$1:$E$10,2,FALSE))</f>
        <v>0-1</v>
      </c>
      <c r="T36" s="5">
        <v>0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0</v>
      </c>
      <c r="BF36" s="6">
        <f t="shared" si="37"/>
        <v>2</v>
      </c>
      <c r="BG36" s="6">
        <f>J36*BF36</f>
        <v>0</v>
      </c>
      <c r="BH36" s="6">
        <f>M36*BE36</f>
        <v>0</v>
      </c>
    </row>
    <row r="37" spans="2:60" x14ac:dyDescent="0.25">
      <c r="B37" s="6">
        <v>4</v>
      </c>
      <c r="C37" s="6" t="str">
        <f>VLOOKUP(AY37,$B$4:$F$11,2,FALSE)</f>
        <v>Tobias van Lieshout</v>
      </c>
      <c r="D37" s="43" t="s">
        <v>5</v>
      </c>
      <c r="E37" s="57" t="str">
        <f>VLOOKUP(AZ37,$B$4:$F$11,2,FALSE)</f>
        <v>Cecilia Pereira Garza *</v>
      </c>
      <c r="F37" s="57"/>
      <c r="G37" s="57"/>
      <c r="H37" s="57"/>
      <c r="J37" s="57">
        <f>IF(T37="","",VLOOKUP(T37,Configuratie!$B$1:$E$10,3,FALSE))</f>
        <v>0</v>
      </c>
      <c r="K37" s="57"/>
      <c r="L37" s="6" t="s">
        <v>5</v>
      </c>
      <c r="M37" s="57">
        <f>IF(T37="","",VLOOKUP(T37,Configuratie!$B$1:$E$10,4,FALSE))</f>
        <v>1</v>
      </c>
      <c r="N37" s="57"/>
      <c r="R37" s="6" t="str">
        <f>IF(T37="","",VLOOKUP(T37,Configuratie!$B$1:$E$10,2,FALSE))</f>
        <v>0-1</v>
      </c>
      <c r="T37" s="5">
        <v>0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2.5</v>
      </c>
      <c r="BF37" s="6">
        <f t="shared" si="37"/>
        <v>1.5</v>
      </c>
      <c r="BG37" s="6">
        <f>J37*BF37</f>
        <v>0</v>
      </c>
      <c r="BH37" s="6">
        <f>M37*BE37</f>
        <v>2.5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Cecilia Pereira Garza *</v>
      </c>
      <c r="D40" s="43" t="s">
        <v>5</v>
      </c>
      <c r="E40" s="57" t="str">
        <f>VLOOKUP(AZ40,$B$4:$F$11,2,FALSE)</f>
        <v>Karsten Dam</v>
      </c>
      <c r="F40" s="57"/>
      <c r="G40" s="57"/>
      <c r="H40" s="57"/>
      <c r="J40" s="57">
        <f>IF(T40="","",VLOOKUP(T40,Configuratie!$B$1:$E$10,3,FALSE))</f>
        <v>0</v>
      </c>
      <c r="K40" s="57"/>
      <c r="L40" s="6" t="s">
        <v>5</v>
      </c>
      <c r="M40" s="57">
        <f>IF(T40="","",VLOOKUP(T40,Configuratie!$B$1:$E$10,4,FALSE))</f>
        <v>1</v>
      </c>
      <c r="N40" s="57"/>
      <c r="R40" s="6" t="str">
        <f>IF(T40="","",VLOOKUP(T40,Configuratie!$B$1:$E$10,2,FALSE))</f>
        <v>0-1</v>
      </c>
      <c r="T40" s="5">
        <v>0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2.5</v>
      </c>
      <c r="BF40" s="6">
        <f t="shared" si="39"/>
        <v>1.5</v>
      </c>
      <c r="BG40" s="6">
        <f>J40*BF40</f>
        <v>0</v>
      </c>
      <c r="BH40" s="6">
        <f>M40*BE40</f>
        <v>2.5</v>
      </c>
    </row>
    <row r="41" spans="2:60" x14ac:dyDescent="0.25">
      <c r="B41" s="6">
        <v>2</v>
      </c>
      <c r="C41" s="6" t="str">
        <f>VLOOKUP(AY41,$B$4:$F$11,2,FALSE)</f>
        <v>Bram Wierbos</v>
      </c>
      <c r="D41" s="43" t="s">
        <v>5</v>
      </c>
      <c r="E41" s="57" t="str">
        <f>VLOOKUP(AZ41,$B$4:$F$11,2,FALSE)</f>
        <v>Tobias van Lieshout</v>
      </c>
      <c r="F41" s="57"/>
      <c r="G41" s="57"/>
      <c r="H41" s="57"/>
      <c r="J41" s="57">
        <f>IF(T41="","",VLOOKUP(T41,Configuratie!$B$1:$E$10,3,FALSE))</f>
        <v>0</v>
      </c>
      <c r="K41" s="57"/>
      <c r="L41" s="6" t="s">
        <v>5</v>
      </c>
      <c r="M41" s="57">
        <f>IF(T41="","",VLOOKUP(T41,Configuratie!$B$1:$E$10,4,FALSE))</f>
        <v>1</v>
      </c>
      <c r="N41" s="57"/>
      <c r="R41" s="6" t="str">
        <f>IF(T41="","",VLOOKUP(T41,Configuratie!$B$1:$E$10,2,FALSE))</f>
        <v>0-1</v>
      </c>
      <c r="T41" s="5">
        <v>0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3</v>
      </c>
      <c r="BF41" s="6">
        <f t="shared" si="39"/>
        <v>2.5</v>
      </c>
      <c r="BG41" s="6">
        <f>J41*BF41</f>
        <v>0</v>
      </c>
      <c r="BH41" s="6">
        <f>M41*BE41</f>
        <v>3</v>
      </c>
    </row>
    <row r="42" spans="2:60" x14ac:dyDescent="0.25">
      <c r="B42" s="6">
        <v>3</v>
      </c>
      <c r="C42" s="6" t="str">
        <f>VLOOKUP(AY42,$B$4:$F$11,2,FALSE)</f>
        <v>Faya Damen *</v>
      </c>
      <c r="D42" s="43" t="s">
        <v>5</v>
      </c>
      <c r="E42" s="57" t="str">
        <f>VLOOKUP(AZ42,$B$4:$F$11,2,FALSE)</f>
        <v>Wilfried Snijders</v>
      </c>
      <c r="F42" s="57"/>
      <c r="G42" s="57"/>
      <c r="H42" s="57"/>
      <c r="J42" s="57">
        <f>IF(T42="","",VLOOKUP(T42,Configuratie!$B$1:$E$10,3,FALSE))</f>
        <v>0</v>
      </c>
      <c r="K42" s="57"/>
      <c r="L42" s="6" t="s">
        <v>5</v>
      </c>
      <c r="M42" s="57">
        <f>IF(T42="","",VLOOKUP(T42,Configuratie!$B$1:$E$10,4,FALSE))</f>
        <v>1</v>
      </c>
      <c r="N42" s="57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2</v>
      </c>
      <c r="BF42" s="6">
        <f t="shared" si="39"/>
        <v>0</v>
      </c>
      <c r="BG42" s="6">
        <f>J42*BF42</f>
        <v>0</v>
      </c>
      <c r="BH42" s="6">
        <f>M42*BE42</f>
        <v>2</v>
      </c>
    </row>
    <row r="43" spans="2:60" x14ac:dyDescent="0.25">
      <c r="B43" s="6">
        <v>4</v>
      </c>
      <c r="C43" s="6" t="str">
        <f>VLOOKUP(AY43,$B$4:$F$11,2,FALSE)</f>
        <v>Floran Ahoud</v>
      </c>
      <c r="D43" s="43" t="s">
        <v>5</v>
      </c>
      <c r="E43" s="57" t="str">
        <f>VLOOKUP(AZ43,$B$4:$F$11,2,FALSE)</f>
        <v>Nestor Shirokov</v>
      </c>
      <c r="F43" s="57"/>
      <c r="G43" s="57"/>
      <c r="H43" s="57"/>
      <c r="J43" s="57">
        <f>IF(T43="","",VLOOKUP(T43,Configuratie!$B$1:$E$10,3,FALSE))</f>
        <v>0.5</v>
      </c>
      <c r="K43" s="57"/>
      <c r="L43" s="6" t="s">
        <v>5</v>
      </c>
      <c r="M43" s="57">
        <f>IF(T43="","",VLOOKUP(T43,Configuratie!$B$1:$E$10,4,FALSE))</f>
        <v>0.5</v>
      </c>
      <c r="N43" s="57"/>
      <c r="R43" s="6" t="str">
        <f>IF(T43="","",VLOOKUP(T43,Configuratie!$B$1:$E$10,2,FALSE))</f>
        <v>½-½</v>
      </c>
      <c r="T43" s="5">
        <v>2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2.5</v>
      </c>
      <c r="BF43" s="6">
        <f t="shared" si="39"/>
        <v>2</v>
      </c>
      <c r="BG43" s="6">
        <f>J43*BF43</f>
        <v>1</v>
      </c>
      <c r="BH43" s="6">
        <f>M43*BE43</f>
        <v>1.25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Karsten Dam</v>
      </c>
      <c r="D46" s="43" t="s">
        <v>5</v>
      </c>
      <c r="E46" s="57" t="str">
        <f>VLOOKUP(AZ46,$B$4:$F$11,2,FALSE)</f>
        <v>Nestor Shirokov</v>
      </c>
      <c r="F46" s="57"/>
      <c r="G46" s="57"/>
      <c r="H46" s="57"/>
      <c r="J46" s="57">
        <f>IF(T46="","",VLOOKUP(T46,Configuratie!$B$1:$E$10,3,FALSE))</f>
        <v>0</v>
      </c>
      <c r="K46" s="57"/>
      <c r="L46" s="6" t="s">
        <v>5</v>
      </c>
      <c r="M46" s="57">
        <f>IF(T46="","",VLOOKUP(T46,Configuratie!$B$1:$E$10,4,FALSE))</f>
        <v>1</v>
      </c>
      <c r="N46" s="57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2.5</v>
      </c>
      <c r="BF46" s="6">
        <f t="shared" si="41"/>
        <v>2.5</v>
      </c>
      <c r="BG46" s="6">
        <f>J46*BF46</f>
        <v>0</v>
      </c>
      <c r="BH46" s="6">
        <f>M46*BE46</f>
        <v>2.5</v>
      </c>
    </row>
    <row r="47" spans="2:60" x14ac:dyDescent="0.25">
      <c r="B47" s="6">
        <v>2</v>
      </c>
      <c r="C47" s="6" t="str">
        <f>VLOOKUP(AY47,$B$4:$F$11,2,FALSE)</f>
        <v>Wilfried Snijders</v>
      </c>
      <c r="D47" s="43" t="s">
        <v>5</v>
      </c>
      <c r="E47" s="57" t="str">
        <f>VLOOKUP(AZ47,$B$4:$F$11,2,FALSE)</f>
        <v>Floran Ahoud</v>
      </c>
      <c r="F47" s="57"/>
      <c r="G47" s="57"/>
      <c r="H47" s="57"/>
      <c r="J47" s="57">
        <f>IF(T47="","",VLOOKUP(T47,Configuratie!$B$1:$E$10,3,FALSE))</f>
        <v>1</v>
      </c>
      <c r="K47" s="57"/>
      <c r="L47" s="6" t="s">
        <v>5</v>
      </c>
      <c r="M47" s="57">
        <f>IF(T47="","",VLOOKUP(T47,Configuratie!$B$1:$E$10,4,FALSE))</f>
        <v>0</v>
      </c>
      <c r="N47" s="57"/>
      <c r="R47" s="6" t="str">
        <f>IF(T47="","",VLOOKUP(T47,Configuratie!$B$1:$E$10,2,FALSE))</f>
        <v>1-0</v>
      </c>
      <c r="T47" s="5">
        <v>1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1</v>
      </c>
      <c r="BF47" s="6">
        <f t="shared" si="41"/>
        <v>3</v>
      </c>
      <c r="BG47" s="6">
        <f>J47*BF47</f>
        <v>3</v>
      </c>
      <c r="BH47" s="6">
        <f>M47*BE47</f>
        <v>0</v>
      </c>
    </row>
    <row r="48" spans="2:60" x14ac:dyDescent="0.25">
      <c r="B48" s="6">
        <v>3</v>
      </c>
      <c r="C48" s="6" t="str">
        <f>VLOOKUP(AY48,$B$4:$F$11,2,FALSE)</f>
        <v>Tobias van Lieshout</v>
      </c>
      <c r="D48" s="43" t="s">
        <v>5</v>
      </c>
      <c r="E48" s="57" t="str">
        <f>VLOOKUP(AZ48,$B$4:$F$11,2,FALSE)</f>
        <v>Faya Damen *</v>
      </c>
      <c r="F48" s="57"/>
      <c r="G48" s="57"/>
      <c r="H48" s="57"/>
      <c r="J48" s="57">
        <f>IF(T48="","",VLOOKUP(T48,Configuratie!$B$1:$E$10,3,FALSE))</f>
        <v>0</v>
      </c>
      <c r="K48" s="57"/>
      <c r="L48" s="6" t="s">
        <v>5</v>
      </c>
      <c r="M48" s="57">
        <f>IF(T48="","",VLOOKUP(T48,Configuratie!$B$1:$E$10,4,FALSE))</f>
        <v>1</v>
      </c>
      <c r="N48" s="57"/>
      <c r="R48" s="6" t="str">
        <f>IF(T48="","",VLOOKUP(T48,Configuratie!$B$1:$E$10,2,FALSE))</f>
        <v>0-1</v>
      </c>
      <c r="T48" s="5">
        <v>0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3.5</v>
      </c>
      <c r="BF48" s="6">
        <f t="shared" si="41"/>
        <v>2</v>
      </c>
      <c r="BG48" s="6">
        <f>J48*BF48</f>
        <v>0</v>
      </c>
      <c r="BH48" s="6">
        <f>M48*BE48</f>
        <v>3.5</v>
      </c>
    </row>
    <row r="49" spans="2:60" x14ac:dyDescent="0.25">
      <c r="B49" s="6">
        <v>4</v>
      </c>
      <c r="C49" s="6" t="str">
        <f>VLOOKUP(AY49,$B$4:$F$11,2,FALSE)</f>
        <v>Cecilia Pereira Garza *</v>
      </c>
      <c r="D49" s="43" t="s">
        <v>5</v>
      </c>
      <c r="E49" s="57" t="str">
        <f>VLOOKUP(AZ49,$B$4:$F$11,2,FALSE)</f>
        <v>Bram Wierbos</v>
      </c>
      <c r="F49" s="57"/>
      <c r="G49" s="57"/>
      <c r="H49" s="57"/>
      <c r="J49" s="57">
        <f>IF(T49="","",VLOOKUP(T49,Configuratie!$B$1:$E$10,3,FALSE))</f>
        <v>1</v>
      </c>
      <c r="K49" s="57"/>
      <c r="L49" s="6" t="s">
        <v>5</v>
      </c>
      <c r="M49" s="57">
        <f>IF(T49="","",VLOOKUP(T49,Configuratie!$B$1:$E$10,4,FALSE))</f>
        <v>0</v>
      </c>
      <c r="N49" s="57"/>
      <c r="R49" s="6" t="str">
        <f>IF(T49="","",VLOOKUP(T49,Configuratie!$B$1:$E$10,2,FALSE))</f>
        <v>1-0</v>
      </c>
      <c r="T49" s="5">
        <v>1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2.5</v>
      </c>
      <c r="BF49" s="6">
        <f t="shared" si="41"/>
        <v>3</v>
      </c>
      <c r="BG49" s="6">
        <f>J49*BF49</f>
        <v>3</v>
      </c>
      <c r="BH49" s="6">
        <f>M49*BE49</f>
        <v>0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Bram Wierbos</v>
      </c>
      <c r="D52" s="43" t="s">
        <v>5</v>
      </c>
      <c r="E52" s="57" t="str">
        <f>VLOOKUP(AZ52,$B$4:$F$11,2,FALSE)</f>
        <v>Karsten Dam</v>
      </c>
      <c r="F52" s="57"/>
      <c r="G52" s="57"/>
      <c r="H52" s="57"/>
      <c r="J52" s="57">
        <f>IF(T52="","",VLOOKUP(T52,Configuratie!$B$1:$E$10,3,FALSE))</f>
        <v>0</v>
      </c>
      <c r="K52" s="57"/>
      <c r="L52" s="6" t="s">
        <v>5</v>
      </c>
      <c r="M52" s="57">
        <f>IF(T52="","",VLOOKUP(T52,Configuratie!$B$1:$E$10,4,FALSE))</f>
        <v>1</v>
      </c>
      <c r="N52" s="57"/>
      <c r="R52" s="6" t="str">
        <f>IF(T52="","",VLOOKUP(T52,Configuratie!$B$1:$E$10,2,FALSE))</f>
        <v>0-1</v>
      </c>
      <c r="T52" s="5">
        <v>0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3</v>
      </c>
      <c r="BF52" s="6">
        <f t="shared" si="43"/>
        <v>2.5</v>
      </c>
      <c r="BG52" s="6">
        <f>J52*BF52</f>
        <v>0</v>
      </c>
      <c r="BH52" s="6">
        <f>M52*BE52</f>
        <v>3</v>
      </c>
    </row>
    <row r="53" spans="2:60" x14ac:dyDescent="0.25">
      <c r="B53" s="6">
        <v>2</v>
      </c>
      <c r="C53" s="6" t="str">
        <f>VLOOKUP(AY53,$B$4:$F$11,2,FALSE)</f>
        <v>Faya Damen *</v>
      </c>
      <c r="D53" s="43" t="s">
        <v>5</v>
      </c>
      <c r="E53" s="57" t="str">
        <f>VLOOKUP(AZ53,$B$4:$F$11,2,FALSE)</f>
        <v>Cecilia Pereira Garza *</v>
      </c>
      <c r="F53" s="57"/>
      <c r="G53" s="57"/>
      <c r="H53" s="57"/>
      <c r="J53" s="57">
        <f>IF(T53="","",VLOOKUP(T53,Configuratie!$B$1:$E$10,3,FALSE))</f>
        <v>0</v>
      </c>
      <c r="K53" s="57"/>
      <c r="L53" s="6" t="s">
        <v>5</v>
      </c>
      <c r="M53" s="57">
        <f>IF(T53="","",VLOOKUP(T53,Configuratie!$B$1:$E$10,4,FALSE))</f>
        <v>1</v>
      </c>
      <c r="N53" s="57"/>
      <c r="R53" s="6" t="str">
        <f>IF(T53="","",VLOOKUP(T53,Configuratie!$B$1:$E$10,2,FALSE))</f>
        <v>0-1</v>
      </c>
      <c r="T53" s="5">
        <v>0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3</v>
      </c>
      <c r="BF53" s="6">
        <f t="shared" si="43"/>
        <v>3.5</v>
      </c>
      <c r="BG53" s="6">
        <f>J53*BF53</f>
        <v>0</v>
      </c>
      <c r="BH53" s="6">
        <f>M53*BE53</f>
        <v>3</v>
      </c>
    </row>
    <row r="54" spans="2:60" x14ac:dyDescent="0.25">
      <c r="B54" s="6">
        <v>3</v>
      </c>
      <c r="C54" s="6" t="str">
        <f>VLOOKUP(AY54,$B$4:$F$11,2,FALSE)</f>
        <v>Floran Ahoud</v>
      </c>
      <c r="D54" s="43" t="s">
        <v>5</v>
      </c>
      <c r="E54" s="57" t="str">
        <f>VLOOKUP(AZ54,$B$4:$F$11,2,FALSE)</f>
        <v>Tobias van Lieshout</v>
      </c>
      <c r="F54" s="57"/>
      <c r="G54" s="57"/>
      <c r="H54" s="57"/>
      <c r="J54" s="57">
        <f>IF(T54="","",VLOOKUP(T54,Configuratie!$B$1:$E$10,3,FALSE))</f>
        <v>1</v>
      </c>
      <c r="K54" s="57"/>
      <c r="L54" s="6" t="s">
        <v>5</v>
      </c>
      <c r="M54" s="57">
        <f>IF(T54="","",VLOOKUP(T54,Configuratie!$B$1:$E$10,4,FALSE))</f>
        <v>0</v>
      </c>
      <c r="N54" s="57"/>
      <c r="R54" s="6" t="str">
        <f>IF(T54="","",VLOOKUP(T54,Configuratie!$B$1:$E$10,2,FALSE))</f>
        <v>1-0</v>
      </c>
      <c r="T54" s="5">
        <v>1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3</v>
      </c>
      <c r="BF54" s="6">
        <f t="shared" si="43"/>
        <v>3.5</v>
      </c>
      <c r="BG54" s="6">
        <f>J54*BF54</f>
        <v>3.5</v>
      </c>
      <c r="BH54" s="6">
        <f>M54*BE54</f>
        <v>0</v>
      </c>
    </row>
    <row r="55" spans="2:60" x14ac:dyDescent="0.25">
      <c r="B55" s="6">
        <v>4</v>
      </c>
      <c r="C55" s="6" t="str">
        <f>VLOOKUP(AY55,$B$4:$F$11,2,FALSE)</f>
        <v>Nestor Shirokov</v>
      </c>
      <c r="D55" s="43" t="s">
        <v>5</v>
      </c>
      <c r="E55" s="57" t="str">
        <f>VLOOKUP(AZ55,$B$4:$F$11,2,FALSE)</f>
        <v>Wilfried Snijders</v>
      </c>
      <c r="F55" s="57"/>
      <c r="G55" s="57"/>
      <c r="H55" s="57"/>
      <c r="J55" s="57">
        <f>IF(T55="","",VLOOKUP(T55,Configuratie!$B$1:$E$10,3,FALSE))</f>
        <v>0</v>
      </c>
      <c r="K55" s="57"/>
      <c r="L55" s="6" t="s">
        <v>5</v>
      </c>
      <c r="M55" s="57">
        <f>IF(T55="","",VLOOKUP(T55,Configuratie!$B$1:$E$10,4,FALSE))</f>
        <v>1</v>
      </c>
      <c r="N55" s="57"/>
      <c r="R55" s="6" t="str">
        <f>IF(T55="","",VLOOKUP(T55,Configuratie!$B$1:$E$10,2,FALSE))</f>
        <v>0-1</v>
      </c>
      <c r="T55" s="5">
        <v>0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3.5</v>
      </c>
      <c r="BF55" s="6">
        <f t="shared" si="43"/>
        <v>2</v>
      </c>
      <c r="BG55" s="6">
        <f>J55*BF55</f>
        <v>0</v>
      </c>
      <c r="BH55" s="6">
        <f>M55*BE55</f>
        <v>3.5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9" priority="4" stopIfTrue="1" operator="between">
      <formula>0</formula>
      <formula>1</formula>
    </cfRule>
  </conditionalFormatting>
  <conditionalFormatting sqref="T4:U11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view="pageBreakPreview" zoomScaleNormal="100" zoomScaleSheetLayoutView="100" workbookViewId="0">
      <selection activeCell="T17" sqref="T17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81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C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82</v>
      </c>
      <c r="D4" s="58">
        <v>8794742</v>
      </c>
      <c r="E4" s="58"/>
      <c r="F4" s="25">
        <v>412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1</v>
      </c>
      <c r="J4" s="27">
        <f t="shared" si="0"/>
        <v>1</v>
      </c>
      <c r="K4" s="27">
        <f t="shared" si="0"/>
        <v>1</v>
      </c>
      <c r="L4" s="27">
        <f t="shared" si="0"/>
        <v>1</v>
      </c>
      <c r="M4" s="27">
        <f t="shared" si="0"/>
        <v>1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7</v>
      </c>
      <c r="S4" s="8">
        <f>IF(H4="",0,H4)*$R$4+IF(I4="",0,I4)*$R$5+IF(J4="",0,J4)*$R$6+IF(K4="",0,K4)*$R$7+IF(L4="",0,L4)*$R$8+IF(M4="",0,M4)*$R$9+IF(N4="",0,N4)*$R$10+IF(O4="",0,O4)*$R$11</f>
        <v>21</v>
      </c>
      <c r="T4" s="8">
        <f>AQ4</f>
        <v>1</v>
      </c>
      <c r="U4" s="14"/>
      <c r="V4" s="29"/>
      <c r="W4" s="30">
        <v>1</v>
      </c>
      <c r="X4" s="30" t="str">
        <f>C4</f>
        <v>Oscar Zecha</v>
      </c>
      <c r="Y4" s="31">
        <v>2</v>
      </c>
      <c r="Z4" s="32" t="str">
        <f>IF(ISNA(VLOOKUP(B4,$A$4:$T$11,3,FALSE)),C4,VLOOKUP(B4,$A$4:$T$11,3,FALSE))</f>
        <v>Oscar Zecha</v>
      </c>
      <c r="AA4" s="50">
        <f>IF(ISNA(VLOOKUP($B4,$A$4:$T$11,18,FALSE)),0,VLOOKUP($B4,$A$4:$T$11,18,FALSE))</f>
        <v>7</v>
      </c>
      <c r="AB4" s="33">
        <f t="shared" ref="AB4" si="2">VLOOKUP($B4,$A$4:$T$11,18,FALSE)</f>
        <v>7</v>
      </c>
      <c r="AC4" s="12">
        <f>IF(ISNA(VLOOKUP($B4,$A$4:$T$11,19,FALSE)),0,VLOOKUP($B4,$A$4:$T$11,19,FALSE))</f>
        <v>21</v>
      </c>
      <c r="AD4" s="33">
        <f t="shared" ref="AD4:AD11" si="3">VLOOKUP($Y4,$AX$4:$BA$11,4,FALSE)</f>
        <v>31</v>
      </c>
      <c r="AE4" s="34">
        <f t="shared" ref="AE4:AE11" si="4">VLOOKUP($Y4,$B$4:$R$11,5,FALSE)</f>
        <v>395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53">
        <f>$AG$13*R4+AG4</f>
        <v>14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28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56</v>
      </c>
      <c r="AM4" s="47"/>
      <c r="AN4" s="47">
        <f>RANK(AL4,$AL$4:$AL$11,1)-1</f>
        <v>7</v>
      </c>
      <c r="AO4" s="47">
        <f>RANK(S4,$S$4:$S$11,1)-1</f>
        <v>7</v>
      </c>
      <c r="AP4" s="47">
        <f>8*AN4+AO4</f>
        <v>63</v>
      </c>
      <c r="AQ4" s="47">
        <f>RANK(AP4,$AP$4:$AP$11)</f>
        <v>1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21</v>
      </c>
      <c r="AZ4" s="37">
        <f t="shared" ref="AZ4:AZ11" si="7">SUMIF($AY$13:$AY$55,B4,$BG$13:$BG$55)+SUMIF($AZ$13:$AZ$55,B4,$BH$13:$BH$55)</f>
        <v>12</v>
      </c>
      <c r="BA4" s="37">
        <f>SUM(BO4:BW4)</f>
        <v>42</v>
      </c>
      <c r="BC4" s="6">
        <v>1</v>
      </c>
      <c r="BD4" s="6">
        <f t="shared" ref="BD4:BL11" si="8">SUMIFS($J$16:$J$55,$AY$16:$AY$55,$BC4,$AX$16:$AX$55,BD$3)+SUMIFS($M$16:$M$55,$AZ$16:$AZ$55,$BC4,$AX$16:$AX$55,BD$3)</f>
        <v>1</v>
      </c>
      <c r="BE4" s="6">
        <f t="shared" si="8"/>
        <v>1</v>
      </c>
      <c r="BF4" s="6">
        <f t="shared" si="8"/>
        <v>1</v>
      </c>
      <c r="BG4" s="6">
        <f t="shared" si="8"/>
        <v>1</v>
      </c>
      <c r="BH4" s="6">
        <f t="shared" si="8"/>
        <v>1</v>
      </c>
      <c r="BI4" s="6">
        <f t="shared" si="8"/>
        <v>1</v>
      </c>
      <c r="BJ4" s="6">
        <f t="shared" si="8"/>
        <v>1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1</v>
      </c>
      <c r="BP4" s="6">
        <f t="shared" ref="BP4:BW11" si="9">BO4+BE4</f>
        <v>2</v>
      </c>
      <c r="BQ4" s="6">
        <f t="shared" si="9"/>
        <v>3</v>
      </c>
      <c r="BR4" s="6">
        <f t="shared" si="9"/>
        <v>4</v>
      </c>
      <c r="BS4" s="6">
        <f t="shared" si="9"/>
        <v>5</v>
      </c>
      <c r="BT4" s="6">
        <f t="shared" si="9"/>
        <v>6</v>
      </c>
      <c r="BU4" s="6">
        <f t="shared" si="9"/>
        <v>7</v>
      </c>
      <c r="BV4" s="6">
        <f t="shared" si="9"/>
        <v>7</v>
      </c>
      <c r="BW4" s="6">
        <f t="shared" si="9"/>
        <v>7</v>
      </c>
    </row>
    <row r="5" spans="1:75" x14ac:dyDescent="0.25">
      <c r="A5" s="24">
        <f t="shared" ref="A5:A12" si="10">T5</f>
        <v>2</v>
      </c>
      <c r="B5" s="25">
        <v>2</v>
      </c>
      <c r="C5" s="25" t="s">
        <v>83</v>
      </c>
      <c r="D5" s="58">
        <v>8704828</v>
      </c>
      <c r="E5" s="58"/>
      <c r="F5" s="25">
        <v>395</v>
      </c>
      <c r="H5" s="27">
        <f t="shared" si="0"/>
        <v>0</v>
      </c>
      <c r="I5" s="26" t="str">
        <f t="shared" si="0"/>
        <v/>
      </c>
      <c r="J5" s="27">
        <f t="shared" si="0"/>
        <v>1</v>
      </c>
      <c r="K5" s="27">
        <f t="shared" si="0"/>
        <v>1</v>
      </c>
      <c r="L5" s="27">
        <f t="shared" si="0"/>
        <v>1</v>
      </c>
      <c r="M5" s="27">
        <f t="shared" si="0"/>
        <v>0</v>
      </c>
      <c r="N5" s="27">
        <f t="shared" si="0"/>
        <v>1</v>
      </c>
      <c r="O5" s="27">
        <f t="shared" si="0"/>
        <v>1</v>
      </c>
      <c r="P5" s="28"/>
      <c r="Q5" s="46"/>
      <c r="R5" s="49">
        <f t="shared" si="1"/>
        <v>5</v>
      </c>
      <c r="S5" s="8">
        <f t="shared" ref="S5:S11" si="11">IF(H5="",0,H5)*$R$4+IF(I5="",0,I5)*$R$5+IF(J5="",0,J5)*$R$6+IF(K5="",0,K5)*$R$7+IF(L5="",0,L5)*$R$8+IF(M5="",0,M5)*$R$9+IF(N5="",0,N5)*$R$10+IF(O5="",0,O5)*$R$11</f>
        <v>12.5</v>
      </c>
      <c r="T5" s="8">
        <f t="shared" ref="T5:T12" si="12">AQ5</f>
        <v>2</v>
      </c>
      <c r="U5" s="14"/>
      <c r="V5" s="29"/>
      <c r="W5" s="30">
        <v>2</v>
      </c>
      <c r="X5" s="30" t="str">
        <f t="shared" ref="X5:X11" si="13">C5</f>
        <v>Maarten van Eck</v>
      </c>
      <c r="Y5" s="31">
        <v>7</v>
      </c>
      <c r="Z5" s="32" t="str">
        <f>IF(ISNA(VLOOKUP(B5,$A$4:$T$11,3,FALSE)),C5,VLOOKUP(B5,$A$4:$T$11,3,FALSE))</f>
        <v>Maarten van Eck</v>
      </c>
      <c r="AA5" s="50">
        <f t="shared" ref="AA5:AA11" si="14">IF(ISNA(VLOOKUP($B5,$A$4:$T$11,18,FALSE)),0,VLOOKUP($B5,$A$4:$T$11,18,FALSE))</f>
        <v>5</v>
      </c>
      <c r="AB5" s="33">
        <f t="shared" ref="AB5:AB11" si="15">VLOOKUP($Y5,$AX$4:$BA$11,2,FALSE)</f>
        <v>9</v>
      </c>
      <c r="AC5" s="12">
        <f t="shared" ref="AC5:AC11" si="16">IF(ISNA(VLOOKUP($B5,$A$4:$T$11,19,FALSE)),0,VLOOKUP($B5,$A$4:$T$11,19,FALSE))</f>
        <v>12.5</v>
      </c>
      <c r="AD5" s="33">
        <f t="shared" si="3"/>
        <v>21</v>
      </c>
      <c r="AE5" s="34">
        <f t="shared" si="4"/>
        <v>333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53">
        <f t="shared" ref="AH5:AH11" si="18">$AG$13*R5+AG5</f>
        <v>10</v>
      </c>
      <c r="AI5" s="52">
        <f t="shared" si="5"/>
        <v>0</v>
      </c>
      <c r="AJ5" s="53">
        <f t="shared" ref="AJ5:AJ11" si="19">$AI$13*AH5+AI5</f>
        <v>20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40</v>
      </c>
      <c r="AM5" s="47"/>
      <c r="AN5" s="47">
        <f t="shared" ref="AN5:AN11" si="22">RANK(AL5,$AL$4:$AL$11,1)-1</f>
        <v>6</v>
      </c>
      <c r="AO5" s="47">
        <f t="shared" ref="AO5:AO12" si="23">RANK(S5,$S$4:$S$11,1)-1</f>
        <v>6</v>
      </c>
      <c r="AP5" s="47">
        <f t="shared" ref="AP5:AP12" si="24">8*AN5+AO5</f>
        <v>54</v>
      </c>
      <c r="AQ5" s="47">
        <f t="shared" ref="AQ5:AQ11" si="25">RANK(AP5,$AP$4:$AP$11)</f>
        <v>2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16</v>
      </c>
      <c r="AZ5" s="37">
        <f t="shared" si="7"/>
        <v>5</v>
      </c>
      <c r="BA5" s="37">
        <f t="shared" ref="BA5:BA11" si="26">SUM(BO5:BW5)</f>
        <v>31</v>
      </c>
      <c r="BC5" s="6">
        <v>2</v>
      </c>
      <c r="BD5" s="6">
        <f t="shared" si="8"/>
        <v>1</v>
      </c>
      <c r="BE5" s="6">
        <f t="shared" si="8"/>
        <v>0</v>
      </c>
      <c r="BF5" s="6">
        <f t="shared" si="8"/>
        <v>1</v>
      </c>
      <c r="BG5" s="6">
        <f t="shared" si="8"/>
        <v>1</v>
      </c>
      <c r="BH5" s="6">
        <f t="shared" si="8"/>
        <v>1</v>
      </c>
      <c r="BI5" s="6">
        <f t="shared" si="8"/>
        <v>1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1</v>
      </c>
      <c r="BP5" s="6">
        <f t="shared" si="9"/>
        <v>1</v>
      </c>
      <c r="BQ5" s="6">
        <f t="shared" si="9"/>
        <v>2</v>
      </c>
      <c r="BR5" s="6">
        <f t="shared" si="9"/>
        <v>3</v>
      </c>
      <c r="BS5" s="6">
        <f t="shared" si="9"/>
        <v>4</v>
      </c>
      <c r="BT5" s="6">
        <f t="shared" si="9"/>
        <v>5</v>
      </c>
      <c r="BU5" s="6">
        <f t="shared" si="9"/>
        <v>5</v>
      </c>
      <c r="BV5" s="6">
        <f t="shared" si="9"/>
        <v>5</v>
      </c>
      <c r="BW5" s="6">
        <f t="shared" si="9"/>
        <v>5</v>
      </c>
    </row>
    <row r="6" spans="1:75" x14ac:dyDescent="0.25">
      <c r="A6" s="24">
        <f t="shared" si="10"/>
        <v>7</v>
      </c>
      <c r="B6" s="25">
        <v>3</v>
      </c>
      <c r="C6" s="25" t="s">
        <v>84</v>
      </c>
      <c r="D6" s="58">
        <v>8631359</v>
      </c>
      <c r="E6" s="58"/>
      <c r="F6" s="25">
        <v>379</v>
      </c>
      <c r="H6" s="27">
        <f t="shared" si="0"/>
        <v>0</v>
      </c>
      <c r="I6" s="27">
        <f t="shared" si="0"/>
        <v>0</v>
      </c>
      <c r="J6" s="26" t="str">
        <f t="shared" si="0"/>
        <v/>
      </c>
      <c r="K6" s="27">
        <f t="shared" si="0"/>
        <v>1</v>
      </c>
      <c r="L6" s="27">
        <f t="shared" si="0"/>
        <v>0</v>
      </c>
      <c r="M6" s="27">
        <f t="shared" si="0"/>
        <v>0</v>
      </c>
      <c r="N6" s="27">
        <f t="shared" si="0"/>
        <v>0</v>
      </c>
      <c r="O6" s="27">
        <f t="shared" si="0"/>
        <v>1</v>
      </c>
      <c r="P6" s="28"/>
      <c r="Q6" s="46"/>
      <c r="R6" s="49">
        <f t="shared" si="1"/>
        <v>2</v>
      </c>
      <c r="S6" s="8">
        <f t="shared" si="11"/>
        <v>3.5</v>
      </c>
      <c r="T6" s="9">
        <f>AQ6</f>
        <v>7</v>
      </c>
      <c r="U6" s="10"/>
      <c r="V6" s="29"/>
      <c r="W6" s="30">
        <v>3</v>
      </c>
      <c r="X6" s="30" t="str">
        <f t="shared" si="13"/>
        <v>Jelle van Mullekom</v>
      </c>
      <c r="Y6" s="31">
        <v>1</v>
      </c>
      <c r="Z6" s="32" t="str">
        <f t="shared" ref="Z6:Z12" si="28">IF(ISNA(VLOOKUP(B6,$A$4:$T$11,3,FALSE)),C6,VLOOKUP(B6,$A$4:$T$11,3,FALSE))</f>
        <v>Ziad Dodik</v>
      </c>
      <c r="AA6" s="50">
        <f t="shared" si="14"/>
        <v>4</v>
      </c>
      <c r="AB6" s="33">
        <f t="shared" si="15"/>
        <v>21</v>
      </c>
      <c r="AC6" s="12">
        <f t="shared" si="16"/>
        <v>8.5</v>
      </c>
      <c r="AD6" s="33">
        <f t="shared" si="3"/>
        <v>42</v>
      </c>
      <c r="AE6" s="34">
        <f t="shared" si="4"/>
        <v>412</v>
      </c>
      <c r="AF6" s="47"/>
      <c r="AG6" s="52">
        <f t="shared" si="17"/>
        <v>0</v>
      </c>
      <c r="AH6" s="53">
        <f t="shared" si="18"/>
        <v>4</v>
      </c>
      <c r="AI6" s="52">
        <f t="shared" si="5"/>
        <v>0</v>
      </c>
      <c r="AJ6" s="53">
        <f t="shared" si="19"/>
        <v>8</v>
      </c>
      <c r="AK6" s="52">
        <f t="shared" si="20"/>
        <v>0</v>
      </c>
      <c r="AL6" s="47">
        <f t="shared" si="21"/>
        <v>16</v>
      </c>
      <c r="AM6" s="47"/>
      <c r="AN6" s="47">
        <f t="shared" si="22"/>
        <v>1</v>
      </c>
      <c r="AO6" s="47">
        <f t="shared" si="23"/>
        <v>1</v>
      </c>
      <c r="AP6" s="47">
        <f t="shared" si="24"/>
        <v>9</v>
      </c>
      <c r="AQ6" s="47">
        <f t="shared" si="25"/>
        <v>7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7</v>
      </c>
      <c r="AZ6" s="37">
        <f t="shared" si="7"/>
        <v>2</v>
      </c>
      <c r="BA6" s="37">
        <f t="shared" si="26"/>
        <v>13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1</v>
      </c>
      <c r="BG6" s="6">
        <f t="shared" si="8"/>
        <v>1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1</v>
      </c>
      <c r="BR6" s="6">
        <f t="shared" si="9"/>
        <v>2</v>
      </c>
      <c r="BS6" s="6">
        <f t="shared" si="9"/>
        <v>2</v>
      </c>
      <c r="BT6" s="6">
        <f t="shared" si="9"/>
        <v>2</v>
      </c>
      <c r="BU6" s="6">
        <f t="shared" si="9"/>
        <v>2</v>
      </c>
      <c r="BV6" s="6">
        <f t="shared" si="9"/>
        <v>2</v>
      </c>
      <c r="BW6" s="6">
        <f t="shared" si="9"/>
        <v>2</v>
      </c>
    </row>
    <row r="7" spans="1:75" x14ac:dyDescent="0.25">
      <c r="A7" s="24">
        <f t="shared" si="10"/>
        <v>4</v>
      </c>
      <c r="B7" s="25">
        <v>4</v>
      </c>
      <c r="C7" s="25" t="s">
        <v>85</v>
      </c>
      <c r="D7" s="58">
        <v>8705015</v>
      </c>
      <c r="E7" s="58"/>
      <c r="F7" s="25">
        <v>372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6" t="str">
        <f t="shared" si="0"/>
        <v/>
      </c>
      <c r="L7" s="27">
        <f t="shared" si="0"/>
        <v>1</v>
      </c>
      <c r="M7" s="27">
        <f t="shared" si="0"/>
        <v>0.5</v>
      </c>
      <c r="N7" s="27">
        <f t="shared" si="0"/>
        <v>1</v>
      </c>
      <c r="O7" s="27">
        <f t="shared" si="0"/>
        <v>1</v>
      </c>
      <c r="P7" s="28"/>
      <c r="Q7" s="46"/>
      <c r="R7" s="49">
        <f t="shared" si="1"/>
        <v>3.5</v>
      </c>
      <c r="S7" s="8">
        <f t="shared" si="11"/>
        <v>8.75</v>
      </c>
      <c r="T7" s="8">
        <f t="shared" si="12"/>
        <v>4</v>
      </c>
      <c r="U7" s="14"/>
      <c r="V7" s="29"/>
      <c r="W7" s="30">
        <v>4</v>
      </c>
      <c r="X7" s="30" t="str">
        <f t="shared" si="13"/>
        <v>Julian Frankema</v>
      </c>
      <c r="Y7" s="31">
        <v>6</v>
      </c>
      <c r="Z7" s="32" t="str">
        <f t="shared" si="28"/>
        <v>Julian Frankema</v>
      </c>
      <c r="AA7" s="50">
        <f t="shared" si="14"/>
        <v>3.5</v>
      </c>
      <c r="AB7" s="33">
        <f t="shared" si="15"/>
        <v>13</v>
      </c>
      <c r="AC7" s="12">
        <f t="shared" si="16"/>
        <v>8.75</v>
      </c>
      <c r="AD7" s="33">
        <f t="shared" si="3"/>
        <v>23.5</v>
      </c>
      <c r="AE7" s="34">
        <f t="shared" si="4"/>
        <v>356</v>
      </c>
      <c r="AF7" s="47"/>
      <c r="AG7" s="52">
        <f t="shared" si="17"/>
        <v>0.5</v>
      </c>
      <c r="AH7" s="53">
        <f t="shared" si="18"/>
        <v>7.5</v>
      </c>
      <c r="AI7" s="52">
        <f t="shared" si="5"/>
        <v>0.5</v>
      </c>
      <c r="AJ7" s="53">
        <f t="shared" si="19"/>
        <v>15.5</v>
      </c>
      <c r="AK7" s="52">
        <f t="shared" si="20"/>
        <v>0.5</v>
      </c>
      <c r="AL7" s="47">
        <f t="shared" si="21"/>
        <v>31.5</v>
      </c>
      <c r="AM7" s="47"/>
      <c r="AN7" s="47">
        <f t="shared" si="22"/>
        <v>4</v>
      </c>
      <c r="AO7" s="47">
        <f t="shared" si="23"/>
        <v>4</v>
      </c>
      <c r="AP7" s="47">
        <f t="shared" si="24"/>
        <v>36</v>
      </c>
      <c r="AQ7" s="47">
        <f t="shared" si="25"/>
        <v>4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12</v>
      </c>
      <c r="AZ7" s="37">
        <f t="shared" si="7"/>
        <v>4.5</v>
      </c>
      <c r="BA7" s="37">
        <f t="shared" si="26"/>
        <v>22.5</v>
      </c>
      <c r="BC7" s="6">
        <v>4</v>
      </c>
      <c r="BD7" s="6">
        <f t="shared" si="8"/>
        <v>1</v>
      </c>
      <c r="BE7" s="6">
        <f t="shared" si="8"/>
        <v>1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1</v>
      </c>
      <c r="BJ7" s="6">
        <f t="shared" si="8"/>
        <v>0.5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2</v>
      </c>
      <c r="BQ7" s="6">
        <f t="shared" si="9"/>
        <v>2</v>
      </c>
      <c r="BR7" s="6">
        <f t="shared" si="9"/>
        <v>2</v>
      </c>
      <c r="BS7" s="6">
        <f t="shared" si="9"/>
        <v>2</v>
      </c>
      <c r="BT7" s="6">
        <f t="shared" si="9"/>
        <v>3</v>
      </c>
      <c r="BU7" s="6">
        <f t="shared" si="9"/>
        <v>3.5</v>
      </c>
      <c r="BV7" s="6">
        <f t="shared" si="9"/>
        <v>3.5</v>
      </c>
      <c r="BW7" s="6">
        <f t="shared" si="9"/>
        <v>3.5</v>
      </c>
    </row>
    <row r="8" spans="1:75" x14ac:dyDescent="0.25">
      <c r="A8" s="24">
        <f t="shared" si="10"/>
        <v>6</v>
      </c>
      <c r="B8" s="25">
        <v>5</v>
      </c>
      <c r="C8" s="25" t="s">
        <v>86</v>
      </c>
      <c r="D8" s="58">
        <v>8532414</v>
      </c>
      <c r="E8" s="58"/>
      <c r="F8" s="25">
        <v>358</v>
      </c>
      <c r="H8" s="27">
        <f t="shared" si="0"/>
        <v>0</v>
      </c>
      <c r="I8" s="27">
        <f t="shared" si="0"/>
        <v>0</v>
      </c>
      <c r="J8" s="27">
        <f t="shared" si="0"/>
        <v>1</v>
      </c>
      <c r="K8" s="27">
        <f t="shared" si="0"/>
        <v>0</v>
      </c>
      <c r="L8" s="26" t="str">
        <f t="shared" si="0"/>
        <v/>
      </c>
      <c r="M8" s="27">
        <f t="shared" si="0"/>
        <v>1</v>
      </c>
      <c r="N8" s="27">
        <f t="shared" si="0"/>
        <v>0</v>
      </c>
      <c r="O8" s="27">
        <f t="shared" si="0"/>
        <v>1</v>
      </c>
      <c r="P8" s="28"/>
      <c r="Q8" s="46"/>
      <c r="R8" s="49">
        <f t="shared" si="1"/>
        <v>3</v>
      </c>
      <c r="S8" s="8">
        <f t="shared" si="11"/>
        <v>5.5</v>
      </c>
      <c r="T8" s="8">
        <f t="shared" si="12"/>
        <v>6</v>
      </c>
      <c r="U8" s="14"/>
      <c r="V8" s="29"/>
      <c r="W8" s="30">
        <v>5</v>
      </c>
      <c r="X8" s="30" t="str">
        <f t="shared" si="13"/>
        <v>Philip Gabbert</v>
      </c>
      <c r="Y8" s="31">
        <v>3</v>
      </c>
      <c r="Z8" s="32" t="str">
        <f t="shared" si="28"/>
        <v>Iva Binnendijk *</v>
      </c>
      <c r="AA8" s="50">
        <f t="shared" si="14"/>
        <v>3.5</v>
      </c>
      <c r="AB8" s="33">
        <f t="shared" si="15"/>
        <v>7</v>
      </c>
      <c r="AC8" s="12">
        <f t="shared" si="16"/>
        <v>8.75</v>
      </c>
      <c r="AD8" s="33">
        <f t="shared" si="3"/>
        <v>13</v>
      </c>
      <c r="AE8" s="34">
        <f t="shared" si="4"/>
        <v>379</v>
      </c>
      <c r="AF8" s="47"/>
      <c r="AG8" s="52">
        <f t="shared" si="17"/>
        <v>0</v>
      </c>
      <c r="AH8" s="53">
        <f t="shared" si="18"/>
        <v>6</v>
      </c>
      <c r="AI8" s="52">
        <f t="shared" si="5"/>
        <v>0</v>
      </c>
      <c r="AJ8" s="53">
        <f t="shared" si="19"/>
        <v>12</v>
      </c>
      <c r="AK8" s="52">
        <f t="shared" si="20"/>
        <v>0</v>
      </c>
      <c r="AL8" s="47">
        <f t="shared" si="21"/>
        <v>24</v>
      </c>
      <c r="AM8" s="47"/>
      <c r="AN8" s="47">
        <f t="shared" si="22"/>
        <v>2</v>
      </c>
      <c r="AO8" s="47">
        <f t="shared" si="23"/>
        <v>2</v>
      </c>
      <c r="AP8" s="47">
        <f t="shared" si="24"/>
        <v>18</v>
      </c>
      <c r="AQ8" s="47">
        <f t="shared" si="25"/>
        <v>6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6</v>
      </c>
      <c r="AZ8" s="37">
        <f t="shared" si="7"/>
        <v>3</v>
      </c>
      <c r="BA8" s="37">
        <f t="shared" si="26"/>
        <v>15</v>
      </c>
      <c r="BC8" s="6">
        <v>5</v>
      </c>
      <c r="BD8" s="6">
        <f t="shared" si="8"/>
        <v>0</v>
      </c>
      <c r="BE8" s="6">
        <f t="shared" si="8"/>
        <v>1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1</v>
      </c>
      <c r="BJ8" s="6">
        <f t="shared" si="8"/>
        <v>1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1</v>
      </c>
      <c r="BQ8" s="6">
        <f t="shared" si="9"/>
        <v>1</v>
      </c>
      <c r="BR8" s="6">
        <f t="shared" si="9"/>
        <v>1</v>
      </c>
      <c r="BS8" s="6">
        <f t="shared" si="9"/>
        <v>1</v>
      </c>
      <c r="BT8" s="6">
        <f t="shared" si="9"/>
        <v>2</v>
      </c>
      <c r="BU8" s="6">
        <f t="shared" si="9"/>
        <v>3</v>
      </c>
      <c r="BV8" s="6">
        <f t="shared" si="9"/>
        <v>3</v>
      </c>
      <c r="BW8" s="6">
        <f t="shared" si="9"/>
        <v>3</v>
      </c>
    </row>
    <row r="9" spans="1:75" x14ac:dyDescent="0.25">
      <c r="A9" s="24">
        <f t="shared" si="10"/>
        <v>5</v>
      </c>
      <c r="B9" s="25">
        <v>6</v>
      </c>
      <c r="C9" s="25" t="s">
        <v>87</v>
      </c>
      <c r="D9" s="58">
        <v>8557670</v>
      </c>
      <c r="E9" s="58"/>
      <c r="F9" s="25">
        <v>356</v>
      </c>
      <c r="H9" s="27">
        <f t="shared" si="0"/>
        <v>0</v>
      </c>
      <c r="I9" s="27">
        <f t="shared" si="0"/>
        <v>1</v>
      </c>
      <c r="J9" s="27">
        <f t="shared" si="0"/>
        <v>1</v>
      </c>
      <c r="K9" s="27">
        <f t="shared" si="0"/>
        <v>0.5</v>
      </c>
      <c r="L9" s="27">
        <f t="shared" si="0"/>
        <v>0</v>
      </c>
      <c r="M9" s="26" t="str">
        <f t="shared" si="0"/>
        <v/>
      </c>
      <c r="N9" s="27">
        <f t="shared" si="0"/>
        <v>0</v>
      </c>
      <c r="O9" s="27">
        <f t="shared" si="0"/>
        <v>1</v>
      </c>
      <c r="P9" s="28"/>
      <c r="Q9" s="46"/>
      <c r="R9" s="49">
        <f t="shared" si="1"/>
        <v>3.5</v>
      </c>
      <c r="S9" s="8">
        <f t="shared" si="11"/>
        <v>8.75</v>
      </c>
      <c r="T9" s="8">
        <f t="shared" si="12"/>
        <v>5</v>
      </c>
      <c r="U9" s="14"/>
      <c r="V9" s="29"/>
      <c r="W9" s="30">
        <v>6</v>
      </c>
      <c r="X9" s="30" t="str">
        <f t="shared" si="13"/>
        <v>Iva Binnendijk *</v>
      </c>
      <c r="Y9" s="31">
        <v>5</v>
      </c>
      <c r="Z9" s="32" t="str">
        <f t="shared" si="28"/>
        <v>Philip Gabbert</v>
      </c>
      <c r="AA9" s="50">
        <f t="shared" si="14"/>
        <v>3</v>
      </c>
      <c r="AB9" s="33">
        <f t="shared" si="15"/>
        <v>6</v>
      </c>
      <c r="AC9" s="12">
        <f t="shared" si="16"/>
        <v>5.5</v>
      </c>
      <c r="AD9" s="33">
        <f t="shared" si="3"/>
        <v>15</v>
      </c>
      <c r="AE9" s="34">
        <f t="shared" si="4"/>
        <v>358</v>
      </c>
      <c r="AF9" s="47"/>
      <c r="AG9" s="52">
        <f t="shared" si="17"/>
        <v>0.5</v>
      </c>
      <c r="AH9" s="53">
        <f t="shared" si="18"/>
        <v>7.5</v>
      </c>
      <c r="AI9" s="52">
        <f t="shared" si="5"/>
        <v>0.5</v>
      </c>
      <c r="AJ9" s="53">
        <f t="shared" si="19"/>
        <v>15.5</v>
      </c>
      <c r="AK9" s="52">
        <f t="shared" si="20"/>
        <v>0</v>
      </c>
      <c r="AL9" s="47">
        <f t="shared" si="21"/>
        <v>31</v>
      </c>
      <c r="AM9" s="47"/>
      <c r="AN9" s="47">
        <f t="shared" si="22"/>
        <v>3</v>
      </c>
      <c r="AO9" s="47">
        <f t="shared" si="23"/>
        <v>4</v>
      </c>
      <c r="AP9" s="47">
        <f t="shared" si="24"/>
        <v>28</v>
      </c>
      <c r="AQ9" s="47">
        <f t="shared" si="25"/>
        <v>5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13</v>
      </c>
      <c r="AZ9" s="37">
        <f t="shared" si="7"/>
        <v>2.5</v>
      </c>
      <c r="BA9" s="37">
        <f t="shared" si="26"/>
        <v>23.5</v>
      </c>
      <c r="BC9" s="6">
        <v>6</v>
      </c>
      <c r="BD9" s="6">
        <f t="shared" si="8"/>
        <v>1</v>
      </c>
      <c r="BE9" s="6">
        <f t="shared" si="8"/>
        <v>1</v>
      </c>
      <c r="BF9" s="6">
        <f t="shared" si="8"/>
        <v>0</v>
      </c>
      <c r="BG9" s="6">
        <f t="shared" si="8"/>
        <v>0</v>
      </c>
      <c r="BH9" s="6">
        <f t="shared" si="8"/>
        <v>1</v>
      </c>
      <c r="BI9" s="6">
        <f t="shared" si="8"/>
        <v>0</v>
      </c>
      <c r="BJ9" s="6">
        <f t="shared" si="8"/>
        <v>0.5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1</v>
      </c>
      <c r="BP9" s="6">
        <f t="shared" si="9"/>
        <v>2</v>
      </c>
      <c r="BQ9" s="6">
        <f t="shared" si="9"/>
        <v>2</v>
      </c>
      <c r="BR9" s="6">
        <f t="shared" si="9"/>
        <v>2</v>
      </c>
      <c r="BS9" s="6">
        <f t="shared" si="9"/>
        <v>3</v>
      </c>
      <c r="BT9" s="6">
        <f t="shared" si="9"/>
        <v>3</v>
      </c>
      <c r="BU9" s="6">
        <f t="shared" si="9"/>
        <v>3.5</v>
      </c>
      <c r="BV9" s="6">
        <f t="shared" si="9"/>
        <v>3.5</v>
      </c>
      <c r="BW9" s="6">
        <f t="shared" si="9"/>
        <v>3.5</v>
      </c>
    </row>
    <row r="10" spans="1:75" x14ac:dyDescent="0.25">
      <c r="A10" s="24">
        <f t="shared" si="10"/>
        <v>3</v>
      </c>
      <c r="B10" s="25">
        <v>7</v>
      </c>
      <c r="C10" s="25" t="s">
        <v>88</v>
      </c>
      <c r="D10" s="58">
        <v>8796139</v>
      </c>
      <c r="E10" s="58"/>
      <c r="F10" s="25">
        <v>333</v>
      </c>
      <c r="H10" s="27">
        <f t="shared" si="0"/>
        <v>0</v>
      </c>
      <c r="I10" s="27">
        <f t="shared" si="0"/>
        <v>0</v>
      </c>
      <c r="J10" s="27">
        <f t="shared" si="0"/>
        <v>1</v>
      </c>
      <c r="K10" s="27">
        <f t="shared" si="0"/>
        <v>0</v>
      </c>
      <c r="L10" s="27">
        <f t="shared" si="0"/>
        <v>1</v>
      </c>
      <c r="M10" s="27">
        <f t="shared" si="0"/>
        <v>1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4</v>
      </c>
      <c r="S10" s="8">
        <f t="shared" si="11"/>
        <v>8.5</v>
      </c>
      <c r="T10" s="8">
        <f t="shared" si="12"/>
        <v>3</v>
      </c>
      <c r="U10" s="14"/>
      <c r="V10" s="29"/>
      <c r="W10" s="30">
        <v>7</v>
      </c>
      <c r="X10" s="30" t="str">
        <f t="shared" si="13"/>
        <v>Ziad Dodik</v>
      </c>
      <c r="Y10" s="31">
        <v>4</v>
      </c>
      <c r="Z10" s="32" t="str">
        <f t="shared" si="28"/>
        <v>Jelle van Mullekom</v>
      </c>
      <c r="AA10" s="50">
        <f t="shared" si="14"/>
        <v>2</v>
      </c>
      <c r="AB10" s="33">
        <f t="shared" si="15"/>
        <v>12</v>
      </c>
      <c r="AC10" s="12">
        <f t="shared" si="16"/>
        <v>3.5</v>
      </c>
      <c r="AD10" s="33">
        <f t="shared" si="3"/>
        <v>22.5</v>
      </c>
      <c r="AE10" s="34">
        <f t="shared" si="4"/>
        <v>372</v>
      </c>
      <c r="AF10" s="47"/>
      <c r="AG10" s="52">
        <f t="shared" si="17"/>
        <v>0</v>
      </c>
      <c r="AH10" s="53">
        <f t="shared" si="18"/>
        <v>8</v>
      </c>
      <c r="AI10" s="52">
        <f t="shared" si="5"/>
        <v>0</v>
      </c>
      <c r="AJ10" s="53">
        <f t="shared" si="19"/>
        <v>16</v>
      </c>
      <c r="AK10" s="52">
        <f t="shared" si="20"/>
        <v>0</v>
      </c>
      <c r="AL10" s="47">
        <f t="shared" si="21"/>
        <v>32</v>
      </c>
      <c r="AM10" s="47"/>
      <c r="AN10" s="47">
        <f t="shared" si="22"/>
        <v>5</v>
      </c>
      <c r="AO10" s="47">
        <f t="shared" si="23"/>
        <v>3</v>
      </c>
      <c r="AP10" s="47">
        <f t="shared" si="24"/>
        <v>43</v>
      </c>
      <c r="AQ10" s="47">
        <f t="shared" si="25"/>
        <v>3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9</v>
      </c>
      <c r="AZ10" s="37">
        <f t="shared" si="7"/>
        <v>5</v>
      </c>
      <c r="BA10" s="37">
        <f t="shared" si="26"/>
        <v>21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1</v>
      </c>
      <c r="BG10" s="6">
        <f t="shared" si="8"/>
        <v>1</v>
      </c>
      <c r="BH10" s="6">
        <f t="shared" si="8"/>
        <v>1</v>
      </c>
      <c r="BI10" s="6">
        <f t="shared" si="8"/>
        <v>0</v>
      </c>
      <c r="BJ10" s="6">
        <f t="shared" si="8"/>
        <v>1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1</v>
      </c>
      <c r="BR10" s="6">
        <f t="shared" si="9"/>
        <v>2</v>
      </c>
      <c r="BS10" s="6">
        <f t="shared" si="9"/>
        <v>3</v>
      </c>
      <c r="BT10" s="6">
        <f t="shared" si="9"/>
        <v>3</v>
      </c>
      <c r="BU10" s="6">
        <f t="shared" si="9"/>
        <v>4</v>
      </c>
      <c r="BV10" s="6">
        <f t="shared" si="9"/>
        <v>4</v>
      </c>
      <c r="BW10" s="6">
        <f t="shared" si="9"/>
        <v>4</v>
      </c>
    </row>
    <row r="11" spans="1:75" x14ac:dyDescent="0.25">
      <c r="A11" s="24">
        <f t="shared" si="10"/>
        <v>8</v>
      </c>
      <c r="B11" s="25">
        <v>8</v>
      </c>
      <c r="C11" s="25" t="s">
        <v>89</v>
      </c>
      <c r="D11" s="58">
        <v>0</v>
      </c>
      <c r="E11" s="58"/>
      <c r="F11" s="25">
        <v>-1</v>
      </c>
      <c r="H11" s="27">
        <f t="shared" si="0"/>
        <v>0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0</v>
      </c>
      <c r="S11" s="8">
        <f t="shared" si="11"/>
        <v>0</v>
      </c>
      <c r="T11" s="8">
        <f t="shared" si="12"/>
        <v>8</v>
      </c>
      <c r="U11" s="14"/>
      <c r="V11" s="29"/>
      <c r="W11" s="30">
        <v>8</v>
      </c>
      <c r="X11" s="30" t="str">
        <f t="shared" si="13"/>
        <v>Bye</v>
      </c>
      <c r="Y11" s="31">
        <v>8</v>
      </c>
      <c r="Z11" s="32" t="str">
        <f t="shared" si="28"/>
        <v>Bye</v>
      </c>
      <c r="AA11" s="50">
        <f t="shared" si="14"/>
        <v>0</v>
      </c>
      <c r="AB11" s="33">
        <f t="shared" si="15"/>
        <v>0</v>
      </c>
      <c r="AC11" s="12">
        <f t="shared" si="16"/>
        <v>0</v>
      </c>
      <c r="AD11" s="33">
        <f t="shared" si="3"/>
        <v>0</v>
      </c>
      <c r="AE11" s="34">
        <f t="shared" si="4"/>
        <v>-1</v>
      </c>
      <c r="AF11" s="47"/>
      <c r="AG11" s="52">
        <f t="shared" si="17"/>
        <v>0</v>
      </c>
      <c r="AH11" s="53">
        <f t="shared" si="18"/>
        <v>0</v>
      </c>
      <c r="AI11" s="52">
        <f t="shared" si="5"/>
        <v>0</v>
      </c>
      <c r="AJ11" s="53">
        <f t="shared" si="19"/>
        <v>0</v>
      </c>
      <c r="AK11" s="52">
        <f t="shared" si="20"/>
        <v>0</v>
      </c>
      <c r="AL11" s="47">
        <f t="shared" si="21"/>
        <v>0</v>
      </c>
      <c r="AM11" s="47"/>
      <c r="AN11" s="47">
        <f t="shared" si="22"/>
        <v>0</v>
      </c>
      <c r="AO11" s="47">
        <f t="shared" si="23"/>
        <v>0</v>
      </c>
      <c r="AP11" s="47">
        <f t="shared" si="24"/>
        <v>0</v>
      </c>
      <c r="AQ11" s="47">
        <f t="shared" si="25"/>
        <v>8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0</v>
      </c>
      <c r="AZ11" s="37">
        <f t="shared" si="7"/>
        <v>0</v>
      </c>
      <c r="BA11" s="37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>
        <f t="shared" si="23"/>
        <v>0</v>
      </c>
      <c r="AP12" s="47">
        <f t="shared" si="24"/>
        <v>0</v>
      </c>
      <c r="AQ12" s="47">
        <f>RANK(AP13,$AP$4:$AP$11,1)</f>
        <v>1</v>
      </c>
    </row>
    <row r="13" spans="1:75" x14ac:dyDescent="0.25">
      <c r="AG13" s="48">
        <f>2*MAX(AG4:AG11)+1</f>
        <v>2</v>
      </c>
      <c r="AH13" s="54"/>
      <c r="AI13" s="48">
        <f>2*MAX(AI4:AI11)+1</f>
        <v>2</v>
      </c>
      <c r="AK13" s="48">
        <f>2*MAX(AK4:AK11)+1</f>
        <v>2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Bye</v>
      </c>
      <c r="D16" s="43" t="s">
        <v>5</v>
      </c>
      <c r="E16" s="57" t="str">
        <f>VLOOKUP(AZ16,$B$4:$F$11,2,FALSE)</f>
        <v>Oscar Zecha</v>
      </c>
      <c r="F16" s="57"/>
      <c r="G16" s="57"/>
      <c r="H16" s="57"/>
      <c r="J16" s="57">
        <f>IF(T16="","",VLOOKUP(T16,Configuratie!$B$1:$E$10,3,FALSE))</f>
        <v>0</v>
      </c>
      <c r="K16" s="57"/>
      <c r="L16" s="6" t="s">
        <v>5</v>
      </c>
      <c r="M16" s="57">
        <f>IF(T16="","",VLOOKUP(T16,Configuratie!$B$1:$E$10,4,FALSE))</f>
        <v>1</v>
      </c>
      <c r="N16" s="57"/>
      <c r="R16" s="6" t="str">
        <f>IF(T16="","",VLOOKUP(T16,Configuratie!$B$1:$E$10,2,FALSE))</f>
        <v>0-1</v>
      </c>
      <c r="T16" s="5">
        <v>0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Ziad Dodik</v>
      </c>
      <c r="D17" s="43" t="s">
        <v>5</v>
      </c>
      <c r="E17" s="57" t="str">
        <f t="shared" ref="E17:E19" si="31">VLOOKUP(AZ17,$B$4:$F$11,2,FALSE)</f>
        <v>Maarten van Eck</v>
      </c>
      <c r="F17" s="57"/>
      <c r="G17" s="57"/>
      <c r="H17" s="57"/>
      <c r="J17" s="57">
        <f>IF(T17="","",VLOOKUP(T17,Configuratie!$B$1:$E$10,3,FALSE))</f>
        <v>0</v>
      </c>
      <c r="K17" s="57"/>
      <c r="L17" s="6" t="s">
        <v>5</v>
      </c>
      <c r="M17" s="57">
        <f>IF(T17="","",VLOOKUP(T17,Configuratie!$B$1:$E$10,4,FALSE))</f>
        <v>1</v>
      </c>
      <c r="N17" s="57"/>
      <c r="R17" s="6" t="str">
        <f>IF(T17="","",VLOOKUP(T17,Configuratie!$B$1:$E$10,2,FALSE))</f>
        <v>0-1</v>
      </c>
      <c r="T17" s="5">
        <v>0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Iva Binnendijk *</v>
      </c>
      <c r="D18" s="43" t="s">
        <v>5</v>
      </c>
      <c r="E18" s="57" t="str">
        <f t="shared" si="31"/>
        <v>Jelle van Mullekom</v>
      </c>
      <c r="F18" s="57"/>
      <c r="G18" s="57"/>
      <c r="H18" s="57"/>
      <c r="J18" s="57">
        <f>IF(T18="","",VLOOKUP(T18,Configuratie!$B$1:$E$10,3,FALSE))</f>
        <v>1</v>
      </c>
      <c r="K18" s="57"/>
      <c r="L18" s="6" t="s">
        <v>5</v>
      </c>
      <c r="M18" s="57">
        <f>IF(T18="","",VLOOKUP(T18,Configuratie!$B$1:$E$10,4,FALSE))</f>
        <v>0</v>
      </c>
      <c r="N18" s="57"/>
      <c r="R18" s="6" t="str">
        <f>IF(T18="","",VLOOKUP(T18,Configuratie!$B$1:$E$10,2,FALSE))</f>
        <v>1-0</v>
      </c>
      <c r="T18" s="5">
        <v>1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Philip Gabbert</v>
      </c>
      <c r="D19" s="43" t="s">
        <v>5</v>
      </c>
      <c r="E19" s="57" t="str">
        <f t="shared" si="31"/>
        <v>Julian Frankema</v>
      </c>
      <c r="F19" s="57"/>
      <c r="G19" s="57"/>
      <c r="H19" s="57"/>
      <c r="J19" s="57">
        <f>IF(T19="","",VLOOKUP(T19,Configuratie!$B$1:$E$10,3,FALSE))</f>
        <v>0</v>
      </c>
      <c r="K19" s="57"/>
      <c r="L19" s="6" t="s">
        <v>5</v>
      </c>
      <c r="M19" s="57">
        <f>IF(T19="","",VLOOKUP(T19,Configuratie!$B$1:$E$10,4,FALSE))</f>
        <v>1</v>
      </c>
      <c r="N19" s="57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Bye</v>
      </c>
      <c r="D22" s="43" t="s">
        <v>5</v>
      </c>
      <c r="E22" s="57" t="str">
        <f>VLOOKUP(AZ22,$B$4:$F$11,2,FALSE)</f>
        <v>Julian Frankema</v>
      </c>
      <c r="F22" s="57"/>
      <c r="G22" s="57"/>
      <c r="H22" s="57"/>
      <c r="J22" s="57">
        <f>IF(T22="","",VLOOKUP(T22,Configuratie!$B$1:$E$10,3,FALSE))</f>
        <v>0</v>
      </c>
      <c r="K22" s="57"/>
      <c r="L22" s="6" t="s">
        <v>5</v>
      </c>
      <c r="M22" s="57">
        <f>IF(T22="","",VLOOKUP(T22,Configuratie!$B$1:$E$10,4,FALSE))</f>
        <v>1</v>
      </c>
      <c r="N22" s="57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0</v>
      </c>
      <c r="BF22" s="6">
        <f t="shared" si="32"/>
        <v>1</v>
      </c>
      <c r="BG22" s="6">
        <f>J22*BF22</f>
        <v>0</v>
      </c>
      <c r="BH22" s="6">
        <f>M22*BE22</f>
        <v>0</v>
      </c>
    </row>
    <row r="23" spans="2:60" x14ac:dyDescent="0.25">
      <c r="B23" s="6">
        <v>2</v>
      </c>
      <c r="C23" s="6" t="str">
        <f>VLOOKUP(AY23,$B$4:$F$11,2,FALSE)</f>
        <v>Jelle van Mullekom</v>
      </c>
      <c r="D23" s="43" t="s">
        <v>5</v>
      </c>
      <c r="E23" s="57" t="str">
        <f t="shared" ref="E23:E25" si="33">VLOOKUP(AZ23,$B$4:$F$11,2,FALSE)</f>
        <v>Philip Gabbert</v>
      </c>
      <c r="F23" s="57"/>
      <c r="G23" s="57"/>
      <c r="H23" s="57"/>
      <c r="J23" s="57">
        <f>IF(T23="","",VLOOKUP(T23,Configuratie!$B$1:$E$10,3,FALSE))</f>
        <v>0</v>
      </c>
      <c r="K23" s="57"/>
      <c r="L23" s="6" t="s">
        <v>5</v>
      </c>
      <c r="M23" s="57">
        <f>IF(T23="","",VLOOKUP(T23,Configuratie!$B$1:$E$10,4,FALSE))</f>
        <v>1</v>
      </c>
      <c r="N23" s="57"/>
      <c r="R23" s="6" t="str">
        <f>IF(T23="","",VLOOKUP(T23,Configuratie!$B$1:$E$10,2,FALSE))</f>
        <v>0-1</v>
      </c>
      <c r="T23" s="5">
        <v>0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0</v>
      </c>
      <c r="BF23" s="6">
        <f t="shared" si="32"/>
        <v>0</v>
      </c>
      <c r="BG23" s="6">
        <f>J23*BF23</f>
        <v>0</v>
      </c>
      <c r="BH23" s="6">
        <f>M23*BE23</f>
        <v>0</v>
      </c>
    </row>
    <row r="24" spans="2:60" x14ac:dyDescent="0.25">
      <c r="B24" s="6">
        <v>3</v>
      </c>
      <c r="C24" s="6" t="str">
        <f>VLOOKUP(AY24,$B$4:$F$11,2,FALSE)</f>
        <v>Maarten van Eck</v>
      </c>
      <c r="D24" s="43" t="s">
        <v>5</v>
      </c>
      <c r="E24" s="57" t="str">
        <f t="shared" si="33"/>
        <v>Iva Binnendijk *</v>
      </c>
      <c r="F24" s="57"/>
      <c r="G24" s="57"/>
      <c r="H24" s="57"/>
      <c r="J24" s="57">
        <f>IF(T24="","",VLOOKUP(T24,Configuratie!$B$1:$E$10,3,FALSE))</f>
        <v>0</v>
      </c>
      <c r="K24" s="57"/>
      <c r="L24" s="6" t="s">
        <v>5</v>
      </c>
      <c r="M24" s="57">
        <f>IF(T24="","",VLOOKUP(T24,Configuratie!$B$1:$E$10,4,FALSE))</f>
        <v>1</v>
      </c>
      <c r="N24" s="57"/>
      <c r="R24" s="6" t="str">
        <f>IF(T24="","",VLOOKUP(T24,Configuratie!$B$1:$E$10,2,FALSE))</f>
        <v>0-1</v>
      </c>
      <c r="T24" s="5">
        <v>0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1</v>
      </c>
      <c r="BF24" s="6">
        <f t="shared" si="32"/>
        <v>1</v>
      </c>
      <c r="BG24" s="6">
        <f>J24*BF24</f>
        <v>0</v>
      </c>
      <c r="BH24" s="6">
        <f>M24*BE24</f>
        <v>1</v>
      </c>
    </row>
    <row r="25" spans="2:60" x14ac:dyDescent="0.25">
      <c r="B25" s="6">
        <v>4</v>
      </c>
      <c r="C25" s="6" t="str">
        <f>VLOOKUP(AY25,$B$4:$F$11,2,FALSE)</f>
        <v>Oscar Zecha</v>
      </c>
      <c r="D25" s="43" t="s">
        <v>5</v>
      </c>
      <c r="E25" s="57" t="str">
        <f t="shared" si="33"/>
        <v>Ziad Dodik</v>
      </c>
      <c r="F25" s="57"/>
      <c r="G25" s="57"/>
      <c r="H25" s="57"/>
      <c r="J25" s="57">
        <f>IF(T25="","",VLOOKUP(T25,Configuratie!$B$1:$E$10,3,FALSE))</f>
        <v>1</v>
      </c>
      <c r="K25" s="57"/>
      <c r="L25" s="6" t="s">
        <v>5</v>
      </c>
      <c r="M25" s="57">
        <f>IF(T25="","",VLOOKUP(T25,Configuratie!$B$1:$E$10,4,FALSE))</f>
        <v>0</v>
      </c>
      <c r="N25" s="57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1</v>
      </c>
      <c r="BF25" s="6">
        <f t="shared" si="32"/>
        <v>0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Ziad Dodik</v>
      </c>
      <c r="D28" s="43" t="s">
        <v>5</v>
      </c>
      <c r="E28" s="57" t="str">
        <f>VLOOKUP(AZ28,$B$4:$F$11,2,FALSE)</f>
        <v>Bye</v>
      </c>
      <c r="F28" s="57"/>
      <c r="G28" s="57"/>
      <c r="H28" s="57"/>
      <c r="J28" s="57">
        <f>IF(T28="","",VLOOKUP(T28,Configuratie!$B$1:$E$10,3,FALSE))</f>
        <v>1</v>
      </c>
      <c r="K28" s="57"/>
      <c r="L28" s="6" t="s">
        <v>5</v>
      </c>
      <c r="M28" s="57">
        <f>IF(T28="","",VLOOKUP(T28,Configuratie!$B$1:$E$10,4,FALSE))</f>
        <v>0</v>
      </c>
      <c r="N28" s="57"/>
      <c r="R28" s="6" t="str">
        <f>IF(T28="","",VLOOKUP(T28,Configuratie!$B$1:$E$10,2,FALSE))</f>
        <v>1-0</v>
      </c>
      <c r="T28" s="5">
        <v>1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>
        <f>J28*BF28</f>
        <v>0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Iva Binnendijk *</v>
      </c>
      <c r="D29" s="43" t="s">
        <v>5</v>
      </c>
      <c r="E29" s="57" t="str">
        <f>VLOOKUP(AZ29,$B$4:$F$11,2,FALSE)</f>
        <v>Oscar Zecha</v>
      </c>
      <c r="F29" s="57"/>
      <c r="G29" s="57"/>
      <c r="H29" s="57"/>
      <c r="J29" s="57">
        <f>IF(T29="","",VLOOKUP(T29,Configuratie!$B$1:$E$10,3,FALSE))</f>
        <v>0</v>
      </c>
      <c r="K29" s="57"/>
      <c r="L29" s="6" t="s">
        <v>5</v>
      </c>
      <c r="M29" s="57">
        <f>IF(T29="","",VLOOKUP(T29,Configuratie!$B$1:$E$10,4,FALSE))</f>
        <v>1</v>
      </c>
      <c r="N29" s="57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2</v>
      </c>
      <c r="BF29" s="6">
        <f t="shared" si="35"/>
        <v>2</v>
      </c>
      <c r="BG29" s="6">
        <f>J29*BF29</f>
        <v>0</v>
      </c>
      <c r="BH29" s="6">
        <f>M29*BE29</f>
        <v>2</v>
      </c>
    </row>
    <row r="30" spans="2:60" x14ac:dyDescent="0.25">
      <c r="B30" s="6">
        <v>3</v>
      </c>
      <c r="C30" s="6" t="str">
        <f>VLOOKUP(AY30,$B$4:$F$11,2,FALSE)</f>
        <v>Philip Gabbert</v>
      </c>
      <c r="D30" s="43" t="s">
        <v>5</v>
      </c>
      <c r="E30" s="57" t="str">
        <f>VLOOKUP(AZ30,$B$4:$F$11,2,FALSE)</f>
        <v>Maarten van Eck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1</v>
      </c>
      <c r="BF30" s="6">
        <f t="shared" si="35"/>
        <v>1</v>
      </c>
      <c r="BG30" s="6">
        <f>J30*BF30</f>
        <v>0</v>
      </c>
      <c r="BH30" s="6">
        <f>M30*BE30</f>
        <v>1</v>
      </c>
    </row>
    <row r="31" spans="2:60" x14ac:dyDescent="0.25">
      <c r="B31" s="6">
        <v>4</v>
      </c>
      <c r="C31" s="6" t="str">
        <f>VLOOKUP(AY31,$B$4:$F$11,2,FALSE)</f>
        <v>Julian Frankema</v>
      </c>
      <c r="D31" s="43" t="s">
        <v>5</v>
      </c>
      <c r="E31" s="57" t="str">
        <f>VLOOKUP(AZ31,$B$4:$F$11,2,FALSE)</f>
        <v>Jelle van Mullekom</v>
      </c>
      <c r="F31" s="57"/>
      <c r="G31" s="57"/>
      <c r="H31" s="57"/>
      <c r="J31" s="57">
        <f>IF(T31="","",VLOOKUP(T31,Configuratie!$B$1:$E$10,3,FALSE))</f>
        <v>0</v>
      </c>
      <c r="K31" s="57"/>
      <c r="L31" s="6" t="s">
        <v>5</v>
      </c>
      <c r="M31" s="57">
        <f>IF(T31="","",VLOOKUP(T31,Configuratie!$B$1:$E$10,4,FALSE))</f>
        <v>1</v>
      </c>
      <c r="N31" s="57"/>
      <c r="R31" s="6" t="str">
        <f>IF(T31="","",VLOOKUP(T31,Configuratie!$B$1:$E$10,2,FALSE))</f>
        <v>0-1</v>
      </c>
      <c r="T31" s="5">
        <v>0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2</v>
      </c>
      <c r="BF31" s="6">
        <f t="shared" si="35"/>
        <v>0</v>
      </c>
      <c r="BG31" s="6">
        <f>J31*BF31</f>
        <v>0</v>
      </c>
      <c r="BH31" s="6">
        <f>M31*BE31</f>
        <v>2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Bye</v>
      </c>
      <c r="D34" s="43" t="s">
        <v>5</v>
      </c>
      <c r="E34" s="57" t="str">
        <f>VLOOKUP(AZ34,$B$4:$F$11,2,FALSE)</f>
        <v>Jelle van Mullekom</v>
      </c>
      <c r="F34" s="57"/>
      <c r="G34" s="57"/>
      <c r="H34" s="57"/>
      <c r="J34" s="57">
        <f>IF(T34="","",VLOOKUP(T34,Configuratie!$B$1:$E$10,3,FALSE))</f>
        <v>0</v>
      </c>
      <c r="K34" s="57"/>
      <c r="L34" s="6" t="s">
        <v>5</v>
      </c>
      <c r="M34" s="57">
        <f>IF(T34="","",VLOOKUP(T34,Configuratie!$B$1:$E$10,4,FALSE))</f>
        <v>1</v>
      </c>
      <c r="N34" s="57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0</v>
      </c>
      <c r="BF34" s="6">
        <f t="shared" si="37"/>
        <v>1</v>
      </c>
      <c r="BG34" s="6">
        <f>J34*BF34</f>
        <v>0</v>
      </c>
      <c r="BH34" s="6">
        <f>M34*BE34</f>
        <v>0</v>
      </c>
    </row>
    <row r="35" spans="2:60" x14ac:dyDescent="0.25">
      <c r="B35" s="6">
        <v>2</v>
      </c>
      <c r="C35" s="6" t="str">
        <f>VLOOKUP(AY35,$B$4:$F$11,2,FALSE)</f>
        <v>Maarten van Eck</v>
      </c>
      <c r="D35" s="43" t="s">
        <v>5</v>
      </c>
      <c r="E35" s="57" t="str">
        <f>VLOOKUP(AZ35,$B$4:$F$11,2,FALSE)</f>
        <v>Julian Frankema</v>
      </c>
      <c r="F35" s="57"/>
      <c r="G35" s="57"/>
      <c r="H35" s="57"/>
      <c r="J35" s="57">
        <f>IF(T35="","",VLOOKUP(T35,Configuratie!$B$1:$E$10,3,FALSE))</f>
        <v>1</v>
      </c>
      <c r="K35" s="57"/>
      <c r="L35" s="6" t="s">
        <v>5</v>
      </c>
      <c r="M35" s="57">
        <f>IF(T35="","",VLOOKUP(T35,Configuratie!$B$1:$E$10,4,FALSE))</f>
        <v>0</v>
      </c>
      <c r="N35" s="57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2</v>
      </c>
      <c r="BF35" s="6">
        <f t="shared" si="37"/>
        <v>2</v>
      </c>
      <c r="BG35" s="6">
        <f>J35*BF35</f>
        <v>2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Oscar Zecha</v>
      </c>
      <c r="D36" s="43" t="s">
        <v>5</v>
      </c>
      <c r="E36" s="57" t="str">
        <f>VLOOKUP(AZ36,$B$4:$F$11,2,FALSE)</f>
        <v>Philip Gabbert</v>
      </c>
      <c r="F36" s="57"/>
      <c r="G36" s="57"/>
      <c r="H36" s="57"/>
      <c r="J36" s="57">
        <f>IF(T36="","",VLOOKUP(T36,Configuratie!$B$1:$E$10,3,FALSE))</f>
        <v>1</v>
      </c>
      <c r="K36" s="57"/>
      <c r="L36" s="6" t="s">
        <v>5</v>
      </c>
      <c r="M36" s="57">
        <f>IF(T36="","",VLOOKUP(T36,Configuratie!$B$1:$E$10,4,FALSE))</f>
        <v>0</v>
      </c>
      <c r="N36" s="57"/>
      <c r="R36" s="6" t="str">
        <f>IF(T36="","",VLOOKUP(T36,Configuratie!$B$1:$E$10,2,FALSE))</f>
        <v>1-0</v>
      </c>
      <c r="T36" s="5">
        <v>1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3</v>
      </c>
      <c r="BF36" s="6">
        <f t="shared" si="37"/>
        <v>1</v>
      </c>
      <c r="BG36" s="6">
        <f>J36*BF36</f>
        <v>1</v>
      </c>
      <c r="BH36" s="6">
        <f>M36*BE36</f>
        <v>0</v>
      </c>
    </row>
    <row r="37" spans="2:60" x14ac:dyDescent="0.25">
      <c r="B37" s="6">
        <v>4</v>
      </c>
      <c r="C37" s="6" t="str">
        <f>VLOOKUP(AY37,$B$4:$F$11,2,FALSE)</f>
        <v>Ziad Dodik</v>
      </c>
      <c r="D37" s="43" t="s">
        <v>5</v>
      </c>
      <c r="E37" s="57" t="str">
        <f>VLOOKUP(AZ37,$B$4:$F$11,2,FALSE)</f>
        <v>Iva Binnendijk *</v>
      </c>
      <c r="F37" s="57"/>
      <c r="G37" s="57"/>
      <c r="H37" s="57"/>
      <c r="J37" s="57">
        <f>IF(T37="","",VLOOKUP(T37,Configuratie!$B$1:$E$10,3,FALSE))</f>
        <v>1</v>
      </c>
      <c r="K37" s="57"/>
      <c r="L37" s="6" t="s">
        <v>5</v>
      </c>
      <c r="M37" s="57">
        <f>IF(T37="","",VLOOKUP(T37,Configuratie!$B$1:$E$10,4,FALSE))</f>
        <v>0</v>
      </c>
      <c r="N37" s="57"/>
      <c r="R37" s="6" t="str">
        <f>IF(T37="","",VLOOKUP(T37,Configuratie!$B$1:$E$10,2,FALSE))</f>
        <v>1-0</v>
      </c>
      <c r="T37" s="5">
        <v>1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1</v>
      </c>
      <c r="BF37" s="6">
        <f t="shared" si="37"/>
        <v>2</v>
      </c>
      <c r="BG37" s="6">
        <f>J37*BF37</f>
        <v>2</v>
      </c>
      <c r="BH37" s="6">
        <f>M37*BE37</f>
        <v>0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Iva Binnendijk *</v>
      </c>
      <c r="D40" s="43" t="s">
        <v>5</v>
      </c>
      <c r="E40" s="57" t="str">
        <f>VLOOKUP(AZ40,$B$4:$F$11,2,FALSE)</f>
        <v>Bye</v>
      </c>
      <c r="F40" s="57"/>
      <c r="G40" s="57"/>
      <c r="H40" s="57"/>
      <c r="J40" s="57">
        <f>IF(T40="","",VLOOKUP(T40,Configuratie!$B$1:$E$10,3,FALSE))</f>
        <v>1</v>
      </c>
      <c r="K40" s="57"/>
      <c r="L40" s="6" t="s">
        <v>5</v>
      </c>
      <c r="M40" s="57">
        <f>IF(T40="","",VLOOKUP(T40,Configuratie!$B$1:$E$10,4,FALSE))</f>
        <v>0</v>
      </c>
      <c r="N40" s="57"/>
      <c r="R40" s="6" t="str">
        <f>IF(T40="","",VLOOKUP(T40,Configuratie!$B$1:$E$10,2,FALSE))</f>
        <v>1-0</v>
      </c>
      <c r="T40" s="5">
        <v>1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2</v>
      </c>
      <c r="BF40" s="6">
        <f t="shared" si="39"/>
        <v>0</v>
      </c>
      <c r="BG40" s="6">
        <f>J40*BF40</f>
        <v>0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Philip Gabbert</v>
      </c>
      <c r="D41" s="43" t="s">
        <v>5</v>
      </c>
      <c r="E41" s="57" t="str">
        <f>VLOOKUP(AZ41,$B$4:$F$11,2,FALSE)</f>
        <v>Ziad Dodik</v>
      </c>
      <c r="F41" s="57"/>
      <c r="G41" s="57"/>
      <c r="H41" s="57"/>
      <c r="J41" s="57">
        <f>IF(T41="","",VLOOKUP(T41,Configuratie!$B$1:$E$10,3,FALSE))</f>
        <v>0</v>
      </c>
      <c r="K41" s="57"/>
      <c r="L41" s="6" t="s">
        <v>5</v>
      </c>
      <c r="M41" s="57">
        <f>IF(T41="","",VLOOKUP(T41,Configuratie!$B$1:$E$10,4,FALSE))</f>
        <v>1</v>
      </c>
      <c r="N41" s="57"/>
      <c r="R41" s="6" t="str">
        <f>IF(T41="","",VLOOKUP(T41,Configuratie!$B$1:$E$10,2,FALSE))</f>
        <v>0-1</v>
      </c>
      <c r="T41" s="5">
        <v>0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1</v>
      </c>
      <c r="BF41" s="6">
        <f t="shared" si="39"/>
        <v>2</v>
      </c>
      <c r="BG41" s="6">
        <f>J41*BF41</f>
        <v>0</v>
      </c>
      <c r="BH41" s="6">
        <f>M41*BE41</f>
        <v>1</v>
      </c>
    </row>
    <row r="42" spans="2:60" x14ac:dyDescent="0.25">
      <c r="B42" s="6">
        <v>3</v>
      </c>
      <c r="C42" s="6" t="str">
        <f>VLOOKUP(AY42,$B$4:$F$11,2,FALSE)</f>
        <v>Julian Frankema</v>
      </c>
      <c r="D42" s="43" t="s">
        <v>5</v>
      </c>
      <c r="E42" s="57" t="str">
        <f>VLOOKUP(AZ42,$B$4:$F$11,2,FALSE)</f>
        <v>Oscar Zecha</v>
      </c>
      <c r="F42" s="57"/>
      <c r="G42" s="57"/>
      <c r="H42" s="57"/>
      <c r="J42" s="57">
        <f>IF(T42="","",VLOOKUP(T42,Configuratie!$B$1:$E$10,3,FALSE))</f>
        <v>0</v>
      </c>
      <c r="K42" s="57"/>
      <c r="L42" s="6" t="s">
        <v>5</v>
      </c>
      <c r="M42" s="57">
        <f>IF(T42="","",VLOOKUP(T42,Configuratie!$B$1:$E$10,4,FALSE))</f>
        <v>1</v>
      </c>
      <c r="N42" s="57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2</v>
      </c>
      <c r="BF42" s="6">
        <f t="shared" si="39"/>
        <v>4</v>
      </c>
      <c r="BG42" s="6">
        <f>J42*BF42</f>
        <v>0</v>
      </c>
      <c r="BH42" s="6">
        <f>M42*BE42</f>
        <v>2</v>
      </c>
    </row>
    <row r="43" spans="2:60" x14ac:dyDescent="0.25">
      <c r="B43" s="6">
        <v>4</v>
      </c>
      <c r="C43" s="6" t="str">
        <f>VLOOKUP(AY43,$B$4:$F$11,2,FALSE)</f>
        <v>Jelle van Mullekom</v>
      </c>
      <c r="D43" s="43" t="s">
        <v>5</v>
      </c>
      <c r="E43" s="57" t="str">
        <f>VLOOKUP(AZ43,$B$4:$F$11,2,FALSE)</f>
        <v>Maarten van Eck</v>
      </c>
      <c r="F43" s="57"/>
      <c r="G43" s="57"/>
      <c r="H43" s="57"/>
      <c r="J43" s="57">
        <f>IF(T43="","",VLOOKUP(T43,Configuratie!$B$1:$E$10,3,FALSE))</f>
        <v>0</v>
      </c>
      <c r="K43" s="57"/>
      <c r="L43" s="6" t="s">
        <v>5</v>
      </c>
      <c r="M43" s="57">
        <f>IF(T43="","",VLOOKUP(T43,Configuratie!$B$1:$E$10,4,FALSE))</f>
        <v>1</v>
      </c>
      <c r="N43" s="57"/>
      <c r="R43" s="6" t="str">
        <f>IF(T43="","",VLOOKUP(T43,Configuratie!$B$1:$E$10,2,FALSE))</f>
        <v>0-1</v>
      </c>
      <c r="T43" s="5">
        <v>0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2</v>
      </c>
      <c r="BF43" s="6">
        <f t="shared" si="39"/>
        <v>3</v>
      </c>
      <c r="BG43" s="6">
        <f>J43*BF43</f>
        <v>0</v>
      </c>
      <c r="BH43" s="6">
        <f>M43*BE43</f>
        <v>2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Bye</v>
      </c>
      <c r="D46" s="43" t="s">
        <v>5</v>
      </c>
      <c r="E46" s="57" t="str">
        <f>VLOOKUP(AZ46,$B$4:$F$11,2,FALSE)</f>
        <v>Maarten van Eck</v>
      </c>
      <c r="F46" s="57"/>
      <c r="G46" s="57"/>
      <c r="H46" s="57"/>
      <c r="J46" s="57">
        <f>IF(T46="","",VLOOKUP(T46,Configuratie!$B$1:$E$10,3,FALSE))</f>
        <v>0</v>
      </c>
      <c r="K46" s="57"/>
      <c r="L46" s="6" t="s">
        <v>5</v>
      </c>
      <c r="M46" s="57">
        <f>IF(T46="","",VLOOKUP(T46,Configuratie!$B$1:$E$10,4,FALSE))</f>
        <v>1</v>
      </c>
      <c r="N46" s="57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0</v>
      </c>
      <c r="BF46" s="6">
        <f t="shared" si="41"/>
        <v>4</v>
      </c>
      <c r="BG46" s="6">
        <f>J46*BF46</f>
        <v>0</v>
      </c>
      <c r="BH46" s="6">
        <f>M46*BE46</f>
        <v>0</v>
      </c>
    </row>
    <row r="47" spans="2:60" x14ac:dyDescent="0.25">
      <c r="B47" s="6">
        <v>2</v>
      </c>
      <c r="C47" s="6" t="str">
        <f>VLOOKUP(AY47,$B$4:$F$11,2,FALSE)</f>
        <v>Oscar Zecha</v>
      </c>
      <c r="D47" s="43" t="s">
        <v>5</v>
      </c>
      <c r="E47" s="57" t="str">
        <f>VLOOKUP(AZ47,$B$4:$F$11,2,FALSE)</f>
        <v>Jelle van Mullekom</v>
      </c>
      <c r="F47" s="57"/>
      <c r="G47" s="57"/>
      <c r="H47" s="57"/>
      <c r="J47" s="57">
        <f>IF(T47="","",VLOOKUP(T47,Configuratie!$B$1:$E$10,3,FALSE))</f>
        <v>1</v>
      </c>
      <c r="K47" s="57"/>
      <c r="L47" s="6" t="s">
        <v>5</v>
      </c>
      <c r="M47" s="57">
        <f>IF(T47="","",VLOOKUP(T47,Configuratie!$B$1:$E$10,4,FALSE))</f>
        <v>0</v>
      </c>
      <c r="N47" s="57"/>
      <c r="R47" s="6" t="str">
        <f>IF(T47="","",VLOOKUP(T47,Configuratie!$B$1:$E$10,2,FALSE))</f>
        <v>1-0</v>
      </c>
      <c r="T47" s="5">
        <v>1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5</v>
      </c>
      <c r="BF47" s="6">
        <f t="shared" si="41"/>
        <v>2</v>
      </c>
      <c r="BG47" s="6">
        <f>J47*BF47</f>
        <v>2</v>
      </c>
      <c r="BH47" s="6">
        <f>M47*BE47</f>
        <v>0</v>
      </c>
    </row>
    <row r="48" spans="2:60" x14ac:dyDescent="0.25">
      <c r="B48" s="6">
        <v>3</v>
      </c>
      <c r="C48" s="6" t="str">
        <f>VLOOKUP(AY48,$B$4:$F$11,2,FALSE)</f>
        <v>Ziad Dodik</v>
      </c>
      <c r="D48" s="43" t="s">
        <v>5</v>
      </c>
      <c r="E48" s="57" t="str">
        <f>VLOOKUP(AZ48,$B$4:$F$11,2,FALSE)</f>
        <v>Julian Frankema</v>
      </c>
      <c r="F48" s="57"/>
      <c r="G48" s="57"/>
      <c r="H48" s="57"/>
      <c r="J48" s="57">
        <f>IF(T48="","",VLOOKUP(T48,Configuratie!$B$1:$E$10,3,FALSE))</f>
        <v>0</v>
      </c>
      <c r="K48" s="57"/>
      <c r="L48" s="6" t="s">
        <v>5</v>
      </c>
      <c r="M48" s="57">
        <f>IF(T48="","",VLOOKUP(T48,Configuratie!$B$1:$E$10,4,FALSE))</f>
        <v>1</v>
      </c>
      <c r="N48" s="57"/>
      <c r="R48" s="6" t="str">
        <f>IF(T48="","",VLOOKUP(T48,Configuratie!$B$1:$E$10,2,FALSE))</f>
        <v>0-1</v>
      </c>
      <c r="T48" s="5">
        <v>0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3</v>
      </c>
      <c r="BF48" s="6">
        <f t="shared" si="41"/>
        <v>2</v>
      </c>
      <c r="BG48" s="6">
        <f>J48*BF48</f>
        <v>0</v>
      </c>
      <c r="BH48" s="6">
        <f>M48*BE48</f>
        <v>3</v>
      </c>
    </row>
    <row r="49" spans="2:60" x14ac:dyDescent="0.25">
      <c r="B49" s="6">
        <v>4</v>
      </c>
      <c r="C49" s="6" t="str">
        <f>VLOOKUP(AY49,$B$4:$F$11,2,FALSE)</f>
        <v>Iva Binnendijk *</v>
      </c>
      <c r="D49" s="43" t="s">
        <v>5</v>
      </c>
      <c r="E49" s="57" t="str">
        <f>VLOOKUP(AZ49,$B$4:$F$11,2,FALSE)</f>
        <v>Philip Gabbert</v>
      </c>
      <c r="F49" s="57"/>
      <c r="G49" s="57"/>
      <c r="H49" s="57"/>
      <c r="J49" s="57">
        <f>IF(T49="","",VLOOKUP(T49,Configuratie!$B$1:$E$10,3,FALSE))</f>
        <v>0</v>
      </c>
      <c r="K49" s="57"/>
      <c r="L49" s="6" t="s">
        <v>5</v>
      </c>
      <c r="M49" s="57">
        <f>IF(T49="","",VLOOKUP(T49,Configuratie!$B$1:$E$10,4,FALSE))</f>
        <v>1</v>
      </c>
      <c r="N49" s="57"/>
      <c r="R49" s="6" t="str">
        <f>IF(T49="","",VLOOKUP(T49,Configuratie!$B$1:$E$10,2,FALSE))</f>
        <v>0-1</v>
      </c>
      <c r="T49" s="5">
        <v>0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3</v>
      </c>
      <c r="BF49" s="6">
        <f t="shared" si="41"/>
        <v>1</v>
      </c>
      <c r="BG49" s="6">
        <f>J49*BF49</f>
        <v>0</v>
      </c>
      <c r="BH49" s="6">
        <f>M49*BE49</f>
        <v>3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Philip Gabbert</v>
      </c>
      <c r="D52" s="43" t="s">
        <v>5</v>
      </c>
      <c r="E52" s="57" t="str">
        <f>VLOOKUP(AZ52,$B$4:$F$11,2,FALSE)</f>
        <v>Bye</v>
      </c>
      <c r="F52" s="57"/>
      <c r="G52" s="57"/>
      <c r="H52" s="57"/>
      <c r="J52" s="57">
        <f>IF(T52="","",VLOOKUP(T52,Configuratie!$B$1:$E$10,3,FALSE))</f>
        <v>1</v>
      </c>
      <c r="K52" s="57"/>
      <c r="L52" s="6" t="s">
        <v>5</v>
      </c>
      <c r="M52" s="57">
        <f>IF(T52="","",VLOOKUP(T52,Configuratie!$B$1:$E$10,4,FALSE))</f>
        <v>0</v>
      </c>
      <c r="N52" s="57"/>
      <c r="R52" s="6" t="str">
        <f>IF(T52="","",VLOOKUP(T52,Configuratie!$B$1:$E$10,2,FALSE))</f>
        <v>1-0</v>
      </c>
      <c r="T52" s="5">
        <v>1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2</v>
      </c>
      <c r="BF52" s="6">
        <f t="shared" si="43"/>
        <v>0</v>
      </c>
      <c r="BG52" s="6">
        <f>J52*BF52</f>
        <v>0</v>
      </c>
      <c r="BH52" s="6">
        <f>M52*BE52</f>
        <v>0</v>
      </c>
    </row>
    <row r="53" spans="2:60" x14ac:dyDescent="0.25">
      <c r="B53" s="6">
        <v>2</v>
      </c>
      <c r="C53" s="6" t="str">
        <f>VLOOKUP(AY53,$B$4:$F$11,2,FALSE)</f>
        <v>Julian Frankema</v>
      </c>
      <c r="D53" s="43" t="s">
        <v>5</v>
      </c>
      <c r="E53" s="57" t="str">
        <f>VLOOKUP(AZ53,$B$4:$F$11,2,FALSE)</f>
        <v>Iva Binnendijk *</v>
      </c>
      <c r="F53" s="57"/>
      <c r="G53" s="57"/>
      <c r="H53" s="57"/>
      <c r="J53" s="57">
        <f>IF(T53="","",VLOOKUP(T53,Configuratie!$B$1:$E$10,3,FALSE))</f>
        <v>0.5</v>
      </c>
      <c r="K53" s="57"/>
      <c r="L53" s="6" t="s">
        <v>5</v>
      </c>
      <c r="M53" s="57">
        <f>IF(T53="","",VLOOKUP(T53,Configuratie!$B$1:$E$10,4,FALSE))</f>
        <v>0.5</v>
      </c>
      <c r="N53" s="57"/>
      <c r="R53" s="6" t="str">
        <f>IF(T53="","",VLOOKUP(T53,Configuratie!$B$1:$E$10,2,FALSE))</f>
        <v>½-½</v>
      </c>
      <c r="T53" s="5">
        <v>2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3</v>
      </c>
      <c r="BF53" s="6">
        <f t="shared" si="43"/>
        <v>3</v>
      </c>
      <c r="BG53" s="6">
        <f>J53*BF53</f>
        <v>1.5</v>
      </c>
      <c r="BH53" s="6">
        <f>M53*BE53</f>
        <v>1.5</v>
      </c>
    </row>
    <row r="54" spans="2:60" x14ac:dyDescent="0.25">
      <c r="B54" s="6">
        <v>3</v>
      </c>
      <c r="C54" s="6" t="str">
        <f>VLOOKUP(AY54,$B$4:$F$11,2,FALSE)</f>
        <v>Jelle van Mullekom</v>
      </c>
      <c r="D54" s="43" t="s">
        <v>5</v>
      </c>
      <c r="E54" s="57" t="str">
        <f>VLOOKUP(AZ54,$B$4:$F$11,2,FALSE)</f>
        <v>Ziad Dodik</v>
      </c>
      <c r="F54" s="57"/>
      <c r="G54" s="57"/>
      <c r="H54" s="57"/>
      <c r="J54" s="57">
        <f>IF(T54="","",VLOOKUP(T54,Configuratie!$B$1:$E$10,3,FALSE))</f>
        <v>0</v>
      </c>
      <c r="K54" s="57"/>
      <c r="L54" s="6" t="s">
        <v>5</v>
      </c>
      <c r="M54" s="57">
        <f>IF(T54="","",VLOOKUP(T54,Configuratie!$B$1:$E$10,4,FALSE))</f>
        <v>1</v>
      </c>
      <c r="N54" s="57"/>
      <c r="R54" s="6" t="str">
        <f>IF(T54="","",VLOOKUP(T54,Configuratie!$B$1:$E$10,2,FALSE))</f>
        <v>0-1</v>
      </c>
      <c r="T54" s="5">
        <v>0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2</v>
      </c>
      <c r="BF54" s="6">
        <f t="shared" si="43"/>
        <v>3</v>
      </c>
      <c r="BG54" s="6">
        <f>J54*BF54</f>
        <v>0</v>
      </c>
      <c r="BH54" s="6">
        <f>M54*BE54</f>
        <v>2</v>
      </c>
    </row>
    <row r="55" spans="2:60" x14ac:dyDescent="0.25">
      <c r="B55" s="6">
        <v>4</v>
      </c>
      <c r="C55" s="6" t="str">
        <f>VLOOKUP(AY55,$B$4:$F$11,2,FALSE)</f>
        <v>Maarten van Eck</v>
      </c>
      <c r="D55" s="43" t="s">
        <v>5</v>
      </c>
      <c r="E55" s="57" t="str">
        <f>VLOOKUP(AZ55,$B$4:$F$11,2,FALSE)</f>
        <v>Oscar Zecha</v>
      </c>
      <c r="F55" s="57"/>
      <c r="G55" s="57"/>
      <c r="H55" s="57"/>
      <c r="J55" s="57">
        <f>IF(T55="","",VLOOKUP(T55,Configuratie!$B$1:$E$10,3,FALSE))</f>
        <v>0</v>
      </c>
      <c r="K55" s="57"/>
      <c r="L55" s="6" t="s">
        <v>5</v>
      </c>
      <c r="M55" s="57">
        <f>IF(T55="","",VLOOKUP(T55,Configuratie!$B$1:$E$10,4,FALSE))</f>
        <v>1</v>
      </c>
      <c r="N55" s="57"/>
      <c r="R55" s="6" t="str">
        <f>IF(T55="","",VLOOKUP(T55,Configuratie!$B$1:$E$10,2,FALSE))</f>
        <v>0-1</v>
      </c>
      <c r="T55" s="5">
        <v>0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5</v>
      </c>
      <c r="BF55" s="6">
        <f t="shared" si="43"/>
        <v>6</v>
      </c>
      <c r="BG55" s="6">
        <f>J55*BF55</f>
        <v>0</v>
      </c>
      <c r="BH55" s="6">
        <f>M55*BE55</f>
        <v>5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5" priority="4" stopIfTrue="1" operator="between">
      <formula>0</formula>
      <formula>1</formula>
    </cfRule>
  </conditionalFormatting>
  <conditionalFormatting sqref="T4:U11">
    <cfRule type="cellIs" dxfId="14" priority="1" operator="equal">
      <formula>3</formula>
    </cfRule>
    <cfRule type="cellIs" dxfId="13" priority="2" operator="equal">
      <formula>2</formula>
    </cfRule>
    <cfRule type="cellIs" dxfId="12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view="pageBreakPreview" zoomScaleNormal="100" zoomScaleSheetLayoutView="100" workbookViewId="0">
      <selection activeCell="T55" sqref="T55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90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D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91</v>
      </c>
      <c r="D4" s="58">
        <v>8704872</v>
      </c>
      <c r="E4" s="58"/>
      <c r="F4" s="25">
        <v>332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1</v>
      </c>
      <c r="J4" s="27">
        <f t="shared" si="0"/>
        <v>1</v>
      </c>
      <c r="K4" s="27">
        <f t="shared" si="0"/>
        <v>1</v>
      </c>
      <c r="L4" s="27">
        <f t="shared" si="0"/>
        <v>1</v>
      </c>
      <c r="M4" s="27">
        <f t="shared" si="0"/>
        <v>1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7</v>
      </c>
      <c r="S4" s="8">
        <f>IF(H4="",0,H4)*$R$4+IF(I4="",0,I4)*$R$5+IF(J4="",0,J4)*$R$6+IF(K4="",0,K4)*$R$7+IF(L4="",0,L4)*$R$8+IF(M4="",0,M4)*$R$9+IF(N4="",0,N4)*$R$10+IF(O4="",0,O4)*$R$11</f>
        <v>21</v>
      </c>
      <c r="T4" s="8">
        <f>AQ4</f>
        <v>1</v>
      </c>
      <c r="U4" s="14"/>
      <c r="V4" s="29"/>
      <c r="W4" s="30">
        <v>1</v>
      </c>
      <c r="X4" s="30" t="str">
        <f>C4</f>
        <v>Reiko Dirksen</v>
      </c>
      <c r="Y4" s="31">
        <v>2</v>
      </c>
      <c r="Z4" s="32" t="str">
        <f>IF(ISNA(VLOOKUP(B4,$A$4:$T$11,3,FALSE)),C4,VLOOKUP(B4,$A$4:$T$11,3,FALSE))</f>
        <v>Reiko Dirksen</v>
      </c>
      <c r="AA4" s="50">
        <f>IF(ISNA(VLOOKUP($B4,$A$4:$T$11,18,FALSE)),0,VLOOKUP($B4,$A$4:$T$11,18,FALSE))</f>
        <v>7</v>
      </c>
      <c r="AB4" s="33">
        <f t="shared" ref="AB4" si="2">VLOOKUP($B4,$A$4:$T$11,18,FALSE)</f>
        <v>7</v>
      </c>
      <c r="AC4" s="12">
        <f>IF(ISNA(VLOOKUP($B4,$A$4:$T$11,19,FALSE)),0,VLOOKUP($B4,$A$4:$T$11,19,FALSE))</f>
        <v>21</v>
      </c>
      <c r="AD4" s="33">
        <f t="shared" ref="AD4:AD11" si="3">VLOOKUP($Y4,$AX$4:$BA$11,4,FALSE)</f>
        <v>39</v>
      </c>
      <c r="AE4" s="34">
        <f t="shared" ref="AE4:AE11" si="4">VLOOKUP($Y4,$B$4:$R$11,5,FALSE)</f>
        <v>330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53">
        <f>$AG$13*R4+AG4</f>
        <v>21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63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189</v>
      </c>
      <c r="AM4" s="47"/>
      <c r="AN4" s="47">
        <f>RANK(AL4,$AL$4:$AL$11,1)-1</f>
        <v>7</v>
      </c>
      <c r="AO4" s="47">
        <f>RANK(S4,$S$4:$S$11,1)-1</f>
        <v>7</v>
      </c>
      <c r="AP4" s="47">
        <f>8*AN4+AO4</f>
        <v>63</v>
      </c>
      <c r="AQ4" s="47">
        <f>RANK(AP4,$AP$4:$AP$11)</f>
        <v>1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21</v>
      </c>
      <c r="AZ4" s="37">
        <f t="shared" ref="AZ4:AZ11" si="7">SUMIF($AY$13:$AY$55,B4,$BG$13:$BG$55)+SUMIF($AZ$13:$AZ$55,B4,$BH$13:$BH$55)</f>
        <v>12</v>
      </c>
      <c r="BA4" s="37">
        <f>SUM(BO4:BW4)</f>
        <v>42</v>
      </c>
      <c r="BC4" s="6">
        <v>1</v>
      </c>
      <c r="BD4" s="6">
        <f t="shared" ref="BD4:BL11" si="8">SUMIFS($J$16:$J$55,$AY$16:$AY$55,$BC4,$AX$16:$AX$55,BD$3)+SUMIFS($M$16:$M$55,$AZ$16:$AZ$55,$BC4,$AX$16:$AX$55,BD$3)</f>
        <v>1</v>
      </c>
      <c r="BE4" s="6">
        <f t="shared" si="8"/>
        <v>1</v>
      </c>
      <c r="BF4" s="6">
        <f t="shared" si="8"/>
        <v>1</v>
      </c>
      <c r="BG4" s="6">
        <f t="shared" si="8"/>
        <v>1</v>
      </c>
      <c r="BH4" s="6">
        <f t="shared" si="8"/>
        <v>1</v>
      </c>
      <c r="BI4" s="6">
        <f t="shared" si="8"/>
        <v>1</v>
      </c>
      <c r="BJ4" s="6">
        <f t="shared" si="8"/>
        <v>1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1</v>
      </c>
      <c r="BP4" s="6">
        <f t="shared" ref="BP4:BW11" si="9">BO4+BE4</f>
        <v>2</v>
      </c>
      <c r="BQ4" s="6">
        <f t="shared" si="9"/>
        <v>3</v>
      </c>
      <c r="BR4" s="6">
        <f t="shared" si="9"/>
        <v>4</v>
      </c>
      <c r="BS4" s="6">
        <f t="shared" si="9"/>
        <v>5</v>
      </c>
      <c r="BT4" s="6">
        <f t="shared" si="9"/>
        <v>6</v>
      </c>
      <c r="BU4" s="6">
        <f t="shared" si="9"/>
        <v>7</v>
      </c>
      <c r="BV4" s="6">
        <f t="shared" si="9"/>
        <v>7</v>
      </c>
      <c r="BW4" s="6">
        <f t="shared" si="9"/>
        <v>7</v>
      </c>
    </row>
    <row r="5" spans="1:75" x14ac:dyDescent="0.25">
      <c r="A5" s="24">
        <f t="shared" ref="A5:A12" si="10">T5</f>
        <v>2</v>
      </c>
      <c r="B5" s="25">
        <v>2</v>
      </c>
      <c r="C5" s="25" t="s">
        <v>92</v>
      </c>
      <c r="D5" s="58">
        <v>8731239</v>
      </c>
      <c r="E5" s="58"/>
      <c r="F5" s="25">
        <v>330</v>
      </c>
      <c r="H5" s="27">
        <f t="shared" si="0"/>
        <v>0</v>
      </c>
      <c r="I5" s="26" t="str">
        <f t="shared" si="0"/>
        <v/>
      </c>
      <c r="J5" s="27">
        <f t="shared" si="0"/>
        <v>1</v>
      </c>
      <c r="K5" s="27">
        <f t="shared" si="0"/>
        <v>1</v>
      </c>
      <c r="L5" s="27">
        <f t="shared" si="0"/>
        <v>1</v>
      </c>
      <c r="M5" s="27">
        <f t="shared" si="0"/>
        <v>1</v>
      </c>
      <c r="N5" s="27">
        <f t="shared" si="0"/>
        <v>1</v>
      </c>
      <c r="O5" s="27">
        <f t="shared" si="0"/>
        <v>1</v>
      </c>
      <c r="P5" s="28"/>
      <c r="Q5" s="46"/>
      <c r="R5" s="49">
        <f t="shared" si="1"/>
        <v>6</v>
      </c>
      <c r="S5" s="8">
        <f t="shared" ref="S5:S11" si="11">IF(H5="",0,H5)*$R$4+IF(I5="",0,I5)*$R$5+IF(J5="",0,J5)*$R$6+IF(K5="",0,K5)*$R$7+IF(L5="",0,L5)*$R$8+IF(M5="",0,M5)*$R$9+IF(N5="",0,N5)*$R$10+IF(O5="",0,O5)*$R$11</f>
        <v>15</v>
      </c>
      <c r="T5" s="8">
        <f t="shared" ref="T5:T12" si="12">AQ5</f>
        <v>2</v>
      </c>
      <c r="U5" s="14"/>
      <c r="V5" s="29"/>
      <c r="W5" s="30">
        <v>2</v>
      </c>
      <c r="X5" s="30" t="str">
        <f t="shared" ref="X5:X11" si="13">C5</f>
        <v>Fleur Westerhof *</v>
      </c>
      <c r="Y5" s="31">
        <v>7</v>
      </c>
      <c r="Z5" s="32" t="str">
        <f>IF(ISNA(VLOOKUP(B5,$A$4:$T$11,3,FALSE)),C5,VLOOKUP(B5,$A$4:$T$11,3,FALSE))</f>
        <v>Fleur Westerhof *</v>
      </c>
      <c r="AA5" s="50">
        <f t="shared" ref="AA5:AA11" si="14">IF(ISNA(VLOOKUP($B5,$A$4:$T$11,18,FALSE)),0,VLOOKUP($B5,$A$4:$T$11,18,FALSE))</f>
        <v>6</v>
      </c>
      <c r="AB5" s="33">
        <f t="shared" ref="AB5:AB11" si="15">VLOOKUP($Y5,$AX$4:$BA$11,2,FALSE)</f>
        <v>4</v>
      </c>
      <c r="AC5" s="12">
        <f t="shared" ref="AC5:AC11" si="16">IF(ISNA(VLOOKUP($B5,$A$4:$T$11,19,FALSE)),0,VLOOKUP($B5,$A$4:$T$11,19,FALSE))</f>
        <v>15</v>
      </c>
      <c r="AD5" s="33">
        <f t="shared" si="3"/>
        <v>10</v>
      </c>
      <c r="AE5" s="34">
        <f t="shared" si="4"/>
        <v>237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53">
        <f t="shared" ref="AH5:AH11" si="18">$AG$13*R5+AG5</f>
        <v>18</v>
      </c>
      <c r="AI5" s="52">
        <f t="shared" si="5"/>
        <v>0</v>
      </c>
      <c r="AJ5" s="53">
        <f t="shared" ref="AJ5:AJ11" si="19">$AI$13*AH5+AI5</f>
        <v>54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162</v>
      </c>
      <c r="AM5" s="47"/>
      <c r="AN5" s="47">
        <f t="shared" ref="AN5:AN11" si="22">RANK(AL5,$AL$4:$AL$11,1)-1</f>
        <v>6</v>
      </c>
      <c r="AO5" s="47">
        <f t="shared" ref="AO5:AO12" si="23">RANK(S5,$S$4:$S$11,1)-1</f>
        <v>6</v>
      </c>
      <c r="AP5" s="47">
        <f t="shared" ref="AP5:AP12" si="24">8*AN5+AO5</f>
        <v>54</v>
      </c>
      <c r="AQ5" s="47">
        <f t="shared" ref="AQ5:AQ11" si="25">RANK(AP5,$AP$4:$AP$11)</f>
        <v>2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21</v>
      </c>
      <c r="AZ5" s="37">
        <f t="shared" si="7"/>
        <v>6</v>
      </c>
      <c r="BA5" s="37">
        <f t="shared" ref="BA5:BA11" si="26">SUM(BO5:BW5)</f>
        <v>39</v>
      </c>
      <c r="BC5" s="6">
        <v>2</v>
      </c>
      <c r="BD5" s="6">
        <f t="shared" si="8"/>
        <v>1</v>
      </c>
      <c r="BE5" s="6">
        <f t="shared" si="8"/>
        <v>1</v>
      </c>
      <c r="BF5" s="6">
        <f t="shared" si="8"/>
        <v>1</v>
      </c>
      <c r="BG5" s="6">
        <f t="shared" si="8"/>
        <v>1</v>
      </c>
      <c r="BH5" s="6">
        <f t="shared" si="8"/>
        <v>1</v>
      </c>
      <c r="BI5" s="6">
        <f t="shared" si="8"/>
        <v>1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1</v>
      </c>
      <c r="BP5" s="6">
        <f t="shared" si="9"/>
        <v>2</v>
      </c>
      <c r="BQ5" s="6">
        <f t="shared" si="9"/>
        <v>3</v>
      </c>
      <c r="BR5" s="6">
        <f t="shared" si="9"/>
        <v>4</v>
      </c>
      <c r="BS5" s="6">
        <f t="shared" si="9"/>
        <v>5</v>
      </c>
      <c r="BT5" s="6">
        <f t="shared" si="9"/>
        <v>6</v>
      </c>
      <c r="BU5" s="6">
        <f t="shared" si="9"/>
        <v>6</v>
      </c>
      <c r="BV5" s="6">
        <f t="shared" si="9"/>
        <v>6</v>
      </c>
      <c r="BW5" s="6">
        <f t="shared" si="9"/>
        <v>6</v>
      </c>
    </row>
    <row r="6" spans="1:75" x14ac:dyDescent="0.25">
      <c r="A6" s="24">
        <f t="shared" si="10"/>
        <v>7</v>
      </c>
      <c r="B6" s="25">
        <v>3</v>
      </c>
      <c r="C6" s="25" t="s">
        <v>93</v>
      </c>
      <c r="D6" s="58">
        <v>8626068</v>
      </c>
      <c r="E6" s="58"/>
      <c r="F6" s="25">
        <v>321</v>
      </c>
      <c r="H6" s="27">
        <f t="shared" si="0"/>
        <v>0</v>
      </c>
      <c r="I6" s="27">
        <f t="shared" si="0"/>
        <v>0</v>
      </c>
      <c r="J6" s="26" t="str">
        <f t="shared" si="0"/>
        <v/>
      </c>
      <c r="K6" s="27">
        <f t="shared" si="0"/>
        <v>0</v>
      </c>
      <c r="L6" s="27">
        <f t="shared" si="0"/>
        <v>0</v>
      </c>
      <c r="M6" s="27">
        <f t="shared" si="0"/>
        <v>0</v>
      </c>
      <c r="N6" s="27">
        <f t="shared" si="0"/>
        <v>0</v>
      </c>
      <c r="O6" s="27">
        <f t="shared" si="0"/>
        <v>1</v>
      </c>
      <c r="P6" s="28"/>
      <c r="Q6" s="46"/>
      <c r="R6" s="49">
        <f t="shared" si="1"/>
        <v>1</v>
      </c>
      <c r="S6" s="8">
        <f t="shared" si="11"/>
        <v>0</v>
      </c>
      <c r="T6" s="9">
        <f>AQ6</f>
        <v>7</v>
      </c>
      <c r="U6" s="10"/>
      <c r="V6" s="29"/>
      <c r="W6" s="30">
        <v>3</v>
      </c>
      <c r="X6" s="30" t="str">
        <f t="shared" si="13"/>
        <v>Magdalena Shirokov *</v>
      </c>
      <c r="Y6" s="31">
        <v>1</v>
      </c>
      <c r="Z6" s="32" t="str">
        <f t="shared" ref="Z6:Z12" si="28">IF(ISNA(VLOOKUP(B6,$A$4:$T$11,3,FALSE)),C6,VLOOKUP(B6,$A$4:$T$11,3,FALSE))</f>
        <v>Maurijn Ahoud</v>
      </c>
      <c r="AA6" s="50">
        <f t="shared" si="14"/>
        <v>4</v>
      </c>
      <c r="AB6" s="33">
        <f t="shared" si="15"/>
        <v>21</v>
      </c>
      <c r="AC6" s="12">
        <f t="shared" si="16"/>
        <v>7</v>
      </c>
      <c r="AD6" s="33">
        <f t="shared" si="3"/>
        <v>42</v>
      </c>
      <c r="AE6" s="34">
        <f t="shared" si="4"/>
        <v>332</v>
      </c>
      <c r="AF6" s="47"/>
      <c r="AG6" s="52">
        <f t="shared" si="17"/>
        <v>0</v>
      </c>
      <c r="AH6" s="53">
        <f t="shared" si="18"/>
        <v>3</v>
      </c>
      <c r="AI6" s="52">
        <f t="shared" si="5"/>
        <v>0</v>
      </c>
      <c r="AJ6" s="53">
        <f t="shared" si="19"/>
        <v>9</v>
      </c>
      <c r="AK6" s="52">
        <f t="shared" si="20"/>
        <v>0</v>
      </c>
      <c r="AL6" s="47">
        <f t="shared" si="21"/>
        <v>27</v>
      </c>
      <c r="AM6" s="47"/>
      <c r="AN6" s="47">
        <f t="shared" si="22"/>
        <v>1</v>
      </c>
      <c r="AO6" s="47">
        <f t="shared" si="23"/>
        <v>0</v>
      </c>
      <c r="AP6" s="47">
        <f t="shared" si="24"/>
        <v>8</v>
      </c>
      <c r="AQ6" s="47">
        <f t="shared" si="25"/>
        <v>7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3</v>
      </c>
      <c r="AZ6" s="37">
        <f t="shared" si="7"/>
        <v>0</v>
      </c>
      <c r="BA6" s="37">
        <f t="shared" si="26"/>
        <v>6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1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1</v>
      </c>
      <c r="BS6" s="6">
        <f t="shared" si="9"/>
        <v>1</v>
      </c>
      <c r="BT6" s="6">
        <f t="shared" si="9"/>
        <v>1</v>
      </c>
      <c r="BU6" s="6">
        <f t="shared" si="9"/>
        <v>1</v>
      </c>
      <c r="BV6" s="6">
        <f t="shared" si="9"/>
        <v>1</v>
      </c>
      <c r="BW6" s="6">
        <f t="shared" si="9"/>
        <v>1</v>
      </c>
    </row>
    <row r="7" spans="1:75" x14ac:dyDescent="0.25">
      <c r="A7" s="24">
        <f t="shared" si="10"/>
        <v>3</v>
      </c>
      <c r="B7" s="25">
        <v>4</v>
      </c>
      <c r="C7" s="25" t="s">
        <v>94</v>
      </c>
      <c r="D7" s="58">
        <v>8669353</v>
      </c>
      <c r="E7" s="58"/>
      <c r="F7" s="25">
        <v>282</v>
      </c>
      <c r="H7" s="27">
        <f t="shared" si="0"/>
        <v>0</v>
      </c>
      <c r="I7" s="27">
        <f t="shared" si="0"/>
        <v>0</v>
      </c>
      <c r="J7" s="27">
        <f t="shared" si="0"/>
        <v>1</v>
      </c>
      <c r="K7" s="26" t="str">
        <f t="shared" si="0"/>
        <v/>
      </c>
      <c r="L7" s="27">
        <f t="shared" si="0"/>
        <v>1</v>
      </c>
      <c r="M7" s="27">
        <f t="shared" si="0"/>
        <v>0</v>
      </c>
      <c r="N7" s="27">
        <f t="shared" si="0"/>
        <v>1</v>
      </c>
      <c r="O7" s="27">
        <f t="shared" si="0"/>
        <v>1</v>
      </c>
      <c r="P7" s="28"/>
      <c r="Q7" s="46"/>
      <c r="R7" s="49">
        <f t="shared" si="1"/>
        <v>4</v>
      </c>
      <c r="S7" s="8">
        <f t="shared" si="11"/>
        <v>7</v>
      </c>
      <c r="T7" s="8">
        <f t="shared" si="12"/>
        <v>3</v>
      </c>
      <c r="U7" s="14"/>
      <c r="V7" s="29"/>
      <c r="W7" s="30">
        <v>4</v>
      </c>
      <c r="X7" s="30" t="str">
        <f t="shared" si="13"/>
        <v>Maurijn Ahoud</v>
      </c>
      <c r="Y7" s="31">
        <v>6</v>
      </c>
      <c r="Z7" s="32" t="str">
        <f t="shared" si="28"/>
        <v>Maurijn Ahoud</v>
      </c>
      <c r="AA7" s="50">
        <f t="shared" si="14"/>
        <v>0</v>
      </c>
      <c r="AB7" s="33">
        <f t="shared" si="15"/>
        <v>11</v>
      </c>
      <c r="AC7" s="12">
        <f t="shared" si="16"/>
        <v>0</v>
      </c>
      <c r="AD7" s="33">
        <f t="shared" si="3"/>
        <v>23</v>
      </c>
      <c r="AE7" s="34">
        <f t="shared" si="4"/>
        <v>268</v>
      </c>
      <c r="AF7" s="47"/>
      <c r="AG7" s="52">
        <f t="shared" si="17"/>
        <v>1</v>
      </c>
      <c r="AH7" s="53">
        <f t="shared" si="18"/>
        <v>13</v>
      </c>
      <c r="AI7" s="52">
        <f t="shared" si="5"/>
        <v>1</v>
      </c>
      <c r="AJ7" s="53">
        <f t="shared" si="19"/>
        <v>40</v>
      </c>
      <c r="AK7" s="52">
        <f t="shared" si="20"/>
        <v>1</v>
      </c>
      <c r="AL7" s="47">
        <f t="shared" si="21"/>
        <v>121</v>
      </c>
      <c r="AM7" s="47"/>
      <c r="AN7" s="47">
        <f t="shared" si="22"/>
        <v>4</v>
      </c>
      <c r="AO7" s="47">
        <f t="shared" si="23"/>
        <v>3</v>
      </c>
      <c r="AP7" s="47">
        <f t="shared" si="24"/>
        <v>35</v>
      </c>
      <c r="AQ7" s="47">
        <f t="shared" si="25"/>
        <v>3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16</v>
      </c>
      <c r="AZ7" s="37">
        <f t="shared" si="7"/>
        <v>1</v>
      </c>
      <c r="BA7" s="37">
        <f t="shared" si="26"/>
        <v>28</v>
      </c>
      <c r="BC7" s="6">
        <v>4</v>
      </c>
      <c r="BD7" s="6">
        <f t="shared" si="8"/>
        <v>1</v>
      </c>
      <c r="BE7" s="6">
        <f t="shared" si="8"/>
        <v>1</v>
      </c>
      <c r="BF7" s="6">
        <f t="shared" si="8"/>
        <v>1</v>
      </c>
      <c r="BG7" s="6">
        <f t="shared" si="8"/>
        <v>0</v>
      </c>
      <c r="BH7" s="6">
        <f t="shared" si="8"/>
        <v>0</v>
      </c>
      <c r="BI7" s="6">
        <f t="shared" si="8"/>
        <v>1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2</v>
      </c>
      <c r="BQ7" s="6">
        <f t="shared" si="9"/>
        <v>3</v>
      </c>
      <c r="BR7" s="6">
        <f t="shared" si="9"/>
        <v>3</v>
      </c>
      <c r="BS7" s="6">
        <f t="shared" si="9"/>
        <v>3</v>
      </c>
      <c r="BT7" s="6">
        <f t="shared" si="9"/>
        <v>4</v>
      </c>
      <c r="BU7" s="6">
        <f t="shared" si="9"/>
        <v>4</v>
      </c>
      <c r="BV7" s="6">
        <f t="shared" si="9"/>
        <v>4</v>
      </c>
      <c r="BW7" s="6">
        <f t="shared" si="9"/>
        <v>4</v>
      </c>
    </row>
    <row r="8" spans="1:75" x14ac:dyDescent="0.25">
      <c r="A8" s="24">
        <f t="shared" si="10"/>
        <v>3</v>
      </c>
      <c r="B8" s="25">
        <v>5</v>
      </c>
      <c r="C8" s="25" t="s">
        <v>95</v>
      </c>
      <c r="D8" s="58">
        <v>8768298</v>
      </c>
      <c r="E8" s="58"/>
      <c r="F8" s="25">
        <v>272</v>
      </c>
      <c r="H8" s="27">
        <f t="shared" si="0"/>
        <v>0</v>
      </c>
      <c r="I8" s="27">
        <f t="shared" si="0"/>
        <v>0</v>
      </c>
      <c r="J8" s="27">
        <f t="shared" si="0"/>
        <v>1</v>
      </c>
      <c r="K8" s="27">
        <f t="shared" si="0"/>
        <v>0</v>
      </c>
      <c r="L8" s="26" t="str">
        <f t="shared" si="0"/>
        <v/>
      </c>
      <c r="M8" s="27">
        <f t="shared" si="0"/>
        <v>1</v>
      </c>
      <c r="N8" s="27">
        <f t="shared" si="0"/>
        <v>1</v>
      </c>
      <c r="O8" s="27">
        <f t="shared" si="0"/>
        <v>1</v>
      </c>
      <c r="P8" s="28"/>
      <c r="Q8" s="46"/>
      <c r="R8" s="49">
        <f t="shared" si="1"/>
        <v>4</v>
      </c>
      <c r="S8" s="8">
        <f t="shared" si="11"/>
        <v>7</v>
      </c>
      <c r="T8" s="8">
        <f t="shared" si="12"/>
        <v>3</v>
      </c>
      <c r="U8" s="14"/>
      <c r="V8" s="29"/>
      <c r="W8" s="30">
        <v>5</v>
      </c>
      <c r="X8" s="30" t="str">
        <f t="shared" si="13"/>
        <v>Koen Wattel</v>
      </c>
      <c r="Y8" s="31">
        <v>3</v>
      </c>
      <c r="Z8" s="32" t="str">
        <f t="shared" si="28"/>
        <v>Teun Cloosterman</v>
      </c>
      <c r="AA8" s="50">
        <f t="shared" si="14"/>
        <v>4</v>
      </c>
      <c r="AB8" s="33">
        <f t="shared" si="15"/>
        <v>3</v>
      </c>
      <c r="AC8" s="12">
        <f t="shared" si="16"/>
        <v>7</v>
      </c>
      <c r="AD8" s="33">
        <f t="shared" si="3"/>
        <v>6</v>
      </c>
      <c r="AE8" s="34">
        <f t="shared" si="4"/>
        <v>321</v>
      </c>
      <c r="AF8" s="47"/>
      <c r="AG8" s="52">
        <f t="shared" si="17"/>
        <v>1</v>
      </c>
      <c r="AH8" s="53">
        <f t="shared" si="18"/>
        <v>13</v>
      </c>
      <c r="AI8" s="52">
        <f t="shared" si="5"/>
        <v>1</v>
      </c>
      <c r="AJ8" s="53">
        <f t="shared" si="19"/>
        <v>40</v>
      </c>
      <c r="AK8" s="52">
        <f t="shared" si="20"/>
        <v>1</v>
      </c>
      <c r="AL8" s="47">
        <f t="shared" si="21"/>
        <v>121</v>
      </c>
      <c r="AM8" s="47"/>
      <c r="AN8" s="47">
        <f t="shared" si="22"/>
        <v>4</v>
      </c>
      <c r="AO8" s="47">
        <f t="shared" si="23"/>
        <v>3</v>
      </c>
      <c r="AP8" s="47">
        <f t="shared" si="24"/>
        <v>35</v>
      </c>
      <c r="AQ8" s="47">
        <f t="shared" si="25"/>
        <v>3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8</v>
      </c>
      <c r="AZ8" s="37">
        <f t="shared" si="7"/>
        <v>4</v>
      </c>
      <c r="BA8" s="37">
        <f t="shared" si="26"/>
        <v>20</v>
      </c>
      <c r="BC8" s="6">
        <v>5</v>
      </c>
      <c r="BD8" s="6">
        <f t="shared" si="8"/>
        <v>0</v>
      </c>
      <c r="BE8" s="6">
        <f t="shared" si="8"/>
        <v>1</v>
      </c>
      <c r="BF8" s="6">
        <f t="shared" si="8"/>
        <v>0</v>
      </c>
      <c r="BG8" s="6">
        <f t="shared" si="8"/>
        <v>0</v>
      </c>
      <c r="BH8" s="6">
        <f t="shared" si="8"/>
        <v>1</v>
      </c>
      <c r="BI8" s="6">
        <f t="shared" si="8"/>
        <v>1</v>
      </c>
      <c r="BJ8" s="6">
        <f t="shared" si="8"/>
        <v>1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1</v>
      </c>
      <c r="BQ8" s="6">
        <f t="shared" si="9"/>
        <v>1</v>
      </c>
      <c r="BR8" s="6">
        <f t="shared" si="9"/>
        <v>1</v>
      </c>
      <c r="BS8" s="6">
        <f t="shared" si="9"/>
        <v>2</v>
      </c>
      <c r="BT8" s="6">
        <f t="shared" si="9"/>
        <v>3</v>
      </c>
      <c r="BU8" s="6">
        <f t="shared" si="9"/>
        <v>4</v>
      </c>
      <c r="BV8" s="6">
        <f t="shared" si="9"/>
        <v>4</v>
      </c>
      <c r="BW8" s="6">
        <f t="shared" si="9"/>
        <v>4</v>
      </c>
    </row>
    <row r="9" spans="1:75" x14ac:dyDescent="0.25">
      <c r="A9" s="24">
        <f t="shared" si="10"/>
        <v>5</v>
      </c>
      <c r="B9" s="25">
        <v>6</v>
      </c>
      <c r="C9" s="25" t="s">
        <v>96</v>
      </c>
      <c r="D9" s="58">
        <v>8783709</v>
      </c>
      <c r="E9" s="58"/>
      <c r="F9" s="25">
        <v>268</v>
      </c>
      <c r="H9" s="27">
        <f t="shared" si="0"/>
        <v>0</v>
      </c>
      <c r="I9" s="27">
        <f t="shared" si="0"/>
        <v>0</v>
      </c>
      <c r="J9" s="27">
        <f t="shared" si="0"/>
        <v>1</v>
      </c>
      <c r="K9" s="27">
        <f t="shared" si="0"/>
        <v>1</v>
      </c>
      <c r="L9" s="27">
        <f t="shared" si="0"/>
        <v>0</v>
      </c>
      <c r="M9" s="26" t="str">
        <f t="shared" si="0"/>
        <v/>
      </c>
      <c r="N9" s="27">
        <f t="shared" si="0"/>
        <v>1</v>
      </c>
      <c r="O9" s="27">
        <f t="shared" si="0"/>
        <v>1</v>
      </c>
      <c r="P9" s="28"/>
      <c r="Q9" s="46"/>
      <c r="R9" s="49">
        <f t="shared" si="1"/>
        <v>4</v>
      </c>
      <c r="S9" s="8">
        <f t="shared" si="11"/>
        <v>7</v>
      </c>
      <c r="T9" s="8">
        <f t="shared" si="12"/>
        <v>5</v>
      </c>
      <c r="U9" s="14"/>
      <c r="V9" s="29"/>
      <c r="W9" s="30">
        <v>6</v>
      </c>
      <c r="X9" s="30" t="str">
        <f t="shared" si="13"/>
        <v>Teun Cloosterman</v>
      </c>
      <c r="Y9" s="31">
        <v>5</v>
      </c>
      <c r="Z9" s="32" t="str">
        <f t="shared" si="28"/>
        <v>Robert Nica</v>
      </c>
      <c r="AA9" s="50">
        <f t="shared" si="14"/>
        <v>2</v>
      </c>
      <c r="AB9" s="33">
        <f t="shared" si="15"/>
        <v>8</v>
      </c>
      <c r="AC9" s="12">
        <f t="shared" si="16"/>
        <v>1</v>
      </c>
      <c r="AD9" s="33">
        <f t="shared" si="3"/>
        <v>20</v>
      </c>
      <c r="AE9" s="34">
        <f t="shared" si="4"/>
        <v>272</v>
      </c>
      <c r="AF9" s="47"/>
      <c r="AG9" s="52">
        <f t="shared" si="17"/>
        <v>1</v>
      </c>
      <c r="AH9" s="53">
        <f t="shared" si="18"/>
        <v>13</v>
      </c>
      <c r="AI9" s="52">
        <f t="shared" si="5"/>
        <v>1</v>
      </c>
      <c r="AJ9" s="53">
        <f t="shared" si="19"/>
        <v>40</v>
      </c>
      <c r="AK9" s="52">
        <f t="shared" si="20"/>
        <v>0</v>
      </c>
      <c r="AL9" s="47">
        <f t="shared" si="21"/>
        <v>120</v>
      </c>
      <c r="AM9" s="47"/>
      <c r="AN9" s="47">
        <f t="shared" si="22"/>
        <v>3</v>
      </c>
      <c r="AO9" s="47">
        <f t="shared" si="23"/>
        <v>3</v>
      </c>
      <c r="AP9" s="47">
        <f t="shared" si="24"/>
        <v>27</v>
      </c>
      <c r="AQ9" s="47">
        <f t="shared" si="25"/>
        <v>5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11</v>
      </c>
      <c r="AZ9" s="37">
        <f t="shared" si="7"/>
        <v>5</v>
      </c>
      <c r="BA9" s="37">
        <f t="shared" si="26"/>
        <v>23</v>
      </c>
      <c r="BC9" s="6">
        <v>6</v>
      </c>
      <c r="BD9" s="6">
        <f t="shared" si="8"/>
        <v>1</v>
      </c>
      <c r="BE9" s="6">
        <f t="shared" si="8"/>
        <v>0</v>
      </c>
      <c r="BF9" s="6">
        <f t="shared" si="8"/>
        <v>0</v>
      </c>
      <c r="BG9" s="6">
        <f t="shared" si="8"/>
        <v>1</v>
      </c>
      <c r="BH9" s="6">
        <f t="shared" si="8"/>
        <v>1</v>
      </c>
      <c r="BI9" s="6">
        <f t="shared" si="8"/>
        <v>0</v>
      </c>
      <c r="BJ9" s="6">
        <f t="shared" si="8"/>
        <v>1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1</v>
      </c>
      <c r="BP9" s="6">
        <f t="shared" si="9"/>
        <v>1</v>
      </c>
      <c r="BQ9" s="6">
        <f t="shared" si="9"/>
        <v>1</v>
      </c>
      <c r="BR9" s="6">
        <f t="shared" si="9"/>
        <v>2</v>
      </c>
      <c r="BS9" s="6">
        <f t="shared" si="9"/>
        <v>3</v>
      </c>
      <c r="BT9" s="6">
        <f t="shared" si="9"/>
        <v>3</v>
      </c>
      <c r="BU9" s="6">
        <f t="shared" si="9"/>
        <v>4</v>
      </c>
      <c r="BV9" s="6">
        <f t="shared" si="9"/>
        <v>4</v>
      </c>
      <c r="BW9" s="6">
        <f t="shared" si="9"/>
        <v>4</v>
      </c>
    </row>
    <row r="10" spans="1:75" x14ac:dyDescent="0.25">
      <c r="A10" s="24">
        <f t="shared" si="10"/>
        <v>6</v>
      </c>
      <c r="B10" s="25">
        <v>7</v>
      </c>
      <c r="C10" s="25" t="s">
        <v>97</v>
      </c>
      <c r="D10" s="58">
        <v>8632261</v>
      </c>
      <c r="E10" s="58"/>
      <c r="F10" s="25">
        <v>237</v>
      </c>
      <c r="H10" s="27">
        <f t="shared" si="0"/>
        <v>0</v>
      </c>
      <c r="I10" s="27">
        <f t="shared" si="0"/>
        <v>0</v>
      </c>
      <c r="J10" s="27">
        <f t="shared" si="0"/>
        <v>1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2</v>
      </c>
      <c r="S10" s="8">
        <f t="shared" si="11"/>
        <v>1</v>
      </c>
      <c r="T10" s="8">
        <f t="shared" si="12"/>
        <v>6</v>
      </c>
      <c r="U10" s="14"/>
      <c r="V10" s="29"/>
      <c r="W10" s="30">
        <v>7</v>
      </c>
      <c r="X10" s="30" t="str">
        <f t="shared" si="13"/>
        <v>Robert Nica</v>
      </c>
      <c r="Y10" s="31">
        <v>4</v>
      </c>
      <c r="Z10" s="32" t="str">
        <f t="shared" si="28"/>
        <v>Magdalena Shirokov *</v>
      </c>
      <c r="AA10" s="50">
        <f t="shared" si="14"/>
        <v>1</v>
      </c>
      <c r="AB10" s="33">
        <f t="shared" si="15"/>
        <v>16</v>
      </c>
      <c r="AC10" s="12">
        <f t="shared" si="16"/>
        <v>0</v>
      </c>
      <c r="AD10" s="33">
        <f t="shared" si="3"/>
        <v>28</v>
      </c>
      <c r="AE10" s="34">
        <f t="shared" si="4"/>
        <v>282</v>
      </c>
      <c r="AF10" s="47"/>
      <c r="AG10" s="52">
        <f t="shared" si="17"/>
        <v>0</v>
      </c>
      <c r="AH10" s="53">
        <f t="shared" si="18"/>
        <v>6</v>
      </c>
      <c r="AI10" s="52">
        <f t="shared" si="5"/>
        <v>0</v>
      </c>
      <c r="AJ10" s="53">
        <f t="shared" si="19"/>
        <v>18</v>
      </c>
      <c r="AK10" s="52">
        <f t="shared" si="20"/>
        <v>0</v>
      </c>
      <c r="AL10" s="47">
        <f t="shared" si="21"/>
        <v>54</v>
      </c>
      <c r="AM10" s="47"/>
      <c r="AN10" s="47">
        <f t="shared" si="22"/>
        <v>2</v>
      </c>
      <c r="AO10" s="47">
        <f t="shared" si="23"/>
        <v>2</v>
      </c>
      <c r="AP10" s="47">
        <f t="shared" si="24"/>
        <v>18</v>
      </c>
      <c r="AQ10" s="47">
        <f t="shared" si="25"/>
        <v>6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4</v>
      </c>
      <c r="AZ10" s="37">
        <f t="shared" si="7"/>
        <v>1</v>
      </c>
      <c r="BA10" s="37">
        <f t="shared" si="26"/>
        <v>10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1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1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1</v>
      </c>
      <c r="BR10" s="6">
        <f t="shared" si="9"/>
        <v>1</v>
      </c>
      <c r="BS10" s="6">
        <f t="shared" si="9"/>
        <v>1</v>
      </c>
      <c r="BT10" s="6">
        <f t="shared" si="9"/>
        <v>1</v>
      </c>
      <c r="BU10" s="6">
        <f t="shared" si="9"/>
        <v>2</v>
      </c>
      <c r="BV10" s="6">
        <f t="shared" si="9"/>
        <v>2</v>
      </c>
      <c r="BW10" s="6">
        <f t="shared" si="9"/>
        <v>2</v>
      </c>
    </row>
    <row r="11" spans="1:75" x14ac:dyDescent="0.25">
      <c r="A11" s="24">
        <f t="shared" si="10"/>
        <v>8</v>
      </c>
      <c r="B11" s="25">
        <v>8</v>
      </c>
      <c r="C11" s="25" t="s">
        <v>89</v>
      </c>
      <c r="D11" s="58">
        <v>0</v>
      </c>
      <c r="E11" s="58"/>
      <c r="F11" s="25">
        <v>-1</v>
      </c>
      <c r="H11" s="27">
        <f t="shared" si="0"/>
        <v>0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0</v>
      </c>
      <c r="S11" s="8">
        <f t="shared" si="11"/>
        <v>0</v>
      </c>
      <c r="T11" s="8">
        <f t="shared" si="12"/>
        <v>8</v>
      </c>
      <c r="U11" s="14"/>
      <c r="V11" s="29"/>
      <c r="W11" s="30">
        <v>8</v>
      </c>
      <c r="X11" s="30" t="str">
        <f t="shared" si="13"/>
        <v>Bye</v>
      </c>
      <c r="Y11" s="31">
        <v>8</v>
      </c>
      <c r="Z11" s="32" t="str">
        <f t="shared" si="28"/>
        <v>Bye</v>
      </c>
      <c r="AA11" s="50">
        <f t="shared" si="14"/>
        <v>0</v>
      </c>
      <c r="AB11" s="33">
        <f t="shared" si="15"/>
        <v>0</v>
      </c>
      <c r="AC11" s="12">
        <f t="shared" si="16"/>
        <v>0</v>
      </c>
      <c r="AD11" s="33">
        <f t="shared" si="3"/>
        <v>0</v>
      </c>
      <c r="AE11" s="34">
        <f t="shared" si="4"/>
        <v>-1</v>
      </c>
      <c r="AF11" s="47"/>
      <c r="AG11" s="52">
        <f t="shared" si="17"/>
        <v>0</v>
      </c>
      <c r="AH11" s="53">
        <f t="shared" si="18"/>
        <v>0</v>
      </c>
      <c r="AI11" s="52">
        <f t="shared" si="5"/>
        <v>0</v>
      </c>
      <c r="AJ11" s="53">
        <f t="shared" si="19"/>
        <v>0</v>
      </c>
      <c r="AK11" s="52">
        <f t="shared" si="20"/>
        <v>0</v>
      </c>
      <c r="AL11" s="47">
        <f t="shared" si="21"/>
        <v>0</v>
      </c>
      <c r="AM11" s="47"/>
      <c r="AN11" s="47">
        <f t="shared" si="22"/>
        <v>0</v>
      </c>
      <c r="AO11" s="47">
        <f t="shared" si="23"/>
        <v>0</v>
      </c>
      <c r="AP11" s="47">
        <f t="shared" si="24"/>
        <v>0</v>
      </c>
      <c r="AQ11" s="47">
        <f t="shared" si="25"/>
        <v>8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0</v>
      </c>
      <c r="AZ11" s="37">
        <f t="shared" si="7"/>
        <v>0</v>
      </c>
      <c r="BA11" s="37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>
        <f t="shared" si="23"/>
        <v>0</v>
      </c>
      <c r="AP12" s="47">
        <f t="shared" si="24"/>
        <v>0</v>
      </c>
      <c r="AQ12" s="47">
        <f>RANK(AP13,$AP$4:$AP$11,1)</f>
        <v>1</v>
      </c>
    </row>
    <row r="13" spans="1:75" x14ac:dyDescent="0.25">
      <c r="AG13" s="48">
        <f>2*MAX(AG4:AG11)+1</f>
        <v>3</v>
      </c>
      <c r="AH13" s="54"/>
      <c r="AI13" s="48">
        <f>2*MAX(AI4:AI11)+1</f>
        <v>3</v>
      </c>
      <c r="AK13" s="48">
        <f>2*MAX(AK4:AK11)+1</f>
        <v>3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Bye</v>
      </c>
      <c r="D16" s="43" t="s">
        <v>5</v>
      </c>
      <c r="E16" s="57" t="str">
        <f>VLOOKUP(AZ16,$B$4:$F$11,2,FALSE)</f>
        <v>Reiko Dirksen</v>
      </c>
      <c r="F16" s="57"/>
      <c r="G16" s="57"/>
      <c r="H16" s="57"/>
      <c r="J16" s="57">
        <f>IF(T16="","",VLOOKUP(T16,Configuratie!$B$1:$E$10,3,FALSE))</f>
        <v>0</v>
      </c>
      <c r="K16" s="57"/>
      <c r="L16" s="6" t="s">
        <v>5</v>
      </c>
      <c r="M16" s="57">
        <f>IF(T16="","",VLOOKUP(T16,Configuratie!$B$1:$E$10,4,FALSE))</f>
        <v>1</v>
      </c>
      <c r="N16" s="57"/>
      <c r="R16" s="6" t="str">
        <f>IF(T16="","",VLOOKUP(T16,Configuratie!$B$1:$E$10,2,FALSE))</f>
        <v>0-1</v>
      </c>
      <c r="T16" s="5">
        <v>0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Robert Nica</v>
      </c>
      <c r="D17" s="43" t="s">
        <v>5</v>
      </c>
      <c r="E17" s="57" t="str">
        <f t="shared" ref="E17:E19" si="31">VLOOKUP(AZ17,$B$4:$F$11,2,FALSE)</f>
        <v>Fleur Westerhof *</v>
      </c>
      <c r="F17" s="57"/>
      <c r="G17" s="57"/>
      <c r="H17" s="57"/>
      <c r="J17" s="57">
        <f>IF(T17="","",VLOOKUP(T17,Configuratie!$B$1:$E$10,3,FALSE))</f>
        <v>0</v>
      </c>
      <c r="K17" s="57"/>
      <c r="L17" s="6" t="s">
        <v>5</v>
      </c>
      <c r="M17" s="57">
        <f>IF(T17="","",VLOOKUP(T17,Configuratie!$B$1:$E$10,4,FALSE))</f>
        <v>1</v>
      </c>
      <c r="N17" s="57"/>
      <c r="R17" s="6" t="str">
        <f>IF(T17="","",VLOOKUP(T17,Configuratie!$B$1:$E$10,2,FALSE))</f>
        <v>0-1</v>
      </c>
      <c r="T17" s="5">
        <v>0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Teun Cloosterman</v>
      </c>
      <c r="D18" s="43" t="s">
        <v>5</v>
      </c>
      <c r="E18" s="57" t="str">
        <f t="shared" si="31"/>
        <v>Magdalena Shirokov *</v>
      </c>
      <c r="F18" s="57"/>
      <c r="G18" s="57"/>
      <c r="H18" s="57"/>
      <c r="J18" s="57">
        <f>IF(T18="","",VLOOKUP(T18,Configuratie!$B$1:$E$10,3,FALSE))</f>
        <v>1</v>
      </c>
      <c r="K18" s="57"/>
      <c r="L18" s="6" t="s">
        <v>5</v>
      </c>
      <c r="M18" s="57">
        <f>IF(T18="","",VLOOKUP(T18,Configuratie!$B$1:$E$10,4,FALSE))</f>
        <v>0</v>
      </c>
      <c r="N18" s="57"/>
      <c r="R18" s="6" t="str">
        <f>IF(T18="","",VLOOKUP(T18,Configuratie!$B$1:$E$10,2,FALSE))</f>
        <v>1-0</v>
      </c>
      <c r="T18" s="5">
        <v>1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Koen Wattel</v>
      </c>
      <c r="D19" s="43" t="s">
        <v>5</v>
      </c>
      <c r="E19" s="57" t="str">
        <f t="shared" si="31"/>
        <v>Maurijn Ahoud</v>
      </c>
      <c r="F19" s="57"/>
      <c r="G19" s="57"/>
      <c r="H19" s="57"/>
      <c r="J19" s="57">
        <f>IF(T19="","",VLOOKUP(T19,Configuratie!$B$1:$E$10,3,FALSE))</f>
        <v>0</v>
      </c>
      <c r="K19" s="57"/>
      <c r="L19" s="6" t="s">
        <v>5</v>
      </c>
      <c r="M19" s="57">
        <f>IF(T19="","",VLOOKUP(T19,Configuratie!$B$1:$E$10,4,FALSE))</f>
        <v>1</v>
      </c>
      <c r="N19" s="57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Bye</v>
      </c>
      <c r="D22" s="43" t="s">
        <v>5</v>
      </c>
      <c r="E22" s="57" t="str">
        <f>VLOOKUP(AZ22,$B$4:$F$11,2,FALSE)</f>
        <v>Maurijn Ahoud</v>
      </c>
      <c r="F22" s="57"/>
      <c r="G22" s="57"/>
      <c r="H22" s="57"/>
      <c r="J22" s="57">
        <f>IF(T22="","",VLOOKUP(T22,Configuratie!$B$1:$E$10,3,FALSE))</f>
        <v>0</v>
      </c>
      <c r="K22" s="57"/>
      <c r="L22" s="6" t="s">
        <v>5</v>
      </c>
      <c r="M22" s="57">
        <f>IF(T22="","",VLOOKUP(T22,Configuratie!$B$1:$E$10,4,FALSE))</f>
        <v>1</v>
      </c>
      <c r="N22" s="57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0</v>
      </c>
      <c r="BF22" s="6">
        <f t="shared" si="32"/>
        <v>1</v>
      </c>
      <c r="BG22" s="6">
        <f>J22*BF22</f>
        <v>0</v>
      </c>
      <c r="BH22" s="6">
        <f>M22*BE22</f>
        <v>0</v>
      </c>
    </row>
    <row r="23" spans="2:60" x14ac:dyDescent="0.25">
      <c r="B23" s="6">
        <v>2</v>
      </c>
      <c r="C23" s="6" t="str">
        <f>VLOOKUP(AY23,$B$4:$F$11,2,FALSE)</f>
        <v>Magdalena Shirokov *</v>
      </c>
      <c r="D23" s="43" t="s">
        <v>5</v>
      </c>
      <c r="E23" s="57" t="str">
        <f t="shared" ref="E23:E25" si="33">VLOOKUP(AZ23,$B$4:$F$11,2,FALSE)</f>
        <v>Koen Wattel</v>
      </c>
      <c r="F23" s="57"/>
      <c r="G23" s="57"/>
      <c r="H23" s="57"/>
      <c r="J23" s="57">
        <f>IF(T23="","",VLOOKUP(T23,Configuratie!$B$1:$E$10,3,FALSE))</f>
        <v>0</v>
      </c>
      <c r="K23" s="57"/>
      <c r="L23" s="6" t="s">
        <v>5</v>
      </c>
      <c r="M23" s="57">
        <f>IF(T23="","",VLOOKUP(T23,Configuratie!$B$1:$E$10,4,FALSE))</f>
        <v>1</v>
      </c>
      <c r="N23" s="57"/>
      <c r="R23" s="6" t="str">
        <f>IF(T23="","",VLOOKUP(T23,Configuratie!$B$1:$E$10,2,FALSE))</f>
        <v>0-1</v>
      </c>
      <c r="T23" s="5">
        <v>0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0</v>
      </c>
      <c r="BF23" s="6">
        <f t="shared" si="32"/>
        <v>0</v>
      </c>
      <c r="BG23" s="6">
        <f>J23*BF23</f>
        <v>0</v>
      </c>
      <c r="BH23" s="6">
        <f>M23*BE23</f>
        <v>0</v>
      </c>
    </row>
    <row r="24" spans="2:60" x14ac:dyDescent="0.25">
      <c r="B24" s="6">
        <v>3</v>
      </c>
      <c r="C24" s="6" t="str">
        <f>VLOOKUP(AY24,$B$4:$F$11,2,FALSE)</f>
        <v>Fleur Westerhof *</v>
      </c>
      <c r="D24" s="43" t="s">
        <v>5</v>
      </c>
      <c r="E24" s="57" t="str">
        <f t="shared" si="33"/>
        <v>Teun Cloosterman</v>
      </c>
      <c r="F24" s="57"/>
      <c r="G24" s="57"/>
      <c r="H24" s="57"/>
      <c r="J24" s="57">
        <f>IF(T24="","",VLOOKUP(T24,Configuratie!$B$1:$E$10,3,FALSE))</f>
        <v>1</v>
      </c>
      <c r="K24" s="57"/>
      <c r="L24" s="6" t="s">
        <v>5</v>
      </c>
      <c r="M24" s="57">
        <f>IF(T24="","",VLOOKUP(T24,Configuratie!$B$1:$E$10,4,FALSE))</f>
        <v>0</v>
      </c>
      <c r="N24" s="57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1</v>
      </c>
      <c r="BF24" s="6">
        <f t="shared" si="32"/>
        <v>1</v>
      </c>
      <c r="BG24" s="6">
        <f>J24*BF24</f>
        <v>1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Reiko Dirksen</v>
      </c>
      <c r="D25" s="43" t="s">
        <v>5</v>
      </c>
      <c r="E25" s="57" t="str">
        <f t="shared" si="33"/>
        <v>Robert Nica</v>
      </c>
      <c r="F25" s="57"/>
      <c r="G25" s="57"/>
      <c r="H25" s="57"/>
      <c r="J25" s="57">
        <f>IF(T25="","",VLOOKUP(T25,Configuratie!$B$1:$E$10,3,FALSE))</f>
        <v>1</v>
      </c>
      <c r="K25" s="57"/>
      <c r="L25" s="6" t="s">
        <v>5</v>
      </c>
      <c r="M25" s="57">
        <f>IF(T25="","",VLOOKUP(T25,Configuratie!$B$1:$E$10,4,FALSE))</f>
        <v>0</v>
      </c>
      <c r="N25" s="57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1</v>
      </c>
      <c r="BF25" s="6">
        <f t="shared" si="32"/>
        <v>0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Robert Nica</v>
      </c>
      <c r="D28" s="43" t="s">
        <v>5</v>
      </c>
      <c r="E28" s="57" t="str">
        <f>VLOOKUP(AZ28,$B$4:$F$11,2,FALSE)</f>
        <v>Bye</v>
      </c>
      <c r="F28" s="57"/>
      <c r="G28" s="57"/>
      <c r="H28" s="57"/>
      <c r="J28" s="57">
        <f>IF(T28="","",VLOOKUP(T28,Configuratie!$B$1:$E$10,3,FALSE))</f>
        <v>1</v>
      </c>
      <c r="K28" s="57"/>
      <c r="L28" s="6" t="s">
        <v>5</v>
      </c>
      <c r="M28" s="57">
        <f>IF(T28="","",VLOOKUP(T28,Configuratie!$B$1:$E$10,4,FALSE))</f>
        <v>0</v>
      </c>
      <c r="N28" s="57"/>
      <c r="R28" s="6" t="str">
        <f>IF(T28="","",VLOOKUP(T28,Configuratie!$B$1:$E$10,2,FALSE))</f>
        <v>1-0</v>
      </c>
      <c r="T28" s="5">
        <v>1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>
        <f>J28*BF28</f>
        <v>0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Teun Cloosterman</v>
      </c>
      <c r="D29" s="43" t="s">
        <v>5</v>
      </c>
      <c r="E29" s="57" t="str">
        <f>VLOOKUP(AZ29,$B$4:$F$11,2,FALSE)</f>
        <v>Reiko Dirksen</v>
      </c>
      <c r="F29" s="57"/>
      <c r="G29" s="57"/>
      <c r="H29" s="57"/>
      <c r="J29" s="57">
        <f>IF(T29="","",VLOOKUP(T29,Configuratie!$B$1:$E$10,3,FALSE))</f>
        <v>0</v>
      </c>
      <c r="K29" s="57"/>
      <c r="L29" s="6" t="s">
        <v>5</v>
      </c>
      <c r="M29" s="57">
        <f>IF(T29="","",VLOOKUP(T29,Configuratie!$B$1:$E$10,4,FALSE))</f>
        <v>1</v>
      </c>
      <c r="N29" s="57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1</v>
      </c>
      <c r="BF29" s="6">
        <f t="shared" si="35"/>
        <v>2</v>
      </c>
      <c r="BG29" s="6">
        <f>J29*BF29</f>
        <v>0</v>
      </c>
      <c r="BH29" s="6">
        <f>M29*BE29</f>
        <v>1</v>
      </c>
    </row>
    <row r="30" spans="2:60" x14ac:dyDescent="0.25">
      <c r="B30" s="6">
        <v>3</v>
      </c>
      <c r="C30" s="6" t="str">
        <f>VLOOKUP(AY30,$B$4:$F$11,2,FALSE)</f>
        <v>Koen Wattel</v>
      </c>
      <c r="D30" s="43" t="s">
        <v>5</v>
      </c>
      <c r="E30" s="57" t="str">
        <f>VLOOKUP(AZ30,$B$4:$F$11,2,FALSE)</f>
        <v>Fleur Westerhof *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1</v>
      </c>
      <c r="BF30" s="6">
        <f t="shared" si="35"/>
        <v>2</v>
      </c>
      <c r="BG30" s="6">
        <f>J30*BF30</f>
        <v>0</v>
      </c>
      <c r="BH30" s="6">
        <f>M30*BE30</f>
        <v>1</v>
      </c>
    </row>
    <row r="31" spans="2:60" x14ac:dyDescent="0.25">
      <c r="B31" s="6">
        <v>4</v>
      </c>
      <c r="C31" s="6" t="str">
        <f>VLOOKUP(AY31,$B$4:$F$11,2,FALSE)</f>
        <v>Maurijn Ahoud</v>
      </c>
      <c r="D31" s="43" t="s">
        <v>5</v>
      </c>
      <c r="E31" s="57" t="str">
        <f>VLOOKUP(AZ31,$B$4:$F$11,2,FALSE)</f>
        <v>Magdalena Shirokov *</v>
      </c>
      <c r="F31" s="57"/>
      <c r="G31" s="57"/>
      <c r="H31" s="57"/>
      <c r="J31" s="57">
        <f>IF(T31="","",VLOOKUP(T31,Configuratie!$B$1:$E$10,3,FALSE))</f>
        <v>1</v>
      </c>
      <c r="K31" s="57"/>
      <c r="L31" s="6" t="s">
        <v>5</v>
      </c>
      <c r="M31" s="57">
        <f>IF(T31="","",VLOOKUP(T31,Configuratie!$B$1:$E$10,4,FALSE))</f>
        <v>0</v>
      </c>
      <c r="N31" s="57"/>
      <c r="R31" s="6" t="str">
        <f>IF(T31="","",VLOOKUP(T31,Configuratie!$B$1:$E$10,2,FALSE))</f>
        <v>1-0</v>
      </c>
      <c r="T31" s="5">
        <v>1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2</v>
      </c>
      <c r="BF31" s="6">
        <f t="shared" si="35"/>
        <v>0</v>
      </c>
      <c r="BG31" s="6">
        <f>J31*BF31</f>
        <v>0</v>
      </c>
      <c r="BH31" s="6">
        <f>M31*BE31</f>
        <v>0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Bye</v>
      </c>
      <c r="D34" s="43" t="s">
        <v>5</v>
      </c>
      <c r="E34" s="57" t="str">
        <f>VLOOKUP(AZ34,$B$4:$F$11,2,FALSE)</f>
        <v>Magdalena Shirokov *</v>
      </c>
      <c r="F34" s="57"/>
      <c r="G34" s="57"/>
      <c r="H34" s="57"/>
      <c r="J34" s="57">
        <f>IF(T34="","",VLOOKUP(T34,Configuratie!$B$1:$E$10,3,FALSE))</f>
        <v>0</v>
      </c>
      <c r="K34" s="57"/>
      <c r="L34" s="6" t="s">
        <v>5</v>
      </c>
      <c r="M34" s="57">
        <f>IF(T34="","",VLOOKUP(T34,Configuratie!$B$1:$E$10,4,FALSE))</f>
        <v>1</v>
      </c>
      <c r="N34" s="57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>
        <f>J34*BF34</f>
        <v>0</v>
      </c>
      <c r="BH34" s="6">
        <f>M34*BE34</f>
        <v>0</v>
      </c>
    </row>
    <row r="35" spans="2:60" x14ac:dyDescent="0.25">
      <c r="B35" s="6">
        <v>2</v>
      </c>
      <c r="C35" s="6" t="str">
        <f>VLOOKUP(AY35,$B$4:$F$11,2,FALSE)</f>
        <v>Fleur Westerhof *</v>
      </c>
      <c r="D35" s="43" t="s">
        <v>5</v>
      </c>
      <c r="E35" s="57" t="str">
        <f>VLOOKUP(AZ35,$B$4:$F$11,2,FALSE)</f>
        <v>Maurijn Ahoud</v>
      </c>
      <c r="F35" s="57"/>
      <c r="G35" s="57"/>
      <c r="H35" s="57"/>
      <c r="J35" s="57">
        <f>IF(T35="","",VLOOKUP(T35,Configuratie!$B$1:$E$10,3,FALSE))</f>
        <v>1</v>
      </c>
      <c r="K35" s="57"/>
      <c r="L35" s="6" t="s">
        <v>5</v>
      </c>
      <c r="M35" s="57">
        <f>IF(T35="","",VLOOKUP(T35,Configuratie!$B$1:$E$10,4,FALSE))</f>
        <v>0</v>
      </c>
      <c r="N35" s="57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3</v>
      </c>
      <c r="BF35" s="6">
        <f t="shared" si="37"/>
        <v>3</v>
      </c>
      <c r="BG35" s="6">
        <f>J35*BF35</f>
        <v>3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Reiko Dirksen</v>
      </c>
      <c r="D36" s="43" t="s">
        <v>5</v>
      </c>
      <c r="E36" s="57" t="str">
        <f>VLOOKUP(AZ36,$B$4:$F$11,2,FALSE)</f>
        <v>Koen Wattel</v>
      </c>
      <c r="F36" s="57"/>
      <c r="G36" s="57"/>
      <c r="H36" s="57"/>
      <c r="J36" s="57">
        <f>IF(T36="","",VLOOKUP(T36,Configuratie!$B$1:$E$10,3,FALSE))</f>
        <v>1</v>
      </c>
      <c r="K36" s="57"/>
      <c r="L36" s="6" t="s">
        <v>5</v>
      </c>
      <c r="M36" s="57">
        <f>IF(T36="","",VLOOKUP(T36,Configuratie!$B$1:$E$10,4,FALSE))</f>
        <v>0</v>
      </c>
      <c r="N36" s="57"/>
      <c r="R36" s="6" t="str">
        <f>IF(T36="","",VLOOKUP(T36,Configuratie!$B$1:$E$10,2,FALSE))</f>
        <v>1-0</v>
      </c>
      <c r="T36" s="5">
        <v>1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3</v>
      </c>
      <c r="BF36" s="6">
        <f t="shared" si="37"/>
        <v>1</v>
      </c>
      <c r="BG36" s="6">
        <f>J36*BF36</f>
        <v>1</v>
      </c>
      <c r="BH36" s="6">
        <f>M36*BE36</f>
        <v>0</v>
      </c>
    </row>
    <row r="37" spans="2:60" x14ac:dyDescent="0.25">
      <c r="B37" s="6">
        <v>4</v>
      </c>
      <c r="C37" s="6" t="str">
        <f>VLOOKUP(AY37,$B$4:$F$11,2,FALSE)</f>
        <v>Robert Nica</v>
      </c>
      <c r="D37" s="43" t="s">
        <v>5</v>
      </c>
      <c r="E37" s="57" t="str">
        <f>VLOOKUP(AZ37,$B$4:$F$11,2,FALSE)</f>
        <v>Teun Cloosterman</v>
      </c>
      <c r="F37" s="57"/>
      <c r="G37" s="57"/>
      <c r="H37" s="57"/>
      <c r="J37" s="57">
        <f>IF(T37="","",VLOOKUP(T37,Configuratie!$B$1:$E$10,3,FALSE))</f>
        <v>0</v>
      </c>
      <c r="K37" s="57"/>
      <c r="L37" s="6" t="s">
        <v>5</v>
      </c>
      <c r="M37" s="57">
        <f>IF(T37="","",VLOOKUP(T37,Configuratie!$B$1:$E$10,4,FALSE))</f>
        <v>1</v>
      </c>
      <c r="N37" s="57"/>
      <c r="R37" s="6" t="str">
        <f>IF(T37="","",VLOOKUP(T37,Configuratie!$B$1:$E$10,2,FALSE))</f>
        <v>0-1</v>
      </c>
      <c r="T37" s="5">
        <v>0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1</v>
      </c>
      <c r="BF37" s="6">
        <f t="shared" si="37"/>
        <v>1</v>
      </c>
      <c r="BG37" s="6">
        <f>J37*BF37</f>
        <v>0</v>
      </c>
      <c r="BH37" s="6">
        <f>M37*BE37</f>
        <v>1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Teun Cloosterman</v>
      </c>
      <c r="D40" s="43" t="s">
        <v>5</v>
      </c>
      <c r="E40" s="57" t="str">
        <f>VLOOKUP(AZ40,$B$4:$F$11,2,FALSE)</f>
        <v>Bye</v>
      </c>
      <c r="F40" s="57"/>
      <c r="G40" s="57"/>
      <c r="H40" s="57"/>
      <c r="J40" s="57">
        <f>IF(T40="","",VLOOKUP(T40,Configuratie!$B$1:$E$10,3,FALSE))</f>
        <v>1</v>
      </c>
      <c r="K40" s="57"/>
      <c r="L40" s="6" t="s">
        <v>5</v>
      </c>
      <c r="M40" s="57">
        <f>IF(T40="","",VLOOKUP(T40,Configuratie!$B$1:$E$10,4,FALSE))</f>
        <v>0</v>
      </c>
      <c r="N40" s="57"/>
      <c r="R40" s="6" t="str">
        <f>IF(T40="","",VLOOKUP(T40,Configuratie!$B$1:$E$10,2,FALSE))</f>
        <v>1-0</v>
      </c>
      <c r="T40" s="5">
        <v>1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2</v>
      </c>
      <c r="BF40" s="6">
        <f t="shared" si="39"/>
        <v>0</v>
      </c>
      <c r="BG40" s="6">
        <f>J40*BF40</f>
        <v>0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Koen Wattel</v>
      </c>
      <c r="D41" s="43" t="s">
        <v>5</v>
      </c>
      <c r="E41" s="57" t="str">
        <f>VLOOKUP(AZ41,$B$4:$F$11,2,FALSE)</f>
        <v>Robert Nica</v>
      </c>
      <c r="F41" s="57"/>
      <c r="G41" s="57"/>
      <c r="H41" s="57"/>
      <c r="J41" s="57">
        <f>IF(T41="","",VLOOKUP(T41,Configuratie!$B$1:$E$10,3,FALSE))</f>
        <v>1</v>
      </c>
      <c r="K41" s="57"/>
      <c r="L41" s="6" t="s">
        <v>5</v>
      </c>
      <c r="M41" s="57">
        <f>IF(T41="","",VLOOKUP(T41,Configuratie!$B$1:$E$10,4,FALSE))</f>
        <v>0</v>
      </c>
      <c r="N41" s="57"/>
      <c r="R41" s="6" t="str">
        <f>IF(T41="","",VLOOKUP(T41,Configuratie!$B$1:$E$10,2,FALSE))</f>
        <v>1-0</v>
      </c>
      <c r="T41" s="5">
        <v>1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1</v>
      </c>
      <c r="BF41" s="6">
        <f t="shared" si="39"/>
        <v>1</v>
      </c>
      <c r="BG41" s="6">
        <f>J41*BF41</f>
        <v>1</v>
      </c>
      <c r="BH41" s="6">
        <f>M41*BE41</f>
        <v>0</v>
      </c>
    </row>
    <row r="42" spans="2:60" x14ac:dyDescent="0.25">
      <c r="B42" s="6">
        <v>3</v>
      </c>
      <c r="C42" s="6" t="str">
        <f>VLOOKUP(AY42,$B$4:$F$11,2,FALSE)</f>
        <v>Maurijn Ahoud</v>
      </c>
      <c r="D42" s="43" t="s">
        <v>5</v>
      </c>
      <c r="E42" s="57" t="str">
        <f>VLOOKUP(AZ42,$B$4:$F$11,2,FALSE)</f>
        <v>Reiko Dirksen</v>
      </c>
      <c r="F42" s="57"/>
      <c r="G42" s="57"/>
      <c r="H42" s="57"/>
      <c r="J42" s="57">
        <f>IF(T42="","",VLOOKUP(T42,Configuratie!$B$1:$E$10,3,FALSE))</f>
        <v>0</v>
      </c>
      <c r="K42" s="57"/>
      <c r="L42" s="6" t="s">
        <v>5</v>
      </c>
      <c r="M42" s="57">
        <f>IF(T42="","",VLOOKUP(T42,Configuratie!$B$1:$E$10,4,FALSE))</f>
        <v>1</v>
      </c>
      <c r="N42" s="57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3</v>
      </c>
      <c r="BF42" s="6">
        <f t="shared" si="39"/>
        <v>4</v>
      </c>
      <c r="BG42" s="6">
        <f>J42*BF42</f>
        <v>0</v>
      </c>
      <c r="BH42" s="6">
        <f>M42*BE42</f>
        <v>3</v>
      </c>
    </row>
    <row r="43" spans="2:60" x14ac:dyDescent="0.25">
      <c r="B43" s="6">
        <v>4</v>
      </c>
      <c r="C43" s="6" t="str">
        <f>VLOOKUP(AY43,$B$4:$F$11,2,FALSE)</f>
        <v>Magdalena Shirokov *</v>
      </c>
      <c r="D43" s="43" t="s">
        <v>5</v>
      </c>
      <c r="E43" s="57" t="str">
        <f>VLOOKUP(AZ43,$B$4:$F$11,2,FALSE)</f>
        <v>Fleur Westerhof *</v>
      </c>
      <c r="F43" s="57"/>
      <c r="G43" s="57"/>
      <c r="H43" s="57"/>
      <c r="J43" s="57">
        <f>IF(T43="","",VLOOKUP(T43,Configuratie!$B$1:$E$10,3,FALSE))</f>
        <v>0</v>
      </c>
      <c r="K43" s="57"/>
      <c r="L43" s="6" t="s">
        <v>5</v>
      </c>
      <c r="M43" s="57">
        <f>IF(T43="","",VLOOKUP(T43,Configuratie!$B$1:$E$10,4,FALSE))</f>
        <v>1</v>
      </c>
      <c r="N43" s="57"/>
      <c r="R43" s="6" t="str">
        <f>IF(T43="","",VLOOKUP(T43,Configuratie!$B$1:$E$10,2,FALSE))</f>
        <v>0-1</v>
      </c>
      <c r="T43" s="5">
        <v>0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1</v>
      </c>
      <c r="BF43" s="6">
        <f t="shared" si="39"/>
        <v>4</v>
      </c>
      <c r="BG43" s="6">
        <f>J43*BF43</f>
        <v>0</v>
      </c>
      <c r="BH43" s="6">
        <f>M43*BE43</f>
        <v>1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Bye</v>
      </c>
      <c r="D46" s="43" t="s">
        <v>5</v>
      </c>
      <c r="E46" s="57" t="str">
        <f>VLOOKUP(AZ46,$B$4:$F$11,2,FALSE)</f>
        <v>Fleur Westerhof *</v>
      </c>
      <c r="F46" s="57"/>
      <c r="G46" s="57"/>
      <c r="H46" s="57"/>
      <c r="J46" s="57">
        <f>IF(T46="","",VLOOKUP(T46,Configuratie!$B$1:$E$10,3,FALSE))</f>
        <v>0</v>
      </c>
      <c r="K46" s="57"/>
      <c r="L46" s="6" t="s">
        <v>5</v>
      </c>
      <c r="M46" s="57">
        <f>IF(T46="","",VLOOKUP(T46,Configuratie!$B$1:$E$10,4,FALSE))</f>
        <v>1</v>
      </c>
      <c r="N46" s="57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0</v>
      </c>
      <c r="BF46" s="6">
        <f t="shared" si="41"/>
        <v>5</v>
      </c>
      <c r="BG46" s="6">
        <f>J46*BF46</f>
        <v>0</v>
      </c>
      <c r="BH46" s="6">
        <f>M46*BE46</f>
        <v>0</v>
      </c>
    </row>
    <row r="47" spans="2:60" x14ac:dyDescent="0.25">
      <c r="B47" s="6">
        <v>2</v>
      </c>
      <c r="C47" s="6" t="str">
        <f>VLOOKUP(AY47,$B$4:$F$11,2,FALSE)</f>
        <v>Reiko Dirksen</v>
      </c>
      <c r="D47" s="43" t="s">
        <v>5</v>
      </c>
      <c r="E47" s="57" t="str">
        <f>VLOOKUP(AZ47,$B$4:$F$11,2,FALSE)</f>
        <v>Magdalena Shirokov *</v>
      </c>
      <c r="F47" s="57"/>
      <c r="G47" s="57"/>
      <c r="H47" s="57"/>
      <c r="J47" s="57">
        <f>IF(T47="","",VLOOKUP(T47,Configuratie!$B$1:$E$10,3,FALSE))</f>
        <v>1</v>
      </c>
      <c r="K47" s="57"/>
      <c r="L47" s="6" t="s">
        <v>5</v>
      </c>
      <c r="M47" s="57">
        <f>IF(T47="","",VLOOKUP(T47,Configuratie!$B$1:$E$10,4,FALSE))</f>
        <v>0</v>
      </c>
      <c r="N47" s="57"/>
      <c r="R47" s="6" t="str">
        <f>IF(T47="","",VLOOKUP(T47,Configuratie!$B$1:$E$10,2,FALSE))</f>
        <v>1-0</v>
      </c>
      <c r="T47" s="5">
        <v>1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5</v>
      </c>
      <c r="BF47" s="6">
        <f t="shared" si="41"/>
        <v>1</v>
      </c>
      <c r="BG47" s="6">
        <f>J47*BF47</f>
        <v>1</v>
      </c>
      <c r="BH47" s="6">
        <f>M47*BE47</f>
        <v>0</v>
      </c>
    </row>
    <row r="48" spans="2:60" x14ac:dyDescent="0.25">
      <c r="B48" s="6">
        <v>3</v>
      </c>
      <c r="C48" s="6" t="str">
        <f>VLOOKUP(AY48,$B$4:$F$11,2,FALSE)</f>
        <v>Robert Nica</v>
      </c>
      <c r="D48" s="43" t="s">
        <v>5</v>
      </c>
      <c r="E48" s="57" t="str">
        <f>VLOOKUP(AZ48,$B$4:$F$11,2,FALSE)</f>
        <v>Maurijn Ahoud</v>
      </c>
      <c r="F48" s="57"/>
      <c r="G48" s="57"/>
      <c r="H48" s="57"/>
      <c r="J48" s="57">
        <f>IF(T48="","",VLOOKUP(T48,Configuratie!$B$1:$E$10,3,FALSE))</f>
        <v>0</v>
      </c>
      <c r="K48" s="57"/>
      <c r="L48" s="6" t="s">
        <v>5</v>
      </c>
      <c r="M48" s="57">
        <f>IF(T48="","",VLOOKUP(T48,Configuratie!$B$1:$E$10,4,FALSE))</f>
        <v>1</v>
      </c>
      <c r="N48" s="57"/>
      <c r="R48" s="6" t="str">
        <f>IF(T48="","",VLOOKUP(T48,Configuratie!$B$1:$E$10,2,FALSE))</f>
        <v>0-1</v>
      </c>
      <c r="T48" s="5">
        <v>0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1</v>
      </c>
      <c r="BF48" s="6">
        <f t="shared" si="41"/>
        <v>3</v>
      </c>
      <c r="BG48" s="6">
        <f>J48*BF48</f>
        <v>0</v>
      </c>
      <c r="BH48" s="6">
        <f>M48*BE48</f>
        <v>1</v>
      </c>
    </row>
    <row r="49" spans="2:60" x14ac:dyDescent="0.25">
      <c r="B49" s="6">
        <v>4</v>
      </c>
      <c r="C49" s="6" t="str">
        <f>VLOOKUP(AY49,$B$4:$F$11,2,FALSE)</f>
        <v>Teun Cloosterman</v>
      </c>
      <c r="D49" s="43" t="s">
        <v>5</v>
      </c>
      <c r="E49" s="57" t="str">
        <f>VLOOKUP(AZ49,$B$4:$F$11,2,FALSE)</f>
        <v>Koen Wattel</v>
      </c>
      <c r="F49" s="57"/>
      <c r="G49" s="57"/>
      <c r="H49" s="57"/>
      <c r="J49" s="57">
        <f>IF(T49="","",VLOOKUP(T49,Configuratie!$B$1:$E$10,3,FALSE))</f>
        <v>0</v>
      </c>
      <c r="K49" s="57"/>
      <c r="L49" s="6" t="s">
        <v>5</v>
      </c>
      <c r="M49" s="57">
        <f>IF(T49="","",VLOOKUP(T49,Configuratie!$B$1:$E$10,4,FALSE))</f>
        <v>1</v>
      </c>
      <c r="N49" s="57"/>
      <c r="R49" s="6" t="str">
        <f>IF(T49="","",VLOOKUP(T49,Configuratie!$B$1:$E$10,2,FALSE))</f>
        <v>0-1</v>
      </c>
      <c r="T49" s="5">
        <v>0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3</v>
      </c>
      <c r="BF49" s="6">
        <f t="shared" si="41"/>
        <v>2</v>
      </c>
      <c r="BG49" s="6">
        <f>J49*BF49</f>
        <v>0</v>
      </c>
      <c r="BH49" s="6">
        <f>M49*BE49</f>
        <v>3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Koen Wattel</v>
      </c>
      <c r="D52" s="43" t="s">
        <v>5</v>
      </c>
      <c r="E52" s="57" t="str">
        <f>VLOOKUP(AZ52,$B$4:$F$11,2,FALSE)</f>
        <v>Bye</v>
      </c>
      <c r="F52" s="57"/>
      <c r="G52" s="57"/>
      <c r="H52" s="57"/>
      <c r="J52" s="57">
        <f>IF(T52="","",VLOOKUP(T52,Configuratie!$B$1:$E$10,3,FALSE))</f>
        <v>1</v>
      </c>
      <c r="K52" s="57"/>
      <c r="L52" s="6" t="s">
        <v>5</v>
      </c>
      <c r="M52" s="57">
        <f>IF(T52="","",VLOOKUP(T52,Configuratie!$B$1:$E$10,4,FALSE))</f>
        <v>0</v>
      </c>
      <c r="N52" s="57"/>
      <c r="R52" s="6" t="str">
        <f>IF(T52="","",VLOOKUP(T52,Configuratie!$B$1:$E$10,2,FALSE))</f>
        <v>1-0</v>
      </c>
      <c r="T52" s="5">
        <v>1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3</v>
      </c>
      <c r="BF52" s="6">
        <f t="shared" si="43"/>
        <v>0</v>
      </c>
      <c r="BG52" s="6">
        <f>J52*BF52</f>
        <v>0</v>
      </c>
      <c r="BH52" s="6">
        <f>M52*BE52</f>
        <v>0</v>
      </c>
    </row>
    <row r="53" spans="2:60" x14ac:dyDescent="0.25">
      <c r="B53" s="6">
        <v>2</v>
      </c>
      <c r="C53" s="6" t="str">
        <f>VLOOKUP(AY53,$B$4:$F$11,2,FALSE)</f>
        <v>Maurijn Ahoud</v>
      </c>
      <c r="D53" s="43" t="s">
        <v>5</v>
      </c>
      <c r="E53" s="57" t="str">
        <f>VLOOKUP(AZ53,$B$4:$F$11,2,FALSE)</f>
        <v>Teun Cloosterman</v>
      </c>
      <c r="F53" s="57"/>
      <c r="G53" s="57"/>
      <c r="H53" s="57"/>
      <c r="J53" s="57">
        <f>IF(T53="","",VLOOKUP(T53,Configuratie!$B$1:$E$10,3,FALSE))</f>
        <v>0</v>
      </c>
      <c r="K53" s="57"/>
      <c r="L53" s="6" t="s">
        <v>5</v>
      </c>
      <c r="M53" s="57">
        <f>IF(T53="","",VLOOKUP(T53,Configuratie!$B$1:$E$10,4,FALSE))</f>
        <v>1</v>
      </c>
      <c r="N53" s="57"/>
      <c r="R53" s="6" t="str">
        <f>IF(T53="","",VLOOKUP(T53,Configuratie!$B$1:$E$10,2,FALSE))</f>
        <v>0-1</v>
      </c>
      <c r="T53" s="5">
        <v>0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4</v>
      </c>
      <c r="BF53" s="6">
        <f t="shared" si="43"/>
        <v>3</v>
      </c>
      <c r="BG53" s="6">
        <f>J53*BF53</f>
        <v>0</v>
      </c>
      <c r="BH53" s="6">
        <f>M53*BE53</f>
        <v>4</v>
      </c>
    </row>
    <row r="54" spans="2:60" x14ac:dyDescent="0.25">
      <c r="B54" s="6">
        <v>3</v>
      </c>
      <c r="C54" s="6" t="str">
        <f>VLOOKUP(AY54,$B$4:$F$11,2,FALSE)</f>
        <v>Magdalena Shirokov *</v>
      </c>
      <c r="D54" s="43" t="s">
        <v>5</v>
      </c>
      <c r="E54" s="57" t="str">
        <f>VLOOKUP(AZ54,$B$4:$F$11,2,FALSE)</f>
        <v>Robert Nica</v>
      </c>
      <c r="F54" s="57"/>
      <c r="G54" s="57"/>
      <c r="H54" s="57"/>
      <c r="J54" s="57">
        <f>IF(T54="","",VLOOKUP(T54,Configuratie!$B$1:$E$10,3,FALSE))</f>
        <v>0</v>
      </c>
      <c r="K54" s="57"/>
      <c r="L54" s="6" t="s">
        <v>5</v>
      </c>
      <c r="M54" s="57">
        <f>IF(T54="","",VLOOKUP(T54,Configuratie!$B$1:$E$10,4,FALSE))</f>
        <v>1</v>
      </c>
      <c r="N54" s="57"/>
      <c r="R54" s="6" t="str">
        <f>IF(T54="","",VLOOKUP(T54,Configuratie!$B$1:$E$10,2,FALSE))</f>
        <v>0-1</v>
      </c>
      <c r="T54" s="5">
        <v>0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1</v>
      </c>
      <c r="BF54" s="6">
        <f t="shared" si="43"/>
        <v>1</v>
      </c>
      <c r="BG54" s="6">
        <f>J54*BF54</f>
        <v>0</v>
      </c>
      <c r="BH54" s="6">
        <f>M54*BE54</f>
        <v>1</v>
      </c>
    </row>
    <row r="55" spans="2:60" x14ac:dyDescent="0.25">
      <c r="B55" s="6">
        <v>4</v>
      </c>
      <c r="C55" s="6" t="str">
        <f>VLOOKUP(AY55,$B$4:$F$11,2,FALSE)</f>
        <v>Fleur Westerhof *</v>
      </c>
      <c r="D55" s="43" t="s">
        <v>5</v>
      </c>
      <c r="E55" s="57" t="str">
        <f>VLOOKUP(AZ55,$B$4:$F$11,2,FALSE)</f>
        <v>Reiko Dirksen</v>
      </c>
      <c r="F55" s="57"/>
      <c r="G55" s="57"/>
      <c r="H55" s="57"/>
      <c r="J55" s="57">
        <f>IF(T55="","",VLOOKUP(T55,Configuratie!$B$1:$E$10,3,FALSE))</f>
        <v>0</v>
      </c>
      <c r="K55" s="57"/>
      <c r="L55" s="6" t="s">
        <v>5</v>
      </c>
      <c r="M55" s="57">
        <f>IF(T55="","",VLOOKUP(T55,Configuratie!$B$1:$E$10,4,FALSE))</f>
        <v>1</v>
      </c>
      <c r="N55" s="57"/>
      <c r="R55" s="6" t="str">
        <f>IF(T55="","",VLOOKUP(T55,Configuratie!$B$1:$E$10,2,FALSE))</f>
        <v>0-1</v>
      </c>
      <c r="T55" s="5">
        <v>0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6</v>
      </c>
      <c r="BF55" s="6">
        <f t="shared" si="43"/>
        <v>6</v>
      </c>
      <c r="BG55" s="6">
        <f>J55*BF55</f>
        <v>0</v>
      </c>
      <c r="BH55" s="6">
        <f>M55*BE55</f>
        <v>6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view="pageBreakPreview" zoomScaleNormal="100" zoomScaleSheetLayoutView="100" workbookViewId="0">
      <selection activeCell="T55" sqref="T55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98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E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2</v>
      </c>
      <c r="B4" s="25">
        <v>1</v>
      </c>
      <c r="C4" s="25" t="s">
        <v>99</v>
      </c>
      <c r="D4" s="58">
        <v>8800671</v>
      </c>
      <c r="E4" s="58"/>
      <c r="F4" s="25">
        <v>224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1</v>
      </c>
      <c r="J4" s="27">
        <f t="shared" si="0"/>
        <v>0.5</v>
      </c>
      <c r="K4" s="27">
        <f t="shared" si="0"/>
        <v>0.5</v>
      </c>
      <c r="L4" s="27">
        <f t="shared" si="0"/>
        <v>1</v>
      </c>
      <c r="M4" s="27">
        <f t="shared" si="0"/>
        <v>1</v>
      </c>
      <c r="N4" s="27">
        <f t="shared" si="0"/>
        <v>1</v>
      </c>
      <c r="O4" s="27">
        <f t="shared" si="0"/>
        <v>0</v>
      </c>
      <c r="P4" s="28"/>
      <c r="Q4" s="46"/>
      <c r="R4" s="49">
        <f t="shared" ref="R4:R11" si="1">SUM(H4:Q4)</f>
        <v>5</v>
      </c>
      <c r="S4" s="8">
        <f>IF(H4="",0,H4)*$R$4+IF(I4="",0,I4)*$R$5+IF(J4="",0,J4)*$R$6+IF(K4="",0,K4)*$R$7+IF(L4="",0,L4)*$R$8+IF(M4="",0,M4)*$R$9+IF(N4="",0,N4)*$R$10+IF(O4="",0,O4)*$R$11</f>
        <v>15.5</v>
      </c>
      <c r="T4" s="8">
        <f>AQ4</f>
        <v>2</v>
      </c>
      <c r="U4" s="14"/>
      <c r="V4" s="29"/>
      <c r="W4" s="30">
        <v>1</v>
      </c>
      <c r="X4" s="30" t="str">
        <f>C4</f>
        <v>Eelco Drijfhout</v>
      </c>
      <c r="Y4" s="31">
        <v>2</v>
      </c>
      <c r="Z4" s="32" t="str">
        <f>IF(ISNA(VLOOKUP(B4,$A$4:$T$11,3,FALSE)),C4,VLOOKUP(B4,$A$4:$T$11,3,FALSE))</f>
        <v>Yaroslav Shirokov</v>
      </c>
      <c r="AA4" s="50">
        <f>IF(ISNA(VLOOKUP($B4,$A$4:$T$11,18,FALSE)),0,VLOOKUP($B4,$A$4:$T$11,18,FALSE))</f>
        <v>5.5</v>
      </c>
      <c r="AB4" s="33">
        <f t="shared" ref="AB4" si="2">VLOOKUP($B4,$A$4:$T$11,18,FALSE)</f>
        <v>5.5</v>
      </c>
      <c r="AC4" s="12">
        <f>IF(ISNA(VLOOKUP($B4,$A$4:$T$11,19,FALSE)),0,VLOOKUP($B4,$A$4:$T$11,19,FALSE))</f>
        <v>18</v>
      </c>
      <c r="AD4" s="33">
        <f t="shared" ref="AD4:AD11" si="3">VLOOKUP($Y4,$AX$4:$BA$11,4,FALSE)</f>
        <v>21</v>
      </c>
      <c r="AE4" s="34">
        <f t="shared" ref="AE4:AE11" si="4">VLOOKUP($Y4,$B$4:$R$11,5,FALSE)</f>
        <v>223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53">
        <f>$AG$13*R4+AG4</f>
        <v>15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15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15</v>
      </c>
      <c r="AM4" s="47"/>
      <c r="AN4" s="47">
        <f>RANK(AL4,$AL$4:$AL$11,1)-1</f>
        <v>6</v>
      </c>
      <c r="AO4" s="47">
        <f>RANK(S4,$S$4:$S$11,1)-1</f>
        <v>6</v>
      </c>
      <c r="AP4" s="47">
        <f>8*AN4+AO4</f>
        <v>54</v>
      </c>
      <c r="AQ4" s="47">
        <f>RANK(AP4,$AP$4:$AP$11)</f>
        <v>2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13.5</v>
      </c>
      <c r="AZ4" s="37">
        <f t="shared" ref="AZ4:AZ11" si="7">SUMIF($AY$13:$AY$55,B4,$BG$13:$BG$55)+SUMIF($AZ$13:$AZ$55,B4,$BH$13:$BH$55)</f>
        <v>7.5</v>
      </c>
      <c r="BA4" s="37">
        <f>SUM(BO4:BW4)</f>
        <v>28.5</v>
      </c>
      <c r="BC4" s="6">
        <v>1</v>
      </c>
      <c r="BD4" s="6">
        <f t="shared" ref="BD4:BL11" si="8">SUMIFS($J$16:$J$55,$AY$16:$AY$55,$BC4,$AX$16:$AX$55,BD$3)+SUMIFS($M$16:$M$55,$AZ$16:$AZ$55,$BC4,$AX$16:$AX$55,BD$3)</f>
        <v>0</v>
      </c>
      <c r="BE4" s="6">
        <f t="shared" si="8"/>
        <v>1</v>
      </c>
      <c r="BF4" s="6">
        <f t="shared" si="8"/>
        <v>1</v>
      </c>
      <c r="BG4" s="6">
        <f t="shared" si="8"/>
        <v>1</v>
      </c>
      <c r="BH4" s="6">
        <f t="shared" si="8"/>
        <v>0.5</v>
      </c>
      <c r="BI4" s="6">
        <f t="shared" si="8"/>
        <v>0.5</v>
      </c>
      <c r="BJ4" s="6">
        <f t="shared" si="8"/>
        <v>1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1</v>
      </c>
      <c r="BQ4" s="6">
        <f t="shared" si="9"/>
        <v>2</v>
      </c>
      <c r="BR4" s="6">
        <f t="shared" si="9"/>
        <v>3</v>
      </c>
      <c r="BS4" s="6">
        <f t="shared" si="9"/>
        <v>3.5</v>
      </c>
      <c r="BT4" s="6">
        <f t="shared" si="9"/>
        <v>4</v>
      </c>
      <c r="BU4" s="6">
        <f t="shared" si="9"/>
        <v>5</v>
      </c>
      <c r="BV4" s="6">
        <f t="shared" si="9"/>
        <v>5</v>
      </c>
      <c r="BW4" s="6">
        <f t="shared" si="9"/>
        <v>5</v>
      </c>
    </row>
    <row r="5" spans="1:75" x14ac:dyDescent="0.25">
      <c r="A5" s="24">
        <f t="shared" ref="A5:A12" si="10">T5</f>
        <v>5</v>
      </c>
      <c r="B5" s="25">
        <v>2</v>
      </c>
      <c r="C5" s="25" t="s">
        <v>100</v>
      </c>
      <c r="D5" s="58">
        <v>8803520</v>
      </c>
      <c r="E5" s="58"/>
      <c r="F5" s="25">
        <v>223</v>
      </c>
      <c r="H5" s="27">
        <f t="shared" si="0"/>
        <v>0</v>
      </c>
      <c r="I5" s="26" t="str">
        <f t="shared" si="0"/>
        <v/>
      </c>
      <c r="J5" s="27">
        <f t="shared" si="0"/>
        <v>0</v>
      </c>
      <c r="K5" s="27">
        <f t="shared" si="0"/>
        <v>1</v>
      </c>
      <c r="L5" s="27">
        <f t="shared" si="0"/>
        <v>1</v>
      </c>
      <c r="M5" s="27">
        <f t="shared" si="0"/>
        <v>1</v>
      </c>
      <c r="N5" s="27">
        <f t="shared" si="0"/>
        <v>0</v>
      </c>
      <c r="O5" s="27">
        <f t="shared" si="0"/>
        <v>0</v>
      </c>
      <c r="P5" s="28"/>
      <c r="Q5" s="46"/>
      <c r="R5" s="49">
        <f t="shared" si="1"/>
        <v>3</v>
      </c>
      <c r="S5" s="8">
        <f t="shared" ref="S5:S11" si="11">IF(H5="",0,H5)*$R$4+IF(I5="",0,I5)*$R$5+IF(J5="",0,J5)*$R$6+IF(K5="",0,K5)*$R$7+IF(L5="",0,L5)*$R$8+IF(M5="",0,M5)*$R$9+IF(N5="",0,N5)*$R$10+IF(O5="",0,O5)*$R$11</f>
        <v>6.5</v>
      </c>
      <c r="T5" s="8">
        <f t="shared" ref="T5:T12" si="12">AQ5</f>
        <v>5</v>
      </c>
      <c r="U5" s="14"/>
      <c r="V5" s="29"/>
      <c r="W5" s="30">
        <v>2</v>
      </c>
      <c r="X5" s="30" t="str">
        <f t="shared" ref="X5:X11" si="13">C5</f>
        <v>Tigran Grigorjan</v>
      </c>
      <c r="Y5" s="31">
        <v>7</v>
      </c>
      <c r="Z5" s="32" t="str">
        <f>IF(ISNA(VLOOKUP(B5,$A$4:$T$11,3,FALSE)),C5,VLOOKUP(B5,$A$4:$T$11,3,FALSE))</f>
        <v>Eelco Drijfhout</v>
      </c>
      <c r="AA5" s="50">
        <f t="shared" ref="AA5:AA11" si="14">IF(ISNA(VLOOKUP($B5,$A$4:$T$11,18,FALSE)),0,VLOOKUP($B5,$A$4:$T$11,18,FALSE))</f>
        <v>5</v>
      </c>
      <c r="AB5" s="33">
        <f t="shared" ref="AB5:AB11" si="15">VLOOKUP($Y5,$AX$4:$BA$11,2,FALSE)</f>
        <v>13</v>
      </c>
      <c r="AC5" s="12">
        <f t="shared" ref="AC5:AC11" si="16">IF(ISNA(VLOOKUP($B5,$A$4:$T$11,19,FALSE)),0,VLOOKUP($B5,$A$4:$T$11,19,FALSE))</f>
        <v>15.5</v>
      </c>
      <c r="AD5" s="33">
        <f t="shared" si="3"/>
        <v>25</v>
      </c>
      <c r="AE5" s="34">
        <f t="shared" si="4"/>
        <v>190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1</v>
      </c>
      <c r="AH5" s="53">
        <f t="shared" ref="AH5:AH11" si="18">$AG$13*R5+AG5</f>
        <v>10</v>
      </c>
      <c r="AI5" s="52">
        <f t="shared" si="5"/>
        <v>0</v>
      </c>
      <c r="AJ5" s="53">
        <f t="shared" ref="AJ5:AJ11" si="19">$AI$13*AH5+AI5</f>
        <v>10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10</v>
      </c>
      <c r="AM5" s="47"/>
      <c r="AN5" s="47">
        <f t="shared" ref="AN5:AN11" si="22">RANK(AL5,$AL$4:$AL$11,1)-1</f>
        <v>3</v>
      </c>
      <c r="AO5" s="47">
        <f t="shared" ref="AO5:AO12" si="23">RANK(S5,$S$4:$S$11,1)-1</f>
        <v>1</v>
      </c>
      <c r="AP5" s="47">
        <f t="shared" ref="AP5:AP12" si="24">8*AN5+AO5</f>
        <v>25</v>
      </c>
      <c r="AQ5" s="47">
        <f t="shared" ref="AQ5:AQ11" si="25">RANK(AP5,$AP$4:$AP$11)</f>
        <v>5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12</v>
      </c>
      <c r="AZ5" s="37">
        <f t="shared" si="7"/>
        <v>2</v>
      </c>
      <c r="BA5" s="37">
        <f t="shared" ref="BA5:BA11" si="26">SUM(BO5:BW5)</f>
        <v>21</v>
      </c>
      <c r="BC5" s="6">
        <v>2</v>
      </c>
      <c r="BD5" s="6">
        <f t="shared" si="8"/>
        <v>0</v>
      </c>
      <c r="BE5" s="6">
        <f t="shared" si="8"/>
        <v>1</v>
      </c>
      <c r="BF5" s="6">
        <f t="shared" si="8"/>
        <v>1</v>
      </c>
      <c r="BG5" s="6">
        <f t="shared" si="8"/>
        <v>1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1</v>
      </c>
      <c r="BQ5" s="6">
        <f t="shared" si="9"/>
        <v>2</v>
      </c>
      <c r="BR5" s="6">
        <f t="shared" si="9"/>
        <v>3</v>
      </c>
      <c r="BS5" s="6">
        <f t="shared" si="9"/>
        <v>3</v>
      </c>
      <c r="BT5" s="6">
        <f t="shared" si="9"/>
        <v>3</v>
      </c>
      <c r="BU5" s="6">
        <f t="shared" si="9"/>
        <v>3</v>
      </c>
      <c r="BV5" s="6">
        <f t="shared" si="9"/>
        <v>3</v>
      </c>
      <c r="BW5" s="6">
        <f t="shared" si="9"/>
        <v>3</v>
      </c>
    </row>
    <row r="6" spans="1:75" x14ac:dyDescent="0.25">
      <c r="A6" s="24">
        <f t="shared" si="10"/>
        <v>1</v>
      </c>
      <c r="B6" s="25">
        <v>3</v>
      </c>
      <c r="C6" s="25" t="s">
        <v>101</v>
      </c>
      <c r="D6" s="58">
        <v>8724661</v>
      </c>
      <c r="E6" s="58"/>
      <c r="F6" s="25">
        <v>214</v>
      </c>
      <c r="H6" s="27">
        <f t="shared" si="0"/>
        <v>0.5</v>
      </c>
      <c r="I6" s="27">
        <f t="shared" si="0"/>
        <v>1</v>
      </c>
      <c r="J6" s="26" t="str">
        <f t="shared" si="0"/>
        <v/>
      </c>
      <c r="K6" s="27">
        <f t="shared" si="0"/>
        <v>1</v>
      </c>
      <c r="L6" s="27">
        <f t="shared" si="0"/>
        <v>0</v>
      </c>
      <c r="M6" s="27">
        <f t="shared" si="0"/>
        <v>1</v>
      </c>
      <c r="N6" s="27">
        <f t="shared" si="0"/>
        <v>1</v>
      </c>
      <c r="O6" s="27">
        <f t="shared" si="0"/>
        <v>1</v>
      </c>
      <c r="P6" s="28"/>
      <c r="Q6" s="46"/>
      <c r="R6" s="49">
        <f t="shared" si="1"/>
        <v>5.5</v>
      </c>
      <c r="S6" s="8">
        <f t="shared" si="11"/>
        <v>18</v>
      </c>
      <c r="T6" s="9">
        <f>AQ6</f>
        <v>1</v>
      </c>
      <c r="U6" s="10"/>
      <c r="V6" s="29"/>
      <c r="W6" s="30">
        <v>3</v>
      </c>
      <c r="X6" s="30" t="str">
        <f t="shared" si="13"/>
        <v>Yaroslav Shirokov</v>
      </c>
      <c r="Y6" s="31">
        <v>1</v>
      </c>
      <c r="Z6" s="32" t="str">
        <f t="shared" ref="Z6:Z12" si="28">IF(ISNA(VLOOKUP(B6,$A$4:$T$11,3,FALSE)),C6,VLOOKUP(B6,$A$4:$T$11,3,FALSE))</f>
        <v>David Militonian</v>
      </c>
      <c r="AA6" s="50">
        <f t="shared" si="14"/>
        <v>4</v>
      </c>
      <c r="AB6" s="33">
        <f t="shared" si="15"/>
        <v>13.5</v>
      </c>
      <c r="AC6" s="12">
        <f t="shared" si="16"/>
        <v>10.5</v>
      </c>
      <c r="AD6" s="33">
        <f t="shared" si="3"/>
        <v>28.5</v>
      </c>
      <c r="AE6" s="34">
        <f t="shared" si="4"/>
        <v>224</v>
      </c>
      <c r="AF6" s="47"/>
      <c r="AG6" s="52">
        <f t="shared" si="17"/>
        <v>0</v>
      </c>
      <c r="AH6" s="53">
        <f t="shared" si="18"/>
        <v>16.5</v>
      </c>
      <c r="AI6" s="52">
        <f t="shared" si="5"/>
        <v>0</v>
      </c>
      <c r="AJ6" s="53">
        <f t="shared" si="19"/>
        <v>16.5</v>
      </c>
      <c r="AK6" s="52">
        <f t="shared" si="20"/>
        <v>0</v>
      </c>
      <c r="AL6" s="47">
        <f t="shared" si="21"/>
        <v>16.5</v>
      </c>
      <c r="AM6" s="47"/>
      <c r="AN6" s="47">
        <f t="shared" si="22"/>
        <v>7</v>
      </c>
      <c r="AO6" s="47">
        <f t="shared" si="23"/>
        <v>7</v>
      </c>
      <c r="AP6" s="47">
        <f t="shared" si="24"/>
        <v>63</v>
      </c>
      <c r="AQ6" s="47">
        <f t="shared" si="25"/>
        <v>1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15.5</v>
      </c>
      <c r="AZ6" s="37">
        <f t="shared" si="7"/>
        <v>11.75</v>
      </c>
      <c r="BA6" s="37">
        <f t="shared" si="26"/>
        <v>32</v>
      </c>
      <c r="BC6" s="6">
        <v>3</v>
      </c>
      <c r="BD6" s="6">
        <f t="shared" si="8"/>
        <v>1</v>
      </c>
      <c r="BE6" s="6">
        <f t="shared" si="8"/>
        <v>0</v>
      </c>
      <c r="BF6" s="6">
        <f t="shared" si="8"/>
        <v>1</v>
      </c>
      <c r="BG6" s="6">
        <f t="shared" si="8"/>
        <v>1</v>
      </c>
      <c r="BH6" s="6">
        <f t="shared" si="8"/>
        <v>1</v>
      </c>
      <c r="BI6" s="6">
        <f t="shared" si="8"/>
        <v>0.5</v>
      </c>
      <c r="BJ6" s="6">
        <f t="shared" si="8"/>
        <v>1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1</v>
      </c>
      <c r="BP6" s="6">
        <f t="shared" si="9"/>
        <v>1</v>
      </c>
      <c r="BQ6" s="6">
        <f t="shared" si="9"/>
        <v>2</v>
      </c>
      <c r="BR6" s="6">
        <f t="shared" si="9"/>
        <v>3</v>
      </c>
      <c r="BS6" s="6">
        <f t="shared" si="9"/>
        <v>4</v>
      </c>
      <c r="BT6" s="6">
        <f t="shared" si="9"/>
        <v>4.5</v>
      </c>
      <c r="BU6" s="6">
        <f t="shared" si="9"/>
        <v>5.5</v>
      </c>
      <c r="BV6" s="6">
        <f t="shared" si="9"/>
        <v>5.5</v>
      </c>
      <c r="BW6" s="6">
        <f t="shared" si="9"/>
        <v>5.5</v>
      </c>
    </row>
    <row r="7" spans="1:75" x14ac:dyDescent="0.25">
      <c r="A7" s="24">
        <f t="shared" si="10"/>
        <v>8</v>
      </c>
      <c r="B7" s="25">
        <v>4</v>
      </c>
      <c r="C7" s="25" t="s">
        <v>102</v>
      </c>
      <c r="D7" s="58">
        <v>8762424</v>
      </c>
      <c r="E7" s="58"/>
      <c r="F7" s="25">
        <v>212</v>
      </c>
      <c r="H7" s="27">
        <f t="shared" si="0"/>
        <v>0.5</v>
      </c>
      <c r="I7" s="27">
        <f t="shared" si="0"/>
        <v>0</v>
      </c>
      <c r="J7" s="27">
        <f t="shared" si="0"/>
        <v>0</v>
      </c>
      <c r="K7" s="26" t="str">
        <f t="shared" si="0"/>
        <v/>
      </c>
      <c r="L7" s="27">
        <f t="shared" si="0"/>
        <v>1</v>
      </c>
      <c r="M7" s="27">
        <f t="shared" si="0"/>
        <v>0</v>
      </c>
      <c r="N7" s="27">
        <f t="shared" si="0"/>
        <v>0</v>
      </c>
      <c r="O7" s="27">
        <f t="shared" si="0"/>
        <v>0</v>
      </c>
      <c r="P7" s="28"/>
      <c r="Q7" s="46"/>
      <c r="R7" s="49">
        <f t="shared" si="1"/>
        <v>1.5</v>
      </c>
      <c r="S7" s="8">
        <f t="shared" si="11"/>
        <v>4.5</v>
      </c>
      <c r="T7" s="8">
        <f t="shared" si="12"/>
        <v>8</v>
      </c>
      <c r="U7" s="14"/>
      <c r="V7" s="29"/>
      <c r="W7" s="30">
        <v>4</v>
      </c>
      <c r="X7" s="30" t="str">
        <f t="shared" si="13"/>
        <v>David Formanoy</v>
      </c>
      <c r="Y7" s="31">
        <v>6</v>
      </c>
      <c r="Z7" s="32" t="str">
        <f t="shared" si="28"/>
        <v>Elianne Snijders *</v>
      </c>
      <c r="AA7" s="50">
        <f t="shared" si="14"/>
        <v>4</v>
      </c>
      <c r="AB7" s="33">
        <f t="shared" si="15"/>
        <v>5</v>
      </c>
      <c r="AC7" s="12">
        <f t="shared" si="16"/>
        <v>11.5</v>
      </c>
      <c r="AD7" s="33">
        <f t="shared" si="3"/>
        <v>14</v>
      </c>
      <c r="AE7" s="34">
        <f t="shared" si="4"/>
        <v>198</v>
      </c>
      <c r="AF7" s="47"/>
      <c r="AG7" s="52">
        <f t="shared" si="17"/>
        <v>0</v>
      </c>
      <c r="AH7" s="53">
        <f t="shared" si="18"/>
        <v>4.5</v>
      </c>
      <c r="AI7" s="52">
        <f t="shared" si="5"/>
        <v>0</v>
      </c>
      <c r="AJ7" s="53">
        <f t="shared" si="19"/>
        <v>4.5</v>
      </c>
      <c r="AK7" s="52">
        <f t="shared" si="20"/>
        <v>0</v>
      </c>
      <c r="AL7" s="47">
        <f t="shared" si="21"/>
        <v>4.5</v>
      </c>
      <c r="AM7" s="47"/>
      <c r="AN7" s="47">
        <f t="shared" si="22"/>
        <v>0</v>
      </c>
      <c r="AO7" s="47">
        <f t="shared" si="23"/>
        <v>0</v>
      </c>
      <c r="AP7" s="47">
        <f t="shared" si="24"/>
        <v>0</v>
      </c>
      <c r="AQ7" s="47">
        <f t="shared" si="25"/>
        <v>8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7</v>
      </c>
      <c r="AZ7" s="37">
        <f t="shared" si="7"/>
        <v>1.5</v>
      </c>
      <c r="BA7" s="37">
        <f t="shared" si="26"/>
        <v>11.5</v>
      </c>
      <c r="BC7" s="6">
        <v>4</v>
      </c>
      <c r="BD7" s="6">
        <f t="shared" si="8"/>
        <v>1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0.5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1</v>
      </c>
      <c r="BQ7" s="6">
        <f t="shared" si="9"/>
        <v>1</v>
      </c>
      <c r="BR7" s="6">
        <f t="shared" si="9"/>
        <v>1</v>
      </c>
      <c r="BS7" s="6">
        <f t="shared" si="9"/>
        <v>1.5</v>
      </c>
      <c r="BT7" s="6">
        <f t="shared" si="9"/>
        <v>1.5</v>
      </c>
      <c r="BU7" s="6">
        <f t="shared" si="9"/>
        <v>1.5</v>
      </c>
      <c r="BV7" s="6">
        <f t="shared" si="9"/>
        <v>1.5</v>
      </c>
      <c r="BW7" s="6">
        <f t="shared" si="9"/>
        <v>1.5</v>
      </c>
    </row>
    <row r="8" spans="1:75" x14ac:dyDescent="0.25">
      <c r="A8" s="24">
        <f t="shared" si="10"/>
        <v>7</v>
      </c>
      <c r="B8" s="25">
        <v>5</v>
      </c>
      <c r="C8" s="25" t="s">
        <v>103</v>
      </c>
      <c r="D8" s="58">
        <v>8704993</v>
      </c>
      <c r="E8" s="58"/>
      <c r="F8" s="25">
        <v>211</v>
      </c>
      <c r="H8" s="27">
        <f t="shared" si="0"/>
        <v>0</v>
      </c>
      <c r="I8" s="27">
        <f t="shared" si="0"/>
        <v>0</v>
      </c>
      <c r="J8" s="27">
        <f t="shared" si="0"/>
        <v>1</v>
      </c>
      <c r="K8" s="27">
        <f t="shared" si="0"/>
        <v>0</v>
      </c>
      <c r="L8" s="26" t="str">
        <f t="shared" si="0"/>
        <v/>
      </c>
      <c r="M8" s="27">
        <f t="shared" si="0"/>
        <v>1</v>
      </c>
      <c r="N8" s="27">
        <f t="shared" si="0"/>
        <v>0</v>
      </c>
      <c r="O8" s="27">
        <f t="shared" si="0"/>
        <v>0</v>
      </c>
      <c r="P8" s="28"/>
      <c r="Q8" s="46"/>
      <c r="R8" s="49">
        <f t="shared" si="1"/>
        <v>2</v>
      </c>
      <c r="S8" s="8">
        <f t="shared" si="11"/>
        <v>8.5</v>
      </c>
      <c r="T8" s="8">
        <f t="shared" si="12"/>
        <v>7</v>
      </c>
      <c r="U8" s="14"/>
      <c r="V8" s="29"/>
      <c r="W8" s="30">
        <v>5</v>
      </c>
      <c r="X8" s="30" t="str">
        <f t="shared" si="13"/>
        <v>Joris Frankema</v>
      </c>
      <c r="Y8" s="31">
        <v>3</v>
      </c>
      <c r="Z8" s="32" t="str">
        <f t="shared" si="28"/>
        <v>Tigran Grigorjan</v>
      </c>
      <c r="AA8" s="50">
        <f t="shared" si="14"/>
        <v>3</v>
      </c>
      <c r="AB8" s="33">
        <f t="shared" si="15"/>
        <v>15.5</v>
      </c>
      <c r="AC8" s="12">
        <f t="shared" si="16"/>
        <v>6.5</v>
      </c>
      <c r="AD8" s="33">
        <f t="shared" si="3"/>
        <v>32</v>
      </c>
      <c r="AE8" s="34">
        <f t="shared" si="4"/>
        <v>214</v>
      </c>
      <c r="AF8" s="47"/>
      <c r="AG8" s="52">
        <f t="shared" si="17"/>
        <v>0</v>
      </c>
      <c r="AH8" s="53">
        <f t="shared" si="18"/>
        <v>6</v>
      </c>
      <c r="AI8" s="52">
        <f t="shared" si="5"/>
        <v>0</v>
      </c>
      <c r="AJ8" s="53">
        <f t="shared" si="19"/>
        <v>6</v>
      </c>
      <c r="AK8" s="52">
        <f t="shared" si="20"/>
        <v>0</v>
      </c>
      <c r="AL8" s="47">
        <f t="shared" si="21"/>
        <v>6</v>
      </c>
      <c r="AM8" s="47"/>
      <c r="AN8" s="47">
        <f t="shared" si="22"/>
        <v>1</v>
      </c>
      <c r="AO8" s="47">
        <f t="shared" si="23"/>
        <v>2</v>
      </c>
      <c r="AP8" s="47">
        <f t="shared" si="24"/>
        <v>10</v>
      </c>
      <c r="AQ8" s="47">
        <f t="shared" si="25"/>
        <v>7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6</v>
      </c>
      <c r="AZ8" s="37">
        <f t="shared" si="7"/>
        <v>3</v>
      </c>
      <c r="BA8" s="37">
        <f t="shared" si="26"/>
        <v>12</v>
      </c>
      <c r="BC8" s="6">
        <v>5</v>
      </c>
      <c r="BD8" s="6">
        <f t="shared" si="8"/>
        <v>0</v>
      </c>
      <c r="BE8" s="6">
        <f t="shared" si="8"/>
        <v>1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1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1</v>
      </c>
      <c r="BQ8" s="6">
        <f t="shared" si="9"/>
        <v>1</v>
      </c>
      <c r="BR8" s="6">
        <f t="shared" si="9"/>
        <v>1</v>
      </c>
      <c r="BS8" s="6">
        <f t="shared" si="9"/>
        <v>1</v>
      </c>
      <c r="BT8" s="6">
        <f t="shared" si="9"/>
        <v>2</v>
      </c>
      <c r="BU8" s="6">
        <f t="shared" si="9"/>
        <v>2</v>
      </c>
      <c r="BV8" s="6">
        <f t="shared" si="9"/>
        <v>2</v>
      </c>
      <c r="BW8" s="6">
        <f t="shared" si="9"/>
        <v>2</v>
      </c>
    </row>
    <row r="9" spans="1:75" x14ac:dyDescent="0.25">
      <c r="A9" s="24">
        <f t="shared" si="10"/>
        <v>6</v>
      </c>
      <c r="B9" s="25">
        <v>6</v>
      </c>
      <c r="C9" s="25" t="s">
        <v>104</v>
      </c>
      <c r="D9" s="58">
        <v>8662632</v>
      </c>
      <c r="E9" s="58"/>
      <c r="F9" s="25">
        <v>198</v>
      </c>
      <c r="H9" s="27">
        <f t="shared" si="0"/>
        <v>0</v>
      </c>
      <c r="I9" s="27">
        <f t="shared" si="0"/>
        <v>0</v>
      </c>
      <c r="J9" s="27">
        <f t="shared" si="0"/>
        <v>0</v>
      </c>
      <c r="K9" s="27">
        <f t="shared" si="0"/>
        <v>1</v>
      </c>
      <c r="L9" s="27">
        <f t="shared" si="0"/>
        <v>0</v>
      </c>
      <c r="M9" s="26" t="str">
        <f t="shared" si="0"/>
        <v/>
      </c>
      <c r="N9" s="27">
        <f t="shared" si="0"/>
        <v>1</v>
      </c>
      <c r="O9" s="27">
        <f t="shared" si="0"/>
        <v>1</v>
      </c>
      <c r="P9" s="28"/>
      <c r="Q9" s="46"/>
      <c r="R9" s="49">
        <f t="shared" si="1"/>
        <v>3</v>
      </c>
      <c r="S9" s="8">
        <f t="shared" si="11"/>
        <v>9.5</v>
      </c>
      <c r="T9" s="8">
        <f t="shared" si="12"/>
        <v>6</v>
      </c>
      <c r="U9" s="14"/>
      <c r="V9" s="29"/>
      <c r="W9" s="30">
        <v>6</v>
      </c>
      <c r="X9" s="30" t="str">
        <f t="shared" si="13"/>
        <v>Oscar Hengeveld</v>
      </c>
      <c r="Y9" s="31">
        <v>5</v>
      </c>
      <c r="Z9" s="32" t="str">
        <f t="shared" si="28"/>
        <v>Oscar Hengeveld</v>
      </c>
      <c r="AA9" s="50">
        <f t="shared" si="14"/>
        <v>3</v>
      </c>
      <c r="AB9" s="33">
        <f t="shared" si="15"/>
        <v>6</v>
      </c>
      <c r="AC9" s="12">
        <f t="shared" si="16"/>
        <v>9.5</v>
      </c>
      <c r="AD9" s="33">
        <f t="shared" si="3"/>
        <v>12</v>
      </c>
      <c r="AE9" s="34">
        <f t="shared" si="4"/>
        <v>211</v>
      </c>
      <c r="AF9" s="47"/>
      <c r="AG9" s="52">
        <f t="shared" si="17"/>
        <v>0</v>
      </c>
      <c r="AH9" s="53">
        <f t="shared" si="18"/>
        <v>9</v>
      </c>
      <c r="AI9" s="52">
        <f t="shared" si="5"/>
        <v>0</v>
      </c>
      <c r="AJ9" s="53">
        <f t="shared" si="19"/>
        <v>9</v>
      </c>
      <c r="AK9" s="52">
        <f t="shared" si="20"/>
        <v>0</v>
      </c>
      <c r="AL9" s="47">
        <f t="shared" si="21"/>
        <v>9</v>
      </c>
      <c r="AM9" s="47"/>
      <c r="AN9" s="47">
        <f t="shared" si="22"/>
        <v>2</v>
      </c>
      <c r="AO9" s="47">
        <f t="shared" si="23"/>
        <v>3</v>
      </c>
      <c r="AP9" s="47">
        <f t="shared" si="24"/>
        <v>19</v>
      </c>
      <c r="AQ9" s="47">
        <f t="shared" si="25"/>
        <v>6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5</v>
      </c>
      <c r="AZ9" s="37">
        <f t="shared" si="7"/>
        <v>5.5</v>
      </c>
      <c r="BA9" s="37">
        <f t="shared" si="26"/>
        <v>14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1</v>
      </c>
      <c r="BH9" s="6">
        <f t="shared" si="8"/>
        <v>1</v>
      </c>
      <c r="BI9" s="6">
        <f t="shared" si="8"/>
        <v>0</v>
      </c>
      <c r="BJ9" s="6">
        <f t="shared" si="8"/>
        <v>1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1</v>
      </c>
      <c r="BS9" s="6">
        <f t="shared" si="9"/>
        <v>2</v>
      </c>
      <c r="BT9" s="6">
        <f t="shared" si="9"/>
        <v>2</v>
      </c>
      <c r="BU9" s="6">
        <f t="shared" si="9"/>
        <v>3</v>
      </c>
      <c r="BV9" s="6">
        <f t="shared" si="9"/>
        <v>3</v>
      </c>
      <c r="BW9" s="6">
        <f t="shared" si="9"/>
        <v>3</v>
      </c>
    </row>
    <row r="10" spans="1:75" x14ac:dyDescent="0.25">
      <c r="A10" s="24">
        <f t="shared" si="10"/>
        <v>3</v>
      </c>
      <c r="B10" s="25">
        <v>7</v>
      </c>
      <c r="C10" s="25" t="s">
        <v>105</v>
      </c>
      <c r="D10" s="58">
        <v>8795831</v>
      </c>
      <c r="E10" s="58"/>
      <c r="F10" s="25">
        <v>190</v>
      </c>
      <c r="H10" s="27">
        <f t="shared" si="0"/>
        <v>0</v>
      </c>
      <c r="I10" s="27">
        <f t="shared" si="0"/>
        <v>1</v>
      </c>
      <c r="J10" s="27">
        <f t="shared" si="0"/>
        <v>0</v>
      </c>
      <c r="K10" s="27">
        <f t="shared" si="0"/>
        <v>1</v>
      </c>
      <c r="L10" s="27">
        <f t="shared" si="0"/>
        <v>1</v>
      </c>
      <c r="M10" s="27">
        <f t="shared" si="0"/>
        <v>0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4</v>
      </c>
      <c r="S10" s="8">
        <f t="shared" si="11"/>
        <v>10.5</v>
      </c>
      <c r="T10" s="8">
        <f t="shared" si="12"/>
        <v>3</v>
      </c>
      <c r="U10" s="14"/>
      <c r="V10" s="29"/>
      <c r="W10" s="30">
        <v>7</v>
      </c>
      <c r="X10" s="30" t="str">
        <f t="shared" si="13"/>
        <v>David Militonian</v>
      </c>
      <c r="Y10" s="31">
        <v>4</v>
      </c>
      <c r="Z10" s="32" t="str">
        <f t="shared" si="28"/>
        <v>Joris Frankema</v>
      </c>
      <c r="AA10" s="50">
        <f t="shared" si="14"/>
        <v>2</v>
      </c>
      <c r="AB10" s="33">
        <f t="shared" si="15"/>
        <v>7</v>
      </c>
      <c r="AC10" s="12">
        <f t="shared" si="16"/>
        <v>8.5</v>
      </c>
      <c r="AD10" s="33">
        <f t="shared" si="3"/>
        <v>11.5</v>
      </c>
      <c r="AE10" s="34">
        <f t="shared" si="4"/>
        <v>212</v>
      </c>
      <c r="AF10" s="47"/>
      <c r="AG10" s="52">
        <f t="shared" si="17"/>
        <v>1</v>
      </c>
      <c r="AH10" s="53">
        <f t="shared" si="18"/>
        <v>13</v>
      </c>
      <c r="AI10" s="52">
        <f t="shared" si="5"/>
        <v>0</v>
      </c>
      <c r="AJ10" s="53">
        <f t="shared" si="19"/>
        <v>13</v>
      </c>
      <c r="AK10" s="52">
        <f t="shared" si="20"/>
        <v>0</v>
      </c>
      <c r="AL10" s="47">
        <f t="shared" si="21"/>
        <v>13</v>
      </c>
      <c r="AM10" s="47"/>
      <c r="AN10" s="47">
        <f t="shared" si="22"/>
        <v>5</v>
      </c>
      <c r="AO10" s="47">
        <f t="shared" si="23"/>
        <v>4</v>
      </c>
      <c r="AP10" s="47">
        <f t="shared" si="24"/>
        <v>44</v>
      </c>
      <c r="AQ10" s="47">
        <f t="shared" si="25"/>
        <v>3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13</v>
      </c>
      <c r="AZ10" s="37">
        <f t="shared" si="7"/>
        <v>4.5</v>
      </c>
      <c r="BA10" s="37">
        <f t="shared" si="26"/>
        <v>25</v>
      </c>
      <c r="BC10" s="6">
        <v>7</v>
      </c>
      <c r="BD10" s="6">
        <f t="shared" si="8"/>
        <v>1</v>
      </c>
      <c r="BE10" s="6">
        <f t="shared" si="8"/>
        <v>0</v>
      </c>
      <c r="BF10" s="6">
        <f t="shared" si="8"/>
        <v>1</v>
      </c>
      <c r="BG10" s="6">
        <f t="shared" si="8"/>
        <v>0</v>
      </c>
      <c r="BH10" s="6">
        <f t="shared" si="8"/>
        <v>1</v>
      </c>
      <c r="BI10" s="6">
        <f t="shared" si="8"/>
        <v>1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1</v>
      </c>
      <c r="BP10" s="6">
        <f t="shared" si="9"/>
        <v>1</v>
      </c>
      <c r="BQ10" s="6">
        <f t="shared" si="9"/>
        <v>2</v>
      </c>
      <c r="BR10" s="6">
        <f t="shared" si="9"/>
        <v>2</v>
      </c>
      <c r="BS10" s="6">
        <f t="shared" si="9"/>
        <v>3</v>
      </c>
      <c r="BT10" s="6">
        <f t="shared" si="9"/>
        <v>4</v>
      </c>
      <c r="BU10" s="6">
        <f t="shared" si="9"/>
        <v>4</v>
      </c>
      <c r="BV10" s="6">
        <f t="shared" si="9"/>
        <v>4</v>
      </c>
      <c r="BW10" s="6">
        <f t="shared" si="9"/>
        <v>4</v>
      </c>
    </row>
    <row r="11" spans="1:75" x14ac:dyDescent="0.25">
      <c r="A11" s="24">
        <f t="shared" si="10"/>
        <v>4</v>
      </c>
      <c r="B11" s="25">
        <v>8</v>
      </c>
      <c r="C11" s="25" t="s">
        <v>106</v>
      </c>
      <c r="D11" s="58">
        <v>8761390</v>
      </c>
      <c r="E11" s="58"/>
      <c r="F11" s="25">
        <v>190</v>
      </c>
      <c r="H11" s="27">
        <f t="shared" si="0"/>
        <v>1</v>
      </c>
      <c r="I11" s="27">
        <f t="shared" si="0"/>
        <v>1</v>
      </c>
      <c r="J11" s="27">
        <f t="shared" si="0"/>
        <v>0</v>
      </c>
      <c r="K11" s="27">
        <f t="shared" si="0"/>
        <v>1</v>
      </c>
      <c r="L11" s="27">
        <f t="shared" si="0"/>
        <v>1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4</v>
      </c>
      <c r="S11" s="8">
        <f t="shared" si="11"/>
        <v>11.5</v>
      </c>
      <c r="T11" s="8">
        <f t="shared" si="12"/>
        <v>4</v>
      </c>
      <c r="U11" s="14"/>
      <c r="V11" s="29"/>
      <c r="W11" s="30">
        <v>8</v>
      </c>
      <c r="X11" s="30" t="str">
        <f t="shared" si="13"/>
        <v>Elianne Snijders *</v>
      </c>
      <c r="Y11" s="31">
        <v>8</v>
      </c>
      <c r="Z11" s="32" t="str">
        <f t="shared" si="28"/>
        <v>David Formanoy</v>
      </c>
      <c r="AA11" s="50">
        <f t="shared" si="14"/>
        <v>1.5</v>
      </c>
      <c r="AB11" s="33">
        <f t="shared" si="15"/>
        <v>12</v>
      </c>
      <c r="AC11" s="12">
        <f t="shared" si="16"/>
        <v>4.5</v>
      </c>
      <c r="AD11" s="33">
        <f t="shared" si="3"/>
        <v>24</v>
      </c>
      <c r="AE11" s="34">
        <f t="shared" si="4"/>
        <v>190</v>
      </c>
      <c r="AF11" s="47"/>
      <c r="AG11" s="52">
        <f t="shared" si="17"/>
        <v>0</v>
      </c>
      <c r="AH11" s="53">
        <f t="shared" si="18"/>
        <v>12</v>
      </c>
      <c r="AI11" s="52">
        <f t="shared" si="5"/>
        <v>0</v>
      </c>
      <c r="AJ11" s="53">
        <f t="shared" si="19"/>
        <v>12</v>
      </c>
      <c r="AK11" s="52">
        <f t="shared" si="20"/>
        <v>0</v>
      </c>
      <c r="AL11" s="47">
        <f t="shared" si="21"/>
        <v>12</v>
      </c>
      <c r="AM11" s="47"/>
      <c r="AN11" s="47">
        <f t="shared" si="22"/>
        <v>4</v>
      </c>
      <c r="AO11" s="47">
        <f t="shared" si="23"/>
        <v>5</v>
      </c>
      <c r="AP11" s="47">
        <f t="shared" si="24"/>
        <v>37</v>
      </c>
      <c r="AQ11" s="47">
        <f t="shared" si="25"/>
        <v>4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12</v>
      </c>
      <c r="AZ11" s="37">
        <f t="shared" si="7"/>
        <v>6</v>
      </c>
      <c r="BA11" s="37">
        <f t="shared" si="26"/>
        <v>24</v>
      </c>
      <c r="BC11" s="6">
        <v>8</v>
      </c>
      <c r="BD11" s="6">
        <f t="shared" si="8"/>
        <v>1</v>
      </c>
      <c r="BE11" s="6">
        <f t="shared" si="8"/>
        <v>1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1</v>
      </c>
      <c r="BJ11" s="6">
        <f t="shared" si="8"/>
        <v>1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1</v>
      </c>
      <c r="BP11" s="6">
        <f t="shared" si="9"/>
        <v>2</v>
      </c>
      <c r="BQ11" s="6">
        <f t="shared" si="9"/>
        <v>2</v>
      </c>
      <c r="BR11" s="6">
        <f t="shared" si="9"/>
        <v>2</v>
      </c>
      <c r="BS11" s="6">
        <f t="shared" si="9"/>
        <v>2</v>
      </c>
      <c r="BT11" s="6">
        <f t="shared" si="9"/>
        <v>3</v>
      </c>
      <c r="BU11" s="6">
        <f t="shared" si="9"/>
        <v>4</v>
      </c>
      <c r="BV11" s="6">
        <f t="shared" si="9"/>
        <v>4</v>
      </c>
      <c r="BW11" s="6">
        <f t="shared" si="9"/>
        <v>4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 t="e">
        <f t="shared" si="23"/>
        <v>#N/A</v>
      </c>
      <c r="AP12" s="47" t="e">
        <f t="shared" si="24"/>
        <v>#N/A</v>
      </c>
      <c r="AQ12" s="47">
        <f>RANK(AP13,$AP$4:$AP$11,1)</f>
        <v>1</v>
      </c>
    </row>
    <row r="13" spans="1:75" x14ac:dyDescent="0.25">
      <c r="AG13" s="48">
        <f>2*MAX(AG4:AG11)+1</f>
        <v>3</v>
      </c>
      <c r="AH13" s="54"/>
      <c r="AI13" s="48">
        <f>2*MAX(AI4:AI11)+1</f>
        <v>1</v>
      </c>
      <c r="AK13" s="48">
        <f>2*MAX(AK4:AK11)+1</f>
        <v>1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Elianne Snijders *</v>
      </c>
      <c r="D16" s="43" t="s">
        <v>5</v>
      </c>
      <c r="E16" s="57" t="str">
        <f>VLOOKUP(AZ16,$B$4:$F$11,2,FALSE)</f>
        <v>Eelco Drijfhout</v>
      </c>
      <c r="F16" s="57"/>
      <c r="G16" s="57"/>
      <c r="H16" s="57"/>
      <c r="J16" s="57">
        <f>IF(T16="","",VLOOKUP(T16,Configuratie!$B$1:$E$10,3,FALSE))</f>
        <v>1</v>
      </c>
      <c r="K16" s="57"/>
      <c r="L16" s="6" t="s">
        <v>5</v>
      </c>
      <c r="M16" s="57">
        <f>IF(T16="","",VLOOKUP(T16,Configuratie!$B$1:$E$10,4,FALSE))</f>
        <v>0</v>
      </c>
      <c r="N16" s="57"/>
      <c r="R16" s="6" t="str">
        <f>IF(T16="","",VLOOKUP(T16,Configuratie!$B$1:$E$10,2,FALSE))</f>
        <v>1-0</v>
      </c>
      <c r="T16" s="5">
        <v>1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David Militonian</v>
      </c>
      <c r="D17" s="43" t="s">
        <v>5</v>
      </c>
      <c r="E17" s="57" t="str">
        <f t="shared" ref="E17:E19" si="31">VLOOKUP(AZ17,$B$4:$F$11,2,FALSE)</f>
        <v>Tigran Grigorjan</v>
      </c>
      <c r="F17" s="57"/>
      <c r="G17" s="57"/>
      <c r="H17" s="57"/>
      <c r="J17" s="57">
        <f>IF(T17="","",VLOOKUP(T17,Configuratie!$B$1:$E$10,3,FALSE))</f>
        <v>1</v>
      </c>
      <c r="K17" s="57"/>
      <c r="L17" s="6" t="s">
        <v>5</v>
      </c>
      <c r="M17" s="57">
        <f>IF(T17="","",VLOOKUP(T17,Configuratie!$B$1:$E$10,4,FALSE))</f>
        <v>0</v>
      </c>
      <c r="N17" s="57"/>
      <c r="R17" s="6" t="str">
        <f>IF(T17="","",VLOOKUP(T17,Configuratie!$B$1:$E$10,2,FALSE))</f>
        <v>1-0</v>
      </c>
      <c r="T17" s="5">
        <v>1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Oscar Hengeveld</v>
      </c>
      <c r="D18" s="43" t="s">
        <v>5</v>
      </c>
      <c r="E18" s="57" t="str">
        <f t="shared" si="31"/>
        <v>Yaroslav Shirokov</v>
      </c>
      <c r="F18" s="57"/>
      <c r="G18" s="57"/>
      <c r="H18" s="57"/>
      <c r="J18" s="57">
        <f>IF(T18="","",VLOOKUP(T18,Configuratie!$B$1:$E$10,3,FALSE))</f>
        <v>0</v>
      </c>
      <c r="K18" s="57"/>
      <c r="L18" s="6" t="s">
        <v>5</v>
      </c>
      <c r="M18" s="57">
        <f>IF(T18="","",VLOOKUP(T18,Configuratie!$B$1:$E$10,4,FALSE))</f>
        <v>1</v>
      </c>
      <c r="N18" s="57"/>
      <c r="R18" s="6" t="str">
        <f>IF(T18="","",VLOOKUP(T18,Configuratie!$B$1:$E$10,2,FALSE))</f>
        <v>0-1</v>
      </c>
      <c r="T18" s="5">
        <v>0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Joris Frankema</v>
      </c>
      <c r="D19" s="43" t="s">
        <v>5</v>
      </c>
      <c r="E19" s="57" t="str">
        <f t="shared" si="31"/>
        <v>David Formanoy</v>
      </c>
      <c r="F19" s="57"/>
      <c r="G19" s="57"/>
      <c r="H19" s="57"/>
      <c r="J19" s="57">
        <f>IF(T19="","",VLOOKUP(T19,Configuratie!$B$1:$E$10,3,FALSE))</f>
        <v>0</v>
      </c>
      <c r="K19" s="57"/>
      <c r="L19" s="6" t="s">
        <v>5</v>
      </c>
      <c r="M19" s="57">
        <f>IF(T19="","",VLOOKUP(T19,Configuratie!$B$1:$E$10,4,FALSE))</f>
        <v>1</v>
      </c>
      <c r="N19" s="57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Elianne Snijders *</v>
      </c>
      <c r="D22" s="43" t="s">
        <v>5</v>
      </c>
      <c r="E22" s="57" t="str">
        <f>VLOOKUP(AZ22,$B$4:$F$11,2,FALSE)</f>
        <v>David Formanoy</v>
      </c>
      <c r="F22" s="57"/>
      <c r="G22" s="57"/>
      <c r="H22" s="57"/>
      <c r="J22" s="57">
        <f>IF(T22="","",VLOOKUP(T22,Configuratie!$B$1:$E$10,3,FALSE))</f>
        <v>1</v>
      </c>
      <c r="K22" s="57"/>
      <c r="L22" s="6" t="s">
        <v>5</v>
      </c>
      <c r="M22" s="57">
        <f>IF(T22="","",VLOOKUP(T22,Configuratie!$B$1:$E$10,4,FALSE))</f>
        <v>0</v>
      </c>
      <c r="N22" s="57"/>
      <c r="R22" s="6" t="str">
        <f>IF(T22="","",VLOOKUP(T22,Configuratie!$B$1:$E$10,2,FALSE))</f>
        <v>1-0</v>
      </c>
      <c r="T22" s="5">
        <v>1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1</v>
      </c>
      <c r="BF22" s="6">
        <f t="shared" si="32"/>
        <v>1</v>
      </c>
      <c r="BG22" s="6">
        <f>J22*BF22</f>
        <v>1</v>
      </c>
      <c r="BH22" s="6">
        <f>M22*BE22</f>
        <v>0</v>
      </c>
    </row>
    <row r="23" spans="2:60" x14ac:dyDescent="0.25">
      <c r="B23" s="6">
        <v>2</v>
      </c>
      <c r="C23" s="6" t="str">
        <f>VLOOKUP(AY23,$B$4:$F$11,2,FALSE)</f>
        <v>Yaroslav Shirokov</v>
      </c>
      <c r="D23" s="43" t="s">
        <v>5</v>
      </c>
      <c r="E23" s="57" t="str">
        <f t="shared" ref="E23:E25" si="33">VLOOKUP(AZ23,$B$4:$F$11,2,FALSE)</f>
        <v>Joris Frankema</v>
      </c>
      <c r="F23" s="57"/>
      <c r="G23" s="57"/>
      <c r="H23" s="57"/>
      <c r="J23" s="57">
        <f>IF(T23="","",VLOOKUP(T23,Configuratie!$B$1:$E$10,3,FALSE))</f>
        <v>0</v>
      </c>
      <c r="K23" s="57"/>
      <c r="L23" s="6" t="s">
        <v>5</v>
      </c>
      <c r="M23" s="57">
        <f>IF(T23="","",VLOOKUP(T23,Configuratie!$B$1:$E$10,4,FALSE))</f>
        <v>1</v>
      </c>
      <c r="N23" s="57"/>
      <c r="R23" s="6" t="str">
        <f>IF(T23="","",VLOOKUP(T23,Configuratie!$B$1:$E$10,2,FALSE))</f>
        <v>0-1</v>
      </c>
      <c r="T23" s="5">
        <v>0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1</v>
      </c>
      <c r="BF23" s="6">
        <f t="shared" si="32"/>
        <v>0</v>
      </c>
      <c r="BG23" s="6">
        <f>J23*BF23</f>
        <v>0</v>
      </c>
      <c r="BH23" s="6">
        <f>M23*BE23</f>
        <v>1</v>
      </c>
    </row>
    <row r="24" spans="2:60" x14ac:dyDescent="0.25">
      <c r="B24" s="6">
        <v>3</v>
      </c>
      <c r="C24" s="6" t="str">
        <f>VLOOKUP(AY24,$B$4:$F$11,2,FALSE)</f>
        <v>Tigran Grigorjan</v>
      </c>
      <c r="D24" s="43" t="s">
        <v>5</v>
      </c>
      <c r="E24" s="57" t="str">
        <f t="shared" si="33"/>
        <v>Oscar Hengeveld</v>
      </c>
      <c r="F24" s="57"/>
      <c r="G24" s="57"/>
      <c r="H24" s="57"/>
      <c r="J24" s="57">
        <f>IF(T24="","",VLOOKUP(T24,Configuratie!$B$1:$E$10,3,FALSE))</f>
        <v>1</v>
      </c>
      <c r="K24" s="57"/>
      <c r="L24" s="6" t="s">
        <v>5</v>
      </c>
      <c r="M24" s="57">
        <f>IF(T24="","",VLOOKUP(T24,Configuratie!$B$1:$E$10,4,FALSE))</f>
        <v>0</v>
      </c>
      <c r="N24" s="57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0</v>
      </c>
      <c r="BF24" s="6">
        <f t="shared" si="32"/>
        <v>0</v>
      </c>
      <c r="BG24" s="6">
        <f>J24*BF24</f>
        <v>0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Eelco Drijfhout</v>
      </c>
      <c r="D25" s="43" t="s">
        <v>5</v>
      </c>
      <c r="E25" s="57" t="str">
        <f t="shared" si="33"/>
        <v>David Militonian</v>
      </c>
      <c r="F25" s="57"/>
      <c r="G25" s="57"/>
      <c r="H25" s="57"/>
      <c r="J25" s="57">
        <f>IF(T25="","",VLOOKUP(T25,Configuratie!$B$1:$E$10,3,FALSE))</f>
        <v>1</v>
      </c>
      <c r="K25" s="57"/>
      <c r="L25" s="6" t="s">
        <v>5</v>
      </c>
      <c r="M25" s="57">
        <f>IF(T25="","",VLOOKUP(T25,Configuratie!$B$1:$E$10,4,FALSE))</f>
        <v>0</v>
      </c>
      <c r="N25" s="57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0</v>
      </c>
      <c r="BF25" s="6">
        <f t="shared" si="32"/>
        <v>1</v>
      </c>
      <c r="BG25" s="6">
        <f>J25*BF25</f>
        <v>1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David Militonian</v>
      </c>
      <c r="D28" s="43" t="s">
        <v>5</v>
      </c>
      <c r="E28" s="57" t="str">
        <f>VLOOKUP(AZ28,$B$4:$F$11,2,FALSE)</f>
        <v>Elianne Snijders *</v>
      </c>
      <c r="F28" s="57"/>
      <c r="G28" s="57"/>
      <c r="H28" s="57"/>
      <c r="J28" s="57">
        <f>IF(T28="","",VLOOKUP(T28,Configuratie!$B$1:$E$10,3,FALSE))</f>
        <v>1</v>
      </c>
      <c r="K28" s="57"/>
      <c r="L28" s="6" t="s">
        <v>5</v>
      </c>
      <c r="M28" s="57">
        <f>IF(T28="","",VLOOKUP(T28,Configuratie!$B$1:$E$10,4,FALSE))</f>
        <v>0</v>
      </c>
      <c r="N28" s="57"/>
      <c r="R28" s="6" t="str">
        <f>IF(T28="","",VLOOKUP(T28,Configuratie!$B$1:$E$10,2,FALSE))</f>
        <v>1-0</v>
      </c>
      <c r="T28" s="5">
        <v>1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1</v>
      </c>
      <c r="BF28" s="6">
        <f t="shared" si="35"/>
        <v>2</v>
      </c>
      <c r="BG28" s="6">
        <f>J28*BF28</f>
        <v>2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Oscar Hengeveld</v>
      </c>
      <c r="D29" s="43" t="s">
        <v>5</v>
      </c>
      <c r="E29" s="57" t="str">
        <f>VLOOKUP(AZ29,$B$4:$F$11,2,FALSE)</f>
        <v>Eelco Drijfhout</v>
      </c>
      <c r="F29" s="57"/>
      <c r="G29" s="57"/>
      <c r="H29" s="57"/>
      <c r="J29" s="57">
        <f>IF(T29="","",VLOOKUP(T29,Configuratie!$B$1:$E$10,3,FALSE))</f>
        <v>0</v>
      </c>
      <c r="K29" s="57"/>
      <c r="L29" s="6" t="s">
        <v>5</v>
      </c>
      <c r="M29" s="57">
        <f>IF(T29="","",VLOOKUP(T29,Configuratie!$B$1:$E$10,4,FALSE))</f>
        <v>1</v>
      </c>
      <c r="N29" s="57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0</v>
      </c>
      <c r="BF29" s="6">
        <f t="shared" si="35"/>
        <v>1</v>
      </c>
      <c r="BG29" s="6">
        <f>J29*BF29</f>
        <v>0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Joris Frankema</v>
      </c>
      <c r="D30" s="43" t="s">
        <v>5</v>
      </c>
      <c r="E30" s="57" t="str">
        <f>VLOOKUP(AZ30,$B$4:$F$11,2,FALSE)</f>
        <v>Tigran Grigorjan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1</v>
      </c>
      <c r="BF30" s="6">
        <f t="shared" si="35"/>
        <v>1</v>
      </c>
      <c r="BG30" s="6">
        <f>J30*BF30</f>
        <v>0</v>
      </c>
      <c r="BH30" s="6">
        <f>M30*BE30</f>
        <v>1</v>
      </c>
    </row>
    <row r="31" spans="2:60" x14ac:dyDescent="0.25">
      <c r="B31" s="6">
        <v>4</v>
      </c>
      <c r="C31" s="6" t="str">
        <f>VLOOKUP(AY31,$B$4:$F$11,2,FALSE)</f>
        <v>David Formanoy</v>
      </c>
      <c r="D31" s="43" t="s">
        <v>5</v>
      </c>
      <c r="E31" s="57" t="str">
        <f>VLOOKUP(AZ31,$B$4:$F$11,2,FALSE)</f>
        <v>Yaroslav Shirokov</v>
      </c>
      <c r="F31" s="57"/>
      <c r="G31" s="57"/>
      <c r="H31" s="57"/>
      <c r="J31" s="57">
        <f>IF(T31="","",VLOOKUP(T31,Configuratie!$B$1:$E$10,3,FALSE))</f>
        <v>0</v>
      </c>
      <c r="K31" s="57"/>
      <c r="L31" s="6" t="s">
        <v>5</v>
      </c>
      <c r="M31" s="57">
        <f>IF(T31="","",VLOOKUP(T31,Configuratie!$B$1:$E$10,4,FALSE))</f>
        <v>1</v>
      </c>
      <c r="N31" s="57"/>
      <c r="R31" s="6" t="str">
        <f>IF(T31="","",VLOOKUP(T31,Configuratie!$B$1:$E$10,2,FALSE))</f>
        <v>0-1</v>
      </c>
      <c r="T31" s="5">
        <v>0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1</v>
      </c>
      <c r="BF31" s="6">
        <f t="shared" si="35"/>
        <v>1</v>
      </c>
      <c r="BG31" s="6">
        <f>J31*BF31</f>
        <v>0</v>
      </c>
      <c r="BH31" s="6">
        <f>M31*BE31</f>
        <v>1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Elianne Snijders *</v>
      </c>
      <c r="D34" s="43" t="s">
        <v>5</v>
      </c>
      <c r="E34" s="57" t="str">
        <f>VLOOKUP(AZ34,$B$4:$F$11,2,FALSE)</f>
        <v>Yaroslav Shirokov</v>
      </c>
      <c r="F34" s="57"/>
      <c r="G34" s="57"/>
      <c r="H34" s="57"/>
      <c r="J34" s="57">
        <f>IF(T34="","",VLOOKUP(T34,Configuratie!$B$1:$E$10,3,FALSE))</f>
        <v>0</v>
      </c>
      <c r="K34" s="57"/>
      <c r="L34" s="6" t="s">
        <v>5</v>
      </c>
      <c r="M34" s="57">
        <f>IF(T34="","",VLOOKUP(T34,Configuratie!$B$1:$E$10,4,FALSE))</f>
        <v>1</v>
      </c>
      <c r="N34" s="57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2</v>
      </c>
      <c r="BF34" s="6">
        <f t="shared" si="37"/>
        <v>2</v>
      </c>
      <c r="BG34" s="6">
        <f>J34*BF34</f>
        <v>0</v>
      </c>
      <c r="BH34" s="6">
        <f>M34*BE34</f>
        <v>2</v>
      </c>
    </row>
    <row r="35" spans="2:60" x14ac:dyDescent="0.25">
      <c r="B35" s="6">
        <v>2</v>
      </c>
      <c r="C35" s="6" t="str">
        <f>VLOOKUP(AY35,$B$4:$F$11,2,FALSE)</f>
        <v>Tigran Grigorjan</v>
      </c>
      <c r="D35" s="43" t="s">
        <v>5</v>
      </c>
      <c r="E35" s="57" t="str">
        <f>VLOOKUP(AZ35,$B$4:$F$11,2,FALSE)</f>
        <v>David Formanoy</v>
      </c>
      <c r="F35" s="57"/>
      <c r="G35" s="57"/>
      <c r="H35" s="57"/>
      <c r="J35" s="57">
        <f>IF(T35="","",VLOOKUP(T35,Configuratie!$B$1:$E$10,3,FALSE))</f>
        <v>1</v>
      </c>
      <c r="K35" s="57"/>
      <c r="L35" s="6" t="s">
        <v>5</v>
      </c>
      <c r="M35" s="57">
        <f>IF(T35="","",VLOOKUP(T35,Configuratie!$B$1:$E$10,4,FALSE))</f>
        <v>0</v>
      </c>
      <c r="N35" s="57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2</v>
      </c>
      <c r="BF35" s="6">
        <f t="shared" si="37"/>
        <v>1</v>
      </c>
      <c r="BG35" s="6">
        <f>J35*BF35</f>
        <v>1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Eelco Drijfhout</v>
      </c>
      <c r="D36" s="43" t="s">
        <v>5</v>
      </c>
      <c r="E36" s="57" t="str">
        <f>VLOOKUP(AZ36,$B$4:$F$11,2,FALSE)</f>
        <v>Joris Frankema</v>
      </c>
      <c r="F36" s="57"/>
      <c r="G36" s="57"/>
      <c r="H36" s="57"/>
      <c r="J36" s="57">
        <f>IF(T36="","",VLOOKUP(T36,Configuratie!$B$1:$E$10,3,FALSE))</f>
        <v>1</v>
      </c>
      <c r="K36" s="57"/>
      <c r="L36" s="6" t="s">
        <v>5</v>
      </c>
      <c r="M36" s="57">
        <f>IF(T36="","",VLOOKUP(T36,Configuratie!$B$1:$E$10,4,FALSE))</f>
        <v>0</v>
      </c>
      <c r="N36" s="57"/>
      <c r="R36" s="6" t="str">
        <f>IF(T36="","",VLOOKUP(T36,Configuratie!$B$1:$E$10,2,FALSE))</f>
        <v>1-0</v>
      </c>
      <c r="T36" s="5">
        <v>1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2</v>
      </c>
      <c r="BF36" s="6">
        <f t="shared" si="37"/>
        <v>1</v>
      </c>
      <c r="BG36" s="6">
        <f>J36*BF36</f>
        <v>1</v>
      </c>
      <c r="BH36" s="6">
        <f>M36*BE36</f>
        <v>0</v>
      </c>
    </row>
    <row r="37" spans="2:60" x14ac:dyDescent="0.25">
      <c r="B37" s="6">
        <v>4</v>
      </c>
      <c r="C37" s="6" t="str">
        <f>VLOOKUP(AY37,$B$4:$F$11,2,FALSE)</f>
        <v>David Militonian</v>
      </c>
      <c r="D37" s="43" t="s">
        <v>5</v>
      </c>
      <c r="E37" s="57" t="str">
        <f>VLOOKUP(AZ37,$B$4:$F$11,2,FALSE)</f>
        <v>Oscar Hengeveld</v>
      </c>
      <c r="F37" s="57"/>
      <c r="G37" s="57"/>
      <c r="H37" s="57"/>
      <c r="J37" s="57">
        <f>IF(T37="","",VLOOKUP(T37,Configuratie!$B$1:$E$10,3,FALSE))</f>
        <v>0</v>
      </c>
      <c r="K37" s="57"/>
      <c r="L37" s="6" t="s">
        <v>5</v>
      </c>
      <c r="M37" s="57">
        <f>IF(T37="","",VLOOKUP(T37,Configuratie!$B$1:$E$10,4,FALSE))</f>
        <v>1</v>
      </c>
      <c r="N37" s="57"/>
      <c r="R37" s="6" t="str">
        <f>IF(T37="","",VLOOKUP(T37,Configuratie!$B$1:$E$10,2,FALSE))</f>
        <v>0-1</v>
      </c>
      <c r="T37" s="5">
        <v>0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2</v>
      </c>
      <c r="BF37" s="6">
        <f t="shared" si="37"/>
        <v>0</v>
      </c>
      <c r="BG37" s="6">
        <f>J37*BF37</f>
        <v>0</v>
      </c>
      <c r="BH37" s="6">
        <f>M37*BE37</f>
        <v>2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Oscar Hengeveld</v>
      </c>
      <c r="D40" s="43" t="s">
        <v>5</v>
      </c>
      <c r="E40" s="57" t="str">
        <f>VLOOKUP(AZ40,$B$4:$F$11,2,FALSE)</f>
        <v>Elianne Snijders *</v>
      </c>
      <c r="F40" s="57"/>
      <c r="G40" s="57"/>
      <c r="H40" s="57"/>
      <c r="J40" s="57">
        <f>IF(T40="","",VLOOKUP(T40,Configuratie!$B$1:$E$10,3,FALSE))</f>
        <v>1</v>
      </c>
      <c r="K40" s="57"/>
      <c r="L40" s="6" t="s">
        <v>5</v>
      </c>
      <c r="M40" s="57">
        <f>IF(T40="","",VLOOKUP(T40,Configuratie!$B$1:$E$10,4,FALSE))</f>
        <v>0</v>
      </c>
      <c r="N40" s="57"/>
      <c r="R40" s="6" t="str">
        <f>IF(T40="","",VLOOKUP(T40,Configuratie!$B$1:$E$10,2,FALSE))</f>
        <v>1-0</v>
      </c>
      <c r="T40" s="5">
        <v>1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1</v>
      </c>
      <c r="BF40" s="6">
        <f t="shared" si="39"/>
        <v>2</v>
      </c>
      <c r="BG40" s="6">
        <f>J40*BF40</f>
        <v>2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Joris Frankema</v>
      </c>
      <c r="D41" s="43" t="s">
        <v>5</v>
      </c>
      <c r="E41" s="57" t="str">
        <f>VLOOKUP(AZ41,$B$4:$F$11,2,FALSE)</f>
        <v>David Militonian</v>
      </c>
      <c r="F41" s="57"/>
      <c r="G41" s="57"/>
      <c r="H41" s="57"/>
      <c r="J41" s="57">
        <f>IF(T41="","",VLOOKUP(T41,Configuratie!$B$1:$E$10,3,FALSE))</f>
        <v>0</v>
      </c>
      <c r="K41" s="57"/>
      <c r="L41" s="6" t="s">
        <v>5</v>
      </c>
      <c r="M41" s="57">
        <f>IF(T41="","",VLOOKUP(T41,Configuratie!$B$1:$E$10,4,FALSE))</f>
        <v>1</v>
      </c>
      <c r="N41" s="57"/>
      <c r="R41" s="6" t="str">
        <f>IF(T41="","",VLOOKUP(T41,Configuratie!$B$1:$E$10,2,FALSE))</f>
        <v>0-1</v>
      </c>
      <c r="T41" s="5">
        <v>0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1</v>
      </c>
      <c r="BF41" s="6">
        <f t="shared" si="39"/>
        <v>2</v>
      </c>
      <c r="BG41" s="6">
        <f>J41*BF41</f>
        <v>0</v>
      </c>
      <c r="BH41" s="6">
        <f>M41*BE41</f>
        <v>1</v>
      </c>
    </row>
    <row r="42" spans="2:60" x14ac:dyDescent="0.25">
      <c r="B42" s="6">
        <v>3</v>
      </c>
      <c r="C42" s="6" t="str">
        <f>VLOOKUP(AY42,$B$4:$F$11,2,FALSE)</f>
        <v>David Formanoy</v>
      </c>
      <c r="D42" s="43" t="s">
        <v>5</v>
      </c>
      <c r="E42" s="57" t="str">
        <f>VLOOKUP(AZ42,$B$4:$F$11,2,FALSE)</f>
        <v>Eelco Drijfhout</v>
      </c>
      <c r="F42" s="57"/>
      <c r="G42" s="57"/>
      <c r="H42" s="57"/>
      <c r="J42" s="57">
        <f>IF(T42="","",VLOOKUP(T42,Configuratie!$B$1:$E$10,3,FALSE))</f>
        <v>0.5</v>
      </c>
      <c r="K42" s="57"/>
      <c r="L42" s="6" t="s">
        <v>5</v>
      </c>
      <c r="M42" s="57">
        <f>IF(T42="","",VLOOKUP(T42,Configuratie!$B$1:$E$10,4,FALSE))</f>
        <v>0.5</v>
      </c>
      <c r="N42" s="57"/>
      <c r="R42" s="6" t="str">
        <f>IF(T42="","",VLOOKUP(T42,Configuratie!$B$1:$E$10,2,FALSE))</f>
        <v>½-½</v>
      </c>
      <c r="T42" s="5">
        <v>2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1</v>
      </c>
      <c r="BF42" s="6">
        <f t="shared" si="39"/>
        <v>3</v>
      </c>
      <c r="BG42" s="6">
        <f>J42*BF42</f>
        <v>1.5</v>
      </c>
      <c r="BH42" s="6">
        <f>M42*BE42</f>
        <v>0.5</v>
      </c>
    </row>
    <row r="43" spans="2:60" x14ac:dyDescent="0.25">
      <c r="B43" s="6">
        <v>4</v>
      </c>
      <c r="C43" s="6" t="str">
        <f>VLOOKUP(AY43,$B$4:$F$11,2,FALSE)</f>
        <v>Yaroslav Shirokov</v>
      </c>
      <c r="D43" s="43" t="s">
        <v>5</v>
      </c>
      <c r="E43" s="57" t="str">
        <f>VLOOKUP(AZ43,$B$4:$F$11,2,FALSE)</f>
        <v>Tigran Grigorjan</v>
      </c>
      <c r="F43" s="57"/>
      <c r="G43" s="57"/>
      <c r="H43" s="57"/>
      <c r="J43" s="57">
        <f>IF(T43="","",VLOOKUP(T43,Configuratie!$B$1:$E$10,3,FALSE))</f>
        <v>1</v>
      </c>
      <c r="K43" s="57"/>
      <c r="L43" s="6" t="s">
        <v>5</v>
      </c>
      <c r="M43" s="57">
        <f>IF(T43="","",VLOOKUP(T43,Configuratie!$B$1:$E$10,4,FALSE))</f>
        <v>0</v>
      </c>
      <c r="N43" s="57"/>
      <c r="R43" s="6" t="str">
        <f>IF(T43="","",VLOOKUP(T43,Configuratie!$B$1:$E$10,2,FALSE))</f>
        <v>1-0</v>
      </c>
      <c r="T43" s="5">
        <v>1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3</v>
      </c>
      <c r="BF43" s="6">
        <f t="shared" si="39"/>
        <v>3</v>
      </c>
      <c r="BG43" s="6">
        <f>J43*BF43</f>
        <v>3</v>
      </c>
      <c r="BH43" s="6">
        <f>M43*BE43</f>
        <v>0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Elianne Snijders *</v>
      </c>
      <c r="D46" s="43" t="s">
        <v>5</v>
      </c>
      <c r="E46" s="57" t="str">
        <f>VLOOKUP(AZ46,$B$4:$F$11,2,FALSE)</f>
        <v>Tigran Grigorjan</v>
      </c>
      <c r="F46" s="57"/>
      <c r="G46" s="57"/>
      <c r="H46" s="57"/>
      <c r="J46" s="57">
        <f>IF(T46="","",VLOOKUP(T46,Configuratie!$B$1:$E$10,3,FALSE))</f>
        <v>1</v>
      </c>
      <c r="K46" s="57"/>
      <c r="L46" s="6" t="s">
        <v>5</v>
      </c>
      <c r="M46" s="57">
        <f>IF(T46="","",VLOOKUP(T46,Configuratie!$B$1:$E$10,4,FALSE))</f>
        <v>0</v>
      </c>
      <c r="N46" s="57"/>
      <c r="R46" s="6" t="str">
        <f>IF(T46="","",VLOOKUP(T46,Configuratie!$B$1:$E$10,2,FALSE))</f>
        <v>1-0</v>
      </c>
      <c r="T46" s="5">
        <v>1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2</v>
      </c>
      <c r="BF46" s="6">
        <f t="shared" si="41"/>
        <v>3</v>
      </c>
      <c r="BG46" s="6">
        <f>J46*BF46</f>
        <v>3</v>
      </c>
      <c r="BH46" s="6">
        <f>M46*BE46</f>
        <v>0</v>
      </c>
    </row>
    <row r="47" spans="2:60" x14ac:dyDescent="0.25">
      <c r="B47" s="6">
        <v>2</v>
      </c>
      <c r="C47" s="6" t="str">
        <f>VLOOKUP(AY47,$B$4:$F$11,2,FALSE)</f>
        <v>Eelco Drijfhout</v>
      </c>
      <c r="D47" s="43" t="s">
        <v>5</v>
      </c>
      <c r="E47" s="57" t="str">
        <f>VLOOKUP(AZ47,$B$4:$F$11,2,FALSE)</f>
        <v>Yaroslav Shirokov</v>
      </c>
      <c r="F47" s="57"/>
      <c r="G47" s="57"/>
      <c r="H47" s="57"/>
      <c r="J47" s="57">
        <f>IF(T47="","",VLOOKUP(T47,Configuratie!$B$1:$E$10,3,FALSE))</f>
        <v>0.5</v>
      </c>
      <c r="K47" s="57"/>
      <c r="L47" s="6" t="s">
        <v>5</v>
      </c>
      <c r="M47" s="57">
        <f>IF(T47="","",VLOOKUP(T47,Configuratie!$B$1:$E$10,4,FALSE))</f>
        <v>0.5</v>
      </c>
      <c r="N47" s="57"/>
      <c r="R47" s="6" t="str">
        <f>IF(T47="","",VLOOKUP(T47,Configuratie!$B$1:$E$10,2,FALSE))</f>
        <v>½-½</v>
      </c>
      <c r="T47" s="5">
        <v>2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3.5</v>
      </c>
      <c r="BF47" s="6">
        <f t="shared" si="41"/>
        <v>4</v>
      </c>
      <c r="BG47" s="6">
        <f>J47*BF47</f>
        <v>2</v>
      </c>
      <c r="BH47" s="6">
        <f>M47*BE47</f>
        <v>1.75</v>
      </c>
    </row>
    <row r="48" spans="2:60" x14ac:dyDescent="0.25">
      <c r="B48" s="6">
        <v>3</v>
      </c>
      <c r="C48" s="6" t="str">
        <f>VLOOKUP(AY48,$B$4:$F$11,2,FALSE)</f>
        <v>David Militonian</v>
      </c>
      <c r="D48" s="43" t="s">
        <v>5</v>
      </c>
      <c r="E48" s="57" t="str">
        <f>VLOOKUP(AZ48,$B$4:$F$11,2,FALSE)</f>
        <v>David Formanoy</v>
      </c>
      <c r="F48" s="57"/>
      <c r="G48" s="57"/>
      <c r="H48" s="57"/>
      <c r="J48" s="57">
        <f>IF(T48="","",VLOOKUP(T48,Configuratie!$B$1:$E$10,3,FALSE))</f>
        <v>1</v>
      </c>
      <c r="K48" s="57"/>
      <c r="L48" s="6" t="s">
        <v>5</v>
      </c>
      <c r="M48" s="57">
        <f>IF(T48="","",VLOOKUP(T48,Configuratie!$B$1:$E$10,4,FALSE))</f>
        <v>0</v>
      </c>
      <c r="N48" s="57"/>
      <c r="R48" s="6" t="str">
        <f>IF(T48="","",VLOOKUP(T48,Configuratie!$B$1:$E$10,2,FALSE))</f>
        <v>1-0</v>
      </c>
      <c r="T48" s="5">
        <v>1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3</v>
      </c>
      <c r="BF48" s="6">
        <f t="shared" si="41"/>
        <v>1.5</v>
      </c>
      <c r="BG48" s="6">
        <f>J48*BF48</f>
        <v>1.5</v>
      </c>
      <c r="BH48" s="6">
        <f>M48*BE48</f>
        <v>0</v>
      </c>
    </row>
    <row r="49" spans="2:60" x14ac:dyDescent="0.25">
      <c r="B49" s="6">
        <v>4</v>
      </c>
      <c r="C49" s="6" t="str">
        <f>VLOOKUP(AY49,$B$4:$F$11,2,FALSE)</f>
        <v>Oscar Hengeveld</v>
      </c>
      <c r="D49" s="43" t="s">
        <v>5</v>
      </c>
      <c r="E49" s="57" t="str">
        <f>VLOOKUP(AZ49,$B$4:$F$11,2,FALSE)</f>
        <v>Joris Frankema</v>
      </c>
      <c r="F49" s="57"/>
      <c r="G49" s="57"/>
      <c r="H49" s="57"/>
      <c r="J49" s="57">
        <f>IF(T49="","",VLOOKUP(T49,Configuratie!$B$1:$E$10,3,FALSE))</f>
        <v>0</v>
      </c>
      <c r="K49" s="57"/>
      <c r="L49" s="6" t="s">
        <v>5</v>
      </c>
      <c r="M49" s="57">
        <f>IF(T49="","",VLOOKUP(T49,Configuratie!$B$1:$E$10,4,FALSE))</f>
        <v>1</v>
      </c>
      <c r="N49" s="57"/>
      <c r="R49" s="6" t="str">
        <f>IF(T49="","",VLOOKUP(T49,Configuratie!$B$1:$E$10,2,FALSE))</f>
        <v>0-1</v>
      </c>
      <c r="T49" s="5">
        <v>0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2</v>
      </c>
      <c r="BF49" s="6">
        <f t="shared" si="41"/>
        <v>1</v>
      </c>
      <c r="BG49" s="6">
        <f>J49*BF49</f>
        <v>0</v>
      </c>
      <c r="BH49" s="6">
        <f>M49*BE49</f>
        <v>2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Joris Frankema</v>
      </c>
      <c r="D52" s="43" t="s">
        <v>5</v>
      </c>
      <c r="E52" s="57" t="str">
        <f>VLOOKUP(AZ52,$B$4:$F$11,2,FALSE)</f>
        <v>Elianne Snijders *</v>
      </c>
      <c r="F52" s="57"/>
      <c r="G52" s="57"/>
      <c r="H52" s="57"/>
      <c r="J52" s="57">
        <f>IF(T52="","",VLOOKUP(T52,Configuratie!$B$1:$E$10,3,FALSE))</f>
        <v>0</v>
      </c>
      <c r="K52" s="57"/>
      <c r="L52" s="6" t="s">
        <v>5</v>
      </c>
      <c r="M52" s="57">
        <f>IF(T52="","",VLOOKUP(T52,Configuratie!$B$1:$E$10,4,FALSE))</f>
        <v>1</v>
      </c>
      <c r="N52" s="57"/>
      <c r="R52" s="6" t="str">
        <f>IF(T52="","",VLOOKUP(T52,Configuratie!$B$1:$E$10,2,FALSE))</f>
        <v>0-1</v>
      </c>
      <c r="T52" s="5">
        <v>0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2</v>
      </c>
      <c r="BF52" s="6">
        <f t="shared" si="43"/>
        <v>3</v>
      </c>
      <c r="BG52" s="6">
        <f>J52*BF52</f>
        <v>0</v>
      </c>
      <c r="BH52" s="6">
        <f>M52*BE52</f>
        <v>2</v>
      </c>
    </row>
    <row r="53" spans="2:60" x14ac:dyDescent="0.25">
      <c r="B53" s="6">
        <v>2</v>
      </c>
      <c r="C53" s="6" t="str">
        <f>VLOOKUP(AY53,$B$4:$F$11,2,FALSE)</f>
        <v>David Formanoy</v>
      </c>
      <c r="D53" s="43" t="s">
        <v>5</v>
      </c>
      <c r="E53" s="57" t="str">
        <f>VLOOKUP(AZ53,$B$4:$F$11,2,FALSE)</f>
        <v>Oscar Hengeveld</v>
      </c>
      <c r="F53" s="57"/>
      <c r="G53" s="57"/>
      <c r="H53" s="57"/>
      <c r="J53" s="57">
        <f>IF(T53="","",VLOOKUP(T53,Configuratie!$B$1:$E$10,3,FALSE))</f>
        <v>0</v>
      </c>
      <c r="K53" s="57"/>
      <c r="L53" s="6" t="s">
        <v>5</v>
      </c>
      <c r="M53" s="57">
        <f>IF(T53="","",VLOOKUP(T53,Configuratie!$B$1:$E$10,4,FALSE))</f>
        <v>1</v>
      </c>
      <c r="N53" s="57"/>
      <c r="R53" s="6" t="str">
        <f>IF(T53="","",VLOOKUP(T53,Configuratie!$B$1:$E$10,2,FALSE))</f>
        <v>0-1</v>
      </c>
      <c r="T53" s="5">
        <v>0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1.5</v>
      </c>
      <c r="BF53" s="6">
        <f t="shared" si="43"/>
        <v>2</v>
      </c>
      <c r="BG53" s="6">
        <f>J53*BF53</f>
        <v>0</v>
      </c>
      <c r="BH53" s="6">
        <f>M53*BE53</f>
        <v>1.5</v>
      </c>
    </row>
    <row r="54" spans="2:60" x14ac:dyDescent="0.25">
      <c r="B54" s="6">
        <v>3</v>
      </c>
      <c r="C54" s="6" t="str">
        <f>VLOOKUP(AY54,$B$4:$F$11,2,FALSE)</f>
        <v>Yaroslav Shirokov</v>
      </c>
      <c r="D54" s="43" t="s">
        <v>5</v>
      </c>
      <c r="E54" s="57" t="str">
        <f>VLOOKUP(AZ54,$B$4:$F$11,2,FALSE)</f>
        <v>David Militonian</v>
      </c>
      <c r="F54" s="57"/>
      <c r="G54" s="57"/>
      <c r="H54" s="57"/>
      <c r="J54" s="57">
        <f>IF(T54="","",VLOOKUP(T54,Configuratie!$B$1:$E$10,3,FALSE))</f>
        <v>1</v>
      </c>
      <c r="K54" s="57"/>
      <c r="L54" s="6" t="s">
        <v>5</v>
      </c>
      <c r="M54" s="57">
        <f>IF(T54="","",VLOOKUP(T54,Configuratie!$B$1:$E$10,4,FALSE))</f>
        <v>0</v>
      </c>
      <c r="N54" s="57"/>
      <c r="R54" s="6" t="str">
        <f>IF(T54="","",VLOOKUP(T54,Configuratie!$B$1:$E$10,2,FALSE))</f>
        <v>1-0</v>
      </c>
      <c r="T54" s="5">
        <v>1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4.5</v>
      </c>
      <c r="BF54" s="6">
        <f t="shared" si="43"/>
        <v>4</v>
      </c>
      <c r="BG54" s="6">
        <f>J54*BF54</f>
        <v>4</v>
      </c>
      <c r="BH54" s="6">
        <f>M54*BE54</f>
        <v>0</v>
      </c>
    </row>
    <row r="55" spans="2:60" x14ac:dyDescent="0.25">
      <c r="B55" s="6">
        <v>4</v>
      </c>
      <c r="C55" s="6" t="str">
        <f>VLOOKUP(AY55,$B$4:$F$11,2,FALSE)</f>
        <v>Tigran Grigorjan</v>
      </c>
      <c r="D55" s="43" t="s">
        <v>5</v>
      </c>
      <c r="E55" s="57" t="str">
        <f>VLOOKUP(AZ55,$B$4:$F$11,2,FALSE)</f>
        <v>Eelco Drijfhout</v>
      </c>
      <c r="F55" s="57"/>
      <c r="G55" s="57"/>
      <c r="H55" s="57"/>
      <c r="J55" s="57">
        <f>IF(T55="","",VLOOKUP(T55,Configuratie!$B$1:$E$10,3,FALSE))</f>
        <v>0</v>
      </c>
      <c r="K55" s="57"/>
      <c r="L55" s="6" t="s">
        <v>5</v>
      </c>
      <c r="M55" s="57">
        <f>IF(T55="","",VLOOKUP(T55,Configuratie!$B$1:$E$10,4,FALSE))</f>
        <v>1</v>
      </c>
      <c r="N55" s="57"/>
      <c r="R55" s="6" t="str">
        <f>IF(T55="","",VLOOKUP(T55,Configuratie!$B$1:$E$10,2,FALSE))</f>
        <v>0-1</v>
      </c>
      <c r="T55" s="5">
        <v>0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3</v>
      </c>
      <c r="BF55" s="6">
        <f t="shared" si="43"/>
        <v>4</v>
      </c>
      <c r="BG55" s="6">
        <f>J55*BF55</f>
        <v>0</v>
      </c>
      <c r="BH55" s="6">
        <f>M55*BE55</f>
        <v>3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7" priority="4" stopIfTrue="1" operator="between">
      <formula>0</formula>
      <formula>1</formula>
    </cfRule>
  </conditionalFormatting>
  <conditionalFormatting sqref="T4:U11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autoPageBreaks="0" fitToPage="1"/>
  </sheetPr>
  <dimension ref="A1:BY55"/>
  <sheetViews>
    <sheetView tabSelected="1"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 collapsed="1"/>
    <col min="2" max="2" width="3.7109375" style="6" customWidth="1" collapsed="1"/>
    <col min="3" max="3" width="27.7109375" style="6" customWidth="1" collapsed="1"/>
    <col min="4" max="4" width="3.7109375" style="6" customWidth="1" collapsed="1"/>
    <col min="5" max="5" width="6.7109375" style="6" customWidth="1" collapsed="1"/>
    <col min="6" max="6" width="9.7109375" style="6" customWidth="1" collapsed="1"/>
    <col min="7" max="7" width="6.7109375" style="6" customWidth="1" collapsed="1"/>
    <col min="8" max="15" width="3.7109375" style="6" customWidth="1" collapsed="1"/>
    <col min="16" max="17" width="3.7109375" style="6" hidden="1" customWidth="1" collapsed="1"/>
    <col min="18" max="18" width="10.5703125" style="6" customWidth="1" collapsed="1"/>
    <col min="19" max="20" width="6.85546875" style="6" customWidth="1" collapsed="1"/>
    <col min="21" max="21" width="3.85546875" style="6" customWidth="1" collapsed="1"/>
    <col min="22" max="22" width="3.7109375" style="6" customWidth="1" collapsed="1"/>
    <col min="23" max="23" width="6.7109375" style="6" customWidth="1" collapsed="1"/>
    <col min="24" max="24" width="6.7109375" style="6" hidden="1" customWidth="1" collapsed="1"/>
    <col min="25" max="25" width="3" style="6" hidden="1" customWidth="1" collapsed="1"/>
    <col min="26" max="26" width="27.7109375" style="6" customWidth="1" collapsed="1"/>
    <col min="27" max="27" width="6.7109375" style="6" customWidth="1" collapsed="1"/>
    <col min="28" max="28" width="6.7109375" style="6" hidden="1" customWidth="1" collapsed="1"/>
    <col min="29" max="29" width="6.7109375" style="6" customWidth="1" collapsed="1"/>
    <col min="30" max="32" width="6.7109375" style="6" hidden="1" customWidth="1" collapsed="1"/>
    <col min="33" max="33" width="8.5703125" style="6" hidden="1" customWidth="1" collapsed="1"/>
    <col min="34" max="34" width="6" style="6" hidden="1" customWidth="1" collapsed="1"/>
    <col min="35" max="35" width="8.5703125" style="6" hidden="1" customWidth="1" collapsed="1"/>
    <col min="36" max="36" width="5.5703125" style="6" hidden="1" customWidth="1" collapsed="1"/>
    <col min="37" max="37" width="8.5703125" style="6" hidden="1" customWidth="1" collapsed="1"/>
    <col min="38" max="38" width="5" style="6" hidden="1" customWidth="1" collapsed="1"/>
    <col min="39" max="39" width="6.7109375" style="6" hidden="1" customWidth="1" collapsed="1"/>
    <col min="40" max="40" width="8.5703125" style="6" hidden="1" customWidth="1" collapsed="1"/>
    <col min="41" max="41" width="4.28515625" style="6" hidden="1" customWidth="1" collapsed="1"/>
    <col min="42" max="42" width="6" style="6" hidden="1" customWidth="1" collapsed="1"/>
    <col min="43" max="43" width="5.28515625" style="6" hidden="1" customWidth="1" collapsed="1"/>
    <col min="44" max="50" width="6.7109375" style="6" hidden="1" customWidth="1" collapsed="1"/>
    <col min="51" max="54" width="9.140625" style="6" hidden="1" customWidth="1" collapsed="1"/>
    <col min="55" max="56" width="4.42578125" style="6" hidden="1" customWidth="1" collapsed="1"/>
    <col min="57" max="75" width="3.7109375" style="6" hidden="1" customWidth="1" collapsed="1"/>
    <col min="76" max="77" width="9.140625" style="6" hidden="1" customWidth="1" collapsed="1"/>
    <col min="78" max="16384" width="9.140625" style="6" collapsed="1"/>
  </cols>
  <sheetData>
    <row r="1" spans="1:75" ht="26.25" x14ac:dyDescent="0.4">
      <c r="A1" s="24">
        <v>8</v>
      </c>
      <c r="B1" s="59" t="s">
        <v>29</v>
      </c>
      <c r="C1" s="59"/>
      <c r="D1" s="59"/>
      <c r="E1" s="59"/>
      <c r="F1" s="59"/>
      <c r="G1" s="60" t="s">
        <v>107</v>
      </c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15"/>
      <c r="T1" s="15"/>
      <c r="U1" s="15"/>
      <c r="V1" s="15"/>
      <c r="W1" s="63" t="str">
        <f>"UITSLAG " &amp; G1</f>
        <v>UITSLAG Groep F</v>
      </c>
      <c r="X1" s="61"/>
      <c r="Y1" s="61"/>
      <c r="Z1" s="61"/>
      <c r="AA1" s="61"/>
      <c r="AB1" s="61"/>
      <c r="AC1" s="61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25</v>
      </c>
      <c r="AZ2" s="16" t="s">
        <v>24</v>
      </c>
      <c r="BA2" s="16" t="s">
        <v>26</v>
      </c>
      <c r="BD2" s="61" t="s">
        <v>20</v>
      </c>
      <c r="BE2" s="61"/>
      <c r="BF2" s="61"/>
      <c r="BG2" s="61"/>
      <c r="BH2" s="61"/>
      <c r="BI2" s="61"/>
      <c r="BJ2" s="61"/>
      <c r="BK2" s="61"/>
      <c r="BL2" s="61"/>
      <c r="BM2" s="17"/>
      <c r="BN2" s="18"/>
      <c r="BO2" s="61" t="s">
        <v>21</v>
      </c>
      <c r="BP2" s="61"/>
      <c r="BQ2" s="61"/>
      <c r="BR2" s="61"/>
      <c r="BS2" s="61"/>
      <c r="BT2" s="61"/>
      <c r="BU2" s="61"/>
      <c r="BV2" s="61"/>
      <c r="BW2" s="61"/>
    </row>
    <row r="3" spans="1:75" x14ac:dyDescent="0.25">
      <c r="B3" s="19" t="s">
        <v>4</v>
      </c>
      <c r="C3" s="19" t="s">
        <v>6</v>
      </c>
      <c r="D3" s="62" t="s">
        <v>7</v>
      </c>
      <c r="E3" s="62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45"/>
      <c r="R3" s="7" t="s">
        <v>15</v>
      </c>
      <c r="S3" s="7" t="s">
        <v>24</v>
      </c>
      <c r="T3" s="7" t="s">
        <v>56</v>
      </c>
      <c r="U3" s="13"/>
      <c r="V3" s="21"/>
      <c r="W3" s="7" t="s">
        <v>30</v>
      </c>
      <c r="X3" s="7"/>
      <c r="Y3" s="22" t="s">
        <v>28</v>
      </c>
      <c r="Z3" s="7" t="s">
        <v>6</v>
      </c>
      <c r="AA3" s="7" t="s">
        <v>27</v>
      </c>
      <c r="AB3" s="7" t="s">
        <v>22</v>
      </c>
      <c r="AC3" s="7" t="s">
        <v>24</v>
      </c>
      <c r="AD3" s="7" t="s">
        <v>31</v>
      </c>
      <c r="AE3" s="7" t="s">
        <v>32</v>
      </c>
      <c r="AF3" s="13"/>
      <c r="AG3" s="7" t="s">
        <v>47</v>
      </c>
      <c r="AH3" s="7" t="s">
        <v>48</v>
      </c>
      <c r="AI3" s="7" t="s">
        <v>49</v>
      </c>
      <c r="AJ3" s="7" t="s">
        <v>50</v>
      </c>
      <c r="AK3" s="7" t="s">
        <v>51</v>
      </c>
      <c r="AL3" s="7" t="s">
        <v>52</v>
      </c>
      <c r="AM3" s="7"/>
      <c r="AN3" s="7" t="s">
        <v>53</v>
      </c>
      <c r="AO3" s="7" t="s">
        <v>54</v>
      </c>
      <c r="AP3" s="7" t="s">
        <v>55</v>
      </c>
      <c r="AQ3" s="7" t="s">
        <v>56</v>
      </c>
      <c r="AR3" s="7"/>
      <c r="AS3" s="7" t="s">
        <v>56</v>
      </c>
      <c r="AT3" s="7" t="s">
        <v>57</v>
      </c>
      <c r="AU3" s="13"/>
      <c r="AV3" s="13"/>
      <c r="AW3" s="21"/>
      <c r="AX3" s="7" t="s">
        <v>33</v>
      </c>
      <c r="AY3" s="23" t="s">
        <v>23</v>
      </c>
      <c r="AZ3" s="16" t="s">
        <v>23</v>
      </c>
      <c r="BA3" s="16" t="s">
        <v>23</v>
      </c>
      <c r="BC3" s="6" t="s">
        <v>28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28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3</v>
      </c>
      <c r="B4" s="25">
        <v>1</v>
      </c>
      <c r="C4" s="25" t="s">
        <v>108</v>
      </c>
      <c r="D4" s="58">
        <v>8697348</v>
      </c>
      <c r="E4" s="58"/>
      <c r="F4" s="25">
        <v>150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>
        <f>IF((SUMIF($BC$13:$BC$55,$B4*100+I$3,$BA$13:$BA$55)+SUMIF($BC$13:$BC$55,$B4+I$3*100,$BA$13:$BA$55))=1,(SUMIF($BC$13:$BC$55,$B4*100+I$3,$J$13:$J$55)+SUMIF($BD$13:$BD$55,$B4*100+I$3,$M$13:$M$55)),"")</f>
        <v>0</v>
      </c>
      <c r="J4" s="27">
        <f t="shared" si="0"/>
        <v>1</v>
      </c>
      <c r="K4" s="27">
        <f t="shared" si="0"/>
        <v>1</v>
      </c>
      <c r="L4" s="27">
        <f t="shared" si="0"/>
        <v>0</v>
      </c>
      <c r="M4" s="27">
        <f t="shared" si="0"/>
        <v>1</v>
      </c>
      <c r="N4" s="27">
        <f t="shared" si="0"/>
        <v>1</v>
      </c>
      <c r="O4" s="27">
        <f t="shared" si="0"/>
        <v>1</v>
      </c>
      <c r="P4" s="28"/>
      <c r="Q4" s="46"/>
      <c r="R4" s="49">
        <f t="shared" ref="R4:R11" si="1">SUM(H4:Q4)</f>
        <v>5</v>
      </c>
      <c r="S4" s="8">
        <f>IF(H4="",0,H4)*$R$4+IF(I4="",0,I4)*$R$5+IF(J4="",0,J4)*$R$6+IF(K4="",0,K4)*$R$7+IF(L4="",0,L4)*$R$8+IF(M4="",0,M4)*$R$9+IF(N4="",0,N4)*$R$10+IF(O4="",0,O4)*$R$11</f>
        <v>13.5</v>
      </c>
      <c r="T4" s="8">
        <f>AQ4</f>
        <v>3</v>
      </c>
      <c r="U4" s="14"/>
      <c r="V4" s="29"/>
      <c r="W4" s="30">
        <v>1</v>
      </c>
      <c r="X4" s="30" t="str">
        <f>C4</f>
        <v>Istar Snijders</v>
      </c>
      <c r="Y4" s="31">
        <v>2</v>
      </c>
      <c r="Z4" s="32" t="str">
        <f>IF(ISNA(VLOOKUP(B4,$A$4:$T$11,3,FALSE)),C4,VLOOKUP(B4,$A$4:$T$11,3,FALSE))</f>
        <v>Quintus Keij</v>
      </c>
      <c r="AA4" s="50">
        <f>IF(ISNA(VLOOKUP($B4,$A$4:$T$11,18,FALSE)),0,VLOOKUP($B4,$A$4:$T$11,18,FALSE))</f>
        <v>6</v>
      </c>
      <c r="AB4" s="33">
        <f t="shared" ref="AB4" si="2">VLOOKUP($B4,$A$4:$T$11,18,FALSE)</f>
        <v>6</v>
      </c>
      <c r="AC4" s="12">
        <f>IF(ISNA(VLOOKUP($B4,$A$4:$T$11,19,FALSE)),0,VLOOKUP($B4,$A$4:$T$11,19,FALSE))</f>
        <v>17</v>
      </c>
      <c r="AD4" s="33">
        <f t="shared" ref="AD4:AD11" si="3">VLOOKUP($Y4,$AX$4:$BA$11,4,FALSE)</f>
        <v>37</v>
      </c>
      <c r="AE4" s="34">
        <f t="shared" ref="AE4:AE11" si="4">VLOOKUP($Y4,$B$4:$R$11,5,FALSE)</f>
        <v>150</v>
      </c>
      <c r="AF4" s="47"/>
      <c r="AG4" s="52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53">
        <f>$AG$13*R4+AG4</f>
        <v>15</v>
      </c>
      <c r="AI4" s="52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53">
        <f>$AI$13*AH4+AI4</f>
        <v>30</v>
      </c>
      <c r="AK4" s="52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47">
        <f>$AK$13*AJ4+AK4</f>
        <v>60</v>
      </c>
      <c r="AM4" s="47"/>
      <c r="AN4" s="47">
        <f>RANK(AL4,$AL$4:$AL$11,1)-1</f>
        <v>5</v>
      </c>
      <c r="AO4" s="47">
        <f>RANK(S4,$S$4:$S$11,1)-1</f>
        <v>5</v>
      </c>
      <c r="AP4" s="47">
        <f>8*AN4+AO4</f>
        <v>45</v>
      </c>
      <c r="AQ4" s="47">
        <f>RANK(AP4,$AP$4:$AP$11)</f>
        <v>3</v>
      </c>
      <c r="AR4" s="47"/>
      <c r="AS4" s="47"/>
      <c r="AT4" s="47"/>
      <c r="AU4" s="47"/>
      <c r="AV4" s="47"/>
      <c r="AW4" s="29"/>
      <c r="AX4" s="35">
        <v>1</v>
      </c>
      <c r="AY4" s="36">
        <f t="shared" ref="AY4:AY11" si="6">SUMIF($AY$13:$AY$55,B4,$BE$13:$BE$55)+SUMIF($AZ$13:$AZ$55,B4,$BF$13:$BF$55)</f>
        <v>18</v>
      </c>
      <c r="AZ4" s="37">
        <f t="shared" ref="AZ4:AZ11" si="7">SUMIF($AY$13:$AY$55,B4,$BG$13:$BG$55)+SUMIF($AZ$13:$AZ$55,B4,$BH$13:$BH$55)</f>
        <v>7</v>
      </c>
      <c r="BA4" s="37">
        <f>SUM(BO4:BW4)</f>
        <v>33</v>
      </c>
      <c r="BC4" s="6">
        <v>1</v>
      </c>
      <c r="BD4" s="6">
        <f t="shared" ref="BD4:BL11" si="8">SUMIFS($J$16:$J$55,$AY$16:$AY$55,$BC4,$AX$16:$AX$55,BD$3)+SUMIFS($M$16:$M$55,$AZ$16:$AZ$55,$BC4,$AX$16:$AX$55,BD$3)</f>
        <v>1</v>
      </c>
      <c r="BE4" s="6">
        <f t="shared" si="8"/>
        <v>1</v>
      </c>
      <c r="BF4" s="6">
        <f t="shared" si="8"/>
        <v>1</v>
      </c>
      <c r="BG4" s="6">
        <f t="shared" si="8"/>
        <v>0</v>
      </c>
      <c r="BH4" s="6">
        <f t="shared" si="8"/>
        <v>1</v>
      </c>
      <c r="BI4" s="6">
        <f t="shared" si="8"/>
        <v>1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1</v>
      </c>
      <c r="BP4" s="6">
        <f t="shared" ref="BP4:BW11" si="9">BO4+BE4</f>
        <v>2</v>
      </c>
      <c r="BQ4" s="6">
        <f t="shared" si="9"/>
        <v>3</v>
      </c>
      <c r="BR4" s="6">
        <f t="shared" si="9"/>
        <v>3</v>
      </c>
      <c r="BS4" s="6">
        <f t="shared" si="9"/>
        <v>4</v>
      </c>
      <c r="BT4" s="6">
        <f t="shared" si="9"/>
        <v>5</v>
      </c>
      <c r="BU4" s="6">
        <f t="shared" si="9"/>
        <v>5</v>
      </c>
      <c r="BV4" s="6">
        <f t="shared" si="9"/>
        <v>5</v>
      </c>
      <c r="BW4" s="6">
        <f t="shared" si="9"/>
        <v>5</v>
      </c>
    </row>
    <row r="5" spans="1:75" x14ac:dyDescent="0.25">
      <c r="A5" s="24">
        <f t="shared" ref="A5:A12" si="10">T5</f>
        <v>2</v>
      </c>
      <c r="B5" s="25">
        <v>2</v>
      </c>
      <c r="C5" s="25" t="s">
        <v>109</v>
      </c>
      <c r="D5" s="58">
        <v>8650444</v>
      </c>
      <c r="E5" s="58"/>
      <c r="F5" s="25">
        <v>150</v>
      </c>
      <c r="H5" s="27">
        <f t="shared" si="0"/>
        <v>1</v>
      </c>
      <c r="I5" s="26" t="str">
        <f t="shared" si="0"/>
        <v/>
      </c>
      <c r="J5" s="27">
        <f t="shared" si="0"/>
        <v>0</v>
      </c>
      <c r="K5" s="27">
        <f t="shared" si="0"/>
        <v>1</v>
      </c>
      <c r="L5" s="27">
        <f t="shared" si="0"/>
        <v>1</v>
      </c>
      <c r="M5" s="27">
        <f t="shared" si="0"/>
        <v>1</v>
      </c>
      <c r="N5" s="27">
        <f t="shared" si="0"/>
        <v>1</v>
      </c>
      <c r="O5" s="27">
        <f t="shared" si="0"/>
        <v>1</v>
      </c>
      <c r="P5" s="28"/>
      <c r="Q5" s="46"/>
      <c r="R5" s="49">
        <f t="shared" si="1"/>
        <v>6</v>
      </c>
      <c r="S5" s="8">
        <f t="shared" ref="S5:S11" si="11">IF(H5="",0,H5)*$R$4+IF(I5="",0,I5)*$R$5+IF(J5="",0,J5)*$R$6+IF(K5="",0,K5)*$R$7+IF(L5="",0,L5)*$R$8+IF(M5="",0,M5)*$R$9+IF(N5="",0,N5)*$R$10+IF(O5="",0,O5)*$R$11</f>
        <v>16</v>
      </c>
      <c r="T5" s="8">
        <f t="shared" ref="T5:T12" si="12">AQ5</f>
        <v>2</v>
      </c>
      <c r="U5" s="14"/>
      <c r="V5" s="29"/>
      <c r="W5" s="30">
        <v>2</v>
      </c>
      <c r="X5" s="30" t="str">
        <f t="shared" ref="X5:X11" si="13">C5</f>
        <v>Teun Zaalmink</v>
      </c>
      <c r="Y5" s="31">
        <v>7</v>
      </c>
      <c r="Z5" s="32" t="str">
        <f>IF(ISNA(VLOOKUP(B5,$A$4:$T$11,3,FALSE)),C5,VLOOKUP(B5,$A$4:$T$11,3,FALSE))</f>
        <v>Teun Zaalmink</v>
      </c>
      <c r="AA5" s="50">
        <f t="shared" ref="AA5:AA11" si="14">IF(ISNA(VLOOKUP($B5,$A$4:$T$11,18,FALSE)),0,VLOOKUP($B5,$A$4:$T$11,18,FALSE))</f>
        <v>6</v>
      </c>
      <c r="AB5" s="33">
        <f t="shared" ref="AB5:AB11" si="15">VLOOKUP($Y5,$AX$4:$BA$11,2,FALSE)</f>
        <v>5</v>
      </c>
      <c r="AC5" s="12">
        <f t="shared" ref="AC5:AC11" si="16">IF(ISNA(VLOOKUP($B5,$A$4:$T$11,19,FALSE)),0,VLOOKUP($B5,$A$4:$T$11,19,FALSE))</f>
        <v>16</v>
      </c>
      <c r="AD5" s="33">
        <f t="shared" si="3"/>
        <v>11</v>
      </c>
      <c r="AE5" s="34">
        <f t="shared" si="4"/>
        <v>150</v>
      </c>
      <c r="AF5" s="47"/>
      <c r="AG5" s="52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53">
        <f t="shared" ref="AH5:AH11" si="18">$AG$13*R5+AG5</f>
        <v>18</v>
      </c>
      <c r="AI5" s="52">
        <f t="shared" si="5"/>
        <v>0</v>
      </c>
      <c r="AJ5" s="53">
        <f t="shared" ref="AJ5:AJ11" si="19">$AI$13*AH5+AI5</f>
        <v>36</v>
      </c>
      <c r="AK5" s="52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47">
        <f t="shared" ref="AL5:AL11" si="21">$AK$13*AJ5+AK5</f>
        <v>72</v>
      </c>
      <c r="AM5" s="47"/>
      <c r="AN5" s="47">
        <f t="shared" ref="AN5:AN11" si="22">RANK(AL5,$AL$4:$AL$11,1)-1</f>
        <v>6</v>
      </c>
      <c r="AO5" s="47">
        <f t="shared" ref="AO5:AO12" si="23">RANK(S5,$S$4:$S$11,1)-1</f>
        <v>6</v>
      </c>
      <c r="AP5" s="47">
        <f t="shared" ref="AP5:AP12" si="24">8*AN5+AO5</f>
        <v>54</v>
      </c>
      <c r="AQ5" s="47">
        <f t="shared" ref="AQ5:AQ11" si="25">RANK(AP5,$AP$4:$AP$11)</f>
        <v>2</v>
      </c>
      <c r="AR5" s="47"/>
      <c r="AS5" s="47"/>
      <c r="AT5" s="47"/>
      <c r="AU5" s="47"/>
      <c r="AV5" s="47"/>
      <c r="AW5" s="29"/>
      <c r="AX5" s="35">
        <v>2</v>
      </c>
      <c r="AY5" s="36">
        <f t="shared" si="6"/>
        <v>19</v>
      </c>
      <c r="AZ5" s="37">
        <f t="shared" si="7"/>
        <v>7</v>
      </c>
      <c r="BA5" s="37">
        <f t="shared" ref="BA5:BA11" si="26">SUM(BO5:BW5)</f>
        <v>37</v>
      </c>
      <c r="BC5" s="6">
        <v>2</v>
      </c>
      <c r="BD5" s="6">
        <f t="shared" si="8"/>
        <v>1</v>
      </c>
      <c r="BE5" s="6">
        <f t="shared" si="8"/>
        <v>1</v>
      </c>
      <c r="BF5" s="6">
        <f t="shared" si="8"/>
        <v>1</v>
      </c>
      <c r="BG5" s="6">
        <f t="shared" si="8"/>
        <v>1</v>
      </c>
      <c r="BH5" s="6">
        <f t="shared" si="8"/>
        <v>0</v>
      </c>
      <c r="BI5" s="6">
        <f t="shared" si="8"/>
        <v>1</v>
      </c>
      <c r="BJ5" s="6">
        <f t="shared" si="8"/>
        <v>1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1</v>
      </c>
      <c r="BP5" s="6">
        <f t="shared" si="9"/>
        <v>2</v>
      </c>
      <c r="BQ5" s="6">
        <f t="shared" si="9"/>
        <v>3</v>
      </c>
      <c r="BR5" s="6">
        <f t="shared" si="9"/>
        <v>4</v>
      </c>
      <c r="BS5" s="6">
        <f t="shared" si="9"/>
        <v>4</v>
      </c>
      <c r="BT5" s="6">
        <f t="shared" si="9"/>
        <v>5</v>
      </c>
      <c r="BU5" s="6">
        <f t="shared" si="9"/>
        <v>6</v>
      </c>
      <c r="BV5" s="6">
        <f t="shared" si="9"/>
        <v>6</v>
      </c>
      <c r="BW5" s="6">
        <f t="shared" si="9"/>
        <v>6</v>
      </c>
    </row>
    <row r="6" spans="1:75" x14ac:dyDescent="0.25">
      <c r="A6" s="24">
        <f t="shared" si="10"/>
        <v>1</v>
      </c>
      <c r="B6" s="25">
        <v>3</v>
      </c>
      <c r="C6" s="25" t="s">
        <v>110</v>
      </c>
      <c r="D6" s="58">
        <v>8787449</v>
      </c>
      <c r="E6" s="58"/>
      <c r="F6" s="25">
        <v>132</v>
      </c>
      <c r="H6" s="27">
        <f t="shared" si="0"/>
        <v>0</v>
      </c>
      <c r="I6" s="27">
        <f t="shared" si="0"/>
        <v>1</v>
      </c>
      <c r="J6" s="26" t="str">
        <f t="shared" si="0"/>
        <v/>
      </c>
      <c r="K6" s="27">
        <f t="shared" si="0"/>
        <v>1</v>
      </c>
      <c r="L6" s="27">
        <f t="shared" si="0"/>
        <v>1</v>
      </c>
      <c r="M6" s="27">
        <f t="shared" si="0"/>
        <v>1</v>
      </c>
      <c r="N6" s="27">
        <f t="shared" si="0"/>
        <v>1</v>
      </c>
      <c r="O6" s="27">
        <f t="shared" si="0"/>
        <v>1</v>
      </c>
      <c r="P6" s="28"/>
      <c r="Q6" s="46"/>
      <c r="R6" s="49">
        <f t="shared" si="1"/>
        <v>6</v>
      </c>
      <c r="S6" s="8">
        <f t="shared" si="11"/>
        <v>17</v>
      </c>
      <c r="T6" s="9">
        <f>AQ6</f>
        <v>1</v>
      </c>
      <c r="U6" s="10"/>
      <c r="V6" s="29"/>
      <c r="W6" s="30">
        <v>3</v>
      </c>
      <c r="X6" s="30" t="str">
        <f t="shared" si="13"/>
        <v>Quintus Keij</v>
      </c>
      <c r="Y6" s="31">
        <v>1</v>
      </c>
      <c r="Z6" s="32" t="str">
        <f t="shared" ref="Z6:Z12" si="28">IF(ISNA(VLOOKUP(B6,$A$4:$T$11,3,FALSE)),C6,VLOOKUP(B6,$A$4:$T$11,3,FALSE))</f>
        <v>Istar Snijders</v>
      </c>
      <c r="AA6" s="50">
        <f t="shared" si="14"/>
        <v>5</v>
      </c>
      <c r="AB6" s="33">
        <f t="shared" si="15"/>
        <v>18</v>
      </c>
      <c r="AC6" s="12">
        <f t="shared" si="16"/>
        <v>13.5</v>
      </c>
      <c r="AD6" s="33">
        <f t="shared" si="3"/>
        <v>33</v>
      </c>
      <c r="AE6" s="34">
        <f t="shared" si="4"/>
        <v>150</v>
      </c>
      <c r="AF6" s="47"/>
      <c r="AG6" s="52">
        <f t="shared" si="17"/>
        <v>1</v>
      </c>
      <c r="AH6" s="53">
        <f t="shared" si="18"/>
        <v>19</v>
      </c>
      <c r="AI6" s="52">
        <f t="shared" si="5"/>
        <v>0</v>
      </c>
      <c r="AJ6" s="53">
        <f t="shared" si="19"/>
        <v>38</v>
      </c>
      <c r="AK6" s="52">
        <f t="shared" si="20"/>
        <v>0</v>
      </c>
      <c r="AL6" s="47">
        <f t="shared" si="21"/>
        <v>76</v>
      </c>
      <c r="AM6" s="47"/>
      <c r="AN6" s="47">
        <f t="shared" si="22"/>
        <v>7</v>
      </c>
      <c r="AO6" s="47">
        <f t="shared" si="23"/>
        <v>7</v>
      </c>
      <c r="AP6" s="47">
        <f t="shared" si="24"/>
        <v>63</v>
      </c>
      <c r="AQ6" s="47">
        <f t="shared" si="25"/>
        <v>1</v>
      </c>
      <c r="AR6" s="47"/>
      <c r="AS6" s="47"/>
      <c r="AT6" s="47"/>
      <c r="AU6" s="47"/>
      <c r="AV6" s="47"/>
      <c r="AW6" s="29"/>
      <c r="AX6" s="35">
        <v>3</v>
      </c>
      <c r="AY6" s="36">
        <f t="shared" si="6"/>
        <v>20</v>
      </c>
      <c r="AZ6" s="37">
        <f t="shared" si="7"/>
        <v>8</v>
      </c>
      <c r="BA6" s="37">
        <f t="shared" si="26"/>
        <v>38</v>
      </c>
      <c r="BC6" s="6">
        <v>3</v>
      </c>
      <c r="BD6" s="6">
        <f t="shared" si="8"/>
        <v>1</v>
      </c>
      <c r="BE6" s="6">
        <f t="shared" si="8"/>
        <v>1</v>
      </c>
      <c r="BF6" s="6">
        <f t="shared" si="8"/>
        <v>1</v>
      </c>
      <c r="BG6" s="6">
        <f t="shared" si="8"/>
        <v>1</v>
      </c>
      <c r="BH6" s="6">
        <f t="shared" si="8"/>
        <v>1</v>
      </c>
      <c r="BI6" s="6">
        <f t="shared" si="8"/>
        <v>0</v>
      </c>
      <c r="BJ6" s="6">
        <f t="shared" si="8"/>
        <v>1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1</v>
      </c>
      <c r="BP6" s="6">
        <f t="shared" si="9"/>
        <v>2</v>
      </c>
      <c r="BQ6" s="6">
        <f t="shared" si="9"/>
        <v>3</v>
      </c>
      <c r="BR6" s="6">
        <f t="shared" si="9"/>
        <v>4</v>
      </c>
      <c r="BS6" s="6">
        <f t="shared" si="9"/>
        <v>5</v>
      </c>
      <c r="BT6" s="6">
        <f t="shared" si="9"/>
        <v>5</v>
      </c>
      <c r="BU6" s="6">
        <f t="shared" si="9"/>
        <v>6</v>
      </c>
      <c r="BV6" s="6">
        <f t="shared" si="9"/>
        <v>6</v>
      </c>
      <c r="BW6" s="6">
        <f t="shared" si="9"/>
        <v>6</v>
      </c>
    </row>
    <row r="7" spans="1:75" x14ac:dyDescent="0.25">
      <c r="A7" s="24">
        <f t="shared" si="10"/>
        <v>7</v>
      </c>
      <c r="B7" s="25">
        <v>4</v>
      </c>
      <c r="C7" s="25" t="s">
        <v>111</v>
      </c>
      <c r="D7" s="58">
        <v>8809768</v>
      </c>
      <c r="E7" s="58"/>
      <c r="F7" s="25">
        <v>100</v>
      </c>
      <c r="H7" s="27">
        <f t="shared" si="0"/>
        <v>0</v>
      </c>
      <c r="I7" s="27">
        <f t="shared" si="0"/>
        <v>0</v>
      </c>
      <c r="J7" s="27">
        <f t="shared" si="0"/>
        <v>0</v>
      </c>
      <c r="K7" s="26" t="str">
        <f t="shared" si="0"/>
        <v/>
      </c>
      <c r="L7" s="27">
        <f t="shared" si="0"/>
        <v>1</v>
      </c>
      <c r="M7" s="27">
        <f t="shared" si="0"/>
        <v>0</v>
      </c>
      <c r="N7" s="27">
        <f t="shared" si="0"/>
        <v>0</v>
      </c>
      <c r="O7" s="27">
        <f t="shared" si="0"/>
        <v>1</v>
      </c>
      <c r="P7" s="28"/>
      <c r="Q7" s="46"/>
      <c r="R7" s="49">
        <f t="shared" si="1"/>
        <v>2</v>
      </c>
      <c r="S7" s="8">
        <f t="shared" si="11"/>
        <v>3.5</v>
      </c>
      <c r="T7" s="8">
        <f t="shared" si="12"/>
        <v>7</v>
      </c>
      <c r="U7" s="14"/>
      <c r="V7" s="29"/>
      <c r="W7" s="30">
        <v>4</v>
      </c>
      <c r="X7" s="30" t="str">
        <f t="shared" si="13"/>
        <v>Max Zheng</v>
      </c>
      <c r="Y7" s="31">
        <v>6</v>
      </c>
      <c r="Z7" s="32" t="str">
        <f t="shared" si="28"/>
        <v>Einar Fokers</v>
      </c>
      <c r="AA7" s="50">
        <f t="shared" si="14"/>
        <v>3.5</v>
      </c>
      <c r="AB7" s="33">
        <f t="shared" si="15"/>
        <v>5.5</v>
      </c>
      <c r="AC7" s="12">
        <f t="shared" si="16"/>
        <v>8.75</v>
      </c>
      <c r="AD7" s="33">
        <f t="shared" si="3"/>
        <v>16</v>
      </c>
      <c r="AE7" s="34">
        <f t="shared" si="4"/>
        <v>150</v>
      </c>
      <c r="AF7" s="47"/>
      <c r="AG7" s="52">
        <f t="shared" si="17"/>
        <v>0</v>
      </c>
      <c r="AH7" s="53">
        <f t="shared" si="18"/>
        <v>6</v>
      </c>
      <c r="AI7" s="52">
        <f t="shared" si="5"/>
        <v>0</v>
      </c>
      <c r="AJ7" s="53">
        <f t="shared" si="19"/>
        <v>12</v>
      </c>
      <c r="AK7" s="52">
        <f t="shared" si="20"/>
        <v>0</v>
      </c>
      <c r="AL7" s="47">
        <f t="shared" si="21"/>
        <v>24</v>
      </c>
      <c r="AM7" s="47"/>
      <c r="AN7" s="47">
        <f t="shared" si="22"/>
        <v>1</v>
      </c>
      <c r="AO7" s="47">
        <f t="shared" si="23"/>
        <v>2</v>
      </c>
      <c r="AP7" s="47">
        <f t="shared" si="24"/>
        <v>10</v>
      </c>
      <c r="AQ7" s="47">
        <f t="shared" si="25"/>
        <v>7</v>
      </c>
      <c r="AR7" s="47"/>
      <c r="AS7" s="47"/>
      <c r="AT7" s="47"/>
      <c r="AU7" s="47"/>
      <c r="AV7" s="47"/>
      <c r="AW7" s="29"/>
      <c r="AX7" s="35">
        <v>4</v>
      </c>
      <c r="AY7" s="36">
        <f t="shared" si="6"/>
        <v>11</v>
      </c>
      <c r="AZ7" s="37">
        <f t="shared" si="7"/>
        <v>0</v>
      </c>
      <c r="BA7" s="37">
        <f t="shared" si="26"/>
        <v>17</v>
      </c>
      <c r="BC7" s="6">
        <v>4</v>
      </c>
      <c r="BD7" s="6">
        <f t="shared" si="8"/>
        <v>1</v>
      </c>
      <c r="BE7" s="6">
        <f t="shared" si="8"/>
        <v>1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1</v>
      </c>
      <c r="BP7" s="6">
        <f t="shared" si="9"/>
        <v>2</v>
      </c>
      <c r="BQ7" s="6">
        <f t="shared" si="9"/>
        <v>2</v>
      </c>
      <c r="BR7" s="6">
        <f t="shared" si="9"/>
        <v>2</v>
      </c>
      <c r="BS7" s="6">
        <f t="shared" si="9"/>
        <v>2</v>
      </c>
      <c r="BT7" s="6">
        <f t="shared" si="9"/>
        <v>2</v>
      </c>
      <c r="BU7" s="6">
        <f t="shared" si="9"/>
        <v>2</v>
      </c>
      <c r="BV7" s="6">
        <f t="shared" si="9"/>
        <v>2</v>
      </c>
      <c r="BW7" s="6">
        <f t="shared" si="9"/>
        <v>2</v>
      </c>
    </row>
    <row r="8" spans="1:75" x14ac:dyDescent="0.25">
      <c r="A8" s="24">
        <f t="shared" si="10"/>
        <v>4</v>
      </c>
      <c r="B8" s="25">
        <v>5</v>
      </c>
      <c r="C8" s="25" t="s">
        <v>112</v>
      </c>
      <c r="D8" s="58">
        <v>8783280</v>
      </c>
      <c r="E8" s="58"/>
      <c r="F8" s="25">
        <v>150</v>
      </c>
      <c r="H8" s="27">
        <f t="shared" si="0"/>
        <v>1</v>
      </c>
      <c r="I8" s="27">
        <f t="shared" si="0"/>
        <v>0</v>
      </c>
      <c r="J8" s="27">
        <f t="shared" si="0"/>
        <v>0</v>
      </c>
      <c r="K8" s="27">
        <f t="shared" si="0"/>
        <v>0</v>
      </c>
      <c r="L8" s="26" t="str">
        <f t="shared" si="0"/>
        <v/>
      </c>
      <c r="M8" s="27">
        <f t="shared" si="0"/>
        <v>0.5</v>
      </c>
      <c r="N8" s="27">
        <f t="shared" si="0"/>
        <v>1</v>
      </c>
      <c r="O8" s="27">
        <f t="shared" si="0"/>
        <v>1</v>
      </c>
      <c r="P8" s="28"/>
      <c r="Q8" s="46"/>
      <c r="R8" s="49">
        <f t="shared" si="1"/>
        <v>3.5</v>
      </c>
      <c r="S8" s="8">
        <f t="shared" si="11"/>
        <v>8.75</v>
      </c>
      <c r="T8" s="8">
        <f t="shared" si="12"/>
        <v>4</v>
      </c>
      <c r="U8" s="14"/>
      <c r="V8" s="29"/>
      <c r="W8" s="30">
        <v>5</v>
      </c>
      <c r="X8" s="30" t="str">
        <f t="shared" si="13"/>
        <v>Einar Fokers</v>
      </c>
      <c r="Y8" s="31">
        <v>3</v>
      </c>
      <c r="Z8" s="32" t="str">
        <f t="shared" si="28"/>
        <v>Kailas Bense</v>
      </c>
      <c r="AA8" s="50">
        <f t="shared" si="14"/>
        <v>3.5</v>
      </c>
      <c r="AB8" s="33">
        <f t="shared" si="15"/>
        <v>20</v>
      </c>
      <c r="AC8" s="12">
        <f t="shared" si="16"/>
        <v>5.75</v>
      </c>
      <c r="AD8" s="33">
        <f t="shared" si="3"/>
        <v>38</v>
      </c>
      <c r="AE8" s="34">
        <f t="shared" si="4"/>
        <v>132</v>
      </c>
      <c r="AF8" s="47"/>
      <c r="AG8" s="52">
        <f t="shared" si="17"/>
        <v>0.5</v>
      </c>
      <c r="AH8" s="53">
        <f t="shared" si="18"/>
        <v>11</v>
      </c>
      <c r="AI8" s="52">
        <f t="shared" si="5"/>
        <v>0.5</v>
      </c>
      <c r="AJ8" s="53">
        <f t="shared" si="19"/>
        <v>22.5</v>
      </c>
      <c r="AK8" s="52">
        <f t="shared" si="20"/>
        <v>0.5</v>
      </c>
      <c r="AL8" s="47">
        <f t="shared" si="21"/>
        <v>45.5</v>
      </c>
      <c r="AM8" s="47"/>
      <c r="AN8" s="47">
        <f t="shared" si="22"/>
        <v>3</v>
      </c>
      <c r="AO8" s="47">
        <f t="shared" si="23"/>
        <v>4</v>
      </c>
      <c r="AP8" s="47">
        <f t="shared" si="24"/>
        <v>28</v>
      </c>
      <c r="AQ8" s="47">
        <f t="shared" si="25"/>
        <v>4</v>
      </c>
      <c r="AR8" s="47"/>
      <c r="AS8" s="7"/>
      <c r="AT8" s="47"/>
      <c r="AU8" s="47"/>
      <c r="AV8" s="47"/>
      <c r="AW8" s="29"/>
      <c r="AX8" s="35">
        <v>5</v>
      </c>
      <c r="AY8" s="36">
        <f t="shared" si="6"/>
        <v>5.5</v>
      </c>
      <c r="AZ8" s="37">
        <f t="shared" si="7"/>
        <v>5</v>
      </c>
      <c r="BA8" s="37">
        <f t="shared" si="26"/>
        <v>16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1</v>
      </c>
      <c r="BH8" s="6">
        <f t="shared" si="8"/>
        <v>1</v>
      </c>
      <c r="BI8" s="6">
        <f t="shared" si="8"/>
        <v>0.5</v>
      </c>
      <c r="BJ8" s="6">
        <f t="shared" si="8"/>
        <v>1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1</v>
      </c>
      <c r="BS8" s="6">
        <f t="shared" si="9"/>
        <v>2</v>
      </c>
      <c r="BT8" s="6">
        <f t="shared" si="9"/>
        <v>2.5</v>
      </c>
      <c r="BU8" s="6">
        <f t="shared" si="9"/>
        <v>3.5</v>
      </c>
      <c r="BV8" s="6">
        <f t="shared" si="9"/>
        <v>3.5</v>
      </c>
      <c r="BW8" s="6">
        <f t="shared" si="9"/>
        <v>3.5</v>
      </c>
    </row>
    <row r="9" spans="1:75" x14ac:dyDescent="0.25">
      <c r="A9" s="24">
        <f t="shared" si="10"/>
        <v>5</v>
      </c>
      <c r="B9" s="25">
        <v>6</v>
      </c>
      <c r="C9" s="25" t="s">
        <v>113</v>
      </c>
      <c r="D9" s="58">
        <v>8809757</v>
      </c>
      <c r="E9" s="58"/>
      <c r="F9" s="25">
        <v>150</v>
      </c>
      <c r="H9" s="27">
        <f t="shared" si="0"/>
        <v>0</v>
      </c>
      <c r="I9" s="27">
        <f t="shared" si="0"/>
        <v>0</v>
      </c>
      <c r="J9" s="27">
        <f t="shared" si="0"/>
        <v>0</v>
      </c>
      <c r="K9" s="27">
        <f t="shared" si="0"/>
        <v>1</v>
      </c>
      <c r="L9" s="27">
        <f t="shared" si="0"/>
        <v>0.5</v>
      </c>
      <c r="M9" s="26" t="str">
        <f t="shared" si="0"/>
        <v/>
      </c>
      <c r="N9" s="27">
        <f t="shared" si="0"/>
        <v>1</v>
      </c>
      <c r="O9" s="27">
        <f t="shared" si="0"/>
        <v>1</v>
      </c>
      <c r="P9" s="28"/>
      <c r="Q9" s="46"/>
      <c r="R9" s="49">
        <f t="shared" si="1"/>
        <v>3.5</v>
      </c>
      <c r="S9" s="8">
        <f t="shared" si="11"/>
        <v>5.75</v>
      </c>
      <c r="T9" s="8">
        <f t="shared" si="12"/>
        <v>5</v>
      </c>
      <c r="U9" s="14"/>
      <c r="V9" s="29"/>
      <c r="W9" s="30">
        <v>6</v>
      </c>
      <c r="X9" s="30" t="str">
        <f t="shared" si="13"/>
        <v>Kailas Bense</v>
      </c>
      <c r="Y9" s="31">
        <v>5</v>
      </c>
      <c r="Z9" s="32" t="str">
        <f t="shared" si="28"/>
        <v>David de Koeijer</v>
      </c>
      <c r="AA9" s="50">
        <f t="shared" si="14"/>
        <v>2</v>
      </c>
      <c r="AB9" s="33">
        <f t="shared" si="15"/>
        <v>5.5</v>
      </c>
      <c r="AC9" s="12">
        <f t="shared" si="16"/>
        <v>2</v>
      </c>
      <c r="AD9" s="33">
        <f t="shared" si="3"/>
        <v>16</v>
      </c>
      <c r="AE9" s="34">
        <f t="shared" si="4"/>
        <v>150</v>
      </c>
      <c r="AF9" s="47"/>
      <c r="AG9" s="52">
        <f t="shared" si="17"/>
        <v>0.5</v>
      </c>
      <c r="AH9" s="53">
        <f t="shared" si="18"/>
        <v>11</v>
      </c>
      <c r="AI9" s="52">
        <f t="shared" si="5"/>
        <v>0.5</v>
      </c>
      <c r="AJ9" s="53">
        <f t="shared" si="19"/>
        <v>22.5</v>
      </c>
      <c r="AK9" s="52">
        <f t="shared" si="20"/>
        <v>0.5</v>
      </c>
      <c r="AL9" s="47">
        <f t="shared" si="21"/>
        <v>45.5</v>
      </c>
      <c r="AM9" s="47"/>
      <c r="AN9" s="47">
        <f t="shared" si="22"/>
        <v>3</v>
      </c>
      <c r="AO9" s="47">
        <f t="shared" si="23"/>
        <v>3</v>
      </c>
      <c r="AP9" s="47">
        <f t="shared" si="24"/>
        <v>27</v>
      </c>
      <c r="AQ9" s="47">
        <f t="shared" si="25"/>
        <v>5</v>
      </c>
      <c r="AR9" s="47"/>
      <c r="AS9" s="47"/>
      <c r="AT9" s="47"/>
      <c r="AU9" s="47"/>
      <c r="AV9" s="47"/>
      <c r="AW9" s="29"/>
      <c r="AX9" s="35">
        <v>6</v>
      </c>
      <c r="AY9" s="36">
        <f t="shared" si="6"/>
        <v>5.5</v>
      </c>
      <c r="AZ9" s="37">
        <f t="shared" si="7"/>
        <v>4</v>
      </c>
      <c r="BA9" s="37">
        <f t="shared" si="26"/>
        <v>16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1</v>
      </c>
      <c r="BH9" s="6">
        <f t="shared" si="8"/>
        <v>1</v>
      </c>
      <c r="BI9" s="6">
        <f t="shared" si="8"/>
        <v>0.5</v>
      </c>
      <c r="BJ9" s="6">
        <f t="shared" si="8"/>
        <v>1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1</v>
      </c>
      <c r="BS9" s="6">
        <f t="shared" si="9"/>
        <v>2</v>
      </c>
      <c r="BT9" s="6">
        <f t="shared" si="9"/>
        <v>2.5</v>
      </c>
      <c r="BU9" s="6">
        <f t="shared" si="9"/>
        <v>3.5</v>
      </c>
      <c r="BV9" s="6">
        <f t="shared" si="9"/>
        <v>3.5</v>
      </c>
      <c r="BW9" s="6">
        <f t="shared" si="9"/>
        <v>3.5</v>
      </c>
    </row>
    <row r="10" spans="1:75" x14ac:dyDescent="0.25">
      <c r="A10" s="24">
        <f t="shared" si="10"/>
        <v>6</v>
      </c>
      <c r="B10" s="25">
        <v>7</v>
      </c>
      <c r="C10" s="25" t="s">
        <v>114</v>
      </c>
      <c r="D10" s="58">
        <v>8809735</v>
      </c>
      <c r="E10" s="58"/>
      <c r="F10" s="25">
        <v>150</v>
      </c>
      <c r="H10" s="27">
        <f t="shared" si="0"/>
        <v>0</v>
      </c>
      <c r="I10" s="27">
        <f t="shared" si="0"/>
        <v>0</v>
      </c>
      <c r="J10" s="27">
        <f t="shared" si="0"/>
        <v>0</v>
      </c>
      <c r="K10" s="27">
        <f t="shared" si="0"/>
        <v>1</v>
      </c>
      <c r="L10" s="27">
        <f t="shared" si="0"/>
        <v>0</v>
      </c>
      <c r="M10" s="27">
        <f t="shared" si="0"/>
        <v>0</v>
      </c>
      <c r="N10" s="26" t="str">
        <f t="shared" si="0"/>
        <v/>
      </c>
      <c r="O10" s="27">
        <f t="shared" si="0"/>
        <v>1</v>
      </c>
      <c r="P10" s="28"/>
      <c r="Q10" s="46"/>
      <c r="R10" s="49">
        <f t="shared" si="1"/>
        <v>2</v>
      </c>
      <c r="S10" s="8">
        <f t="shared" si="11"/>
        <v>2</v>
      </c>
      <c r="T10" s="8">
        <f t="shared" si="12"/>
        <v>6</v>
      </c>
      <c r="U10" s="14"/>
      <c r="V10" s="29"/>
      <c r="W10" s="30">
        <v>7</v>
      </c>
      <c r="X10" s="30" t="str">
        <f t="shared" si="13"/>
        <v>David de Koeijer</v>
      </c>
      <c r="Y10" s="31">
        <v>4</v>
      </c>
      <c r="Z10" s="32" t="str">
        <f t="shared" si="28"/>
        <v>Max Zheng</v>
      </c>
      <c r="AA10" s="50">
        <f t="shared" si="14"/>
        <v>2</v>
      </c>
      <c r="AB10" s="33">
        <f t="shared" si="15"/>
        <v>11</v>
      </c>
      <c r="AC10" s="12">
        <f t="shared" si="16"/>
        <v>3.5</v>
      </c>
      <c r="AD10" s="33">
        <f t="shared" si="3"/>
        <v>17</v>
      </c>
      <c r="AE10" s="34">
        <f t="shared" si="4"/>
        <v>100</v>
      </c>
      <c r="AF10" s="47"/>
      <c r="AG10" s="52">
        <f t="shared" si="17"/>
        <v>1</v>
      </c>
      <c r="AH10" s="53">
        <f t="shared" si="18"/>
        <v>7</v>
      </c>
      <c r="AI10" s="52">
        <f t="shared" si="5"/>
        <v>0</v>
      </c>
      <c r="AJ10" s="53">
        <f t="shared" si="19"/>
        <v>14</v>
      </c>
      <c r="AK10" s="52">
        <f t="shared" si="20"/>
        <v>0</v>
      </c>
      <c r="AL10" s="47">
        <f t="shared" si="21"/>
        <v>28</v>
      </c>
      <c r="AM10" s="47"/>
      <c r="AN10" s="47">
        <f t="shared" si="22"/>
        <v>2</v>
      </c>
      <c r="AO10" s="47">
        <f t="shared" si="23"/>
        <v>1</v>
      </c>
      <c r="AP10" s="47">
        <f t="shared" si="24"/>
        <v>17</v>
      </c>
      <c r="AQ10" s="47">
        <f t="shared" si="25"/>
        <v>6</v>
      </c>
      <c r="AR10" s="47"/>
      <c r="AS10" s="47"/>
      <c r="AT10" s="47"/>
      <c r="AU10" s="47"/>
      <c r="AV10" s="47"/>
      <c r="AW10" s="29"/>
      <c r="AX10" s="35">
        <v>7</v>
      </c>
      <c r="AY10" s="36">
        <f t="shared" si="6"/>
        <v>5</v>
      </c>
      <c r="AZ10" s="37">
        <f t="shared" si="7"/>
        <v>2</v>
      </c>
      <c r="BA10" s="37">
        <f t="shared" si="26"/>
        <v>11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1</v>
      </c>
      <c r="BG10" s="6">
        <f t="shared" si="8"/>
        <v>0</v>
      </c>
      <c r="BH10" s="6">
        <f t="shared" si="8"/>
        <v>0</v>
      </c>
      <c r="BI10" s="6">
        <f t="shared" si="8"/>
        <v>1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1</v>
      </c>
      <c r="BR10" s="6">
        <f t="shared" si="9"/>
        <v>1</v>
      </c>
      <c r="BS10" s="6">
        <f t="shared" si="9"/>
        <v>1</v>
      </c>
      <c r="BT10" s="6">
        <f t="shared" si="9"/>
        <v>2</v>
      </c>
      <c r="BU10" s="6">
        <f t="shared" si="9"/>
        <v>2</v>
      </c>
      <c r="BV10" s="6">
        <f t="shared" si="9"/>
        <v>2</v>
      </c>
      <c r="BW10" s="6">
        <f t="shared" si="9"/>
        <v>2</v>
      </c>
    </row>
    <row r="11" spans="1:75" x14ac:dyDescent="0.25">
      <c r="A11" s="24">
        <f t="shared" si="10"/>
        <v>8</v>
      </c>
      <c r="B11" s="25">
        <v>8</v>
      </c>
      <c r="C11" s="25" t="s">
        <v>89</v>
      </c>
      <c r="D11" s="58">
        <v>0</v>
      </c>
      <c r="E11" s="58"/>
      <c r="F11" s="25">
        <v>-1</v>
      </c>
      <c r="H11" s="27">
        <f t="shared" si="0"/>
        <v>0</v>
      </c>
      <c r="I11" s="27">
        <f t="shared" si="0"/>
        <v>0</v>
      </c>
      <c r="J11" s="27">
        <f t="shared" si="0"/>
        <v>0</v>
      </c>
      <c r="K11" s="27">
        <f t="shared" si="0"/>
        <v>0</v>
      </c>
      <c r="L11" s="27">
        <f t="shared" si="0"/>
        <v>0</v>
      </c>
      <c r="M11" s="27">
        <f t="shared" si="0"/>
        <v>0</v>
      </c>
      <c r="N11" s="27">
        <f t="shared" si="0"/>
        <v>0</v>
      </c>
      <c r="O11" s="26" t="str">
        <f t="shared" si="0"/>
        <v/>
      </c>
      <c r="P11" s="28"/>
      <c r="Q11" s="46"/>
      <c r="R11" s="49">
        <f t="shared" si="1"/>
        <v>0</v>
      </c>
      <c r="S11" s="8">
        <f t="shared" si="11"/>
        <v>0</v>
      </c>
      <c r="T11" s="8">
        <f t="shared" si="12"/>
        <v>8</v>
      </c>
      <c r="U11" s="14"/>
      <c r="V11" s="29"/>
      <c r="W11" s="30">
        <v>8</v>
      </c>
      <c r="X11" s="30" t="str">
        <f t="shared" si="13"/>
        <v>Bye</v>
      </c>
      <c r="Y11" s="31">
        <v>8</v>
      </c>
      <c r="Z11" s="32" t="str">
        <f t="shared" si="28"/>
        <v>Bye</v>
      </c>
      <c r="AA11" s="50">
        <f t="shared" si="14"/>
        <v>0</v>
      </c>
      <c r="AB11" s="33">
        <f t="shared" si="15"/>
        <v>0</v>
      </c>
      <c r="AC11" s="12">
        <f t="shared" si="16"/>
        <v>0</v>
      </c>
      <c r="AD11" s="33">
        <f t="shared" si="3"/>
        <v>0</v>
      </c>
      <c r="AE11" s="34">
        <f t="shared" si="4"/>
        <v>-1</v>
      </c>
      <c r="AF11" s="47"/>
      <c r="AG11" s="52">
        <f t="shared" si="17"/>
        <v>0</v>
      </c>
      <c r="AH11" s="53">
        <f t="shared" si="18"/>
        <v>0</v>
      </c>
      <c r="AI11" s="52">
        <f t="shared" si="5"/>
        <v>0</v>
      </c>
      <c r="AJ11" s="53">
        <f t="shared" si="19"/>
        <v>0</v>
      </c>
      <c r="AK11" s="52">
        <f t="shared" si="20"/>
        <v>0</v>
      </c>
      <c r="AL11" s="47">
        <f t="shared" si="21"/>
        <v>0</v>
      </c>
      <c r="AM11" s="47"/>
      <c r="AN11" s="47">
        <f t="shared" si="22"/>
        <v>0</v>
      </c>
      <c r="AO11" s="47">
        <f t="shared" si="23"/>
        <v>0</v>
      </c>
      <c r="AP11" s="47">
        <f t="shared" si="24"/>
        <v>0</v>
      </c>
      <c r="AQ11" s="47">
        <f t="shared" si="25"/>
        <v>8</v>
      </c>
      <c r="AR11" s="47"/>
      <c r="AS11" s="47"/>
      <c r="AT11" s="47"/>
      <c r="AU11" s="47"/>
      <c r="AV11" s="47"/>
      <c r="AW11" s="29"/>
      <c r="AX11" s="35">
        <v>8</v>
      </c>
      <c r="AY11" s="36">
        <f t="shared" si="6"/>
        <v>0</v>
      </c>
      <c r="AZ11" s="37">
        <f t="shared" si="7"/>
        <v>0</v>
      </c>
      <c r="BA11" s="37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2">
        <f t="shared" si="28"/>
        <v>0</v>
      </c>
      <c r="AA12" s="51" t="e">
        <f t="shared" ref="AA12" si="29">VLOOKUP($B12,$A$4:$T$11,18,FALSE)</f>
        <v>#N/A</v>
      </c>
      <c r="AH12" s="54"/>
      <c r="AK12" s="52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47">
        <f t="shared" si="23"/>
        <v>0</v>
      </c>
      <c r="AP12" s="47">
        <f t="shared" si="24"/>
        <v>0</v>
      </c>
      <c r="AQ12" s="47">
        <f>RANK(AP13,$AP$4:$AP$11,1)</f>
        <v>1</v>
      </c>
    </row>
    <row r="13" spans="1:75" x14ac:dyDescent="0.25">
      <c r="AG13" s="48">
        <f>2*MAX(AG4:AG11)+1</f>
        <v>3</v>
      </c>
      <c r="AH13" s="54"/>
      <c r="AI13" s="48">
        <f>2*MAX(AI4:AI11)+1</f>
        <v>2</v>
      </c>
      <c r="AK13" s="48">
        <f>2*MAX(AK4:AK11)+1</f>
        <v>2</v>
      </c>
      <c r="AX13" s="38" t="s">
        <v>36</v>
      </c>
      <c r="AY13" s="38" t="s">
        <v>0</v>
      </c>
      <c r="AZ13" s="38" t="s">
        <v>1</v>
      </c>
      <c r="BA13" s="38" t="s">
        <v>2</v>
      </c>
      <c r="BC13" s="39" t="s">
        <v>34</v>
      </c>
      <c r="BD13" s="39" t="s">
        <v>35</v>
      </c>
      <c r="BE13" s="6" t="s">
        <v>16</v>
      </c>
      <c r="BF13" s="6" t="s">
        <v>17</v>
      </c>
      <c r="BG13" s="6" t="s">
        <v>18</v>
      </c>
      <c r="BH13" s="6" t="s">
        <v>19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0"/>
      <c r="BD14" s="40"/>
      <c r="BE14" s="41"/>
      <c r="BF14" s="41"/>
      <c r="BG14" s="41"/>
      <c r="BH14" s="41"/>
    </row>
    <row r="15" spans="1:75" x14ac:dyDescent="0.25">
      <c r="B15" s="42" t="s">
        <v>3</v>
      </c>
      <c r="BC15" s="39"/>
      <c r="BD15" s="39"/>
    </row>
    <row r="16" spans="1:75" x14ac:dyDescent="0.25">
      <c r="B16" s="6">
        <v>1</v>
      </c>
      <c r="C16" s="6" t="str">
        <f>VLOOKUP(AY16,$B$4:$F$11,2,FALSE)</f>
        <v>Bye</v>
      </c>
      <c r="D16" s="43" t="s">
        <v>5</v>
      </c>
      <c r="E16" s="57" t="str">
        <f>VLOOKUP(AZ16,$B$4:$F$11,2,FALSE)</f>
        <v>Istar Snijders</v>
      </c>
      <c r="F16" s="57"/>
      <c r="G16" s="57"/>
      <c r="H16" s="57"/>
      <c r="J16" s="57">
        <f>IF(T16="","",VLOOKUP(T16,Configuratie!$B$1:$E$10,3,FALSE))</f>
        <v>0</v>
      </c>
      <c r="K16" s="57"/>
      <c r="L16" s="6" t="s">
        <v>5</v>
      </c>
      <c r="M16" s="57">
        <f>IF(T16="","",VLOOKUP(T16,Configuratie!$B$1:$E$10,4,FALSE))</f>
        <v>1</v>
      </c>
      <c r="N16" s="57"/>
      <c r="R16" s="6" t="str">
        <f>IF(T16="","",VLOOKUP(T16,Configuratie!$B$1:$E$10,2,FALSE))</f>
        <v>0-1</v>
      </c>
      <c r="T16" s="5">
        <v>0</v>
      </c>
      <c r="AX16" s="6">
        <v>1</v>
      </c>
      <c r="AY16" s="6">
        <v>8</v>
      </c>
      <c r="AZ16" s="6">
        <v>1</v>
      </c>
      <c r="BA16" s="6">
        <f>IF(AND(ISNUMBER(J16),ISNUMBER(M16)),IF(J16+M16=1,1,0),"")</f>
        <v>1</v>
      </c>
      <c r="BC16" s="44">
        <f>AY16*100+AZ16</f>
        <v>801</v>
      </c>
      <c r="BD16" s="44">
        <f>AZ16*100+AY16</f>
        <v>108</v>
      </c>
      <c r="BE16" s="6">
        <v>0</v>
      </c>
      <c r="BF16" s="6">
        <v>0</v>
      </c>
      <c r="BG16" s="6">
        <f>J16*BF16</f>
        <v>0</v>
      </c>
      <c r="BH16" s="6">
        <f>M16*BE16</f>
        <v>0</v>
      </c>
    </row>
    <row r="17" spans="2:60" x14ac:dyDescent="0.25">
      <c r="B17" s="6">
        <v>2</v>
      </c>
      <c r="C17" s="6" t="str">
        <f t="shared" ref="C17:C19" si="30">VLOOKUP(AY17,$B$4:$F$11,2,FALSE)</f>
        <v>David de Koeijer</v>
      </c>
      <c r="D17" s="43" t="s">
        <v>5</v>
      </c>
      <c r="E17" s="57" t="str">
        <f t="shared" ref="E17:E19" si="31">VLOOKUP(AZ17,$B$4:$F$11,2,FALSE)</f>
        <v>Teun Zaalmink</v>
      </c>
      <c r="F17" s="57"/>
      <c r="G17" s="57"/>
      <c r="H17" s="57"/>
      <c r="J17" s="57">
        <f>IF(T17="","",VLOOKUP(T17,Configuratie!$B$1:$E$10,3,FALSE))</f>
        <v>0</v>
      </c>
      <c r="K17" s="57"/>
      <c r="L17" s="6" t="s">
        <v>5</v>
      </c>
      <c r="M17" s="57">
        <f>IF(T17="","",VLOOKUP(T17,Configuratie!$B$1:$E$10,4,FALSE))</f>
        <v>1</v>
      </c>
      <c r="N17" s="57"/>
      <c r="R17" s="6" t="str">
        <f>IF(T17="","",VLOOKUP(T17,Configuratie!$B$1:$E$10,2,FALSE))</f>
        <v>0-1</v>
      </c>
      <c r="T17" s="5">
        <v>0</v>
      </c>
      <c r="AX17" s="6">
        <v>1</v>
      </c>
      <c r="AY17" s="6">
        <v>7</v>
      </c>
      <c r="AZ17" s="6">
        <v>2</v>
      </c>
      <c r="BA17" s="6">
        <f>IF(AND(ISNUMBER(J17),ISNUMBER(M17)),IF(J17+M17=1,1,0),"")</f>
        <v>1</v>
      </c>
      <c r="BC17" s="44">
        <f>AY17*100+AZ17</f>
        <v>702</v>
      </c>
      <c r="BD17" s="44">
        <f>AZ17*100+AY17</f>
        <v>207</v>
      </c>
      <c r="BE17" s="6">
        <v>0</v>
      </c>
      <c r="BF17" s="6">
        <v>0</v>
      </c>
      <c r="BG17" s="6">
        <f>J17*BF17</f>
        <v>0</v>
      </c>
      <c r="BH17" s="6">
        <f>M17*BE17</f>
        <v>0</v>
      </c>
    </row>
    <row r="18" spans="2:60" x14ac:dyDescent="0.25">
      <c r="B18" s="6">
        <v>3</v>
      </c>
      <c r="C18" s="6" t="str">
        <f t="shared" si="30"/>
        <v>Kailas Bense</v>
      </c>
      <c r="D18" s="43" t="s">
        <v>5</v>
      </c>
      <c r="E18" s="57" t="str">
        <f t="shared" si="31"/>
        <v>Quintus Keij</v>
      </c>
      <c r="F18" s="57"/>
      <c r="G18" s="57"/>
      <c r="H18" s="57"/>
      <c r="J18" s="57">
        <f>IF(T18="","",VLOOKUP(T18,Configuratie!$B$1:$E$10,3,FALSE))</f>
        <v>0</v>
      </c>
      <c r="K18" s="57"/>
      <c r="L18" s="6" t="s">
        <v>5</v>
      </c>
      <c r="M18" s="57">
        <f>IF(T18="","",VLOOKUP(T18,Configuratie!$B$1:$E$10,4,FALSE))</f>
        <v>1</v>
      </c>
      <c r="N18" s="57"/>
      <c r="R18" s="6" t="str">
        <f>IF(T18="","",VLOOKUP(T18,Configuratie!$B$1:$E$10,2,FALSE))</f>
        <v>0-1</v>
      </c>
      <c r="T18" s="5">
        <v>0</v>
      </c>
      <c r="AX18" s="6">
        <v>1</v>
      </c>
      <c r="AY18" s="6">
        <v>6</v>
      </c>
      <c r="AZ18" s="6">
        <v>3</v>
      </c>
      <c r="BA18" s="6">
        <f>IF(AND(ISNUMBER(J18),ISNUMBER(M18)),IF(J18+M18=1,1,0),"")</f>
        <v>1</v>
      </c>
      <c r="BC18" s="44">
        <f>AY18*100+AZ18</f>
        <v>603</v>
      </c>
      <c r="BD18" s="44">
        <f>AZ18*100+AY18</f>
        <v>306</v>
      </c>
      <c r="BE18" s="6">
        <v>0</v>
      </c>
      <c r="BF18" s="6">
        <v>0</v>
      </c>
      <c r="BG18" s="6">
        <f>J18*BF18</f>
        <v>0</v>
      </c>
      <c r="BH18" s="6">
        <f>M18*BE18</f>
        <v>0</v>
      </c>
    </row>
    <row r="19" spans="2:60" x14ac:dyDescent="0.25">
      <c r="B19" s="6">
        <v>4</v>
      </c>
      <c r="C19" s="6" t="str">
        <f t="shared" si="30"/>
        <v>Einar Fokers</v>
      </c>
      <c r="D19" s="43" t="s">
        <v>5</v>
      </c>
      <c r="E19" s="57" t="str">
        <f t="shared" si="31"/>
        <v>Max Zheng</v>
      </c>
      <c r="F19" s="57"/>
      <c r="G19" s="57"/>
      <c r="H19" s="57"/>
      <c r="J19" s="57">
        <f>IF(T19="","",VLOOKUP(T19,Configuratie!$B$1:$E$10,3,FALSE))</f>
        <v>0</v>
      </c>
      <c r="K19" s="57"/>
      <c r="L19" s="6" t="s">
        <v>5</v>
      </c>
      <c r="M19" s="57">
        <f>IF(T19="","",VLOOKUP(T19,Configuratie!$B$1:$E$10,4,FALSE))</f>
        <v>1</v>
      </c>
      <c r="N19" s="57"/>
      <c r="R19" s="6" t="str">
        <f>IF(T19="","",VLOOKUP(T19,Configuratie!$B$1:$E$10,2,FALSE))</f>
        <v>0-1</v>
      </c>
      <c r="T19" s="5">
        <v>0</v>
      </c>
      <c r="AX19" s="6">
        <v>1</v>
      </c>
      <c r="AY19" s="6">
        <v>5</v>
      </c>
      <c r="AZ19" s="6">
        <v>4</v>
      </c>
      <c r="BA19" s="6">
        <f>IF(AND(ISNUMBER(J19),ISNUMBER(M19)),IF(J19+M19=1,1,0),"")</f>
        <v>1</v>
      </c>
      <c r="BC19" s="44">
        <f>AY19*100+AZ19</f>
        <v>504</v>
      </c>
      <c r="BD19" s="44">
        <f>AZ19*100+AY19</f>
        <v>405</v>
      </c>
      <c r="BE19" s="6">
        <v>0</v>
      </c>
      <c r="BF19" s="6">
        <v>0</v>
      </c>
      <c r="BG19" s="6">
        <f>J19*BF19</f>
        <v>0</v>
      </c>
      <c r="BH19" s="6">
        <f>M19*BE19</f>
        <v>0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39"/>
      <c r="BD20" s="39"/>
    </row>
    <row r="21" spans="2:60" x14ac:dyDescent="0.25">
      <c r="B21" s="42" t="s">
        <v>9</v>
      </c>
      <c r="BC21" s="39"/>
      <c r="BD21" s="39"/>
    </row>
    <row r="22" spans="2:60" x14ac:dyDescent="0.25">
      <c r="B22" s="6">
        <v>1</v>
      </c>
      <c r="C22" s="6" t="str">
        <f>VLOOKUP(AY22,$B$4:$F$11,2,FALSE)</f>
        <v>Bye</v>
      </c>
      <c r="D22" s="43" t="s">
        <v>5</v>
      </c>
      <c r="E22" s="57" t="str">
        <f>VLOOKUP(AZ22,$B$4:$F$11,2,FALSE)</f>
        <v>Max Zheng</v>
      </c>
      <c r="F22" s="57"/>
      <c r="G22" s="57"/>
      <c r="H22" s="57"/>
      <c r="J22" s="57">
        <f>IF(T22="","",VLOOKUP(T22,Configuratie!$B$1:$E$10,3,FALSE))</f>
        <v>0</v>
      </c>
      <c r="K22" s="57"/>
      <c r="L22" s="6" t="s">
        <v>5</v>
      </c>
      <c r="M22" s="57">
        <f>IF(T22="","",VLOOKUP(T22,Configuratie!$B$1:$E$10,4,FALSE))</f>
        <v>1</v>
      </c>
      <c r="N22" s="57"/>
      <c r="R22" s="6" t="str">
        <f>IF(T22="","",VLOOKUP(T22,Configuratie!$B$1:$E$10,2,FALSE))</f>
        <v>0-1</v>
      </c>
      <c r="T22" s="5">
        <v>0</v>
      </c>
      <c r="AX22" s="6">
        <v>2</v>
      </c>
      <c r="AY22" s="6">
        <v>8</v>
      </c>
      <c r="AZ22" s="6">
        <v>4</v>
      </c>
      <c r="BA22" s="6">
        <f>IF(AND(ISNUMBER(J22),ISNUMBER(M22)),IF(J22+M22=1,1,0),"")</f>
        <v>1</v>
      </c>
      <c r="BC22" s="44">
        <f>AY22*100+AZ22</f>
        <v>804</v>
      </c>
      <c r="BD22" s="44">
        <f>AZ22*100+AY22</f>
        <v>408</v>
      </c>
      <c r="BE22" s="6">
        <f t="shared" ref="BE22:BF25" si="32">VLOOKUP(AY22,$BN$3:$BW$11,$AX22,FALSE)</f>
        <v>0</v>
      </c>
      <c r="BF22" s="6">
        <f t="shared" si="32"/>
        <v>1</v>
      </c>
      <c r="BG22" s="6">
        <f>J22*BF22</f>
        <v>0</v>
      </c>
      <c r="BH22" s="6">
        <f>M22*BE22</f>
        <v>0</v>
      </c>
    </row>
    <row r="23" spans="2:60" x14ac:dyDescent="0.25">
      <c r="B23" s="6">
        <v>2</v>
      </c>
      <c r="C23" s="6" t="str">
        <f>VLOOKUP(AY23,$B$4:$F$11,2,FALSE)</f>
        <v>Quintus Keij</v>
      </c>
      <c r="D23" s="43" t="s">
        <v>5</v>
      </c>
      <c r="E23" s="57" t="str">
        <f t="shared" ref="E23:E25" si="33">VLOOKUP(AZ23,$B$4:$F$11,2,FALSE)</f>
        <v>Einar Fokers</v>
      </c>
      <c r="F23" s="57"/>
      <c r="G23" s="57"/>
      <c r="H23" s="57"/>
      <c r="J23" s="57">
        <f>IF(T23="","",VLOOKUP(T23,Configuratie!$B$1:$E$10,3,FALSE))</f>
        <v>1</v>
      </c>
      <c r="K23" s="57"/>
      <c r="L23" s="6" t="s">
        <v>5</v>
      </c>
      <c r="M23" s="57">
        <f>IF(T23="","",VLOOKUP(T23,Configuratie!$B$1:$E$10,4,FALSE))</f>
        <v>0</v>
      </c>
      <c r="N23" s="57"/>
      <c r="R23" s="6" t="str">
        <f>IF(T23="","",VLOOKUP(T23,Configuratie!$B$1:$E$10,2,FALSE))</f>
        <v>1-0</v>
      </c>
      <c r="T23" s="5">
        <v>1</v>
      </c>
      <c r="AX23" s="6">
        <v>2</v>
      </c>
      <c r="AY23" s="6">
        <v>3</v>
      </c>
      <c r="AZ23" s="6">
        <v>5</v>
      </c>
      <c r="BA23" s="6">
        <f t="shared" ref="BA23:BA25" si="34">IF(AND(ISNUMBER(J23),ISNUMBER(M23)),IF(J23+M23=1,1,0),"")</f>
        <v>1</v>
      </c>
      <c r="BC23" s="44">
        <f>AY23*100+AZ23</f>
        <v>305</v>
      </c>
      <c r="BD23" s="44">
        <f>AZ23*100+AY23</f>
        <v>503</v>
      </c>
      <c r="BE23" s="6">
        <f t="shared" si="32"/>
        <v>1</v>
      </c>
      <c r="BF23" s="6">
        <f t="shared" si="32"/>
        <v>0</v>
      </c>
      <c r="BG23" s="6">
        <f>J23*BF23</f>
        <v>0</v>
      </c>
      <c r="BH23" s="6">
        <f>M23*BE23</f>
        <v>0</v>
      </c>
    </row>
    <row r="24" spans="2:60" x14ac:dyDescent="0.25">
      <c r="B24" s="6">
        <v>3</v>
      </c>
      <c r="C24" s="6" t="str">
        <f>VLOOKUP(AY24,$B$4:$F$11,2,FALSE)</f>
        <v>Teun Zaalmink</v>
      </c>
      <c r="D24" s="43" t="s">
        <v>5</v>
      </c>
      <c r="E24" s="57" t="str">
        <f t="shared" si="33"/>
        <v>Kailas Bense</v>
      </c>
      <c r="F24" s="57"/>
      <c r="G24" s="57"/>
      <c r="H24" s="57"/>
      <c r="J24" s="57">
        <f>IF(T24="","",VLOOKUP(T24,Configuratie!$B$1:$E$10,3,FALSE))</f>
        <v>1</v>
      </c>
      <c r="K24" s="57"/>
      <c r="L24" s="6" t="s">
        <v>5</v>
      </c>
      <c r="M24" s="57">
        <f>IF(T24="","",VLOOKUP(T24,Configuratie!$B$1:$E$10,4,FALSE))</f>
        <v>0</v>
      </c>
      <c r="N24" s="57"/>
      <c r="R24" s="6" t="str">
        <f>IF(T24="","",VLOOKUP(T24,Configuratie!$B$1:$E$10,2,FALSE))</f>
        <v>1-0</v>
      </c>
      <c r="T24" s="5">
        <v>1</v>
      </c>
      <c r="AX24" s="6">
        <v>2</v>
      </c>
      <c r="AY24" s="6">
        <v>2</v>
      </c>
      <c r="AZ24" s="6">
        <v>6</v>
      </c>
      <c r="BA24" s="6">
        <f t="shared" si="34"/>
        <v>1</v>
      </c>
      <c r="BC24" s="44">
        <f>AY24*100+AZ24</f>
        <v>206</v>
      </c>
      <c r="BD24" s="44">
        <f>AZ24*100+AY24</f>
        <v>602</v>
      </c>
      <c r="BE24" s="6">
        <f t="shared" si="32"/>
        <v>1</v>
      </c>
      <c r="BF24" s="6">
        <f t="shared" si="32"/>
        <v>0</v>
      </c>
      <c r="BG24" s="6">
        <f>J24*BF24</f>
        <v>0</v>
      </c>
      <c r="BH24" s="6">
        <f>M24*BE24</f>
        <v>0</v>
      </c>
    </row>
    <row r="25" spans="2:60" x14ac:dyDescent="0.25">
      <c r="B25" s="6">
        <v>4</v>
      </c>
      <c r="C25" s="6" t="str">
        <f>VLOOKUP(AY25,$B$4:$F$11,2,FALSE)</f>
        <v>Istar Snijders</v>
      </c>
      <c r="D25" s="43" t="s">
        <v>5</v>
      </c>
      <c r="E25" s="57" t="str">
        <f t="shared" si="33"/>
        <v>David de Koeijer</v>
      </c>
      <c r="F25" s="57"/>
      <c r="G25" s="57"/>
      <c r="H25" s="57"/>
      <c r="J25" s="57">
        <f>IF(T25="","",VLOOKUP(T25,Configuratie!$B$1:$E$10,3,FALSE))</f>
        <v>1</v>
      </c>
      <c r="K25" s="57"/>
      <c r="L25" s="6" t="s">
        <v>5</v>
      </c>
      <c r="M25" s="57">
        <f>IF(T25="","",VLOOKUP(T25,Configuratie!$B$1:$E$10,4,FALSE))</f>
        <v>0</v>
      </c>
      <c r="N25" s="57"/>
      <c r="R25" s="6" t="str">
        <f>IF(T25="","",VLOOKUP(T25,Configuratie!$B$1:$E$10,2,FALSE))</f>
        <v>1-0</v>
      </c>
      <c r="T25" s="5">
        <v>1</v>
      </c>
      <c r="AX25" s="6">
        <v>2</v>
      </c>
      <c r="AY25" s="6">
        <v>1</v>
      </c>
      <c r="AZ25" s="6">
        <v>7</v>
      </c>
      <c r="BA25" s="6">
        <f t="shared" si="34"/>
        <v>1</v>
      </c>
      <c r="BC25" s="44">
        <f>AY25*100+AZ25</f>
        <v>107</v>
      </c>
      <c r="BD25" s="44">
        <f>AZ25*100+AY25</f>
        <v>701</v>
      </c>
      <c r="BE25" s="6">
        <f t="shared" si="32"/>
        <v>1</v>
      </c>
      <c r="BF25" s="6">
        <f t="shared" si="32"/>
        <v>0</v>
      </c>
      <c r="BG25" s="6">
        <f>J25*BF25</f>
        <v>0</v>
      </c>
      <c r="BH25" s="6">
        <f>M25*BE25</f>
        <v>0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39"/>
      <c r="BD26" s="39"/>
    </row>
    <row r="27" spans="2:60" x14ac:dyDescent="0.25">
      <c r="B27" s="42" t="s">
        <v>10</v>
      </c>
      <c r="BC27" s="39"/>
      <c r="BD27" s="39"/>
    </row>
    <row r="28" spans="2:60" x14ac:dyDescent="0.25">
      <c r="B28" s="6">
        <v>1</v>
      </c>
      <c r="C28" s="6" t="str">
        <f>VLOOKUP(AY28,$B$4:$F$11,2,FALSE)</f>
        <v>David de Koeijer</v>
      </c>
      <c r="D28" s="43" t="s">
        <v>5</v>
      </c>
      <c r="E28" s="57" t="str">
        <f>VLOOKUP(AZ28,$B$4:$F$11,2,FALSE)</f>
        <v>Bye</v>
      </c>
      <c r="F28" s="57"/>
      <c r="G28" s="57"/>
      <c r="H28" s="57"/>
      <c r="J28" s="57">
        <f>IF(T28="","",VLOOKUP(T28,Configuratie!$B$1:$E$10,3,FALSE))</f>
        <v>1</v>
      </c>
      <c r="K28" s="57"/>
      <c r="L28" s="6" t="s">
        <v>5</v>
      </c>
      <c r="M28" s="57">
        <f>IF(T28="","",VLOOKUP(T28,Configuratie!$B$1:$E$10,4,FALSE))</f>
        <v>0</v>
      </c>
      <c r="N28" s="57"/>
      <c r="R28" s="6" t="str">
        <f>IF(T28="","",VLOOKUP(T28,Configuratie!$B$1:$E$10,2,FALSE))</f>
        <v>1-0</v>
      </c>
      <c r="T28" s="5">
        <v>1</v>
      </c>
      <c r="AX28" s="6">
        <v>3</v>
      </c>
      <c r="AY28" s="6">
        <v>7</v>
      </c>
      <c r="AZ28" s="6">
        <v>8</v>
      </c>
      <c r="BA28" s="6">
        <f>IF(AND(ISNUMBER(J28),ISNUMBER(M28)),IF(J28+M28=1,1,0),"")</f>
        <v>1</v>
      </c>
      <c r="BC28" s="44">
        <f>AY28*100+AZ28</f>
        <v>708</v>
      </c>
      <c r="BD28" s="44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>
        <f>J28*BF28</f>
        <v>0</v>
      </c>
      <c r="BH28" s="6">
        <f>M28*BE28</f>
        <v>0</v>
      </c>
    </row>
    <row r="29" spans="2:60" x14ac:dyDescent="0.25">
      <c r="B29" s="6">
        <v>2</v>
      </c>
      <c r="C29" s="6" t="str">
        <f>VLOOKUP(AY29,$B$4:$F$11,2,FALSE)</f>
        <v>Kailas Bense</v>
      </c>
      <c r="D29" s="43" t="s">
        <v>5</v>
      </c>
      <c r="E29" s="57" t="str">
        <f>VLOOKUP(AZ29,$B$4:$F$11,2,FALSE)</f>
        <v>Istar Snijders</v>
      </c>
      <c r="F29" s="57"/>
      <c r="G29" s="57"/>
      <c r="H29" s="57"/>
      <c r="J29" s="57">
        <f>IF(T29="","",VLOOKUP(T29,Configuratie!$B$1:$E$10,3,FALSE))</f>
        <v>0</v>
      </c>
      <c r="K29" s="57"/>
      <c r="L29" s="6" t="s">
        <v>5</v>
      </c>
      <c r="M29" s="57">
        <f>IF(T29="","",VLOOKUP(T29,Configuratie!$B$1:$E$10,4,FALSE))</f>
        <v>1</v>
      </c>
      <c r="N29" s="57"/>
      <c r="R29" s="6" t="str">
        <f>IF(T29="","",VLOOKUP(T29,Configuratie!$B$1:$E$10,2,FALSE))</f>
        <v>0-1</v>
      </c>
      <c r="T29" s="5">
        <v>0</v>
      </c>
      <c r="AX29" s="6">
        <v>3</v>
      </c>
      <c r="AY29" s="6">
        <v>6</v>
      </c>
      <c r="AZ29" s="6">
        <v>1</v>
      </c>
      <c r="BA29" s="6">
        <f t="shared" ref="BA29:BA31" si="36">IF(AND(ISNUMBER(J29),ISNUMBER(M29)),IF(J29+M29=1,1,0),"")</f>
        <v>1</v>
      </c>
      <c r="BC29" s="44">
        <f>AY29*100+AZ29</f>
        <v>601</v>
      </c>
      <c r="BD29" s="44">
        <f>AZ29*100+AY29</f>
        <v>106</v>
      </c>
      <c r="BE29" s="6">
        <f t="shared" si="35"/>
        <v>0</v>
      </c>
      <c r="BF29" s="6">
        <f t="shared" si="35"/>
        <v>2</v>
      </c>
      <c r="BG29" s="6">
        <f>J29*BF29</f>
        <v>0</v>
      </c>
      <c r="BH29" s="6">
        <f>M29*BE29</f>
        <v>0</v>
      </c>
    </row>
    <row r="30" spans="2:60" x14ac:dyDescent="0.25">
      <c r="B30" s="6">
        <v>3</v>
      </c>
      <c r="C30" s="6" t="str">
        <f>VLOOKUP(AY30,$B$4:$F$11,2,FALSE)</f>
        <v>Einar Fokers</v>
      </c>
      <c r="D30" s="43" t="s">
        <v>5</v>
      </c>
      <c r="E30" s="57" t="str">
        <f>VLOOKUP(AZ30,$B$4:$F$11,2,FALSE)</f>
        <v>Teun Zaalmink</v>
      </c>
      <c r="F30" s="57"/>
      <c r="G30" s="57"/>
      <c r="H30" s="57"/>
      <c r="J30" s="57">
        <f>IF(T30="","",VLOOKUP(T30,Configuratie!$B$1:$E$10,3,FALSE))</f>
        <v>0</v>
      </c>
      <c r="K30" s="57"/>
      <c r="L30" s="6" t="s">
        <v>5</v>
      </c>
      <c r="M30" s="57">
        <f>IF(T30="","",VLOOKUP(T30,Configuratie!$B$1:$E$10,4,FALSE))</f>
        <v>1</v>
      </c>
      <c r="N30" s="57"/>
      <c r="R30" s="6" t="str">
        <f>IF(T30="","",VLOOKUP(T30,Configuratie!$B$1:$E$10,2,FALSE))</f>
        <v>0-1</v>
      </c>
      <c r="T30" s="5">
        <v>0</v>
      </c>
      <c r="AX30" s="6">
        <v>3</v>
      </c>
      <c r="AY30" s="6">
        <v>5</v>
      </c>
      <c r="AZ30" s="6">
        <v>2</v>
      </c>
      <c r="BA30" s="6">
        <f t="shared" si="36"/>
        <v>1</v>
      </c>
      <c r="BC30" s="44">
        <f>AY30*100+AZ30</f>
        <v>502</v>
      </c>
      <c r="BD30" s="44">
        <f>AZ30*100+AY30</f>
        <v>205</v>
      </c>
      <c r="BE30" s="6">
        <f t="shared" si="35"/>
        <v>0</v>
      </c>
      <c r="BF30" s="6">
        <f t="shared" si="35"/>
        <v>2</v>
      </c>
      <c r="BG30" s="6">
        <f>J30*BF30</f>
        <v>0</v>
      </c>
      <c r="BH30" s="6">
        <f>M30*BE30</f>
        <v>0</v>
      </c>
    </row>
    <row r="31" spans="2:60" x14ac:dyDescent="0.25">
      <c r="B31" s="6">
        <v>4</v>
      </c>
      <c r="C31" s="6" t="str">
        <f>VLOOKUP(AY31,$B$4:$F$11,2,FALSE)</f>
        <v>Max Zheng</v>
      </c>
      <c r="D31" s="43" t="s">
        <v>5</v>
      </c>
      <c r="E31" s="57" t="str">
        <f>VLOOKUP(AZ31,$B$4:$F$11,2,FALSE)</f>
        <v>Quintus Keij</v>
      </c>
      <c r="F31" s="57"/>
      <c r="G31" s="57"/>
      <c r="H31" s="57"/>
      <c r="J31" s="57">
        <f>IF(T31="","",VLOOKUP(T31,Configuratie!$B$1:$E$10,3,FALSE))</f>
        <v>0</v>
      </c>
      <c r="K31" s="57"/>
      <c r="L31" s="6" t="s">
        <v>5</v>
      </c>
      <c r="M31" s="57">
        <f>IF(T31="","",VLOOKUP(T31,Configuratie!$B$1:$E$10,4,FALSE))</f>
        <v>1</v>
      </c>
      <c r="N31" s="57"/>
      <c r="R31" s="6" t="str">
        <f>IF(T31="","",VLOOKUP(T31,Configuratie!$B$1:$E$10,2,FALSE))</f>
        <v>0-1</v>
      </c>
      <c r="T31" s="5">
        <v>0</v>
      </c>
      <c r="AX31" s="6">
        <v>3</v>
      </c>
      <c r="AY31" s="6">
        <v>4</v>
      </c>
      <c r="AZ31" s="6">
        <v>3</v>
      </c>
      <c r="BA31" s="6">
        <f t="shared" si="36"/>
        <v>1</v>
      </c>
      <c r="BC31" s="44">
        <f>AY31*100+AZ31</f>
        <v>403</v>
      </c>
      <c r="BD31" s="44">
        <f>AZ31*100+AY31</f>
        <v>304</v>
      </c>
      <c r="BE31" s="6">
        <f t="shared" si="35"/>
        <v>2</v>
      </c>
      <c r="BF31" s="6">
        <f t="shared" si="35"/>
        <v>2</v>
      </c>
      <c r="BG31" s="6">
        <f>J31*BF31</f>
        <v>0</v>
      </c>
      <c r="BH31" s="6">
        <f>M31*BE31</f>
        <v>2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39"/>
      <c r="BD32" s="39"/>
    </row>
    <row r="33" spans="2:60" x14ac:dyDescent="0.25">
      <c r="B33" s="42" t="s">
        <v>11</v>
      </c>
      <c r="BC33" s="39"/>
      <c r="BD33" s="39"/>
    </row>
    <row r="34" spans="2:60" x14ac:dyDescent="0.25">
      <c r="B34" s="6">
        <v>1</v>
      </c>
      <c r="C34" s="6" t="str">
        <f>VLOOKUP(AY34,$B$4:$F$11,2,FALSE)</f>
        <v>Bye</v>
      </c>
      <c r="D34" s="43" t="s">
        <v>5</v>
      </c>
      <c r="E34" s="57" t="str">
        <f>VLOOKUP(AZ34,$B$4:$F$11,2,FALSE)</f>
        <v>Quintus Keij</v>
      </c>
      <c r="F34" s="57"/>
      <c r="G34" s="57"/>
      <c r="H34" s="57"/>
      <c r="J34" s="57">
        <f>IF(T34="","",VLOOKUP(T34,Configuratie!$B$1:$E$10,3,FALSE))</f>
        <v>0</v>
      </c>
      <c r="K34" s="57"/>
      <c r="L34" s="6" t="s">
        <v>5</v>
      </c>
      <c r="M34" s="57">
        <f>IF(T34="","",VLOOKUP(T34,Configuratie!$B$1:$E$10,4,FALSE))</f>
        <v>1</v>
      </c>
      <c r="N34" s="57"/>
      <c r="R34" s="6" t="str">
        <f>IF(T34="","",VLOOKUP(T34,Configuratie!$B$1:$E$10,2,FALSE))</f>
        <v>0-1</v>
      </c>
      <c r="T34" s="5">
        <v>0</v>
      </c>
      <c r="AX34" s="6">
        <v>4</v>
      </c>
      <c r="AY34" s="6">
        <v>8</v>
      </c>
      <c r="AZ34" s="6">
        <v>3</v>
      </c>
      <c r="BA34" s="6">
        <f>IF(AND(ISNUMBER(J34),ISNUMBER(M34)),IF(J34+M34=1,1,0),"")</f>
        <v>1</v>
      </c>
      <c r="BC34" s="44">
        <f>AY34*100+AZ34</f>
        <v>803</v>
      </c>
      <c r="BD34" s="44">
        <f>AZ34*100+AY34</f>
        <v>308</v>
      </c>
      <c r="BE34" s="6">
        <f t="shared" ref="BE34:BF37" si="37">VLOOKUP(AY34,$BN$3:$BW$11,$AX34,FALSE)</f>
        <v>0</v>
      </c>
      <c r="BF34" s="6">
        <f t="shared" si="37"/>
        <v>3</v>
      </c>
      <c r="BG34" s="6">
        <f>J34*BF34</f>
        <v>0</v>
      </c>
      <c r="BH34" s="6">
        <f>M34*BE34</f>
        <v>0</v>
      </c>
    </row>
    <row r="35" spans="2:60" x14ac:dyDescent="0.25">
      <c r="B35" s="6">
        <v>2</v>
      </c>
      <c r="C35" s="6" t="str">
        <f>VLOOKUP(AY35,$B$4:$F$11,2,FALSE)</f>
        <v>Teun Zaalmink</v>
      </c>
      <c r="D35" s="43" t="s">
        <v>5</v>
      </c>
      <c r="E35" s="57" t="str">
        <f>VLOOKUP(AZ35,$B$4:$F$11,2,FALSE)</f>
        <v>Max Zheng</v>
      </c>
      <c r="F35" s="57"/>
      <c r="G35" s="57"/>
      <c r="H35" s="57"/>
      <c r="J35" s="57">
        <f>IF(T35="","",VLOOKUP(T35,Configuratie!$B$1:$E$10,3,FALSE))</f>
        <v>1</v>
      </c>
      <c r="K35" s="57"/>
      <c r="L35" s="6" t="s">
        <v>5</v>
      </c>
      <c r="M35" s="57">
        <f>IF(T35="","",VLOOKUP(T35,Configuratie!$B$1:$E$10,4,FALSE))</f>
        <v>0</v>
      </c>
      <c r="N35" s="57"/>
      <c r="R35" s="6" t="str">
        <f>IF(T35="","",VLOOKUP(T35,Configuratie!$B$1:$E$10,2,FALSE))</f>
        <v>1-0</v>
      </c>
      <c r="T35" s="5">
        <v>1</v>
      </c>
      <c r="AX35" s="6">
        <v>4</v>
      </c>
      <c r="AY35" s="6">
        <v>2</v>
      </c>
      <c r="AZ35" s="6">
        <v>4</v>
      </c>
      <c r="BA35" s="6">
        <f>IF(AND(ISNUMBER(J35),ISNUMBER(M35)),IF(J35+M35=1,1,0),"")</f>
        <v>1</v>
      </c>
      <c r="BC35" s="44">
        <f>AY35*100+AZ35</f>
        <v>204</v>
      </c>
      <c r="BD35" s="44">
        <f>AZ35*100+AY35</f>
        <v>402</v>
      </c>
      <c r="BE35" s="6">
        <f t="shared" si="37"/>
        <v>3</v>
      </c>
      <c r="BF35" s="6">
        <f t="shared" si="37"/>
        <v>2</v>
      </c>
      <c r="BG35" s="6">
        <f>J35*BF35</f>
        <v>2</v>
      </c>
      <c r="BH35" s="6">
        <f>M35*BE35</f>
        <v>0</v>
      </c>
    </row>
    <row r="36" spans="2:60" x14ac:dyDescent="0.25">
      <c r="B36" s="6">
        <v>3</v>
      </c>
      <c r="C36" s="6" t="str">
        <f>VLOOKUP(AY36,$B$4:$F$11,2,FALSE)</f>
        <v>Istar Snijders</v>
      </c>
      <c r="D36" s="43" t="s">
        <v>5</v>
      </c>
      <c r="E36" s="57" t="str">
        <f>VLOOKUP(AZ36,$B$4:$F$11,2,FALSE)</f>
        <v>Einar Fokers</v>
      </c>
      <c r="F36" s="57"/>
      <c r="G36" s="57"/>
      <c r="H36" s="57"/>
      <c r="J36" s="57">
        <f>IF(T36="","",VLOOKUP(T36,Configuratie!$B$1:$E$10,3,FALSE))</f>
        <v>0</v>
      </c>
      <c r="K36" s="57"/>
      <c r="L36" s="6" t="s">
        <v>5</v>
      </c>
      <c r="M36" s="57">
        <f>IF(T36="","",VLOOKUP(T36,Configuratie!$B$1:$E$10,4,FALSE))</f>
        <v>1</v>
      </c>
      <c r="N36" s="57"/>
      <c r="R36" s="6" t="str">
        <f>IF(T36="","",VLOOKUP(T36,Configuratie!$B$1:$E$10,2,FALSE))</f>
        <v>0-1</v>
      </c>
      <c r="T36" s="5">
        <v>0</v>
      </c>
      <c r="AX36" s="6">
        <v>4</v>
      </c>
      <c r="AY36" s="6">
        <v>1</v>
      </c>
      <c r="AZ36" s="6">
        <v>5</v>
      </c>
      <c r="BA36" s="6">
        <f t="shared" ref="BA36:BA37" si="38">IF(AND(ISNUMBER(J36),ISNUMBER(M36)),IF(J36+M36=1,1,0),"")</f>
        <v>1</v>
      </c>
      <c r="BC36" s="44">
        <f>AY36*100+AZ36</f>
        <v>105</v>
      </c>
      <c r="BD36" s="44">
        <f>AZ36*100+AY36</f>
        <v>501</v>
      </c>
      <c r="BE36" s="6">
        <f t="shared" si="37"/>
        <v>3</v>
      </c>
      <c r="BF36" s="6">
        <f t="shared" si="37"/>
        <v>0</v>
      </c>
      <c r="BG36" s="6">
        <f>J36*BF36</f>
        <v>0</v>
      </c>
      <c r="BH36" s="6">
        <f>M36*BE36</f>
        <v>3</v>
      </c>
    </row>
    <row r="37" spans="2:60" x14ac:dyDescent="0.25">
      <c r="B37" s="6">
        <v>4</v>
      </c>
      <c r="C37" s="6" t="str">
        <f>VLOOKUP(AY37,$B$4:$F$11,2,FALSE)</f>
        <v>David de Koeijer</v>
      </c>
      <c r="D37" s="43" t="s">
        <v>5</v>
      </c>
      <c r="E37" s="57" t="str">
        <f>VLOOKUP(AZ37,$B$4:$F$11,2,FALSE)</f>
        <v>Kailas Bense</v>
      </c>
      <c r="F37" s="57"/>
      <c r="G37" s="57"/>
      <c r="H37" s="57"/>
      <c r="J37" s="57">
        <f>IF(T37="","",VLOOKUP(T37,Configuratie!$B$1:$E$10,3,FALSE))</f>
        <v>0</v>
      </c>
      <c r="K37" s="57"/>
      <c r="L37" s="6" t="s">
        <v>5</v>
      </c>
      <c r="M37" s="57">
        <f>IF(T37="","",VLOOKUP(T37,Configuratie!$B$1:$E$10,4,FALSE))</f>
        <v>1</v>
      </c>
      <c r="N37" s="57"/>
      <c r="R37" s="6" t="str">
        <f>IF(T37="","",VLOOKUP(T37,Configuratie!$B$1:$E$10,2,FALSE))</f>
        <v>0-1</v>
      </c>
      <c r="T37" s="5">
        <v>0</v>
      </c>
      <c r="AX37" s="6">
        <v>4</v>
      </c>
      <c r="AY37" s="6">
        <v>7</v>
      </c>
      <c r="AZ37" s="6">
        <v>6</v>
      </c>
      <c r="BA37" s="6">
        <f t="shared" si="38"/>
        <v>1</v>
      </c>
      <c r="BC37" s="44">
        <f>AY37*100+AZ37</f>
        <v>706</v>
      </c>
      <c r="BD37" s="44">
        <f>AZ37*100+AY37</f>
        <v>607</v>
      </c>
      <c r="BE37" s="6">
        <f t="shared" si="37"/>
        <v>1</v>
      </c>
      <c r="BF37" s="6">
        <f t="shared" si="37"/>
        <v>0</v>
      </c>
      <c r="BG37" s="6">
        <f>J37*BF37</f>
        <v>0</v>
      </c>
      <c r="BH37" s="6">
        <f>M37*BE37</f>
        <v>1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39"/>
      <c r="BD38" s="39"/>
    </row>
    <row r="39" spans="2:60" x14ac:dyDescent="0.25">
      <c r="B39" s="42" t="s">
        <v>12</v>
      </c>
      <c r="BC39" s="39"/>
      <c r="BD39" s="39"/>
    </row>
    <row r="40" spans="2:60" x14ac:dyDescent="0.25">
      <c r="B40" s="6">
        <v>1</v>
      </c>
      <c r="C40" s="6" t="str">
        <f>VLOOKUP(AY40,$B$4:$F$11,2,FALSE)</f>
        <v>Kailas Bense</v>
      </c>
      <c r="D40" s="43" t="s">
        <v>5</v>
      </c>
      <c r="E40" s="57" t="str">
        <f>VLOOKUP(AZ40,$B$4:$F$11,2,FALSE)</f>
        <v>Bye</v>
      </c>
      <c r="F40" s="57"/>
      <c r="G40" s="57"/>
      <c r="H40" s="57"/>
      <c r="J40" s="57">
        <f>IF(T40="","",VLOOKUP(T40,Configuratie!$B$1:$E$10,3,FALSE))</f>
        <v>1</v>
      </c>
      <c r="K40" s="57"/>
      <c r="L40" s="6" t="s">
        <v>5</v>
      </c>
      <c r="M40" s="57">
        <f>IF(T40="","",VLOOKUP(T40,Configuratie!$B$1:$E$10,4,FALSE))</f>
        <v>0</v>
      </c>
      <c r="N40" s="57"/>
      <c r="R40" s="6" t="str">
        <f>IF(T40="","",VLOOKUP(T40,Configuratie!$B$1:$E$10,2,FALSE))</f>
        <v>1-0</v>
      </c>
      <c r="T40" s="5">
        <v>1</v>
      </c>
      <c r="AX40" s="6">
        <v>5</v>
      </c>
      <c r="AY40" s="6">
        <v>6</v>
      </c>
      <c r="AZ40" s="6">
        <v>8</v>
      </c>
      <c r="BA40" s="6">
        <f>IF(AND(ISNUMBER(J40),ISNUMBER(M40)),IF(J40+M40=1,1,0),"")</f>
        <v>1</v>
      </c>
      <c r="BC40" s="44">
        <f>AY40*100+AZ40</f>
        <v>608</v>
      </c>
      <c r="BD40" s="44">
        <f>AZ40*100+AY40</f>
        <v>806</v>
      </c>
      <c r="BE40" s="6">
        <f t="shared" ref="BE40:BF43" si="39">VLOOKUP(AY40,$BN$3:$BW$11,$AX40,FALSE)</f>
        <v>1</v>
      </c>
      <c r="BF40" s="6">
        <f t="shared" si="39"/>
        <v>0</v>
      </c>
      <c r="BG40" s="6">
        <f>J40*BF40</f>
        <v>0</v>
      </c>
      <c r="BH40" s="6">
        <f>M40*BE40</f>
        <v>0</v>
      </c>
    </row>
    <row r="41" spans="2:60" x14ac:dyDescent="0.25">
      <c r="B41" s="6">
        <v>2</v>
      </c>
      <c r="C41" s="6" t="str">
        <f>VLOOKUP(AY41,$B$4:$F$11,2,FALSE)</f>
        <v>Einar Fokers</v>
      </c>
      <c r="D41" s="43" t="s">
        <v>5</v>
      </c>
      <c r="E41" s="57" t="str">
        <f>VLOOKUP(AZ41,$B$4:$F$11,2,FALSE)</f>
        <v>David de Koeijer</v>
      </c>
      <c r="F41" s="57"/>
      <c r="G41" s="57"/>
      <c r="H41" s="57"/>
      <c r="J41" s="57">
        <f>IF(T41="","",VLOOKUP(T41,Configuratie!$B$1:$E$10,3,FALSE))</f>
        <v>1</v>
      </c>
      <c r="K41" s="57"/>
      <c r="L41" s="6" t="s">
        <v>5</v>
      </c>
      <c r="M41" s="57">
        <f>IF(T41="","",VLOOKUP(T41,Configuratie!$B$1:$E$10,4,FALSE))</f>
        <v>0</v>
      </c>
      <c r="N41" s="57"/>
      <c r="R41" s="6" t="str">
        <f>IF(T41="","",VLOOKUP(T41,Configuratie!$B$1:$E$10,2,FALSE))</f>
        <v>1-0</v>
      </c>
      <c r="T41" s="5">
        <v>1</v>
      </c>
      <c r="AX41" s="6">
        <v>5</v>
      </c>
      <c r="AY41" s="6">
        <v>5</v>
      </c>
      <c r="AZ41" s="6">
        <v>7</v>
      </c>
      <c r="BA41" s="6">
        <f t="shared" ref="BA41:BA43" si="40">IF(AND(ISNUMBER(J41),ISNUMBER(M41)),IF(J41+M41=1,1,0),"")</f>
        <v>1</v>
      </c>
      <c r="BC41" s="44">
        <f>AY41*100+AZ41</f>
        <v>507</v>
      </c>
      <c r="BD41" s="44">
        <f>AZ41*100+AY41</f>
        <v>705</v>
      </c>
      <c r="BE41" s="6">
        <f t="shared" si="39"/>
        <v>1</v>
      </c>
      <c r="BF41" s="6">
        <f t="shared" si="39"/>
        <v>1</v>
      </c>
      <c r="BG41" s="6">
        <f>J41*BF41</f>
        <v>1</v>
      </c>
      <c r="BH41" s="6">
        <f>M41*BE41</f>
        <v>0</v>
      </c>
    </row>
    <row r="42" spans="2:60" x14ac:dyDescent="0.25">
      <c r="B42" s="6">
        <v>3</v>
      </c>
      <c r="C42" s="6" t="str">
        <f>VLOOKUP(AY42,$B$4:$F$11,2,FALSE)</f>
        <v>Max Zheng</v>
      </c>
      <c r="D42" s="43" t="s">
        <v>5</v>
      </c>
      <c r="E42" s="57" t="str">
        <f>VLOOKUP(AZ42,$B$4:$F$11,2,FALSE)</f>
        <v>Istar Snijders</v>
      </c>
      <c r="F42" s="57"/>
      <c r="G42" s="57"/>
      <c r="H42" s="57"/>
      <c r="J42" s="57">
        <f>IF(T42="","",VLOOKUP(T42,Configuratie!$B$1:$E$10,3,FALSE))</f>
        <v>0</v>
      </c>
      <c r="K42" s="57"/>
      <c r="L42" s="6" t="s">
        <v>5</v>
      </c>
      <c r="M42" s="57">
        <f>IF(T42="","",VLOOKUP(T42,Configuratie!$B$1:$E$10,4,FALSE))</f>
        <v>1</v>
      </c>
      <c r="N42" s="57"/>
      <c r="R42" s="6" t="str">
        <f>IF(T42="","",VLOOKUP(T42,Configuratie!$B$1:$E$10,2,FALSE))</f>
        <v>0-1</v>
      </c>
      <c r="T42" s="5">
        <v>0</v>
      </c>
      <c r="AX42" s="6">
        <v>5</v>
      </c>
      <c r="AY42" s="6">
        <v>4</v>
      </c>
      <c r="AZ42" s="6">
        <v>1</v>
      </c>
      <c r="BA42" s="6">
        <f t="shared" si="40"/>
        <v>1</v>
      </c>
      <c r="BC42" s="44">
        <f>AY42*100+AZ42</f>
        <v>401</v>
      </c>
      <c r="BD42" s="44">
        <f>AZ42*100+AY42</f>
        <v>104</v>
      </c>
      <c r="BE42" s="6">
        <f t="shared" si="39"/>
        <v>2</v>
      </c>
      <c r="BF42" s="6">
        <f t="shared" si="39"/>
        <v>3</v>
      </c>
      <c r="BG42" s="6">
        <f>J42*BF42</f>
        <v>0</v>
      </c>
      <c r="BH42" s="6">
        <f>M42*BE42</f>
        <v>2</v>
      </c>
    </row>
    <row r="43" spans="2:60" x14ac:dyDescent="0.25">
      <c r="B43" s="6">
        <v>4</v>
      </c>
      <c r="C43" s="6" t="str">
        <f>VLOOKUP(AY43,$B$4:$F$11,2,FALSE)</f>
        <v>Quintus Keij</v>
      </c>
      <c r="D43" s="43" t="s">
        <v>5</v>
      </c>
      <c r="E43" s="57" t="str">
        <f>VLOOKUP(AZ43,$B$4:$F$11,2,FALSE)</f>
        <v>Teun Zaalmink</v>
      </c>
      <c r="F43" s="57"/>
      <c r="G43" s="57"/>
      <c r="H43" s="57"/>
      <c r="J43" s="57">
        <f>IF(T43="","",VLOOKUP(T43,Configuratie!$B$1:$E$10,3,FALSE))</f>
        <v>1</v>
      </c>
      <c r="K43" s="57"/>
      <c r="L43" s="6" t="s">
        <v>5</v>
      </c>
      <c r="M43" s="57">
        <f>IF(T43="","",VLOOKUP(T43,Configuratie!$B$1:$E$10,4,FALSE))</f>
        <v>0</v>
      </c>
      <c r="N43" s="57"/>
      <c r="R43" s="6" t="str">
        <f>IF(T43="","",VLOOKUP(T43,Configuratie!$B$1:$E$10,2,FALSE))</f>
        <v>1-0</v>
      </c>
      <c r="T43" s="5">
        <v>1</v>
      </c>
      <c r="AX43" s="6">
        <v>5</v>
      </c>
      <c r="AY43" s="6">
        <v>3</v>
      </c>
      <c r="AZ43" s="6">
        <v>2</v>
      </c>
      <c r="BA43" s="6">
        <f t="shared" si="40"/>
        <v>1</v>
      </c>
      <c r="BC43" s="44">
        <f>AY43*100+AZ43</f>
        <v>302</v>
      </c>
      <c r="BD43" s="44">
        <f>AZ43*100+AY43</f>
        <v>203</v>
      </c>
      <c r="BE43" s="6">
        <f t="shared" si="39"/>
        <v>4</v>
      </c>
      <c r="BF43" s="6">
        <f t="shared" si="39"/>
        <v>4</v>
      </c>
      <c r="BG43" s="6">
        <f>J43*BF43</f>
        <v>4</v>
      </c>
      <c r="BH43" s="6">
        <f>M43*BE43</f>
        <v>0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39"/>
      <c r="BD44" s="39"/>
    </row>
    <row r="45" spans="2:60" x14ac:dyDescent="0.25">
      <c r="B45" s="42" t="s">
        <v>13</v>
      </c>
      <c r="BC45" s="39"/>
      <c r="BD45" s="39"/>
    </row>
    <row r="46" spans="2:60" x14ac:dyDescent="0.25">
      <c r="B46" s="6">
        <v>1</v>
      </c>
      <c r="C46" s="6" t="str">
        <f>VLOOKUP(AY46,$B$4:$F$11,2,FALSE)</f>
        <v>Bye</v>
      </c>
      <c r="D46" s="43" t="s">
        <v>5</v>
      </c>
      <c r="E46" s="57" t="str">
        <f>VLOOKUP(AZ46,$B$4:$F$11,2,FALSE)</f>
        <v>Teun Zaalmink</v>
      </c>
      <c r="F46" s="57"/>
      <c r="G46" s="57"/>
      <c r="H46" s="57"/>
      <c r="J46" s="57">
        <f>IF(T46="","",VLOOKUP(T46,Configuratie!$B$1:$E$10,3,FALSE))</f>
        <v>0</v>
      </c>
      <c r="K46" s="57"/>
      <c r="L46" s="6" t="s">
        <v>5</v>
      </c>
      <c r="M46" s="57">
        <f>IF(T46="","",VLOOKUP(T46,Configuratie!$B$1:$E$10,4,FALSE))</f>
        <v>1</v>
      </c>
      <c r="N46" s="57"/>
      <c r="R46" s="6" t="str">
        <f>IF(T46="","",VLOOKUP(T46,Configuratie!$B$1:$E$10,2,FALSE))</f>
        <v>0-1</v>
      </c>
      <c r="T46" s="5">
        <v>0</v>
      </c>
      <c r="AX46" s="6">
        <v>6</v>
      </c>
      <c r="AY46" s="6">
        <v>8</v>
      </c>
      <c r="AZ46" s="6">
        <v>2</v>
      </c>
      <c r="BA46" s="6">
        <f>IF(AND(ISNUMBER(J46),ISNUMBER(M46)),IF(J46+M46=1,1,0),"")</f>
        <v>1</v>
      </c>
      <c r="BC46" s="44">
        <f>AY46*100+AZ46</f>
        <v>802</v>
      </c>
      <c r="BD46" s="44">
        <f>AZ46*100+AY46</f>
        <v>208</v>
      </c>
      <c r="BE46" s="6">
        <f t="shared" ref="BE46:BF49" si="41">VLOOKUP(AY46,$BN$3:$BW$11,$AX46,FALSE)</f>
        <v>0</v>
      </c>
      <c r="BF46" s="6">
        <f t="shared" si="41"/>
        <v>4</v>
      </c>
      <c r="BG46" s="6">
        <f>J46*BF46</f>
        <v>0</v>
      </c>
      <c r="BH46" s="6">
        <f>M46*BE46</f>
        <v>0</v>
      </c>
    </row>
    <row r="47" spans="2:60" x14ac:dyDescent="0.25">
      <c r="B47" s="6">
        <v>2</v>
      </c>
      <c r="C47" s="6" t="str">
        <f>VLOOKUP(AY47,$B$4:$F$11,2,FALSE)</f>
        <v>Istar Snijders</v>
      </c>
      <c r="D47" s="43" t="s">
        <v>5</v>
      </c>
      <c r="E47" s="57" t="str">
        <f>VLOOKUP(AZ47,$B$4:$F$11,2,FALSE)</f>
        <v>Quintus Keij</v>
      </c>
      <c r="F47" s="57"/>
      <c r="G47" s="57"/>
      <c r="H47" s="57"/>
      <c r="J47" s="57">
        <f>IF(T47="","",VLOOKUP(T47,Configuratie!$B$1:$E$10,3,FALSE))</f>
        <v>1</v>
      </c>
      <c r="K47" s="57"/>
      <c r="L47" s="6" t="s">
        <v>5</v>
      </c>
      <c r="M47" s="57">
        <f>IF(T47="","",VLOOKUP(T47,Configuratie!$B$1:$E$10,4,FALSE))</f>
        <v>0</v>
      </c>
      <c r="N47" s="57"/>
      <c r="R47" s="6" t="str">
        <f>IF(T47="","",VLOOKUP(T47,Configuratie!$B$1:$E$10,2,FALSE))</f>
        <v>1-0</v>
      </c>
      <c r="T47" s="5">
        <v>1</v>
      </c>
      <c r="AX47" s="6">
        <v>6</v>
      </c>
      <c r="AY47" s="6">
        <v>1</v>
      </c>
      <c r="AZ47" s="6">
        <v>3</v>
      </c>
      <c r="BA47" s="6">
        <f t="shared" ref="BA47:BA49" si="42">IF(AND(ISNUMBER(J47),ISNUMBER(M47)),IF(J47+M47=1,1,0),"")</f>
        <v>1</v>
      </c>
      <c r="BC47" s="44">
        <f>AY47*100+AZ47</f>
        <v>103</v>
      </c>
      <c r="BD47" s="44">
        <f>AZ47*100+AY47</f>
        <v>301</v>
      </c>
      <c r="BE47" s="6">
        <f t="shared" si="41"/>
        <v>4</v>
      </c>
      <c r="BF47" s="6">
        <f t="shared" si="41"/>
        <v>5</v>
      </c>
      <c r="BG47" s="6">
        <f>J47*BF47</f>
        <v>5</v>
      </c>
      <c r="BH47" s="6">
        <f>M47*BE47</f>
        <v>0</v>
      </c>
    </row>
    <row r="48" spans="2:60" x14ac:dyDescent="0.25">
      <c r="B48" s="6">
        <v>3</v>
      </c>
      <c r="C48" s="6" t="str">
        <f>VLOOKUP(AY48,$B$4:$F$11,2,FALSE)</f>
        <v>David de Koeijer</v>
      </c>
      <c r="D48" s="43" t="s">
        <v>5</v>
      </c>
      <c r="E48" s="57" t="str">
        <f>VLOOKUP(AZ48,$B$4:$F$11,2,FALSE)</f>
        <v>Max Zheng</v>
      </c>
      <c r="F48" s="57"/>
      <c r="G48" s="57"/>
      <c r="H48" s="57"/>
      <c r="J48" s="57">
        <f>IF(T48="","",VLOOKUP(T48,Configuratie!$B$1:$E$10,3,FALSE))</f>
        <v>1</v>
      </c>
      <c r="K48" s="57"/>
      <c r="L48" s="6" t="s">
        <v>5</v>
      </c>
      <c r="M48" s="57">
        <f>IF(T48="","",VLOOKUP(T48,Configuratie!$B$1:$E$10,4,FALSE))</f>
        <v>0</v>
      </c>
      <c r="N48" s="57"/>
      <c r="R48" s="6" t="str">
        <f>IF(T48="","",VLOOKUP(T48,Configuratie!$B$1:$E$10,2,FALSE))</f>
        <v>1-0</v>
      </c>
      <c r="T48" s="5">
        <v>1</v>
      </c>
      <c r="AX48" s="6">
        <v>6</v>
      </c>
      <c r="AY48" s="6">
        <v>7</v>
      </c>
      <c r="AZ48" s="6">
        <v>4</v>
      </c>
      <c r="BA48" s="6">
        <f t="shared" si="42"/>
        <v>1</v>
      </c>
      <c r="BC48" s="44">
        <f>AY48*100+AZ48</f>
        <v>704</v>
      </c>
      <c r="BD48" s="44">
        <f>AZ48*100+AY48</f>
        <v>407</v>
      </c>
      <c r="BE48" s="6">
        <f t="shared" si="41"/>
        <v>1</v>
      </c>
      <c r="BF48" s="6">
        <f t="shared" si="41"/>
        <v>2</v>
      </c>
      <c r="BG48" s="6">
        <f>J48*BF48</f>
        <v>2</v>
      </c>
      <c r="BH48" s="6">
        <f>M48*BE48</f>
        <v>0</v>
      </c>
    </row>
    <row r="49" spans="2:60" x14ac:dyDescent="0.25">
      <c r="B49" s="6">
        <v>4</v>
      </c>
      <c r="C49" s="6" t="str">
        <f>VLOOKUP(AY49,$B$4:$F$11,2,FALSE)</f>
        <v>Kailas Bense</v>
      </c>
      <c r="D49" s="43" t="s">
        <v>5</v>
      </c>
      <c r="E49" s="57" t="str">
        <f>VLOOKUP(AZ49,$B$4:$F$11,2,FALSE)</f>
        <v>Einar Fokers</v>
      </c>
      <c r="F49" s="57"/>
      <c r="G49" s="57"/>
      <c r="H49" s="57"/>
      <c r="J49" s="57">
        <f>IF(T49="","",VLOOKUP(T49,Configuratie!$B$1:$E$10,3,FALSE))</f>
        <v>0.5</v>
      </c>
      <c r="K49" s="57"/>
      <c r="L49" s="6" t="s">
        <v>5</v>
      </c>
      <c r="M49" s="57">
        <f>IF(T49="","",VLOOKUP(T49,Configuratie!$B$1:$E$10,4,FALSE))</f>
        <v>0.5</v>
      </c>
      <c r="N49" s="57"/>
      <c r="R49" s="6" t="str">
        <f>IF(T49="","",VLOOKUP(T49,Configuratie!$B$1:$E$10,2,FALSE))</f>
        <v>½-½</v>
      </c>
      <c r="T49" s="5">
        <v>2</v>
      </c>
      <c r="AX49" s="6">
        <v>6</v>
      </c>
      <c r="AY49" s="6">
        <v>6</v>
      </c>
      <c r="AZ49" s="6">
        <v>5</v>
      </c>
      <c r="BA49" s="6">
        <f t="shared" si="42"/>
        <v>1</v>
      </c>
      <c r="BC49" s="44">
        <f>AY49*100+AZ49</f>
        <v>605</v>
      </c>
      <c r="BD49" s="44">
        <f>AZ49*100+AY49</f>
        <v>506</v>
      </c>
      <c r="BE49" s="6">
        <f t="shared" si="41"/>
        <v>2</v>
      </c>
      <c r="BF49" s="6">
        <f t="shared" si="41"/>
        <v>2</v>
      </c>
      <c r="BG49" s="6">
        <f>J49*BF49</f>
        <v>1</v>
      </c>
      <c r="BH49" s="6">
        <f>M49*BE49</f>
        <v>1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39"/>
      <c r="BD50" s="39"/>
    </row>
    <row r="51" spans="2:60" x14ac:dyDescent="0.25">
      <c r="B51" s="42" t="s">
        <v>14</v>
      </c>
      <c r="BC51" s="39"/>
      <c r="BD51" s="39"/>
    </row>
    <row r="52" spans="2:60" x14ac:dyDescent="0.25">
      <c r="B52" s="6">
        <v>1</v>
      </c>
      <c r="C52" s="6" t="str">
        <f>VLOOKUP(AY52,$B$4:$F$11,2,FALSE)</f>
        <v>Einar Fokers</v>
      </c>
      <c r="D52" s="43" t="s">
        <v>5</v>
      </c>
      <c r="E52" s="57" t="str">
        <f>VLOOKUP(AZ52,$B$4:$F$11,2,FALSE)</f>
        <v>Bye</v>
      </c>
      <c r="F52" s="57"/>
      <c r="G52" s="57"/>
      <c r="H52" s="57"/>
      <c r="J52" s="57">
        <f>IF(T52="","",VLOOKUP(T52,Configuratie!$B$1:$E$10,3,FALSE))</f>
        <v>1</v>
      </c>
      <c r="K52" s="57"/>
      <c r="L52" s="6" t="s">
        <v>5</v>
      </c>
      <c r="M52" s="57">
        <f>IF(T52="","",VLOOKUP(T52,Configuratie!$B$1:$E$10,4,FALSE))</f>
        <v>0</v>
      </c>
      <c r="N52" s="57"/>
      <c r="R52" s="6" t="str">
        <f>IF(T52="","",VLOOKUP(T52,Configuratie!$B$1:$E$10,2,FALSE))</f>
        <v>1-0</v>
      </c>
      <c r="T52" s="5">
        <v>1</v>
      </c>
      <c r="AX52" s="6">
        <v>7</v>
      </c>
      <c r="AY52" s="6">
        <v>5</v>
      </c>
      <c r="AZ52" s="6">
        <v>8</v>
      </c>
      <c r="BA52" s="6">
        <f>IF(AND(ISNUMBER(J52),ISNUMBER(M52)),IF(J52+M52=1,1,0),"")</f>
        <v>1</v>
      </c>
      <c r="BC52" s="44">
        <f>AY52*100+AZ52</f>
        <v>508</v>
      </c>
      <c r="BD52" s="44">
        <f>AZ52*100+AY52</f>
        <v>805</v>
      </c>
      <c r="BE52" s="6">
        <f t="shared" ref="BE52:BF55" si="43">VLOOKUP(AY52,$BN$3:$BW$11,$AX52,FALSE)</f>
        <v>2.5</v>
      </c>
      <c r="BF52" s="6">
        <f t="shared" si="43"/>
        <v>0</v>
      </c>
      <c r="BG52" s="6">
        <f>J52*BF52</f>
        <v>0</v>
      </c>
      <c r="BH52" s="6">
        <f>M52*BE52</f>
        <v>0</v>
      </c>
    </row>
    <row r="53" spans="2:60" x14ac:dyDescent="0.25">
      <c r="B53" s="6">
        <v>2</v>
      </c>
      <c r="C53" s="6" t="str">
        <f>VLOOKUP(AY53,$B$4:$F$11,2,FALSE)</f>
        <v>Max Zheng</v>
      </c>
      <c r="D53" s="43" t="s">
        <v>5</v>
      </c>
      <c r="E53" s="57" t="str">
        <f>VLOOKUP(AZ53,$B$4:$F$11,2,FALSE)</f>
        <v>Kailas Bense</v>
      </c>
      <c r="F53" s="57"/>
      <c r="G53" s="57"/>
      <c r="H53" s="57"/>
      <c r="J53" s="57">
        <f>IF(T53="","",VLOOKUP(T53,Configuratie!$B$1:$E$10,3,FALSE))</f>
        <v>0</v>
      </c>
      <c r="K53" s="57"/>
      <c r="L53" s="6" t="s">
        <v>5</v>
      </c>
      <c r="M53" s="57">
        <f>IF(T53="","",VLOOKUP(T53,Configuratie!$B$1:$E$10,4,FALSE))</f>
        <v>1</v>
      </c>
      <c r="N53" s="57"/>
      <c r="R53" s="6" t="str">
        <f>IF(T53="","",VLOOKUP(T53,Configuratie!$B$1:$E$10,2,FALSE))</f>
        <v>0-1</v>
      </c>
      <c r="T53" s="5">
        <v>0</v>
      </c>
      <c r="AX53" s="6">
        <v>7</v>
      </c>
      <c r="AY53" s="6">
        <v>4</v>
      </c>
      <c r="AZ53" s="6">
        <v>6</v>
      </c>
      <c r="BA53" s="6">
        <f t="shared" ref="BA53:BA55" si="44">IF(AND(ISNUMBER(J53),ISNUMBER(M53)),IF(J53+M53=1,1,0),"")</f>
        <v>1</v>
      </c>
      <c r="BC53" s="44">
        <f>AY53*100+AZ53</f>
        <v>406</v>
      </c>
      <c r="BD53" s="44">
        <f>AZ53*100+AY53</f>
        <v>604</v>
      </c>
      <c r="BE53" s="6">
        <f t="shared" si="43"/>
        <v>2</v>
      </c>
      <c r="BF53" s="6">
        <f t="shared" si="43"/>
        <v>2.5</v>
      </c>
      <c r="BG53" s="6">
        <f>J53*BF53</f>
        <v>0</v>
      </c>
      <c r="BH53" s="6">
        <f>M53*BE53</f>
        <v>2</v>
      </c>
    </row>
    <row r="54" spans="2:60" x14ac:dyDescent="0.25">
      <c r="B54" s="6">
        <v>3</v>
      </c>
      <c r="C54" s="6" t="str">
        <f>VLOOKUP(AY54,$B$4:$F$11,2,FALSE)</f>
        <v>Quintus Keij</v>
      </c>
      <c r="D54" s="43" t="s">
        <v>5</v>
      </c>
      <c r="E54" s="57" t="str">
        <f>VLOOKUP(AZ54,$B$4:$F$11,2,FALSE)</f>
        <v>David de Koeijer</v>
      </c>
      <c r="F54" s="57"/>
      <c r="G54" s="57"/>
      <c r="H54" s="57"/>
      <c r="J54" s="57">
        <f>IF(T54="","",VLOOKUP(T54,Configuratie!$B$1:$E$10,3,FALSE))</f>
        <v>1</v>
      </c>
      <c r="K54" s="57"/>
      <c r="L54" s="6" t="s">
        <v>5</v>
      </c>
      <c r="M54" s="57">
        <f>IF(T54="","",VLOOKUP(T54,Configuratie!$B$1:$E$10,4,FALSE))</f>
        <v>0</v>
      </c>
      <c r="N54" s="57"/>
      <c r="R54" s="6" t="str">
        <f>IF(T54="","",VLOOKUP(T54,Configuratie!$B$1:$E$10,2,FALSE))</f>
        <v>1-0</v>
      </c>
      <c r="T54" s="5">
        <v>1</v>
      </c>
      <c r="AX54" s="6">
        <v>7</v>
      </c>
      <c r="AY54" s="6">
        <v>3</v>
      </c>
      <c r="AZ54" s="6">
        <v>7</v>
      </c>
      <c r="BA54" s="6">
        <f t="shared" si="44"/>
        <v>1</v>
      </c>
      <c r="BC54" s="44">
        <f>AY54*100+AZ54</f>
        <v>307</v>
      </c>
      <c r="BD54" s="44">
        <f>AZ54*100+AY54</f>
        <v>703</v>
      </c>
      <c r="BE54" s="6">
        <f t="shared" si="43"/>
        <v>5</v>
      </c>
      <c r="BF54" s="6">
        <f t="shared" si="43"/>
        <v>2</v>
      </c>
      <c r="BG54" s="6">
        <f>J54*BF54</f>
        <v>2</v>
      </c>
      <c r="BH54" s="6">
        <f>M54*BE54</f>
        <v>0</v>
      </c>
    </row>
    <row r="55" spans="2:60" x14ac:dyDescent="0.25">
      <c r="B55" s="6">
        <v>4</v>
      </c>
      <c r="C55" s="6" t="str">
        <f>VLOOKUP(AY55,$B$4:$F$11,2,FALSE)</f>
        <v>Teun Zaalmink</v>
      </c>
      <c r="D55" s="43" t="s">
        <v>5</v>
      </c>
      <c r="E55" s="57" t="str">
        <f>VLOOKUP(AZ55,$B$4:$F$11,2,FALSE)</f>
        <v>Istar Snijders</v>
      </c>
      <c r="F55" s="57"/>
      <c r="G55" s="57"/>
      <c r="H55" s="57"/>
      <c r="J55" s="57">
        <f>IF(T55="","",VLOOKUP(T55,Configuratie!$B$1:$E$10,3,FALSE))</f>
        <v>1</v>
      </c>
      <c r="K55" s="57"/>
      <c r="L55" s="6" t="s">
        <v>5</v>
      </c>
      <c r="M55" s="57">
        <f>IF(T55="","",VLOOKUP(T55,Configuratie!$B$1:$E$10,4,FALSE))</f>
        <v>0</v>
      </c>
      <c r="N55" s="57"/>
      <c r="R55" s="6" t="str">
        <f>IF(T55="","",VLOOKUP(T55,Configuratie!$B$1:$E$10,2,FALSE))</f>
        <v>1-0</v>
      </c>
      <c r="T55" s="5">
        <v>1</v>
      </c>
      <c r="AX55" s="6">
        <v>7</v>
      </c>
      <c r="AY55" s="6">
        <v>2</v>
      </c>
      <c r="AZ55" s="6">
        <v>1</v>
      </c>
      <c r="BA55" s="6">
        <f t="shared" si="44"/>
        <v>1</v>
      </c>
      <c r="BC55" s="44">
        <f>AY55*100+AZ55</f>
        <v>201</v>
      </c>
      <c r="BD55" s="44">
        <f>AZ55*100+AY55</f>
        <v>102</v>
      </c>
      <c r="BE55" s="6">
        <f t="shared" si="43"/>
        <v>5</v>
      </c>
      <c r="BF55" s="6">
        <f t="shared" si="43"/>
        <v>5</v>
      </c>
      <c r="BG55" s="6">
        <f>J55*BF55</f>
        <v>5</v>
      </c>
      <c r="BH55" s="6">
        <f>M55*BE55</f>
        <v>0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3" priority="4" stopIfTrue="1" operator="between">
      <formula>0</formula>
      <formula>1</formula>
    </cfRule>
  </conditionalFormatting>
  <conditionalFormatting sqref="T4:U11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 verticalCentered="1"/>
  <pageMargins left="0.7" right="0.7" top="0.75" bottom="0.75" header="0.3" footer="0.3"/>
  <pageSetup scale="56" orientation="portrait" r:id="rId1"/>
  <rowBreaks count="1" manualBreakCount="1">
    <brk id="3" min="1" max="19" man="1"/>
  </rowBreaks>
  <colBreaks count="3" manualBreakCount="3">
    <brk id="12" max="54" man="1"/>
    <brk id="20" max="1048575" man="1"/>
    <brk id="19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 collapsed="1"/>
    <col min="2" max="2" width="13.42578125" customWidth="1" collapsed="1"/>
  </cols>
  <sheetData>
    <row r="1" spans="1:8" ht="26.25" x14ac:dyDescent="0.4">
      <c r="A1" s="56" t="s">
        <v>37</v>
      </c>
      <c r="B1" s="56"/>
      <c r="C1" s="56"/>
      <c r="D1" s="56"/>
      <c r="E1" s="56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55" t="s">
        <v>6</v>
      </c>
      <c r="B3" s="55" t="s">
        <v>7</v>
      </c>
      <c r="C3" s="55" t="s">
        <v>8</v>
      </c>
      <c r="D3" s="55" t="s">
        <v>62</v>
      </c>
      <c r="E3" s="2"/>
      <c r="F3" s="1"/>
      <c r="G3" s="1"/>
      <c r="H3" s="1"/>
    </row>
    <row r="4" spans="1:8" x14ac:dyDescent="0.25">
      <c r="A4" s="1" t="str">
        <f>'Groep A'!C5</f>
        <v>Stein van Tol</v>
      </c>
      <c r="B4" s="1">
        <f>'Groep A'!D5</f>
        <v>8445019</v>
      </c>
      <c r="C4" s="1">
        <f>'Groep A'!F5</f>
        <v>1391</v>
      </c>
      <c r="D4" s="1" t="s">
        <v>63</v>
      </c>
      <c r="E4" s="1"/>
      <c r="F4" s="1"/>
      <c r="G4" s="1"/>
      <c r="H4" s="1"/>
    </row>
    <row r="6" spans="1:8" x14ac:dyDescent="0.25">
      <c r="A6" s="1" t="str">
        <f>'Groep A'!C6</f>
        <v>Jannes Westerhof</v>
      </c>
      <c r="B6" s="1">
        <f>'Groep A'!D6</f>
        <v>8566503</v>
      </c>
      <c r="C6" s="1">
        <f>'Groep A'!F6</f>
        <v>1085</v>
      </c>
      <c r="D6" s="1" t="s">
        <v>63</v>
      </c>
      <c r="E6" s="1"/>
      <c r="F6" s="1"/>
      <c r="G6" s="1"/>
      <c r="H6" s="1"/>
    </row>
    <row r="7" spans="1:8" x14ac:dyDescent="0.25">
      <c r="A7" s="1" t="str">
        <f>'Groep A'!C7</f>
        <v>Wouter Wieggers</v>
      </c>
      <c r="B7" s="1">
        <f>'Groep A'!D7</f>
        <v>8621800</v>
      </c>
      <c r="C7" s="1">
        <f>'Groep A'!F7</f>
        <v>846</v>
      </c>
      <c r="D7" s="1" t="s">
        <v>63</v>
      </c>
      <c r="E7" s="1"/>
      <c r="F7" s="1"/>
      <c r="G7" s="1"/>
      <c r="H7" s="1"/>
    </row>
    <row r="8" spans="1:8" x14ac:dyDescent="0.25">
      <c r="A8" s="1" t="str">
        <f>'Groep A'!C8</f>
        <v>Bram Zaalmink</v>
      </c>
      <c r="B8" s="1">
        <f>'Groep A'!D8</f>
        <v>8632360</v>
      </c>
      <c r="C8" s="1">
        <f>'Groep A'!F8</f>
        <v>795</v>
      </c>
      <c r="D8" s="1" t="s">
        <v>63</v>
      </c>
      <c r="E8" s="1"/>
      <c r="F8" s="1"/>
      <c r="G8" s="1"/>
      <c r="H8" s="1"/>
    </row>
    <row r="9" spans="1:8" x14ac:dyDescent="0.25">
      <c r="A9" s="1" t="str">
        <f>'Groep A'!C9</f>
        <v>Abel Hogenhout</v>
      </c>
      <c r="B9" s="1">
        <f>'Groep A'!D9</f>
        <v>8589856</v>
      </c>
      <c r="C9" s="1">
        <f>'Groep A'!F9</f>
        <v>794</v>
      </c>
      <c r="D9" s="1" t="s">
        <v>63</v>
      </c>
      <c r="E9" s="1"/>
      <c r="F9" s="1"/>
      <c r="G9" s="1"/>
      <c r="H9" s="1"/>
    </row>
    <row r="10" spans="1:8" x14ac:dyDescent="0.25">
      <c r="A10" s="1" t="str">
        <f>'Groep A'!C10</f>
        <v>Joep Westerhof</v>
      </c>
      <c r="B10" s="1">
        <f>'Groep A'!D10</f>
        <v>8566492</v>
      </c>
      <c r="C10" s="1">
        <f>'Groep A'!F10</f>
        <v>749</v>
      </c>
      <c r="D10" s="1" t="s">
        <v>63</v>
      </c>
      <c r="E10" s="1"/>
      <c r="F10" s="1"/>
      <c r="G10" s="1"/>
      <c r="H10" s="1"/>
    </row>
    <row r="11" spans="1:8" x14ac:dyDescent="0.25">
      <c r="A11" s="1" t="str">
        <f>'Groep A'!C11</f>
        <v>Katja Tangarife Ramirez *</v>
      </c>
      <c r="B11" s="1">
        <f>'Groep A'!D11</f>
        <v>8588492</v>
      </c>
      <c r="C11" s="1">
        <f>'Groep A'!F11</f>
        <v>729</v>
      </c>
      <c r="D11" s="1" t="s">
        <v>63</v>
      </c>
      <c r="E11" s="1"/>
      <c r="F11" s="1"/>
      <c r="G11" s="1"/>
      <c r="H11" s="1"/>
    </row>
    <row r="12" spans="1:8" x14ac:dyDescent="0.25">
      <c r="A12" s="1" t="str">
        <f>'Groep B'!C4</f>
        <v>Wilfried Snijders</v>
      </c>
      <c r="B12" s="1">
        <f>'Groep B'!D4</f>
        <v>8697359</v>
      </c>
      <c r="C12" s="1">
        <f>'Groep B'!F4</f>
        <v>682</v>
      </c>
      <c r="D12" s="1" t="s">
        <v>72</v>
      </c>
      <c r="E12" s="1"/>
      <c r="F12" s="1"/>
      <c r="G12" s="1"/>
      <c r="H12" s="1"/>
    </row>
    <row r="13" spans="1:8" x14ac:dyDescent="0.25">
      <c r="A13" s="1" t="str">
        <f>'Groep B'!C5</f>
        <v>Nestor Shirokov</v>
      </c>
      <c r="B13" s="1">
        <f>'Groep B'!D5</f>
        <v>8593464</v>
      </c>
      <c r="C13" s="1">
        <f>'Groep B'!F5</f>
        <v>569</v>
      </c>
      <c r="D13" s="1" t="s">
        <v>72</v>
      </c>
      <c r="E13" s="1"/>
      <c r="F13" s="1"/>
      <c r="G13" s="1"/>
      <c r="H13" s="1"/>
    </row>
    <row r="14" spans="1:8" x14ac:dyDescent="0.25">
      <c r="A14" s="1" t="str">
        <f>'Groep B'!C6</f>
        <v>Floran Ahoud</v>
      </c>
      <c r="B14" s="1">
        <f>'Groep B'!D6</f>
        <v>8669210</v>
      </c>
      <c r="C14" s="1">
        <f>'Groep B'!F6</f>
        <v>533</v>
      </c>
      <c r="D14" s="1" t="s">
        <v>72</v>
      </c>
      <c r="E14" s="1"/>
      <c r="F14" s="1"/>
      <c r="G14" s="1"/>
      <c r="H14" s="1"/>
    </row>
    <row r="15" spans="1:8" x14ac:dyDescent="0.25">
      <c r="A15" s="1" t="str">
        <f>'Groep B'!C7</f>
        <v>Faya Damen *</v>
      </c>
      <c r="B15" s="1">
        <f>'Groep B'!D7</f>
        <v>8750687</v>
      </c>
      <c r="C15" s="1">
        <f>'Groep B'!F7</f>
        <v>520</v>
      </c>
      <c r="D15" s="1" t="s">
        <v>72</v>
      </c>
      <c r="E15" s="1"/>
      <c r="F15" s="1"/>
      <c r="G15" s="1"/>
      <c r="H15" s="1"/>
    </row>
    <row r="16" spans="1:8" x14ac:dyDescent="0.25">
      <c r="A16" s="1" t="str">
        <f>'Groep B'!C8</f>
        <v>Bram Wierbos</v>
      </c>
      <c r="B16" s="1">
        <f>'Groep B'!D8</f>
        <v>8729754</v>
      </c>
      <c r="C16" s="1">
        <f>'Groep B'!F8</f>
        <v>513</v>
      </c>
      <c r="D16" s="1" t="s">
        <v>72</v>
      </c>
      <c r="E16" s="1"/>
      <c r="F16" s="1"/>
      <c r="G16" s="1"/>
      <c r="H16" s="1"/>
    </row>
    <row r="17" spans="1:8" x14ac:dyDescent="0.25">
      <c r="A17" s="1" t="str">
        <f>'Groep B'!C9</f>
        <v>Cecilia Pereira Garza *</v>
      </c>
      <c r="B17" s="1">
        <f>'Groep B'!D9</f>
        <v>8749455</v>
      </c>
      <c r="C17" s="1">
        <f>'Groep B'!F9</f>
        <v>486</v>
      </c>
      <c r="D17" s="1" t="s">
        <v>72</v>
      </c>
      <c r="E17" s="1"/>
      <c r="F17" s="1"/>
      <c r="G17" s="1"/>
      <c r="H17" s="1"/>
    </row>
    <row r="18" spans="1:8" x14ac:dyDescent="0.25">
      <c r="A18" s="1" t="str">
        <f>'Groep B'!C10</f>
        <v>Tobias van Lieshout</v>
      </c>
      <c r="B18" s="1">
        <f>'Groep B'!D10</f>
        <v>8659233</v>
      </c>
      <c r="C18" s="1">
        <f>'Groep B'!F10</f>
        <v>473</v>
      </c>
      <c r="D18" s="1" t="s">
        <v>72</v>
      </c>
      <c r="E18" s="1"/>
      <c r="F18" s="1"/>
      <c r="G18" s="1"/>
      <c r="H18" s="1"/>
    </row>
    <row r="19" spans="1:8" x14ac:dyDescent="0.25">
      <c r="A19" s="1" t="str">
        <f>'Groep B'!C11</f>
        <v>Karsten Dam</v>
      </c>
      <c r="B19" s="1">
        <f>'Groep B'!D11</f>
        <v>8647474</v>
      </c>
      <c r="C19" s="1">
        <f>'Groep B'!F11</f>
        <v>462</v>
      </c>
      <c r="D19" s="1" t="s">
        <v>72</v>
      </c>
      <c r="E19" s="1"/>
      <c r="F19" s="1"/>
      <c r="G19" s="1"/>
      <c r="H19" s="1"/>
    </row>
    <row r="20" spans="1:8" x14ac:dyDescent="0.25">
      <c r="A20" s="1" t="str">
        <f>'Groep C'!C4</f>
        <v>Oscar Zecha</v>
      </c>
      <c r="B20" s="1">
        <f>'Groep C'!D4</f>
        <v>8794742</v>
      </c>
      <c r="C20" s="1">
        <f>'Groep C'!F4</f>
        <v>412</v>
      </c>
      <c r="D20" s="1" t="s">
        <v>81</v>
      </c>
      <c r="E20" s="1"/>
      <c r="F20" s="1"/>
      <c r="G20" s="1"/>
      <c r="H20" s="1"/>
    </row>
    <row r="21" spans="1:8" x14ac:dyDescent="0.25">
      <c r="A21" s="1" t="str">
        <f>'Groep C'!C5</f>
        <v>Maarten van Eck</v>
      </c>
      <c r="B21" s="1">
        <f>'Groep C'!D5</f>
        <v>8704828</v>
      </c>
      <c r="C21" s="1">
        <f>'Groep C'!F5</f>
        <v>395</v>
      </c>
      <c r="D21" s="1" t="s">
        <v>81</v>
      </c>
      <c r="E21" s="1"/>
      <c r="F21" s="1"/>
      <c r="G21" s="1"/>
      <c r="H21" s="1"/>
    </row>
    <row r="22" spans="1:8" x14ac:dyDescent="0.25">
      <c r="A22" s="1" t="str">
        <f>'Groep C'!C6</f>
        <v>Jelle van Mullekom</v>
      </c>
      <c r="B22" s="1">
        <f>'Groep C'!D6</f>
        <v>8631359</v>
      </c>
      <c r="C22" s="1">
        <f>'Groep C'!F6</f>
        <v>379</v>
      </c>
      <c r="D22" s="1" t="s">
        <v>81</v>
      </c>
      <c r="E22" s="1"/>
      <c r="F22" s="1"/>
      <c r="G22" s="1"/>
      <c r="H22" s="1"/>
    </row>
    <row r="23" spans="1:8" x14ac:dyDescent="0.25">
      <c r="A23" s="1" t="str">
        <f>'Groep C'!C7</f>
        <v>Julian Frankema</v>
      </c>
      <c r="B23" s="1">
        <f>'Groep C'!D7</f>
        <v>8705015</v>
      </c>
      <c r="C23" s="1">
        <f>'Groep C'!F7</f>
        <v>372</v>
      </c>
      <c r="D23" s="1" t="s">
        <v>81</v>
      </c>
      <c r="E23" s="1"/>
      <c r="F23" s="1"/>
      <c r="G23" s="1"/>
      <c r="H23" s="1"/>
    </row>
    <row r="24" spans="1:8" x14ac:dyDescent="0.25">
      <c r="A24" s="1" t="str">
        <f>'Groep C'!C8</f>
        <v>Philip Gabbert</v>
      </c>
      <c r="B24" s="1">
        <f>'Groep C'!D8</f>
        <v>8532414</v>
      </c>
      <c r="C24" s="1">
        <f>'Groep C'!F8</f>
        <v>358</v>
      </c>
      <c r="D24" s="1" t="s">
        <v>81</v>
      </c>
      <c r="E24" s="1"/>
      <c r="F24" s="1"/>
      <c r="G24" s="1"/>
      <c r="H24" s="1"/>
    </row>
    <row r="25" spans="1:8" x14ac:dyDescent="0.25">
      <c r="A25" s="1" t="str">
        <f>'Groep C'!C9</f>
        <v>Iva Binnendijk *</v>
      </c>
      <c r="B25" s="1">
        <f>'Groep C'!D9</f>
        <v>8557670</v>
      </c>
      <c r="C25" s="1">
        <f>'Groep C'!F9</f>
        <v>356</v>
      </c>
      <c r="D25" s="1" t="s">
        <v>81</v>
      </c>
      <c r="E25" s="1"/>
      <c r="F25" s="1"/>
      <c r="G25" s="1"/>
      <c r="H25" s="1"/>
    </row>
    <row r="26" spans="1:8" x14ac:dyDescent="0.25">
      <c r="A26" s="1" t="str">
        <f>'Groep C'!C10</f>
        <v>Ziad Dodik</v>
      </c>
      <c r="B26" s="1">
        <f>'Groep C'!D10</f>
        <v>8796139</v>
      </c>
      <c r="C26" s="1">
        <f>'Groep C'!F10</f>
        <v>333</v>
      </c>
      <c r="D26" s="1" t="s">
        <v>81</v>
      </c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 t="str">
        <f>'Groep D'!C4</f>
        <v>Reiko Dirksen</v>
      </c>
      <c r="B28" s="1">
        <f>'Groep D'!D4</f>
        <v>8704872</v>
      </c>
      <c r="C28" s="1">
        <f>'Groep D'!F4</f>
        <v>332</v>
      </c>
      <c r="D28" s="1" t="s">
        <v>90</v>
      </c>
      <c r="E28" s="1"/>
      <c r="F28" s="1"/>
      <c r="G28" s="1"/>
      <c r="H28" s="1"/>
    </row>
    <row r="29" spans="1:8" x14ac:dyDescent="0.25">
      <c r="A29" s="1" t="str">
        <f>'Groep D'!C5</f>
        <v>Fleur Westerhof *</v>
      </c>
      <c r="B29" s="1">
        <f>'Groep D'!D5</f>
        <v>8731239</v>
      </c>
      <c r="C29" s="1">
        <f>'Groep D'!F5</f>
        <v>330</v>
      </c>
      <c r="D29" s="1" t="s">
        <v>90</v>
      </c>
      <c r="E29" s="1"/>
      <c r="F29" s="1"/>
      <c r="G29" s="1"/>
      <c r="H29" s="1"/>
    </row>
    <row r="30" spans="1:8" x14ac:dyDescent="0.25">
      <c r="A30" s="1" t="str">
        <f>'Groep D'!C6</f>
        <v>Magdalena Shirokov *</v>
      </c>
      <c r="B30" s="1">
        <f>'Groep D'!D6</f>
        <v>8626068</v>
      </c>
      <c r="C30" s="1">
        <f>'Groep D'!F6</f>
        <v>321</v>
      </c>
      <c r="D30" s="1" t="s">
        <v>90</v>
      </c>
      <c r="E30" s="1"/>
      <c r="F30" s="1"/>
      <c r="G30" s="1"/>
      <c r="H30" s="1"/>
    </row>
    <row r="31" spans="1:8" x14ac:dyDescent="0.25">
      <c r="A31" s="1" t="str">
        <f>'Groep D'!C7</f>
        <v>Maurijn Ahoud</v>
      </c>
      <c r="B31" s="1">
        <f>'Groep D'!D7</f>
        <v>8669353</v>
      </c>
      <c r="C31" s="1">
        <f>'Groep D'!F7</f>
        <v>282</v>
      </c>
      <c r="D31" s="1" t="s">
        <v>90</v>
      </c>
      <c r="E31" s="1"/>
      <c r="F31" s="1"/>
      <c r="G31" s="1"/>
      <c r="H31" s="1"/>
    </row>
    <row r="32" spans="1:8" x14ac:dyDescent="0.25">
      <c r="A32" s="1" t="str">
        <f>'Groep D'!C8</f>
        <v>Koen Wattel</v>
      </c>
      <c r="B32" s="1">
        <f>'Groep D'!D8</f>
        <v>8768298</v>
      </c>
      <c r="C32" s="1">
        <f>'Groep D'!F8</f>
        <v>272</v>
      </c>
      <c r="D32" s="1" t="s">
        <v>90</v>
      </c>
      <c r="E32" s="1"/>
      <c r="F32" s="1"/>
      <c r="G32" s="1"/>
      <c r="H32" s="1"/>
    </row>
    <row r="33" spans="1:8" x14ac:dyDescent="0.25">
      <c r="A33" s="1" t="str">
        <f>'Groep D'!C9</f>
        <v>Teun Cloosterman</v>
      </c>
      <c r="B33" s="1">
        <f>'Groep D'!D9</f>
        <v>8783709</v>
      </c>
      <c r="C33" s="1">
        <f>'Groep D'!F9</f>
        <v>268</v>
      </c>
      <c r="D33" s="1" t="s">
        <v>90</v>
      </c>
      <c r="E33" s="1"/>
      <c r="F33" s="1"/>
      <c r="G33" s="1"/>
      <c r="H33" s="1"/>
    </row>
    <row r="34" spans="1:8" x14ac:dyDescent="0.25">
      <c r="A34" s="1" t="str">
        <f>'Groep D'!C10</f>
        <v>Robert Nica</v>
      </c>
      <c r="B34" s="1">
        <f>'Groep D'!D10</f>
        <v>8632261</v>
      </c>
      <c r="C34" s="1">
        <f>'Groep D'!F10</f>
        <v>237</v>
      </c>
      <c r="D34" s="1" t="s">
        <v>90</v>
      </c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 t="str">
        <f>'Groep E'!C4</f>
        <v>Eelco Drijfhout</v>
      </c>
      <c r="B36" s="1">
        <f>'Groep E'!D4</f>
        <v>8800671</v>
      </c>
      <c r="C36" s="1">
        <f>'Groep E'!F4</f>
        <v>224</v>
      </c>
      <c r="D36" s="1" t="s">
        <v>98</v>
      </c>
      <c r="E36" s="1"/>
      <c r="F36" s="1"/>
      <c r="G36" s="1"/>
      <c r="H36" s="1"/>
    </row>
    <row r="37" spans="1:8" x14ac:dyDescent="0.25">
      <c r="A37" s="1" t="str">
        <f>'Groep E'!C5</f>
        <v>Tigran Grigorjan</v>
      </c>
      <c r="B37" s="1">
        <f>'Groep E'!D5</f>
        <v>8803520</v>
      </c>
      <c r="C37" s="1">
        <f>'Groep E'!F5</f>
        <v>223</v>
      </c>
      <c r="D37" s="1" t="s">
        <v>98</v>
      </c>
      <c r="E37" s="1"/>
      <c r="F37" s="1"/>
      <c r="G37" s="1"/>
      <c r="H37" s="1"/>
    </row>
    <row r="38" spans="1:8" x14ac:dyDescent="0.25">
      <c r="A38" s="1" t="str">
        <f>'Groep E'!C6</f>
        <v>Yaroslav Shirokov</v>
      </c>
      <c r="B38" s="1">
        <f>'Groep E'!D6</f>
        <v>8724661</v>
      </c>
      <c r="C38" s="1">
        <f>'Groep E'!F6</f>
        <v>214</v>
      </c>
      <c r="D38" s="1" t="s">
        <v>98</v>
      </c>
      <c r="E38" s="1"/>
      <c r="F38" s="1"/>
      <c r="G38" s="1"/>
      <c r="H38" s="1"/>
    </row>
    <row r="39" spans="1:8" x14ac:dyDescent="0.25">
      <c r="A39" s="1" t="str">
        <f>'Groep E'!C7</f>
        <v>David Formanoy</v>
      </c>
      <c r="B39" s="1">
        <f>'Groep E'!D7</f>
        <v>8762424</v>
      </c>
      <c r="C39" s="1">
        <f>'Groep E'!F7</f>
        <v>212</v>
      </c>
      <c r="D39" s="1" t="s">
        <v>98</v>
      </c>
      <c r="E39" s="1"/>
      <c r="F39" s="1"/>
      <c r="G39" s="1"/>
      <c r="H39" s="1"/>
    </row>
    <row r="40" spans="1:8" x14ac:dyDescent="0.25">
      <c r="A40" s="1" t="str">
        <f>'Groep E'!C8</f>
        <v>Joris Frankema</v>
      </c>
      <c r="B40" s="1">
        <f>'Groep E'!D8</f>
        <v>8704993</v>
      </c>
      <c r="C40" s="1">
        <f>'Groep E'!F8</f>
        <v>211</v>
      </c>
      <c r="D40" s="1" t="s">
        <v>98</v>
      </c>
      <c r="E40" s="1"/>
      <c r="F40" s="1"/>
      <c r="G40" s="1"/>
      <c r="H40" s="1"/>
    </row>
    <row r="41" spans="1:8" x14ac:dyDescent="0.25">
      <c r="A41" s="1" t="str">
        <f>'Groep E'!C9</f>
        <v>Oscar Hengeveld</v>
      </c>
      <c r="B41" s="1">
        <f>'Groep E'!D9</f>
        <v>8662632</v>
      </c>
      <c r="C41" s="1">
        <f>'Groep E'!F9</f>
        <v>198</v>
      </c>
      <c r="D41" s="1" t="s">
        <v>98</v>
      </c>
      <c r="E41" s="1"/>
      <c r="F41" s="1"/>
      <c r="G41" s="1"/>
      <c r="H41" s="1"/>
    </row>
    <row r="42" spans="1:8" x14ac:dyDescent="0.25">
      <c r="A42" s="1" t="str">
        <f>'Groep E'!C10</f>
        <v>David Militonian</v>
      </c>
      <c r="B42" s="1">
        <f>'Groep E'!D10</f>
        <v>8795831</v>
      </c>
      <c r="C42" s="1">
        <f>'Groep E'!F10</f>
        <v>190</v>
      </c>
      <c r="D42" s="1" t="s">
        <v>98</v>
      </c>
      <c r="E42" s="1"/>
      <c r="F42" s="1"/>
      <c r="G42" s="1"/>
      <c r="H42" s="1"/>
    </row>
    <row r="43" spans="1:8" x14ac:dyDescent="0.25">
      <c r="A43" s="1" t="str">
        <f>'Groep E'!C11</f>
        <v>Elianne Snijders *</v>
      </c>
      <c r="B43" s="1">
        <f>'Groep E'!D11</f>
        <v>8761390</v>
      </c>
      <c r="C43" s="1">
        <f>'Groep E'!F11</f>
        <v>190</v>
      </c>
      <c r="D43" s="1" t="s">
        <v>98</v>
      </c>
      <c r="E43" s="1"/>
      <c r="F43" s="1"/>
      <c r="G43" s="1"/>
      <c r="H43" s="1"/>
    </row>
    <row r="44" spans="1:8" x14ac:dyDescent="0.25">
      <c r="A44" s="1" t="str">
        <f>'Groep F'!C4</f>
        <v>Istar Snijders</v>
      </c>
      <c r="B44" s="1">
        <f>'Groep F'!D4</f>
        <v>8697348</v>
      </c>
      <c r="C44" s="1">
        <f>'Groep F'!F4</f>
        <v>150</v>
      </c>
      <c r="D44" s="1" t="s">
        <v>107</v>
      </c>
      <c r="E44" s="1"/>
      <c r="F44" s="1"/>
      <c r="G44" s="1"/>
      <c r="H44" s="1"/>
    </row>
    <row r="45" spans="1:8" x14ac:dyDescent="0.25">
      <c r="A45" s="1" t="str">
        <f>'Groep F'!C5</f>
        <v>Teun Zaalmink</v>
      </c>
      <c r="B45" s="1">
        <f>'Groep F'!D5</f>
        <v>8650444</v>
      </c>
      <c r="C45" s="1">
        <f>'Groep F'!F5</f>
        <v>150</v>
      </c>
      <c r="D45" s="1" t="s">
        <v>107</v>
      </c>
      <c r="E45" s="1"/>
      <c r="F45" s="1"/>
      <c r="G45" s="1"/>
      <c r="H45" s="1"/>
    </row>
    <row r="46" spans="1:8" x14ac:dyDescent="0.25">
      <c r="A46" s="1" t="str">
        <f>'Groep F'!C6</f>
        <v>Quintus Keij</v>
      </c>
      <c r="B46" s="1">
        <f>'Groep F'!D6</f>
        <v>8787449</v>
      </c>
      <c r="C46" s="1">
        <f>'Groep F'!F6</f>
        <v>132</v>
      </c>
      <c r="D46" s="1" t="s">
        <v>107</v>
      </c>
      <c r="E46" s="1"/>
      <c r="F46" s="1"/>
      <c r="G46" s="1"/>
      <c r="H46" s="1"/>
    </row>
    <row r="47" spans="1:8" x14ac:dyDescent="0.25">
      <c r="A47" s="1" t="str">
        <f>'Groep F'!C7</f>
        <v>Max Zheng</v>
      </c>
      <c r="B47" s="1">
        <f>'Groep F'!D7</f>
        <v>8809768</v>
      </c>
      <c r="C47" s="1">
        <f>'Groep F'!F7</f>
        <v>100</v>
      </c>
      <c r="D47" s="1" t="s">
        <v>107</v>
      </c>
      <c r="E47" s="1"/>
      <c r="F47" s="1"/>
      <c r="G47" s="1"/>
      <c r="H47" s="1"/>
    </row>
    <row r="48" spans="1:8" x14ac:dyDescent="0.25">
      <c r="A48" s="1" t="str">
        <f>'Groep F'!C8</f>
        <v>Einar Fokers</v>
      </c>
      <c r="B48" s="1">
        <f>'Groep F'!D8</f>
        <v>8783280</v>
      </c>
      <c r="C48" s="1">
        <f>'Groep F'!F8</f>
        <v>150</v>
      </c>
      <c r="D48" s="1" t="s">
        <v>107</v>
      </c>
      <c r="E48" s="1"/>
      <c r="F48" s="1"/>
      <c r="G48" s="1"/>
      <c r="H48" s="1"/>
    </row>
    <row r="49" spans="1:8" x14ac:dyDescent="0.25">
      <c r="A49" s="1" t="str">
        <f>'Groep F'!C9</f>
        <v>Kailas Bense</v>
      </c>
      <c r="B49" s="1">
        <f>'Groep F'!D9</f>
        <v>8809757</v>
      </c>
      <c r="C49" s="1">
        <f>'Groep F'!F9</f>
        <v>150</v>
      </c>
      <c r="D49" s="1" t="s">
        <v>107</v>
      </c>
      <c r="E49" s="1"/>
      <c r="F49" s="1"/>
      <c r="G49" s="1"/>
      <c r="H49" s="1"/>
    </row>
    <row r="50" spans="1:8" x14ac:dyDescent="0.25">
      <c r="A50" s="1" t="str">
        <f>'Groep F'!C10</f>
        <v>David de Koeijer</v>
      </c>
      <c r="B50" s="1">
        <f>'Groep F'!D10</f>
        <v>8809735</v>
      </c>
      <c r="C50" s="1">
        <f>'Groep F'!F10</f>
        <v>150</v>
      </c>
      <c r="D50" s="1" t="s">
        <v>107</v>
      </c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6</vt:i4>
      </vt:variant>
    </vt:vector>
  </HeadingPairs>
  <TitlesOfParts>
    <vt:vector size="16" baseType="lpstr">
      <vt:lpstr>Groepsindeling</vt:lpstr>
      <vt:lpstr>Deelnemerslijst</vt:lpstr>
      <vt:lpstr>Configuratie</vt:lpstr>
      <vt:lpstr>Groep A</vt:lpstr>
      <vt:lpstr>Groep B</vt:lpstr>
      <vt:lpstr>Groep C</vt:lpstr>
      <vt:lpstr>Groep D</vt:lpstr>
      <vt:lpstr>Groep E</vt:lpstr>
      <vt:lpstr>Groep F</vt:lpstr>
      <vt:lpstr>Deelnemerslijst (naam)</vt:lpstr>
      <vt:lpstr>'Groep A'!Afdrukbereik</vt:lpstr>
      <vt:lpstr>'Groep B'!Afdrukbereik</vt:lpstr>
      <vt:lpstr>'Groep C'!Afdrukbereik</vt:lpstr>
      <vt:lpstr>'Groep D'!Afdrukbereik</vt:lpstr>
      <vt:lpstr>'Groep E'!Afdrukbereik</vt:lpstr>
      <vt:lpstr>'Groep F'!Afdrukbereik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2018-10-06T18:33:32Z</dcterms:modified>
</cp:coreProperties>
</file>