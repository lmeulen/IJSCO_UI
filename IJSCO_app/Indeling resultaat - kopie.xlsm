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D852" lockStructure="1"/>
  <bookViews>
    <workbookView xWindow="10305" yWindow="-15" windowWidth="10200" windowHeight="7260" firstSheet="8" activeTab="8"/>
  </bookViews>
  <sheets>
    <sheet name="Groepsindeling" sheetId="6" r:id="rId1"/>
    <sheet name="Deelnemerslijst" sheetId="5" r:id="rId2"/>
    <sheet name="Configuratie" sheetId="7" r:id="rId3"/>
    <sheet name="Groep A" sheetId="8" r:id="rId4"/>
    <sheet name="Groep B" sheetId="9" r:id="rId5"/>
    <sheet name="Groep C" sheetId="10" r:id="rId6"/>
    <sheet name="Groep D" sheetId="11" r:id="rId7"/>
    <sheet name="Groep E" sheetId="12" r:id="rId8"/>
    <sheet name="Groep F" sheetId="13" r:id="rId9"/>
    <sheet name="Groep G" sheetId="14" r:id="rId10"/>
    <sheet name="Groep H" sheetId="15" r:id="rId11"/>
    <sheet name="Groep I" sheetId="16" r:id="rId12"/>
    <sheet name="Groep J" sheetId="17" r:id="rId13"/>
    <sheet name="Groep K" sheetId="18" r:id="rId14"/>
    <sheet name="Groep L" sheetId="19" r:id="rId15"/>
    <sheet name="Groep M" sheetId="20" r:id="rId16"/>
    <sheet name="Deelnemerslijst (naam)" sheetId="21" r:id="rId17"/>
  </sheets>
  <externalReferences>
    <externalReference r:id="rId18"/>
  </externalReferences>
  <definedNames>
    <definedName name="_xlnm.Print_Area" localSheetId="3">'Groep A'!$B$1:$AA$21</definedName>
    <definedName name="_xlnm.Print_Area" localSheetId="4">'Groep B'!$B$1:$AA$21</definedName>
    <definedName name="_xlnm.Print_Area" localSheetId="5">'Groep C'!$B$1:$AA$21</definedName>
    <definedName name="_xlnm.Print_Area" localSheetId="6">'Groep D'!$B$1:$AA$21</definedName>
    <definedName name="_xlnm.Print_Area" localSheetId="7">'Groep E'!$B$1:$AA$36</definedName>
    <definedName name="_xlnm.Print_Area" localSheetId="8">'Groep F'!$B$1:$AA$36</definedName>
    <definedName name="_xlnm.Print_Area" localSheetId="9">'Groep G'!$B$1:$AA$36</definedName>
    <definedName name="_xlnm.Print_Area" localSheetId="10">'Groep H'!$B$1:$AA$36</definedName>
    <definedName name="_xlnm.Print_Area" localSheetId="11">'Groep I'!$B$1:$AA$36</definedName>
    <definedName name="_xlnm.Print_Area" localSheetId="12">'Groep J'!$B$1:$AA$36</definedName>
    <definedName name="_xlnm.Print_Area" localSheetId="13">'Groep K'!$B$1:$AA$55</definedName>
    <definedName name="_xlnm.Print_Area" localSheetId="14">'Groep L'!$B$1:$AA$55</definedName>
    <definedName name="_xlnm.Print_Area" localSheetId="15">'Groep M'!$B$1:$AA$55</definedName>
    <definedName name="uitslag1_1">'[1]4'!$S$12</definedName>
    <definedName name="uitslag1_2">'[1]4'!$S$13</definedName>
    <definedName name="uitslag2_1">'[1]4'!$S$16</definedName>
    <definedName name="uitslag2_2">'[1]4'!$S$17</definedName>
    <definedName name="uitslag3_1">'[1]4'!$S$20</definedName>
    <definedName name="uitslag3_2">'[1]4'!$S$21</definedName>
  </definedNames>
  <calcPr calcId="145621"/>
</workbook>
</file>

<file path=xl/calcChain.xml><?xml version="1.0" encoding="utf-8"?>
<calcChain xmlns="http://schemas.openxmlformats.org/spreadsheetml/2006/main">
  <c r="C79" i="21" l="1"/>
  <c r="B79" i="21"/>
  <c r="A79" i="21"/>
  <c r="C78" i="21"/>
  <c r="B78" i="21"/>
  <c r="A78" i="21"/>
  <c r="C77" i="21"/>
  <c r="B77" i="21"/>
  <c r="A77" i="21"/>
  <c r="C76" i="21"/>
  <c r="B76" i="21"/>
  <c r="A76" i="21"/>
  <c r="C75" i="21"/>
  <c r="B75" i="21"/>
  <c r="A75" i="21"/>
  <c r="C74" i="21"/>
  <c r="B74" i="21"/>
  <c r="A74" i="21"/>
  <c r="C73" i="21"/>
  <c r="B73" i="21"/>
  <c r="A73" i="21"/>
  <c r="C72" i="21"/>
  <c r="B72" i="21"/>
  <c r="A72" i="21"/>
  <c r="C71" i="21"/>
  <c r="B71" i="21"/>
  <c r="A71" i="21"/>
  <c r="C70" i="21"/>
  <c r="B70" i="21"/>
  <c r="A70" i="21"/>
  <c r="C69" i="21"/>
  <c r="B69" i="21"/>
  <c r="A69" i="21"/>
  <c r="C68" i="21"/>
  <c r="B68" i="21"/>
  <c r="A68" i="21"/>
  <c r="C67" i="21"/>
  <c r="B67" i="21"/>
  <c r="A67" i="21"/>
  <c r="C66" i="21"/>
  <c r="B66" i="21"/>
  <c r="A66" i="21"/>
  <c r="C65" i="21"/>
  <c r="B65" i="21"/>
  <c r="A65" i="21"/>
  <c r="C64" i="21"/>
  <c r="B64" i="21"/>
  <c r="A64" i="21"/>
  <c r="C63" i="21"/>
  <c r="B63" i="21"/>
  <c r="A63" i="21"/>
  <c r="C62" i="21"/>
  <c r="B62" i="21"/>
  <c r="A62" i="21"/>
  <c r="C61" i="21"/>
  <c r="B61" i="21"/>
  <c r="A61" i="21"/>
  <c r="C60" i="21"/>
  <c r="B60" i="21"/>
  <c r="A60" i="21"/>
  <c r="C59" i="21"/>
  <c r="B59" i="21"/>
  <c r="A59" i="21"/>
  <c r="C58" i="21"/>
  <c r="B58" i="21"/>
  <c r="A58" i="21"/>
  <c r="C57" i="21"/>
  <c r="B57" i="21"/>
  <c r="A57" i="21"/>
  <c r="C56" i="21"/>
  <c r="B56" i="21"/>
  <c r="A56" i="21"/>
  <c r="C55" i="21"/>
  <c r="B55" i="21"/>
  <c r="A55" i="21"/>
  <c r="C54" i="21"/>
  <c r="B54" i="21"/>
  <c r="A54" i="21"/>
  <c r="C53" i="21"/>
  <c r="B53" i="21"/>
  <c r="A53" i="21"/>
  <c r="C52" i="21"/>
  <c r="B52" i="21"/>
  <c r="A52" i="21"/>
  <c r="C51" i="21"/>
  <c r="B51" i="21"/>
  <c r="A51" i="21"/>
  <c r="C50" i="21"/>
  <c r="B50" i="21"/>
  <c r="A50" i="21"/>
  <c r="C49" i="21"/>
  <c r="B49" i="21"/>
  <c r="A49" i="21"/>
  <c r="C48" i="21"/>
  <c r="B48" i="21"/>
  <c r="A48" i="21"/>
  <c r="C47" i="21"/>
  <c r="B47" i="21"/>
  <c r="A47" i="21"/>
  <c r="C46" i="21"/>
  <c r="B46" i="21"/>
  <c r="A46" i="21"/>
  <c r="C45" i="21"/>
  <c r="B45" i="21"/>
  <c r="A45" i="21"/>
  <c r="C44" i="21"/>
  <c r="B44" i="21"/>
  <c r="A44" i="21"/>
  <c r="C43" i="21"/>
  <c r="B43" i="21"/>
  <c r="A43" i="21"/>
  <c r="C42" i="21"/>
  <c r="B42" i="21"/>
  <c r="A42" i="21"/>
  <c r="C41" i="21"/>
  <c r="B41" i="21"/>
  <c r="A41" i="21"/>
  <c r="C40" i="21"/>
  <c r="B40" i="21"/>
  <c r="A40" i="21"/>
  <c r="C39" i="21"/>
  <c r="B39" i="21"/>
  <c r="A39" i="21"/>
  <c r="C38" i="21"/>
  <c r="B38" i="21"/>
  <c r="A38" i="21"/>
  <c r="C37" i="21"/>
  <c r="B37" i="21"/>
  <c r="A37" i="21"/>
  <c r="C36" i="21"/>
  <c r="B36" i="21"/>
  <c r="A36" i="21"/>
  <c r="C35" i="21"/>
  <c r="B35" i="21"/>
  <c r="A35" i="21"/>
  <c r="C34" i="21"/>
  <c r="B34" i="21"/>
  <c r="A34" i="21"/>
  <c r="C33" i="21"/>
  <c r="B33" i="21"/>
  <c r="A33" i="21"/>
  <c r="C32" i="21"/>
  <c r="B32" i="21"/>
  <c r="A32" i="21"/>
  <c r="C30" i="21"/>
  <c r="B30" i="21"/>
  <c r="A30" i="21"/>
  <c r="C29" i="21"/>
  <c r="B29" i="21"/>
  <c r="A29" i="21"/>
  <c r="C28" i="21"/>
  <c r="B28" i="21"/>
  <c r="A28" i="21"/>
  <c r="C27" i="21"/>
  <c r="B27" i="21"/>
  <c r="A27" i="21"/>
  <c r="C26" i="21"/>
  <c r="B26" i="21"/>
  <c r="A26" i="21"/>
  <c r="C25" i="21"/>
  <c r="B25" i="21"/>
  <c r="A25" i="21"/>
  <c r="C24" i="21"/>
  <c r="B24" i="21"/>
  <c r="A24" i="21"/>
  <c r="C23" i="21"/>
  <c r="B23" i="21"/>
  <c r="A23" i="21"/>
  <c r="C22" i="21"/>
  <c r="B22" i="21"/>
  <c r="A22" i="21"/>
  <c r="C21" i="21"/>
  <c r="B21" i="21"/>
  <c r="A21" i="21"/>
  <c r="C20" i="21"/>
  <c r="B20" i="21"/>
  <c r="A20" i="21"/>
  <c r="C19" i="21"/>
  <c r="B19" i="21"/>
  <c r="A19" i="21"/>
  <c r="C18" i="21"/>
  <c r="B18" i="21"/>
  <c r="A18" i="21"/>
  <c r="C17" i="21"/>
  <c r="B17" i="21"/>
  <c r="A17" i="21"/>
  <c r="C16" i="21"/>
  <c r="B16" i="21"/>
  <c r="A16" i="21"/>
  <c r="C15" i="21"/>
  <c r="B15" i="21"/>
  <c r="A15" i="21"/>
  <c r="C14" i="21"/>
  <c r="B14" i="21"/>
  <c r="A14" i="21"/>
  <c r="C13" i="21"/>
  <c r="B13" i="21"/>
  <c r="A13" i="21"/>
  <c r="C12" i="21"/>
  <c r="B12" i="21"/>
  <c r="A12" i="21"/>
  <c r="C11" i="21"/>
  <c r="B11" i="21"/>
  <c r="A11" i="21"/>
  <c r="C10" i="21"/>
  <c r="B10" i="21"/>
  <c r="A10" i="21"/>
  <c r="C9" i="21"/>
  <c r="B9" i="21"/>
  <c r="A9" i="21"/>
  <c r="C7" i="21"/>
  <c r="B7" i="21"/>
  <c r="A7" i="21"/>
  <c r="C6" i="21"/>
  <c r="B6" i="21"/>
  <c r="A6" i="21"/>
  <c r="C5" i="21"/>
  <c r="B5" i="21"/>
  <c r="A5" i="21"/>
  <c r="C4" i="21"/>
  <c r="B4" i="21"/>
  <c r="A4" i="21"/>
  <c r="BD55" i="20"/>
  <c r="BC55" i="20"/>
  <c r="R55" i="20"/>
  <c r="M55" i="20"/>
  <c r="BA55" i="20" s="1"/>
  <c r="J55" i="20"/>
  <c r="E55" i="20"/>
  <c r="C55" i="20"/>
  <c r="BD54" i="20"/>
  <c r="BC54" i="20"/>
  <c r="R54" i="20"/>
  <c r="M54" i="20"/>
  <c r="BA54" i="20" s="1"/>
  <c r="J54" i="20"/>
  <c r="E54" i="20"/>
  <c r="C54" i="20"/>
  <c r="BD53" i="20"/>
  <c r="BC53" i="20"/>
  <c r="R53" i="20"/>
  <c r="M53" i="20"/>
  <c r="BA53" i="20" s="1"/>
  <c r="J53" i="20"/>
  <c r="E53" i="20"/>
  <c r="C53" i="20"/>
  <c r="BD52" i="20"/>
  <c r="BC52" i="20"/>
  <c r="R52" i="20"/>
  <c r="M52" i="20"/>
  <c r="BA52" i="20" s="1"/>
  <c r="J52" i="20"/>
  <c r="E52" i="20"/>
  <c r="C52" i="20"/>
  <c r="BD49" i="20"/>
  <c r="BC49" i="20"/>
  <c r="R49" i="20"/>
  <c r="M49" i="20"/>
  <c r="BA49" i="20" s="1"/>
  <c r="J49" i="20"/>
  <c r="E49" i="20"/>
  <c r="C49" i="20"/>
  <c r="BD48" i="20"/>
  <c r="BC48" i="20"/>
  <c r="R48" i="20"/>
  <c r="M48" i="20"/>
  <c r="BA48" i="20" s="1"/>
  <c r="J48" i="20"/>
  <c r="E48" i="20"/>
  <c r="C48" i="20"/>
  <c r="BD47" i="20"/>
  <c r="BC47" i="20"/>
  <c r="R47" i="20"/>
  <c r="M47" i="20"/>
  <c r="BA47" i="20" s="1"/>
  <c r="J47" i="20"/>
  <c r="E47" i="20"/>
  <c r="C47" i="20"/>
  <c r="BD46" i="20"/>
  <c r="BC46" i="20"/>
  <c r="R46" i="20"/>
  <c r="M46" i="20"/>
  <c r="J46" i="20"/>
  <c r="BA46" i="20" s="1"/>
  <c r="E46" i="20"/>
  <c r="C46" i="20"/>
  <c r="BD43" i="20"/>
  <c r="BC43" i="20"/>
  <c r="R43" i="20"/>
  <c r="M43" i="20"/>
  <c r="BA43" i="20" s="1"/>
  <c r="J43" i="20"/>
  <c r="E43" i="20"/>
  <c r="C43" i="20"/>
  <c r="BD42" i="20"/>
  <c r="BC42" i="20"/>
  <c r="R42" i="20"/>
  <c r="M42" i="20"/>
  <c r="BA42" i="20" s="1"/>
  <c r="J42" i="20"/>
  <c r="E42" i="20"/>
  <c r="C42" i="20"/>
  <c r="BD41" i="20"/>
  <c r="BC41" i="20"/>
  <c r="R41" i="20"/>
  <c r="M41" i="20"/>
  <c r="J41" i="20"/>
  <c r="BA41" i="20" s="1"/>
  <c r="E41" i="20"/>
  <c r="C41" i="20"/>
  <c r="BD40" i="20"/>
  <c r="BC40" i="20"/>
  <c r="R40" i="20"/>
  <c r="M40" i="20"/>
  <c r="J40" i="20"/>
  <c r="E40" i="20"/>
  <c r="C40" i="20"/>
  <c r="BD37" i="20"/>
  <c r="BC37" i="20"/>
  <c r="R37" i="20"/>
  <c r="M37" i="20"/>
  <c r="J37" i="20"/>
  <c r="BA37" i="20" s="1"/>
  <c r="E37" i="20"/>
  <c r="C37" i="20"/>
  <c r="BD36" i="20"/>
  <c r="BC36" i="20"/>
  <c r="R36" i="20"/>
  <c r="M36" i="20"/>
  <c r="J36" i="20"/>
  <c r="BA36" i="20" s="1"/>
  <c r="E36" i="20"/>
  <c r="C36" i="20"/>
  <c r="BD35" i="20"/>
  <c r="BC35" i="20"/>
  <c r="R35" i="20"/>
  <c r="M35" i="20"/>
  <c r="BA35" i="20" s="1"/>
  <c r="J35" i="20"/>
  <c r="E35" i="20"/>
  <c r="C35" i="20"/>
  <c r="BD34" i="20"/>
  <c r="BC34" i="20"/>
  <c r="R34" i="20"/>
  <c r="M34" i="20"/>
  <c r="BA34" i="20" s="1"/>
  <c r="J34" i="20"/>
  <c r="E34" i="20"/>
  <c r="C34" i="20"/>
  <c r="BD31" i="20"/>
  <c r="BC31" i="20"/>
  <c r="R31" i="20"/>
  <c r="M31" i="20"/>
  <c r="BA31" i="20" s="1"/>
  <c r="J31" i="20"/>
  <c r="E31" i="20"/>
  <c r="C31" i="20"/>
  <c r="BD30" i="20"/>
  <c r="BC30" i="20"/>
  <c r="R30" i="20"/>
  <c r="M30" i="20"/>
  <c r="J30" i="20"/>
  <c r="BA30" i="20" s="1"/>
  <c r="E30" i="20"/>
  <c r="C30" i="20"/>
  <c r="BD29" i="20"/>
  <c r="BC29" i="20"/>
  <c r="R29" i="20"/>
  <c r="M29" i="20"/>
  <c r="BA29" i="20" s="1"/>
  <c r="J29" i="20"/>
  <c r="E29" i="20"/>
  <c r="C29" i="20"/>
  <c r="BD28" i="20"/>
  <c r="BC28" i="20"/>
  <c r="R28" i="20"/>
  <c r="M28" i="20"/>
  <c r="BA28" i="20" s="1"/>
  <c r="J28" i="20"/>
  <c r="E28" i="20"/>
  <c r="C28" i="20"/>
  <c r="BD25" i="20"/>
  <c r="BC25" i="20"/>
  <c r="R25" i="20"/>
  <c r="M25" i="20"/>
  <c r="BA25" i="20" s="1"/>
  <c r="J25" i="20"/>
  <c r="E25" i="20"/>
  <c r="C25" i="20"/>
  <c r="BD24" i="20"/>
  <c r="BC24" i="20"/>
  <c r="R24" i="20"/>
  <c r="M24" i="20"/>
  <c r="BA24" i="20" s="1"/>
  <c r="J24" i="20"/>
  <c r="E24" i="20"/>
  <c r="C24" i="20"/>
  <c r="BD23" i="20"/>
  <c r="BC23" i="20"/>
  <c r="R23" i="20"/>
  <c r="M23" i="20"/>
  <c r="J23" i="20"/>
  <c r="BA23" i="20" s="1"/>
  <c r="E23" i="20"/>
  <c r="C23" i="20"/>
  <c r="BD22" i="20"/>
  <c r="BC22" i="20"/>
  <c r="R22" i="20"/>
  <c r="M22" i="20"/>
  <c r="BA22" i="20" s="1"/>
  <c r="J22" i="20"/>
  <c r="E22" i="20"/>
  <c r="C22" i="20"/>
  <c r="BD19" i="20"/>
  <c r="BC19" i="20"/>
  <c r="R19" i="20"/>
  <c r="M19" i="20"/>
  <c r="BH19" i="20" s="1"/>
  <c r="J19" i="20"/>
  <c r="BA19" i="20" s="1"/>
  <c r="E19" i="20"/>
  <c r="C19" i="20"/>
  <c r="BD18" i="20"/>
  <c r="BC18" i="20"/>
  <c r="R18" i="20"/>
  <c r="M18" i="20"/>
  <c r="BH18" i="20" s="1"/>
  <c r="J18" i="20"/>
  <c r="BA18" i="20" s="1"/>
  <c r="E18" i="20"/>
  <c r="C18" i="20"/>
  <c r="BD17" i="20"/>
  <c r="BC17" i="20"/>
  <c r="O11" i="20" s="1"/>
  <c r="R17" i="20"/>
  <c r="M17" i="20"/>
  <c r="BH17" i="20" s="1"/>
  <c r="J17" i="20"/>
  <c r="E17" i="20"/>
  <c r="C17" i="20"/>
  <c r="BG16" i="20"/>
  <c r="BD16" i="20"/>
  <c r="BC16" i="20"/>
  <c r="R16" i="20"/>
  <c r="M16" i="20"/>
  <c r="BH16" i="20" s="1"/>
  <c r="J16" i="20"/>
  <c r="E16" i="20"/>
  <c r="C16" i="20"/>
  <c r="BL11" i="20"/>
  <c r="BK11" i="20"/>
  <c r="BJ11" i="20"/>
  <c r="BI11" i="20"/>
  <c r="BH11" i="20"/>
  <c r="BG11" i="20"/>
  <c r="BF11" i="20"/>
  <c r="BE11" i="20"/>
  <c r="BD11" i="20"/>
  <c r="BO11" i="20" s="1"/>
  <c r="AE11" i="20"/>
  <c r="X11" i="20"/>
  <c r="BL10" i="20"/>
  <c r="BK10" i="20"/>
  <c r="BJ10" i="20"/>
  <c r="BI10" i="20"/>
  <c r="BH10" i="20"/>
  <c r="BG10" i="20"/>
  <c r="BF10" i="20"/>
  <c r="BE10" i="20"/>
  <c r="BD10" i="20"/>
  <c r="BO10" i="20" s="1"/>
  <c r="AE10" i="20"/>
  <c r="X10" i="20"/>
  <c r="N10" i="20"/>
  <c r="BL9" i="20"/>
  <c r="BK9" i="20"/>
  <c r="BJ9" i="20"/>
  <c r="BI9" i="20"/>
  <c r="BH9" i="20"/>
  <c r="BG9" i="20"/>
  <c r="BF9" i="20"/>
  <c r="BE9" i="20"/>
  <c r="BD9" i="20"/>
  <c r="BO9" i="20" s="1"/>
  <c r="BF24" i="20" s="1"/>
  <c r="AE9" i="20"/>
  <c r="X9" i="20"/>
  <c r="M9" i="20"/>
  <c r="BL8" i="20"/>
  <c r="BK8" i="20"/>
  <c r="BJ8" i="20"/>
  <c r="BI8" i="20"/>
  <c r="BH8" i="20"/>
  <c r="BG8" i="20"/>
  <c r="BF8" i="20"/>
  <c r="BE8" i="20"/>
  <c r="BD8" i="20"/>
  <c r="BO8" i="20" s="1"/>
  <c r="AE8" i="20"/>
  <c r="X8" i="20"/>
  <c r="L8" i="20"/>
  <c r="BL7" i="20"/>
  <c r="BK7" i="20"/>
  <c r="BJ7" i="20"/>
  <c r="BI7" i="20"/>
  <c r="BH7" i="20"/>
  <c r="BG7" i="20"/>
  <c r="BF7" i="20"/>
  <c r="BE7" i="20"/>
  <c r="BD7" i="20"/>
  <c r="BO7" i="20" s="1"/>
  <c r="BF22" i="20" s="1"/>
  <c r="AE7" i="20"/>
  <c r="X7" i="20"/>
  <c r="K7" i="20"/>
  <c r="BL6" i="20"/>
  <c r="BK6" i="20"/>
  <c r="BJ6" i="20"/>
  <c r="BI6" i="20"/>
  <c r="BH6" i="20"/>
  <c r="BG6" i="20"/>
  <c r="BF6" i="20"/>
  <c r="BE6" i="20"/>
  <c r="BD6" i="20"/>
  <c r="BO6" i="20" s="1"/>
  <c r="AE6" i="20"/>
  <c r="X6" i="20"/>
  <c r="J6" i="20"/>
  <c r="BL5" i="20"/>
  <c r="BK5" i="20"/>
  <c r="BJ5" i="20"/>
  <c r="BI5" i="20"/>
  <c r="BH5" i="20"/>
  <c r="BG5" i="20"/>
  <c r="BF5" i="20"/>
  <c r="BE5" i="20"/>
  <c r="BD5" i="20"/>
  <c r="BO5" i="20" s="1"/>
  <c r="AE5" i="20"/>
  <c r="X5" i="20"/>
  <c r="I5" i="20"/>
  <c r="BL4" i="20"/>
  <c r="BK4" i="20"/>
  <c r="BJ4" i="20"/>
  <c r="BI4" i="20"/>
  <c r="BH4" i="20"/>
  <c r="BG4" i="20"/>
  <c r="BF4" i="20"/>
  <c r="BE4" i="20"/>
  <c r="BD4" i="20"/>
  <c r="BO4" i="20" s="1"/>
  <c r="AE4" i="20"/>
  <c r="X4" i="20"/>
  <c r="H4" i="20"/>
  <c r="W1" i="20"/>
  <c r="BD55" i="19"/>
  <c r="BC55" i="19"/>
  <c r="R55" i="19"/>
  <c r="M55" i="19"/>
  <c r="J55" i="19"/>
  <c r="E55" i="19"/>
  <c r="C55" i="19"/>
  <c r="BD54" i="19"/>
  <c r="BC54" i="19"/>
  <c r="R54" i="19"/>
  <c r="M54" i="19"/>
  <c r="J54" i="19"/>
  <c r="E54" i="19"/>
  <c r="C54" i="19"/>
  <c r="BD53" i="19"/>
  <c r="BC53" i="19"/>
  <c r="R53" i="19"/>
  <c r="M53" i="19"/>
  <c r="J53" i="19"/>
  <c r="E53" i="19"/>
  <c r="C53" i="19"/>
  <c r="BD52" i="19"/>
  <c r="BC52" i="19"/>
  <c r="R52" i="19"/>
  <c r="M52" i="19"/>
  <c r="J52" i="19"/>
  <c r="E52" i="19"/>
  <c r="C52" i="19"/>
  <c r="BD49" i="19"/>
  <c r="BC49" i="19"/>
  <c r="R49" i="19"/>
  <c r="M49" i="19"/>
  <c r="J49" i="19"/>
  <c r="E49" i="19"/>
  <c r="C49" i="19"/>
  <c r="BD48" i="19"/>
  <c r="BC48" i="19"/>
  <c r="R48" i="19"/>
  <c r="M48" i="19"/>
  <c r="J48" i="19"/>
  <c r="E48" i="19"/>
  <c r="C48" i="19"/>
  <c r="BD47" i="19"/>
  <c r="BC47" i="19"/>
  <c r="R47" i="19"/>
  <c r="M47" i="19"/>
  <c r="J47" i="19"/>
  <c r="BA47" i="19" s="1"/>
  <c r="E47" i="19"/>
  <c r="C47" i="19"/>
  <c r="BD46" i="19"/>
  <c r="BC46" i="19"/>
  <c r="R46" i="19"/>
  <c r="M46" i="19"/>
  <c r="J46" i="19"/>
  <c r="BA46" i="19" s="1"/>
  <c r="O5" i="19" s="1"/>
  <c r="E46" i="19"/>
  <c r="C46" i="19"/>
  <c r="BD43" i="19"/>
  <c r="BC43" i="19"/>
  <c r="R43" i="19"/>
  <c r="M43" i="19"/>
  <c r="J43" i="19"/>
  <c r="BA43" i="19" s="1"/>
  <c r="E43" i="19"/>
  <c r="C43" i="19"/>
  <c r="BD42" i="19"/>
  <c r="BC42" i="19"/>
  <c r="R42" i="19"/>
  <c r="M42" i="19"/>
  <c r="J42" i="19"/>
  <c r="BA42" i="19" s="1"/>
  <c r="E42" i="19"/>
  <c r="C42" i="19"/>
  <c r="BD41" i="19"/>
  <c r="BC41" i="19"/>
  <c r="R41" i="19"/>
  <c r="M41" i="19"/>
  <c r="J41" i="19"/>
  <c r="BA41" i="19" s="1"/>
  <c r="N8" i="19" s="1"/>
  <c r="E41" i="19"/>
  <c r="C41" i="19"/>
  <c r="BD40" i="19"/>
  <c r="BC40" i="19"/>
  <c r="R40" i="19"/>
  <c r="M40" i="19"/>
  <c r="J40" i="19"/>
  <c r="BA40" i="19" s="1"/>
  <c r="E40" i="19"/>
  <c r="C40" i="19"/>
  <c r="BD37" i="19"/>
  <c r="BC37" i="19"/>
  <c r="R37" i="19"/>
  <c r="M37" i="19"/>
  <c r="J37" i="19"/>
  <c r="BA37" i="19" s="1"/>
  <c r="E37" i="19"/>
  <c r="C37" i="19"/>
  <c r="BD36" i="19"/>
  <c r="BC36" i="19"/>
  <c r="R36" i="19"/>
  <c r="M36" i="19"/>
  <c r="J36" i="19"/>
  <c r="BA36" i="19" s="1"/>
  <c r="E36" i="19"/>
  <c r="C36" i="19"/>
  <c r="BD35" i="19"/>
  <c r="BC35" i="19"/>
  <c r="R35" i="19"/>
  <c r="M35" i="19"/>
  <c r="J35" i="19"/>
  <c r="BA35" i="19" s="1"/>
  <c r="E35" i="19"/>
  <c r="C35" i="19"/>
  <c r="BD34" i="19"/>
  <c r="BC34" i="19"/>
  <c r="R34" i="19"/>
  <c r="M34" i="19"/>
  <c r="J34" i="19"/>
  <c r="BA34" i="19" s="1"/>
  <c r="O6" i="19" s="1"/>
  <c r="E34" i="19"/>
  <c r="C34" i="19"/>
  <c r="BD31" i="19"/>
  <c r="BC31" i="19"/>
  <c r="R31" i="19"/>
  <c r="M31" i="19"/>
  <c r="J31" i="19"/>
  <c r="BA31" i="19" s="1"/>
  <c r="E31" i="19"/>
  <c r="C31" i="19"/>
  <c r="BD30" i="19"/>
  <c r="BC30" i="19"/>
  <c r="R30" i="19"/>
  <c r="M30" i="19"/>
  <c r="J30" i="19"/>
  <c r="BA30" i="19" s="1"/>
  <c r="E30" i="19"/>
  <c r="C30" i="19"/>
  <c r="BD29" i="19"/>
  <c r="BC29" i="19"/>
  <c r="R29" i="19"/>
  <c r="M29" i="19"/>
  <c r="J29" i="19"/>
  <c r="BA29" i="19" s="1"/>
  <c r="E29" i="19"/>
  <c r="C29" i="19"/>
  <c r="BD28" i="19"/>
  <c r="BC28" i="19"/>
  <c r="R28" i="19"/>
  <c r="M28" i="19"/>
  <c r="J28" i="19"/>
  <c r="BA28" i="19" s="1"/>
  <c r="O10" i="19" s="1"/>
  <c r="E28" i="19"/>
  <c r="C28" i="19"/>
  <c r="BD25" i="19"/>
  <c r="BC25" i="19"/>
  <c r="BA25" i="19"/>
  <c r="R25" i="19"/>
  <c r="M25" i="19"/>
  <c r="J25" i="19"/>
  <c r="E25" i="19"/>
  <c r="C25" i="19"/>
  <c r="BD24" i="19"/>
  <c r="BC24" i="19"/>
  <c r="R24" i="19"/>
  <c r="M24" i="19"/>
  <c r="J24" i="19"/>
  <c r="BA24" i="19" s="1"/>
  <c r="E24" i="19"/>
  <c r="C24" i="19"/>
  <c r="BD23" i="19"/>
  <c r="BC23" i="19"/>
  <c r="R23" i="19"/>
  <c r="M23" i="19"/>
  <c r="J23" i="19"/>
  <c r="BA23" i="19" s="1"/>
  <c r="E23" i="19"/>
  <c r="C23" i="19"/>
  <c r="BD22" i="19"/>
  <c r="BC22" i="19"/>
  <c r="R22" i="19"/>
  <c r="M22" i="19"/>
  <c r="BA22" i="19" s="1"/>
  <c r="O7" i="19" s="1"/>
  <c r="J22" i="19"/>
  <c r="E22" i="19"/>
  <c r="C22" i="19"/>
  <c r="BD19" i="19"/>
  <c r="BC19" i="19"/>
  <c r="R19" i="19"/>
  <c r="M19" i="19"/>
  <c r="BH19" i="19" s="1"/>
  <c r="J19" i="19"/>
  <c r="E19" i="19"/>
  <c r="C19" i="19"/>
  <c r="BD18" i="19"/>
  <c r="BC18" i="19"/>
  <c r="R18" i="19"/>
  <c r="M18" i="19"/>
  <c r="BH18" i="19" s="1"/>
  <c r="J18" i="19"/>
  <c r="BG18" i="19" s="1"/>
  <c r="E18" i="19"/>
  <c r="C18" i="19"/>
  <c r="BD17" i="19"/>
  <c r="BC17" i="19"/>
  <c r="R17" i="19"/>
  <c r="M17" i="19"/>
  <c r="BH17" i="19" s="1"/>
  <c r="J17" i="19"/>
  <c r="E17" i="19"/>
  <c r="C17" i="19"/>
  <c r="BD16" i="19"/>
  <c r="BC16" i="19"/>
  <c r="R16" i="19"/>
  <c r="M16" i="19"/>
  <c r="BH16" i="19" s="1"/>
  <c r="J16" i="19"/>
  <c r="BA16" i="19" s="1"/>
  <c r="E16" i="19"/>
  <c r="C16" i="19"/>
  <c r="BL11" i="19"/>
  <c r="BK11" i="19"/>
  <c r="BJ11" i="19"/>
  <c r="BI11" i="19"/>
  <c r="BH11" i="19"/>
  <c r="BG11" i="19"/>
  <c r="BF11" i="19"/>
  <c r="BE11" i="19"/>
  <c r="BD11" i="19"/>
  <c r="BO11" i="19" s="1"/>
  <c r="BE22" i="19" s="1"/>
  <c r="AE11" i="19"/>
  <c r="X11" i="19"/>
  <c r="BL10" i="19"/>
  <c r="BK10" i="19"/>
  <c r="BJ10" i="19"/>
  <c r="BI10" i="19"/>
  <c r="BH10" i="19"/>
  <c r="BG10" i="19"/>
  <c r="BF10" i="19"/>
  <c r="BE10" i="19"/>
  <c r="AE10" i="19"/>
  <c r="X10" i="19"/>
  <c r="N10" i="19"/>
  <c r="BL9" i="19"/>
  <c r="BK9" i="19"/>
  <c r="BJ9" i="19"/>
  <c r="BI9" i="19"/>
  <c r="BH9" i="19"/>
  <c r="BG9" i="19"/>
  <c r="BF9" i="19"/>
  <c r="BE9" i="19"/>
  <c r="BD9" i="19"/>
  <c r="BO9" i="19" s="1"/>
  <c r="AE9" i="19"/>
  <c r="X9" i="19"/>
  <c r="M9" i="19"/>
  <c r="BL8" i="19"/>
  <c r="BK8" i="19"/>
  <c r="BJ8" i="19"/>
  <c r="BI8" i="19"/>
  <c r="BH8" i="19"/>
  <c r="BG8" i="19"/>
  <c r="BF8" i="19"/>
  <c r="BE8" i="19"/>
  <c r="BD8" i="19"/>
  <c r="BO8" i="19" s="1"/>
  <c r="AE8" i="19"/>
  <c r="X8" i="19"/>
  <c r="L8" i="19"/>
  <c r="BL7" i="19"/>
  <c r="BK7" i="19"/>
  <c r="BJ7" i="19"/>
  <c r="BI7" i="19"/>
  <c r="BH7" i="19"/>
  <c r="BG7" i="19"/>
  <c r="BF7" i="19"/>
  <c r="BE7" i="19"/>
  <c r="BD7" i="19"/>
  <c r="BO7" i="19" s="1"/>
  <c r="BF22" i="19" s="1"/>
  <c r="AE7" i="19"/>
  <c r="X7" i="19"/>
  <c r="K7" i="19"/>
  <c r="BL6" i="19"/>
  <c r="BK6" i="19"/>
  <c r="BJ6" i="19"/>
  <c r="BI6" i="19"/>
  <c r="BH6" i="19"/>
  <c r="BG6" i="19"/>
  <c r="BF6" i="19"/>
  <c r="BE6" i="19"/>
  <c r="BD6" i="19"/>
  <c r="BO6" i="19" s="1"/>
  <c r="AE6" i="19"/>
  <c r="X6" i="19"/>
  <c r="J6" i="19"/>
  <c r="BL5" i="19"/>
  <c r="BK5" i="19"/>
  <c r="BJ5" i="19"/>
  <c r="BI5" i="19"/>
  <c r="BH5" i="19"/>
  <c r="BG5" i="19"/>
  <c r="BF5" i="19"/>
  <c r="BE5" i="19"/>
  <c r="BD5" i="19"/>
  <c r="BO5" i="19" s="1"/>
  <c r="AE5" i="19"/>
  <c r="X5" i="19"/>
  <c r="I5" i="19"/>
  <c r="BL4" i="19"/>
  <c r="BK4" i="19"/>
  <c r="BJ4" i="19"/>
  <c r="BI4" i="19"/>
  <c r="BH4" i="19"/>
  <c r="BG4" i="19"/>
  <c r="BF4" i="19"/>
  <c r="BE4" i="19"/>
  <c r="BD4" i="19"/>
  <c r="BO4" i="19" s="1"/>
  <c r="AE4" i="19"/>
  <c r="X4" i="19"/>
  <c r="N4" i="19"/>
  <c r="H4" i="19"/>
  <c r="W1" i="19"/>
  <c r="BD55" i="18"/>
  <c r="BC55" i="18"/>
  <c r="BA55" i="18"/>
  <c r="H5" i="18" s="1"/>
  <c r="R55" i="18"/>
  <c r="M55" i="18"/>
  <c r="J55" i="18"/>
  <c r="E55" i="18"/>
  <c r="C55" i="18"/>
  <c r="BD54" i="18"/>
  <c r="BC54" i="18"/>
  <c r="R54" i="18"/>
  <c r="M54" i="18"/>
  <c r="J54" i="18"/>
  <c r="BA54" i="18" s="1"/>
  <c r="E54" i="18"/>
  <c r="C54" i="18"/>
  <c r="BD53" i="18"/>
  <c r="BC53" i="18"/>
  <c r="R53" i="18"/>
  <c r="M53" i="18"/>
  <c r="J53" i="18"/>
  <c r="BA53" i="18" s="1"/>
  <c r="E53" i="18"/>
  <c r="C53" i="18"/>
  <c r="BD52" i="18"/>
  <c r="BC52" i="18"/>
  <c r="R52" i="18"/>
  <c r="M52" i="18"/>
  <c r="J52" i="18"/>
  <c r="BA52" i="18" s="1"/>
  <c r="E52" i="18"/>
  <c r="C52" i="18"/>
  <c r="BD49" i="18"/>
  <c r="BC49" i="18"/>
  <c r="R49" i="18"/>
  <c r="M49" i="18"/>
  <c r="J49" i="18"/>
  <c r="BA49" i="18" s="1"/>
  <c r="E49" i="18"/>
  <c r="C49" i="18"/>
  <c r="BD48" i="18"/>
  <c r="BC48" i="18"/>
  <c r="BA48" i="18"/>
  <c r="R48" i="18"/>
  <c r="M48" i="18"/>
  <c r="J48" i="18"/>
  <c r="E48" i="18"/>
  <c r="C48" i="18"/>
  <c r="BD47" i="18"/>
  <c r="BC47" i="18"/>
  <c r="R47" i="18"/>
  <c r="M47" i="18"/>
  <c r="J47" i="18"/>
  <c r="BA47" i="18" s="1"/>
  <c r="E47" i="18"/>
  <c r="C47" i="18"/>
  <c r="BD46" i="18"/>
  <c r="BC46" i="18"/>
  <c r="BA46" i="18"/>
  <c r="R46" i="18"/>
  <c r="M46" i="18"/>
  <c r="J46" i="18"/>
  <c r="E46" i="18"/>
  <c r="C46" i="18"/>
  <c r="BD43" i="18"/>
  <c r="BC43" i="18"/>
  <c r="R43" i="18"/>
  <c r="M43" i="18"/>
  <c r="J43" i="18"/>
  <c r="BA43" i="18" s="1"/>
  <c r="E43" i="18"/>
  <c r="C43" i="18"/>
  <c r="BD42" i="18"/>
  <c r="BC42" i="18"/>
  <c r="R42" i="18"/>
  <c r="M42" i="18"/>
  <c r="J42" i="18"/>
  <c r="BA42" i="18" s="1"/>
  <c r="E42" i="18"/>
  <c r="C42" i="18"/>
  <c r="BD41" i="18"/>
  <c r="BC41" i="18"/>
  <c r="BA41" i="18"/>
  <c r="R41" i="18"/>
  <c r="M41" i="18"/>
  <c r="J41" i="18"/>
  <c r="E41" i="18"/>
  <c r="C41" i="18"/>
  <c r="BD40" i="18"/>
  <c r="BC40" i="18"/>
  <c r="R40" i="18"/>
  <c r="M40" i="18"/>
  <c r="J40" i="18"/>
  <c r="BA40" i="18" s="1"/>
  <c r="E40" i="18"/>
  <c r="C40" i="18"/>
  <c r="BD37" i="18"/>
  <c r="BC37" i="18"/>
  <c r="R37" i="18"/>
  <c r="M37" i="18"/>
  <c r="J37" i="18"/>
  <c r="BA37" i="18" s="1"/>
  <c r="E37" i="18"/>
  <c r="C37" i="18"/>
  <c r="BD36" i="18"/>
  <c r="BC36" i="18"/>
  <c r="R36" i="18"/>
  <c r="M36" i="18"/>
  <c r="J36" i="18"/>
  <c r="BA36" i="18" s="1"/>
  <c r="E36" i="18"/>
  <c r="C36" i="18"/>
  <c r="BD35" i="18"/>
  <c r="BC35" i="18"/>
  <c r="R35" i="18"/>
  <c r="M35" i="18"/>
  <c r="J35" i="18"/>
  <c r="BA35" i="18" s="1"/>
  <c r="E35" i="18"/>
  <c r="C35" i="18"/>
  <c r="BD34" i="18"/>
  <c r="BC34" i="18"/>
  <c r="R34" i="18"/>
  <c r="M34" i="18"/>
  <c r="J34" i="18"/>
  <c r="BA34" i="18" s="1"/>
  <c r="E34" i="18"/>
  <c r="C34" i="18"/>
  <c r="BD31" i="18"/>
  <c r="BC31" i="18"/>
  <c r="R31" i="18"/>
  <c r="M31" i="18"/>
  <c r="J31" i="18"/>
  <c r="E31" i="18"/>
  <c r="C31" i="18"/>
  <c r="BD30" i="18"/>
  <c r="BC30" i="18"/>
  <c r="R30" i="18"/>
  <c r="M30" i="18"/>
  <c r="J30" i="18"/>
  <c r="E30" i="18"/>
  <c r="C30" i="18"/>
  <c r="BD29" i="18"/>
  <c r="BC29" i="18"/>
  <c r="R29" i="18"/>
  <c r="M29" i="18"/>
  <c r="J29" i="18"/>
  <c r="BA29" i="18" s="1"/>
  <c r="E29" i="18"/>
  <c r="C29" i="18"/>
  <c r="BD28" i="18"/>
  <c r="BC28" i="18"/>
  <c r="R28" i="18"/>
  <c r="M28" i="18"/>
  <c r="J28" i="18"/>
  <c r="BA28" i="18" s="1"/>
  <c r="E28" i="18"/>
  <c r="C28" i="18"/>
  <c r="BD25" i="18"/>
  <c r="BC25" i="18"/>
  <c r="R25" i="18"/>
  <c r="M25" i="18"/>
  <c r="J25" i="18"/>
  <c r="E25" i="18"/>
  <c r="C25" i="18"/>
  <c r="BD24" i="18"/>
  <c r="BC24" i="18"/>
  <c r="R24" i="18"/>
  <c r="M24" i="18"/>
  <c r="J24" i="18"/>
  <c r="E24" i="18"/>
  <c r="C24" i="18"/>
  <c r="BD23" i="18"/>
  <c r="BC23" i="18"/>
  <c r="R23" i="18"/>
  <c r="M23" i="18"/>
  <c r="J23" i="18"/>
  <c r="BA23" i="18" s="1"/>
  <c r="E23" i="18"/>
  <c r="C23" i="18"/>
  <c r="BD22" i="18"/>
  <c r="BC22" i="18"/>
  <c r="R22" i="18"/>
  <c r="M22" i="18"/>
  <c r="J22" i="18"/>
  <c r="BA22" i="18" s="1"/>
  <c r="E22" i="18"/>
  <c r="C22" i="18"/>
  <c r="BD19" i="18"/>
  <c r="BC19" i="18"/>
  <c r="R19" i="18"/>
  <c r="M19" i="18"/>
  <c r="BH19" i="18" s="1"/>
  <c r="J19" i="18"/>
  <c r="BG19" i="18" s="1"/>
  <c r="E19" i="18"/>
  <c r="C19" i="18"/>
  <c r="BD18" i="18"/>
  <c r="BC18" i="18"/>
  <c r="R18" i="18"/>
  <c r="M18" i="18"/>
  <c r="BH18" i="18" s="1"/>
  <c r="J18" i="18"/>
  <c r="BG18" i="18" s="1"/>
  <c r="E18" i="18"/>
  <c r="C18" i="18"/>
  <c r="BD17" i="18"/>
  <c r="BC17" i="18"/>
  <c r="R17" i="18"/>
  <c r="M17" i="18"/>
  <c r="BA17" i="18" s="1"/>
  <c r="J17" i="18"/>
  <c r="BG17" i="18" s="1"/>
  <c r="E17" i="18"/>
  <c r="C17" i="18"/>
  <c r="BG16" i="18"/>
  <c r="BD16" i="18"/>
  <c r="BC16" i="18"/>
  <c r="R16" i="18"/>
  <c r="M16" i="18"/>
  <c r="BH16" i="18" s="1"/>
  <c r="J16" i="18"/>
  <c r="E16" i="18"/>
  <c r="C16" i="18"/>
  <c r="BL11" i="18"/>
  <c r="BK11" i="18"/>
  <c r="BJ11" i="18"/>
  <c r="BI11" i="18"/>
  <c r="BH11" i="18"/>
  <c r="BG11" i="18"/>
  <c r="BF11" i="18"/>
  <c r="BE11" i="18"/>
  <c r="BD11" i="18"/>
  <c r="BO11" i="18" s="1"/>
  <c r="AE11" i="18"/>
  <c r="X11" i="18"/>
  <c r="O11" i="18"/>
  <c r="I11" i="18"/>
  <c r="BL10" i="18"/>
  <c r="BK10" i="18"/>
  <c r="BJ10" i="18"/>
  <c r="BI10" i="18"/>
  <c r="BH10" i="18"/>
  <c r="BG10" i="18"/>
  <c r="BF10" i="18"/>
  <c r="BE10" i="18"/>
  <c r="BD10" i="18"/>
  <c r="BO10" i="18" s="1"/>
  <c r="AE10" i="18"/>
  <c r="X10" i="18"/>
  <c r="N10" i="18"/>
  <c r="L10" i="18"/>
  <c r="K10" i="18"/>
  <c r="BL9" i="18"/>
  <c r="BK9" i="18"/>
  <c r="BJ9" i="18"/>
  <c r="BI9" i="18"/>
  <c r="BH9" i="18"/>
  <c r="BG9" i="18"/>
  <c r="BF9" i="18"/>
  <c r="BE9" i="18"/>
  <c r="BD9" i="18"/>
  <c r="BO9" i="18" s="1"/>
  <c r="AE9" i="18"/>
  <c r="X9" i="18"/>
  <c r="M9" i="18"/>
  <c r="BL8" i="18"/>
  <c r="BK8" i="18"/>
  <c r="BJ8" i="18"/>
  <c r="BI8" i="18"/>
  <c r="BH8" i="18"/>
  <c r="BG8" i="18"/>
  <c r="BF8" i="18"/>
  <c r="BE8" i="18"/>
  <c r="BD8" i="18"/>
  <c r="BO8" i="18" s="1"/>
  <c r="AE8" i="18"/>
  <c r="X8" i="18"/>
  <c r="N8" i="18"/>
  <c r="L8" i="18"/>
  <c r="BL7" i="18"/>
  <c r="BK7" i="18"/>
  <c r="BJ7" i="18"/>
  <c r="BI7" i="18"/>
  <c r="BH7" i="18"/>
  <c r="BG7" i="18"/>
  <c r="BF7" i="18"/>
  <c r="BE7" i="18"/>
  <c r="BD7" i="18"/>
  <c r="BO7" i="18" s="1"/>
  <c r="AE7" i="18"/>
  <c r="X7" i="18"/>
  <c r="N7" i="18"/>
  <c r="K7" i="18"/>
  <c r="BL6" i="18"/>
  <c r="BK6" i="18"/>
  <c r="BJ6" i="18"/>
  <c r="BI6" i="18"/>
  <c r="BH6" i="18"/>
  <c r="BG6" i="18"/>
  <c r="BF6" i="18"/>
  <c r="BE6" i="18"/>
  <c r="BD6" i="18"/>
  <c r="BO6" i="18" s="1"/>
  <c r="AE6" i="18"/>
  <c r="X6" i="18"/>
  <c r="J6" i="18"/>
  <c r="BL5" i="18"/>
  <c r="BK5" i="18"/>
  <c r="BJ5" i="18"/>
  <c r="BI5" i="18"/>
  <c r="BH5" i="18"/>
  <c r="BG5" i="18"/>
  <c r="BF5" i="18"/>
  <c r="BE5" i="18"/>
  <c r="BD5" i="18"/>
  <c r="BO5" i="18" s="1"/>
  <c r="AE5" i="18"/>
  <c r="X5" i="18"/>
  <c r="O5" i="18"/>
  <c r="I5" i="18"/>
  <c r="BL4" i="18"/>
  <c r="BK4" i="18"/>
  <c r="BJ4" i="18"/>
  <c r="BI4" i="18"/>
  <c r="BH4" i="18"/>
  <c r="BG4" i="18"/>
  <c r="BF4" i="18"/>
  <c r="BE4" i="18"/>
  <c r="BD4" i="18"/>
  <c r="BO4" i="18" s="1"/>
  <c r="AE4" i="18"/>
  <c r="X4" i="18"/>
  <c r="H4" i="18"/>
  <c r="W1" i="18"/>
  <c r="AZ36" i="17"/>
  <c r="AY36" i="17"/>
  <c r="R36" i="17"/>
  <c r="M36" i="17"/>
  <c r="J36" i="17"/>
  <c r="AW36" i="17" s="1"/>
  <c r="E36" i="17"/>
  <c r="C36" i="17"/>
  <c r="AZ35" i="17"/>
  <c r="AY35" i="17"/>
  <c r="R35" i="17"/>
  <c r="M35" i="17"/>
  <c r="J35" i="17"/>
  <c r="E35" i="17"/>
  <c r="C35" i="17"/>
  <c r="AZ34" i="17"/>
  <c r="AY34" i="17"/>
  <c r="R34" i="17"/>
  <c r="M34" i="17"/>
  <c r="J34" i="17"/>
  <c r="AW34" i="17" s="1"/>
  <c r="E34" i="17"/>
  <c r="C34" i="17"/>
  <c r="AZ31" i="17"/>
  <c r="AY31" i="17"/>
  <c r="R31" i="17"/>
  <c r="M31" i="17"/>
  <c r="J31" i="17"/>
  <c r="E31" i="17"/>
  <c r="C31" i="17"/>
  <c r="AZ30" i="17"/>
  <c r="AY30" i="17"/>
  <c r="R30" i="17"/>
  <c r="M30" i="17"/>
  <c r="J30" i="17"/>
  <c r="AW30" i="17" s="1"/>
  <c r="E30" i="17"/>
  <c r="C30" i="17"/>
  <c r="AZ29" i="17"/>
  <c r="AY29" i="17"/>
  <c r="R29" i="17"/>
  <c r="M29" i="17"/>
  <c r="J29" i="17"/>
  <c r="E29" i="17"/>
  <c r="C29" i="17"/>
  <c r="AZ26" i="17"/>
  <c r="AY26" i="17"/>
  <c r="R26" i="17"/>
  <c r="M26" i="17"/>
  <c r="J26" i="17"/>
  <c r="AW26" i="17" s="1"/>
  <c r="E26" i="17"/>
  <c r="C26" i="17"/>
  <c r="AZ25" i="17"/>
  <c r="AY25" i="17"/>
  <c r="R25" i="17"/>
  <c r="M25" i="17"/>
  <c r="J25" i="17"/>
  <c r="E25" i="17"/>
  <c r="C25" i="17"/>
  <c r="AZ24" i="17"/>
  <c r="AY24" i="17"/>
  <c r="R24" i="17"/>
  <c r="M24" i="17"/>
  <c r="BB9" i="17" s="1"/>
  <c r="J24" i="17"/>
  <c r="AW24" i="17" s="1"/>
  <c r="E24" i="17"/>
  <c r="C24" i="17"/>
  <c r="AZ21" i="17"/>
  <c r="AY21" i="17"/>
  <c r="R21" i="17"/>
  <c r="M21" i="17"/>
  <c r="J21" i="17"/>
  <c r="E21" i="17"/>
  <c r="C21" i="17"/>
  <c r="AZ20" i="17"/>
  <c r="AY20" i="17"/>
  <c r="R20" i="17"/>
  <c r="M20" i="17"/>
  <c r="J20" i="17"/>
  <c r="AW20" i="17" s="1"/>
  <c r="E20" i="17"/>
  <c r="C20" i="17"/>
  <c r="AZ19" i="17"/>
  <c r="AY19" i="17"/>
  <c r="R19" i="17"/>
  <c r="M19" i="17"/>
  <c r="J19" i="17"/>
  <c r="E19" i="17"/>
  <c r="C19" i="17"/>
  <c r="AZ16" i="17"/>
  <c r="AY16" i="17"/>
  <c r="R16" i="17"/>
  <c r="M16" i="17"/>
  <c r="BD16" i="17" s="1"/>
  <c r="J16" i="17"/>
  <c r="BC16" i="17" s="1"/>
  <c r="E16" i="17"/>
  <c r="C16" i="17"/>
  <c r="AZ15" i="17"/>
  <c r="AY15" i="17"/>
  <c r="R15" i="17"/>
  <c r="M15" i="17"/>
  <c r="BD15" i="17" s="1"/>
  <c r="J15" i="17"/>
  <c r="BC15" i="17" s="1"/>
  <c r="E15" i="17"/>
  <c r="C15" i="17"/>
  <c r="AZ14" i="17"/>
  <c r="AY14" i="17"/>
  <c r="R14" i="17"/>
  <c r="M14" i="17"/>
  <c r="BD14" i="17" s="1"/>
  <c r="J14" i="17"/>
  <c r="BC14" i="17" s="1"/>
  <c r="E14" i="17"/>
  <c r="C14" i="17"/>
  <c r="BH9" i="17"/>
  <c r="BG9" i="17"/>
  <c r="BF9" i="17"/>
  <c r="BE9" i="17"/>
  <c r="BD9" i="17"/>
  <c r="BC9" i="17"/>
  <c r="BA9" i="17"/>
  <c r="AZ9" i="17"/>
  <c r="BK9" i="17" s="1"/>
  <c r="AC9" i="17"/>
  <c r="M9" i="17"/>
  <c r="BH8" i="17"/>
  <c r="BG8" i="17"/>
  <c r="BF8" i="17"/>
  <c r="BE8" i="17"/>
  <c r="BD8" i="17"/>
  <c r="BC8" i="17"/>
  <c r="BB8" i="17"/>
  <c r="BA8" i="17"/>
  <c r="AZ8" i="17"/>
  <c r="BK8" i="17" s="1"/>
  <c r="AC8" i="17"/>
  <c r="L8" i="17"/>
  <c r="BH7" i="17"/>
  <c r="BG7" i="17"/>
  <c r="BF7" i="17"/>
  <c r="BE7" i="17"/>
  <c r="BD7" i="17"/>
  <c r="BC7" i="17"/>
  <c r="BB7" i="17"/>
  <c r="BA7" i="17"/>
  <c r="AZ7" i="17"/>
  <c r="BK7" i="17" s="1"/>
  <c r="AC7" i="17"/>
  <c r="K7" i="17"/>
  <c r="BH6" i="17"/>
  <c r="BG6" i="17"/>
  <c r="BF6" i="17"/>
  <c r="BE6" i="17"/>
  <c r="BD6" i="17"/>
  <c r="BC6" i="17"/>
  <c r="BB6" i="17"/>
  <c r="BA6" i="17"/>
  <c r="AZ6" i="17"/>
  <c r="BK6" i="17" s="1"/>
  <c r="AC6" i="17"/>
  <c r="J6" i="17"/>
  <c r="BH5" i="17"/>
  <c r="BG5" i="17"/>
  <c r="BF5" i="17"/>
  <c r="BE5" i="17"/>
  <c r="BD5" i="17"/>
  <c r="BC5" i="17"/>
  <c r="BB5" i="17"/>
  <c r="BA5" i="17"/>
  <c r="AZ5" i="17"/>
  <c r="BK5" i="17" s="1"/>
  <c r="AC5" i="17"/>
  <c r="I5" i="17"/>
  <c r="BH4" i="17"/>
  <c r="BG4" i="17"/>
  <c r="BF4" i="17"/>
  <c r="BE4" i="17"/>
  <c r="BD4" i="17"/>
  <c r="BC4" i="17"/>
  <c r="BB4" i="17"/>
  <c r="BA4" i="17"/>
  <c r="AZ4" i="17"/>
  <c r="BK4" i="17" s="1"/>
  <c r="AC4" i="17"/>
  <c r="H4" i="17"/>
  <c r="V1" i="17"/>
  <c r="AZ36" i="16"/>
  <c r="AY36" i="16"/>
  <c r="R36" i="16"/>
  <c r="M36" i="16"/>
  <c r="J36" i="16"/>
  <c r="E36" i="16"/>
  <c r="C36" i="16"/>
  <c r="AZ35" i="16"/>
  <c r="AY35" i="16"/>
  <c r="R35" i="16"/>
  <c r="M35" i="16"/>
  <c r="J35" i="16"/>
  <c r="AW35" i="16" s="1"/>
  <c r="E35" i="16"/>
  <c r="C35" i="16"/>
  <c r="AZ34" i="16"/>
  <c r="AY34" i="16"/>
  <c r="R34" i="16"/>
  <c r="M34" i="16"/>
  <c r="J34" i="16"/>
  <c r="AW34" i="16" s="1"/>
  <c r="M7" i="16" s="1"/>
  <c r="E34" i="16"/>
  <c r="C34" i="16"/>
  <c r="AZ31" i="16"/>
  <c r="AY31" i="16"/>
  <c r="R31" i="16"/>
  <c r="M31" i="16"/>
  <c r="J31" i="16"/>
  <c r="AW31" i="16" s="1"/>
  <c r="E31" i="16"/>
  <c r="C31" i="16"/>
  <c r="AZ30" i="16"/>
  <c r="AY30" i="16"/>
  <c r="R30" i="16"/>
  <c r="M30" i="16"/>
  <c r="J30" i="16"/>
  <c r="AW30" i="16" s="1"/>
  <c r="E30" i="16"/>
  <c r="C30" i="16"/>
  <c r="AZ29" i="16"/>
  <c r="AY29" i="16"/>
  <c r="R29" i="16"/>
  <c r="M29" i="16"/>
  <c r="J29" i="16"/>
  <c r="E29" i="16"/>
  <c r="C29" i="16"/>
  <c r="AZ26" i="16"/>
  <c r="AY26" i="16"/>
  <c r="R26" i="16"/>
  <c r="M26" i="16"/>
  <c r="J26" i="16"/>
  <c r="AW26" i="16" s="1"/>
  <c r="E26" i="16"/>
  <c r="C26" i="16"/>
  <c r="AZ25" i="16"/>
  <c r="AY25" i="16"/>
  <c r="R25" i="16"/>
  <c r="M25" i="16"/>
  <c r="J25" i="16"/>
  <c r="AW25" i="16" s="1"/>
  <c r="E25" i="16"/>
  <c r="C25" i="16"/>
  <c r="AZ24" i="16"/>
  <c r="AY24" i="16"/>
  <c r="R24" i="16"/>
  <c r="M24" i="16"/>
  <c r="J24" i="16"/>
  <c r="E24" i="16"/>
  <c r="C24" i="16"/>
  <c r="AZ21" i="16"/>
  <c r="AY21" i="16"/>
  <c r="R21" i="16"/>
  <c r="M21" i="16"/>
  <c r="J21" i="16"/>
  <c r="E21" i="16"/>
  <c r="C21" i="16"/>
  <c r="AZ20" i="16"/>
  <c r="AY20" i="16"/>
  <c r="R20" i="16"/>
  <c r="M20" i="16"/>
  <c r="J20" i="16"/>
  <c r="AW20" i="16" s="1"/>
  <c r="E20" i="16"/>
  <c r="C20" i="16"/>
  <c r="AZ19" i="16"/>
  <c r="AY19" i="16"/>
  <c r="R19" i="16"/>
  <c r="M19" i="16"/>
  <c r="J19" i="16"/>
  <c r="AW19" i="16" s="1"/>
  <c r="M6" i="16" s="1"/>
  <c r="E19" i="16"/>
  <c r="C19" i="16"/>
  <c r="AZ16" i="16"/>
  <c r="AY16" i="16"/>
  <c r="R16" i="16"/>
  <c r="M16" i="16"/>
  <c r="BD16" i="16" s="1"/>
  <c r="J16" i="16"/>
  <c r="E16" i="16"/>
  <c r="C16" i="16"/>
  <c r="BC15" i="16"/>
  <c r="AZ15" i="16"/>
  <c r="AY15" i="16"/>
  <c r="R15" i="16"/>
  <c r="M15" i="16"/>
  <c r="BD15" i="16" s="1"/>
  <c r="J15" i="16"/>
  <c r="E15" i="16"/>
  <c r="C15" i="16"/>
  <c r="AZ14" i="16"/>
  <c r="AY14" i="16"/>
  <c r="M9" i="16" s="1"/>
  <c r="R14" i="16"/>
  <c r="M14" i="16"/>
  <c r="BD14" i="16" s="1"/>
  <c r="J14" i="16"/>
  <c r="AW14" i="16" s="1"/>
  <c r="E14" i="16"/>
  <c r="C14" i="16"/>
  <c r="BH9" i="16"/>
  <c r="BG9" i="16"/>
  <c r="BF9" i="16"/>
  <c r="BE9" i="16"/>
  <c r="BD9" i="16"/>
  <c r="BC9" i="16"/>
  <c r="BB9" i="16"/>
  <c r="BA9" i="16"/>
  <c r="AZ9" i="16"/>
  <c r="BK9" i="16" s="1"/>
  <c r="AC9" i="16"/>
  <c r="BH8" i="16"/>
  <c r="BG8" i="16"/>
  <c r="BF8" i="16"/>
  <c r="BE8" i="16"/>
  <c r="BD8" i="16"/>
  <c r="BC8" i="16"/>
  <c r="BB8" i="16"/>
  <c r="BA8" i="16"/>
  <c r="AZ8" i="16"/>
  <c r="BK8" i="16" s="1"/>
  <c r="AC8" i="16"/>
  <c r="L8" i="16"/>
  <c r="BH7" i="16"/>
  <c r="BG7" i="16"/>
  <c r="BF7" i="16"/>
  <c r="BE7" i="16"/>
  <c r="BD7" i="16"/>
  <c r="BC7" i="16"/>
  <c r="BB7" i="16"/>
  <c r="BA7" i="16"/>
  <c r="AZ7" i="16"/>
  <c r="BK7" i="16" s="1"/>
  <c r="AC7" i="16"/>
  <c r="K7" i="16"/>
  <c r="BH6" i="16"/>
  <c r="BG6" i="16"/>
  <c r="BF6" i="16"/>
  <c r="BE6" i="16"/>
  <c r="BD6" i="16"/>
  <c r="BC6" i="16"/>
  <c r="BB6" i="16"/>
  <c r="BA6" i="16"/>
  <c r="AZ6" i="16"/>
  <c r="BK6" i="16" s="1"/>
  <c r="AC6" i="16"/>
  <c r="J6" i="16"/>
  <c r="BH5" i="16"/>
  <c r="BG5" i="16"/>
  <c r="BF5" i="16"/>
  <c r="BE5" i="16"/>
  <c r="BD5" i="16"/>
  <c r="BC5" i="16"/>
  <c r="BB5" i="16"/>
  <c r="BA5" i="16"/>
  <c r="AZ5" i="16"/>
  <c r="BK5" i="16" s="1"/>
  <c r="AC5" i="16"/>
  <c r="I5" i="16"/>
  <c r="BH4" i="16"/>
  <c r="BG4" i="16"/>
  <c r="BF4" i="16"/>
  <c r="BE4" i="16"/>
  <c r="BD4" i="16"/>
  <c r="BC4" i="16"/>
  <c r="BB4" i="16"/>
  <c r="BA4" i="16"/>
  <c r="AZ4" i="16"/>
  <c r="BK4" i="16" s="1"/>
  <c r="AC4" i="16"/>
  <c r="H4" i="16"/>
  <c r="V1" i="16"/>
  <c r="AZ36" i="15"/>
  <c r="AY36" i="15"/>
  <c r="R36" i="15"/>
  <c r="M36" i="15"/>
  <c r="J36" i="15"/>
  <c r="AW36" i="15" s="1"/>
  <c r="E36" i="15"/>
  <c r="C36" i="15"/>
  <c r="AZ35" i="15"/>
  <c r="AY35" i="15"/>
  <c r="R35" i="15"/>
  <c r="M35" i="15"/>
  <c r="J35" i="15"/>
  <c r="AW35" i="15" s="1"/>
  <c r="E35" i="15"/>
  <c r="C35" i="15"/>
  <c r="AZ34" i="15"/>
  <c r="AY34" i="15"/>
  <c r="AW34" i="15"/>
  <c r="R34" i="15"/>
  <c r="M34" i="15"/>
  <c r="J34" i="15"/>
  <c r="E34" i="15"/>
  <c r="C34" i="15"/>
  <c r="AZ31" i="15"/>
  <c r="AY31" i="15"/>
  <c r="R31" i="15"/>
  <c r="M31" i="15"/>
  <c r="J31" i="15"/>
  <c r="AW31" i="15" s="1"/>
  <c r="E31" i="15"/>
  <c r="C31" i="15"/>
  <c r="AZ30" i="15"/>
  <c r="AY30" i="15"/>
  <c r="R30" i="15"/>
  <c r="M30" i="15"/>
  <c r="J30" i="15"/>
  <c r="AW30" i="15" s="1"/>
  <c r="E30" i="15"/>
  <c r="C30" i="15"/>
  <c r="AZ29" i="15"/>
  <c r="AY29" i="15"/>
  <c r="R29" i="15"/>
  <c r="M29" i="15"/>
  <c r="J29" i="15"/>
  <c r="AW29" i="15" s="1"/>
  <c r="E29" i="15"/>
  <c r="C29" i="15"/>
  <c r="AZ26" i="15"/>
  <c r="AY26" i="15"/>
  <c r="R26" i="15"/>
  <c r="M26" i="15"/>
  <c r="J26" i="15"/>
  <c r="AW26" i="15" s="1"/>
  <c r="E26" i="15"/>
  <c r="C26" i="15"/>
  <c r="AZ25" i="15"/>
  <c r="AY25" i="15"/>
  <c r="R25" i="15"/>
  <c r="M25" i="15"/>
  <c r="J25" i="15"/>
  <c r="AW25" i="15" s="1"/>
  <c r="E25" i="15"/>
  <c r="C25" i="15"/>
  <c r="AZ24" i="15"/>
  <c r="AY24" i="15"/>
  <c r="R24" i="15"/>
  <c r="M24" i="15"/>
  <c r="J24" i="15"/>
  <c r="AW24" i="15" s="1"/>
  <c r="E24" i="15"/>
  <c r="C24" i="15"/>
  <c r="AZ21" i="15"/>
  <c r="AY21" i="15"/>
  <c r="R21" i="15"/>
  <c r="M21" i="15"/>
  <c r="J21" i="15"/>
  <c r="AW21" i="15" s="1"/>
  <c r="E21" i="15"/>
  <c r="C21" i="15"/>
  <c r="AZ20" i="15"/>
  <c r="AY20" i="15"/>
  <c r="R20" i="15"/>
  <c r="M20" i="15"/>
  <c r="J20" i="15"/>
  <c r="AW20" i="15" s="1"/>
  <c r="E20" i="15"/>
  <c r="C20" i="15"/>
  <c r="AZ19" i="15"/>
  <c r="AY19" i="15"/>
  <c r="R19" i="15"/>
  <c r="M19" i="15"/>
  <c r="J19" i="15"/>
  <c r="AW19" i="15" s="1"/>
  <c r="E19" i="15"/>
  <c r="C19" i="15"/>
  <c r="AZ16" i="15"/>
  <c r="AY16" i="15"/>
  <c r="R16" i="15"/>
  <c r="M16" i="15"/>
  <c r="BD16" i="15" s="1"/>
  <c r="J16" i="15"/>
  <c r="BC16" i="15" s="1"/>
  <c r="E16" i="15"/>
  <c r="C16" i="15"/>
  <c r="AZ15" i="15"/>
  <c r="AY15" i="15"/>
  <c r="R15" i="15"/>
  <c r="M15" i="15"/>
  <c r="BD15" i="15" s="1"/>
  <c r="J15" i="15"/>
  <c r="AW15" i="15" s="1"/>
  <c r="E15" i="15"/>
  <c r="C15" i="15"/>
  <c r="AZ14" i="15"/>
  <c r="AY14" i="15"/>
  <c r="R14" i="15"/>
  <c r="M14" i="15"/>
  <c r="BD14" i="15" s="1"/>
  <c r="J14" i="15"/>
  <c r="BC14" i="15" s="1"/>
  <c r="E14" i="15"/>
  <c r="C14" i="15"/>
  <c r="BH9" i="15"/>
  <c r="BG9" i="15"/>
  <c r="BF9" i="15"/>
  <c r="BE9" i="15"/>
  <c r="BD9" i="15"/>
  <c r="BC9" i="15"/>
  <c r="BB9" i="15"/>
  <c r="BA9" i="15"/>
  <c r="AC9" i="15"/>
  <c r="M9" i="15"/>
  <c r="K9" i="15"/>
  <c r="BH8" i="15"/>
  <c r="BG8" i="15"/>
  <c r="BF8" i="15"/>
  <c r="BE8" i="15"/>
  <c r="BD8" i="15"/>
  <c r="BC8" i="15"/>
  <c r="BB8" i="15"/>
  <c r="BA8" i="15"/>
  <c r="AZ8" i="15"/>
  <c r="BK8" i="15" s="1"/>
  <c r="AC8" i="15"/>
  <c r="L8" i="15"/>
  <c r="BH7" i="15"/>
  <c r="BG7" i="15"/>
  <c r="BF7" i="15"/>
  <c r="BE7" i="15"/>
  <c r="BD7" i="15"/>
  <c r="BC7" i="15"/>
  <c r="BB7" i="15"/>
  <c r="BA7" i="15"/>
  <c r="AZ7" i="15"/>
  <c r="BK7" i="15" s="1"/>
  <c r="AC7" i="15"/>
  <c r="M7" i="15"/>
  <c r="K7" i="15"/>
  <c r="BH6" i="15"/>
  <c r="BG6" i="15"/>
  <c r="BF6" i="15"/>
  <c r="BE6" i="15"/>
  <c r="BD6" i="15"/>
  <c r="BC6" i="15"/>
  <c r="BB6" i="15"/>
  <c r="BA6" i="15"/>
  <c r="AZ6" i="15"/>
  <c r="BK6" i="15" s="1"/>
  <c r="AC6" i="15"/>
  <c r="J6" i="15"/>
  <c r="BH5" i="15"/>
  <c r="BG5" i="15"/>
  <c r="BF5" i="15"/>
  <c r="BE5" i="15"/>
  <c r="BD5" i="15"/>
  <c r="BC5" i="15"/>
  <c r="BB5" i="15"/>
  <c r="BA5" i="15"/>
  <c r="AZ5" i="15"/>
  <c r="BK5" i="15" s="1"/>
  <c r="AC5" i="15"/>
  <c r="I5" i="15"/>
  <c r="BH4" i="15"/>
  <c r="BG4" i="15"/>
  <c r="BF4" i="15"/>
  <c r="BE4" i="15"/>
  <c r="BD4" i="15"/>
  <c r="BC4" i="15"/>
  <c r="BB4" i="15"/>
  <c r="BA4" i="15"/>
  <c r="AZ4" i="15"/>
  <c r="BK4" i="15" s="1"/>
  <c r="AC4" i="15"/>
  <c r="H4" i="15"/>
  <c r="V1" i="15"/>
  <c r="AZ36" i="14"/>
  <c r="AY36" i="14"/>
  <c r="R36" i="14"/>
  <c r="M36" i="14"/>
  <c r="J36" i="14"/>
  <c r="E36" i="14"/>
  <c r="C36" i="14"/>
  <c r="AZ35" i="14"/>
  <c r="AY35" i="14"/>
  <c r="R35" i="14"/>
  <c r="M35" i="14"/>
  <c r="J35" i="14"/>
  <c r="E35" i="14"/>
  <c r="C35" i="14"/>
  <c r="AZ34" i="14"/>
  <c r="AY34" i="14"/>
  <c r="R34" i="14"/>
  <c r="M34" i="14"/>
  <c r="J34" i="14"/>
  <c r="E34" i="14"/>
  <c r="C34" i="14"/>
  <c r="AZ31" i="14"/>
  <c r="AY31" i="14"/>
  <c r="R31" i="14"/>
  <c r="M31" i="14"/>
  <c r="J31" i="14"/>
  <c r="E31" i="14"/>
  <c r="C31" i="14"/>
  <c r="AZ30" i="14"/>
  <c r="AY30" i="14"/>
  <c r="R30" i="14"/>
  <c r="M30" i="14"/>
  <c r="J30" i="14"/>
  <c r="E30" i="14"/>
  <c r="C30" i="14"/>
  <c r="AZ29" i="14"/>
  <c r="AY29" i="14"/>
  <c r="R29" i="14"/>
  <c r="M29" i="14"/>
  <c r="J29" i="14"/>
  <c r="AW29" i="14" s="1"/>
  <c r="E29" i="14"/>
  <c r="C29" i="14"/>
  <c r="AZ26" i="14"/>
  <c r="AY26" i="14"/>
  <c r="R26" i="14"/>
  <c r="M26" i="14"/>
  <c r="J26" i="14"/>
  <c r="AW26" i="14" s="1"/>
  <c r="E26" i="14"/>
  <c r="C26" i="14"/>
  <c r="AZ25" i="14"/>
  <c r="AY25" i="14"/>
  <c r="R25" i="14"/>
  <c r="M25" i="14"/>
  <c r="J25" i="14"/>
  <c r="AW25" i="14" s="1"/>
  <c r="E25" i="14"/>
  <c r="C25" i="14"/>
  <c r="AZ24" i="14"/>
  <c r="AY24" i="14"/>
  <c r="R24" i="14"/>
  <c r="M24" i="14"/>
  <c r="J24" i="14"/>
  <c r="AW24" i="14" s="1"/>
  <c r="E24" i="14"/>
  <c r="C24" i="14"/>
  <c r="AZ21" i="14"/>
  <c r="AY21" i="14"/>
  <c r="AW21" i="14"/>
  <c r="H8" i="14" s="1"/>
  <c r="R21" i="14"/>
  <c r="M21" i="14"/>
  <c r="J21" i="14"/>
  <c r="E21" i="14"/>
  <c r="C21" i="14"/>
  <c r="AZ20" i="14"/>
  <c r="AY20" i="14"/>
  <c r="R20" i="14"/>
  <c r="M20" i="14"/>
  <c r="J20" i="14"/>
  <c r="AW20" i="14" s="1"/>
  <c r="E20" i="14"/>
  <c r="C20" i="14"/>
  <c r="AZ19" i="14"/>
  <c r="AY19" i="14"/>
  <c r="R19" i="14"/>
  <c r="M19" i="14"/>
  <c r="J19" i="14"/>
  <c r="AW19" i="14" s="1"/>
  <c r="E19" i="14"/>
  <c r="C19" i="14"/>
  <c r="AZ16" i="14"/>
  <c r="AY16" i="14"/>
  <c r="R16" i="14"/>
  <c r="M16" i="14"/>
  <c r="BD16" i="14" s="1"/>
  <c r="J16" i="14"/>
  <c r="BC16" i="14" s="1"/>
  <c r="E16" i="14"/>
  <c r="C16" i="14"/>
  <c r="AZ15" i="14"/>
  <c r="AY15" i="14"/>
  <c r="R15" i="14"/>
  <c r="M15" i="14"/>
  <c r="BD15" i="14" s="1"/>
  <c r="J15" i="14"/>
  <c r="BC15" i="14" s="1"/>
  <c r="E15" i="14"/>
  <c r="C15" i="14"/>
  <c r="AZ14" i="14"/>
  <c r="AY14" i="14"/>
  <c r="R14" i="14"/>
  <c r="M14" i="14"/>
  <c r="BD14" i="14" s="1"/>
  <c r="J14" i="14"/>
  <c r="BC14" i="14" s="1"/>
  <c r="E14" i="14"/>
  <c r="C14" i="14"/>
  <c r="BH9" i="14"/>
  <c r="BG9" i="14"/>
  <c r="BF9" i="14"/>
  <c r="BE9" i="14"/>
  <c r="BD9" i="14"/>
  <c r="BC9" i="14"/>
  <c r="BB9" i="14"/>
  <c r="BA9" i="14"/>
  <c r="AZ9" i="14"/>
  <c r="BK9" i="14" s="1"/>
  <c r="BA19" i="14" s="1"/>
  <c r="AC9" i="14"/>
  <c r="M9" i="14"/>
  <c r="BH8" i="14"/>
  <c r="BG8" i="14"/>
  <c r="BF8" i="14"/>
  <c r="BE8" i="14"/>
  <c r="BD8" i="14"/>
  <c r="BC8" i="14"/>
  <c r="BB8" i="14"/>
  <c r="BA8" i="14"/>
  <c r="AZ8" i="14"/>
  <c r="BK8" i="14" s="1"/>
  <c r="AC8" i="14"/>
  <c r="L8" i="14"/>
  <c r="BH7" i="14"/>
  <c r="BG7" i="14"/>
  <c r="BF7" i="14"/>
  <c r="BE7" i="14"/>
  <c r="BD7" i="14"/>
  <c r="BC7" i="14"/>
  <c r="BB7" i="14"/>
  <c r="BA7" i="14"/>
  <c r="AZ7" i="14"/>
  <c r="BK7" i="14" s="1"/>
  <c r="AC7" i="14"/>
  <c r="K7" i="14"/>
  <c r="BH6" i="14"/>
  <c r="BG6" i="14"/>
  <c r="BF6" i="14"/>
  <c r="BE6" i="14"/>
  <c r="BD6" i="14"/>
  <c r="BC6" i="14"/>
  <c r="BB6" i="14"/>
  <c r="BA6" i="14"/>
  <c r="AZ6" i="14"/>
  <c r="BK6" i="14" s="1"/>
  <c r="AC6" i="14"/>
  <c r="J6" i="14"/>
  <c r="BH5" i="14"/>
  <c r="BG5" i="14"/>
  <c r="BF5" i="14"/>
  <c r="BE5" i="14"/>
  <c r="BD5" i="14"/>
  <c r="BC5" i="14"/>
  <c r="BB5" i="14"/>
  <c r="BA5" i="14"/>
  <c r="AZ5" i="14"/>
  <c r="BK5" i="14" s="1"/>
  <c r="BA20" i="14" s="1"/>
  <c r="AC5" i="14"/>
  <c r="I5" i="14"/>
  <c r="BH4" i="14"/>
  <c r="BG4" i="14"/>
  <c r="BF4" i="14"/>
  <c r="BE4" i="14"/>
  <c r="BD4" i="14"/>
  <c r="BC4" i="14"/>
  <c r="BB4" i="14"/>
  <c r="BA4" i="14"/>
  <c r="AZ4" i="14"/>
  <c r="BK4" i="14" s="1"/>
  <c r="AC4" i="14"/>
  <c r="H4" i="14"/>
  <c r="V1" i="14"/>
  <c r="AZ36" i="13"/>
  <c r="AY36" i="13"/>
  <c r="R36" i="13"/>
  <c r="M36" i="13"/>
  <c r="J36" i="13"/>
  <c r="AW36" i="13" s="1"/>
  <c r="E36" i="13"/>
  <c r="C36" i="13"/>
  <c r="AZ35" i="13"/>
  <c r="AY35" i="13"/>
  <c r="R35" i="13"/>
  <c r="M35" i="13"/>
  <c r="J35" i="13"/>
  <c r="AW35" i="13" s="1"/>
  <c r="J8" i="13" s="1"/>
  <c r="E35" i="13"/>
  <c r="C35" i="13"/>
  <c r="AZ34" i="13"/>
  <c r="AY34" i="13"/>
  <c r="R34" i="13"/>
  <c r="M34" i="13"/>
  <c r="J34" i="13"/>
  <c r="AW34" i="13" s="1"/>
  <c r="M7" i="13" s="1"/>
  <c r="E34" i="13"/>
  <c r="C34" i="13"/>
  <c r="AZ31" i="13"/>
  <c r="AY31" i="13"/>
  <c r="R31" i="13"/>
  <c r="M31" i="13"/>
  <c r="J31" i="13"/>
  <c r="AW31" i="13" s="1"/>
  <c r="K8" i="13" s="1"/>
  <c r="E31" i="13"/>
  <c r="C31" i="13"/>
  <c r="AZ30" i="13"/>
  <c r="AY30" i="13"/>
  <c r="R30" i="13"/>
  <c r="M30" i="13"/>
  <c r="J30" i="13"/>
  <c r="E30" i="13"/>
  <c r="C30" i="13"/>
  <c r="AZ29" i="13"/>
  <c r="AY29" i="13"/>
  <c r="R29" i="13"/>
  <c r="M29" i="13"/>
  <c r="J29" i="13"/>
  <c r="AW29" i="13" s="1"/>
  <c r="E29" i="13"/>
  <c r="C29" i="13"/>
  <c r="AZ26" i="13"/>
  <c r="AY26" i="13"/>
  <c r="R26" i="13"/>
  <c r="M26" i="13"/>
  <c r="J26" i="13"/>
  <c r="AW26" i="13" s="1"/>
  <c r="E26" i="13"/>
  <c r="C26" i="13"/>
  <c r="AZ25" i="13"/>
  <c r="AY25" i="13"/>
  <c r="R25" i="13"/>
  <c r="M25" i="13"/>
  <c r="J25" i="13"/>
  <c r="AW25" i="13" s="1"/>
  <c r="E25" i="13"/>
  <c r="C25" i="13"/>
  <c r="AZ24" i="13"/>
  <c r="AY24" i="13"/>
  <c r="R24" i="13"/>
  <c r="M24" i="13"/>
  <c r="J24" i="13"/>
  <c r="E24" i="13"/>
  <c r="C24" i="13"/>
  <c r="AZ21" i="13"/>
  <c r="AY21" i="13"/>
  <c r="R21" i="13"/>
  <c r="M21" i="13"/>
  <c r="J21" i="13"/>
  <c r="AW21" i="13" s="1"/>
  <c r="H8" i="13" s="1"/>
  <c r="E21" i="13"/>
  <c r="C21" i="13"/>
  <c r="AZ20" i="13"/>
  <c r="AY20" i="13"/>
  <c r="R20" i="13"/>
  <c r="M20" i="13"/>
  <c r="J20" i="13"/>
  <c r="AW20" i="13" s="1"/>
  <c r="E20" i="13"/>
  <c r="C20" i="13"/>
  <c r="AZ19" i="13"/>
  <c r="AY19" i="13"/>
  <c r="R19" i="13"/>
  <c r="M19" i="13"/>
  <c r="J19" i="13"/>
  <c r="AW19" i="13" s="1"/>
  <c r="J9" i="13" s="1"/>
  <c r="E19" i="13"/>
  <c r="C19" i="13"/>
  <c r="AZ16" i="13"/>
  <c r="AY16" i="13"/>
  <c r="R16" i="13"/>
  <c r="M16" i="13"/>
  <c r="BD16" i="13" s="1"/>
  <c r="J16" i="13"/>
  <c r="AW16" i="13" s="1"/>
  <c r="E16" i="13"/>
  <c r="C16" i="13"/>
  <c r="AZ15" i="13"/>
  <c r="AY15" i="13"/>
  <c r="M9" i="13" s="1"/>
  <c r="R15" i="13"/>
  <c r="M15" i="13"/>
  <c r="BD15" i="13" s="1"/>
  <c r="J15" i="13"/>
  <c r="E15" i="13"/>
  <c r="C15" i="13"/>
  <c r="BC14" i="13"/>
  <c r="AZ14" i="13"/>
  <c r="AY14" i="13"/>
  <c r="R14" i="13"/>
  <c r="M14" i="13"/>
  <c r="BD14" i="13" s="1"/>
  <c r="J14" i="13"/>
  <c r="E14" i="13"/>
  <c r="C14" i="13"/>
  <c r="BH9" i="13"/>
  <c r="BG9" i="13"/>
  <c r="BF9" i="13"/>
  <c r="BE9" i="13"/>
  <c r="BD9" i="13"/>
  <c r="BB9" i="13"/>
  <c r="AZ9" i="13"/>
  <c r="BK9" i="13" s="1"/>
  <c r="AC9" i="13"/>
  <c r="BH8" i="13"/>
  <c r="BG8" i="13"/>
  <c r="BF8" i="13"/>
  <c r="BE8" i="13"/>
  <c r="BD8" i="13"/>
  <c r="BC8" i="13"/>
  <c r="BB8" i="13"/>
  <c r="BA8" i="13"/>
  <c r="AZ8" i="13"/>
  <c r="BK8" i="13" s="1"/>
  <c r="BB21" i="13" s="1"/>
  <c r="AC8" i="13"/>
  <c r="L8" i="13"/>
  <c r="BH7" i="13"/>
  <c r="BG7" i="13"/>
  <c r="BF7" i="13"/>
  <c r="BE7" i="13"/>
  <c r="BD7" i="13"/>
  <c r="BC7" i="13"/>
  <c r="BB7" i="13"/>
  <c r="BA7" i="13"/>
  <c r="AZ7" i="13"/>
  <c r="BK7" i="13" s="1"/>
  <c r="AC7" i="13"/>
  <c r="L7" i="13"/>
  <c r="K7" i="13"/>
  <c r="J7" i="13"/>
  <c r="I7" i="13"/>
  <c r="H7" i="13"/>
  <c r="BH6" i="13"/>
  <c r="BG6" i="13"/>
  <c r="BF6" i="13"/>
  <c r="BE6" i="13"/>
  <c r="BD6" i="13"/>
  <c r="BC6" i="13"/>
  <c r="BB6" i="13"/>
  <c r="BA6" i="13"/>
  <c r="AZ6" i="13"/>
  <c r="BK6" i="13" s="1"/>
  <c r="AC6" i="13"/>
  <c r="M6" i="13"/>
  <c r="L6" i="13"/>
  <c r="K6" i="13"/>
  <c r="J6" i="13"/>
  <c r="I6" i="13"/>
  <c r="BH5" i="13"/>
  <c r="BG5" i="13"/>
  <c r="BF5" i="13"/>
  <c r="BE5" i="13"/>
  <c r="BD5" i="13"/>
  <c r="BC5" i="13"/>
  <c r="BB5" i="13"/>
  <c r="BA5" i="13"/>
  <c r="AZ5" i="13"/>
  <c r="BK5" i="13" s="1"/>
  <c r="AC5" i="13"/>
  <c r="M5" i="13"/>
  <c r="K5" i="13"/>
  <c r="J5" i="13"/>
  <c r="I5" i="13"/>
  <c r="H5" i="13"/>
  <c r="BH4" i="13"/>
  <c r="BG4" i="13"/>
  <c r="BF4" i="13"/>
  <c r="BE4" i="13"/>
  <c r="BD4" i="13"/>
  <c r="BC4" i="13"/>
  <c r="BB4" i="13"/>
  <c r="BA4" i="13"/>
  <c r="AZ4" i="13"/>
  <c r="BK4" i="13" s="1"/>
  <c r="AC4" i="13"/>
  <c r="L4" i="13"/>
  <c r="K4" i="13"/>
  <c r="I4" i="13"/>
  <c r="H4" i="13"/>
  <c r="V1" i="13"/>
  <c r="AZ36" i="12"/>
  <c r="AY36" i="12"/>
  <c r="R36" i="12"/>
  <c r="M36" i="12"/>
  <c r="J36" i="12"/>
  <c r="E36" i="12"/>
  <c r="C36" i="12"/>
  <c r="AZ35" i="12"/>
  <c r="AY35" i="12"/>
  <c r="R35" i="12"/>
  <c r="M35" i="12"/>
  <c r="J35" i="12"/>
  <c r="E35" i="12"/>
  <c r="C35" i="12"/>
  <c r="AZ34" i="12"/>
  <c r="AY34" i="12"/>
  <c r="R34" i="12"/>
  <c r="M34" i="12"/>
  <c r="J34" i="12"/>
  <c r="E34" i="12"/>
  <c r="C34" i="12"/>
  <c r="AZ31" i="12"/>
  <c r="AY31" i="12"/>
  <c r="R31" i="12"/>
  <c r="M31" i="12"/>
  <c r="J31" i="12"/>
  <c r="AW31" i="12" s="1"/>
  <c r="E31" i="12"/>
  <c r="C31" i="12"/>
  <c r="AZ30" i="12"/>
  <c r="AY30" i="12"/>
  <c r="R30" i="12"/>
  <c r="M30" i="12"/>
  <c r="J30" i="12"/>
  <c r="AW30" i="12" s="1"/>
  <c r="E30" i="12"/>
  <c r="C30" i="12"/>
  <c r="AZ29" i="12"/>
  <c r="AY29" i="12"/>
  <c r="R29" i="12"/>
  <c r="M29" i="12"/>
  <c r="J29" i="12"/>
  <c r="AW29" i="12" s="1"/>
  <c r="E29" i="12"/>
  <c r="C29" i="12"/>
  <c r="AZ26" i="12"/>
  <c r="AY26" i="12"/>
  <c r="R26" i="12"/>
  <c r="M26" i="12"/>
  <c r="J26" i="12"/>
  <c r="AW26" i="12" s="1"/>
  <c r="E26" i="12"/>
  <c r="C26" i="12"/>
  <c r="AZ25" i="12"/>
  <c r="AY25" i="12"/>
  <c r="R25" i="12"/>
  <c r="M25" i="12"/>
  <c r="J25" i="12"/>
  <c r="AW25" i="12" s="1"/>
  <c r="E25" i="12"/>
  <c r="C25" i="12"/>
  <c r="AZ24" i="12"/>
  <c r="AY24" i="12"/>
  <c r="R24" i="12"/>
  <c r="M24" i="12"/>
  <c r="J24" i="12"/>
  <c r="AW24" i="12" s="1"/>
  <c r="E24" i="12"/>
  <c r="C24" i="12"/>
  <c r="AZ21" i="12"/>
  <c r="AY21" i="12"/>
  <c r="R21" i="12"/>
  <c r="M21" i="12"/>
  <c r="J21" i="12"/>
  <c r="AW21" i="12" s="1"/>
  <c r="E21" i="12"/>
  <c r="C21" i="12"/>
  <c r="AZ20" i="12"/>
  <c r="AY20" i="12"/>
  <c r="R20" i="12"/>
  <c r="M20" i="12"/>
  <c r="J20" i="12"/>
  <c r="AW20" i="12" s="1"/>
  <c r="E20" i="12"/>
  <c r="C20" i="12"/>
  <c r="AZ19" i="12"/>
  <c r="AY19" i="12"/>
  <c r="R19" i="12"/>
  <c r="M19" i="12"/>
  <c r="J19" i="12"/>
  <c r="AW19" i="12" s="1"/>
  <c r="M6" i="12" s="1"/>
  <c r="E19" i="12"/>
  <c r="C19" i="12"/>
  <c r="AZ16" i="12"/>
  <c r="AY16" i="12"/>
  <c r="R16" i="12"/>
  <c r="M16" i="12"/>
  <c r="BD16" i="12" s="1"/>
  <c r="J16" i="12"/>
  <c r="AW16" i="12" s="1"/>
  <c r="E16" i="12"/>
  <c r="C16" i="12"/>
  <c r="AZ15" i="12"/>
  <c r="AY15" i="12"/>
  <c r="R15" i="12"/>
  <c r="M15" i="12"/>
  <c r="BD15" i="12" s="1"/>
  <c r="J15" i="12"/>
  <c r="AW15" i="12" s="1"/>
  <c r="E15" i="12"/>
  <c r="C15" i="12"/>
  <c r="AZ14" i="12"/>
  <c r="AY14" i="12"/>
  <c r="R14" i="12"/>
  <c r="M14" i="12"/>
  <c r="BD14" i="12" s="1"/>
  <c r="J14" i="12"/>
  <c r="AW14" i="12" s="1"/>
  <c r="E14" i="12"/>
  <c r="C14" i="12"/>
  <c r="BH9" i="12"/>
  <c r="BG9" i="12"/>
  <c r="BF9" i="12"/>
  <c r="BE9" i="12"/>
  <c r="BD9" i="12"/>
  <c r="BC9" i="12"/>
  <c r="BB9" i="12"/>
  <c r="BA9" i="12"/>
  <c r="AZ9" i="12"/>
  <c r="BK9" i="12" s="1"/>
  <c r="AC9" i="12"/>
  <c r="M9" i="12"/>
  <c r="BH8" i="12"/>
  <c r="BG8" i="12"/>
  <c r="BF8" i="12"/>
  <c r="BE8" i="12"/>
  <c r="BD8" i="12"/>
  <c r="BC8" i="12"/>
  <c r="BB8" i="12"/>
  <c r="BA8" i="12"/>
  <c r="AZ8" i="12"/>
  <c r="BK8" i="12" s="1"/>
  <c r="AC8" i="12"/>
  <c r="L8" i="12"/>
  <c r="BH7" i="12"/>
  <c r="BG7" i="12"/>
  <c r="BF7" i="12"/>
  <c r="BE7" i="12"/>
  <c r="BD7" i="12"/>
  <c r="BC7" i="12"/>
  <c r="BB7" i="12"/>
  <c r="BA7" i="12"/>
  <c r="AZ7" i="12"/>
  <c r="BK7" i="12" s="1"/>
  <c r="AC7" i="12"/>
  <c r="K7" i="12"/>
  <c r="BH6" i="12"/>
  <c r="BG6" i="12"/>
  <c r="BF6" i="12"/>
  <c r="BE6" i="12"/>
  <c r="BD6" i="12"/>
  <c r="BC6" i="12"/>
  <c r="BB6" i="12"/>
  <c r="BA6" i="12"/>
  <c r="AZ6" i="12"/>
  <c r="BK6" i="12" s="1"/>
  <c r="AC6" i="12"/>
  <c r="J6" i="12"/>
  <c r="BH5" i="12"/>
  <c r="BG5" i="12"/>
  <c r="BF5" i="12"/>
  <c r="BE5" i="12"/>
  <c r="BD5" i="12"/>
  <c r="BC5" i="12"/>
  <c r="BB5" i="12"/>
  <c r="BA5" i="12"/>
  <c r="AZ5" i="12"/>
  <c r="BK5" i="12" s="1"/>
  <c r="AC5" i="12"/>
  <c r="I5" i="12"/>
  <c r="BH4" i="12"/>
  <c r="BG4" i="12"/>
  <c r="BF4" i="12"/>
  <c r="BE4" i="12"/>
  <c r="BD4" i="12"/>
  <c r="BC4" i="12"/>
  <c r="BB4" i="12"/>
  <c r="BA4" i="12"/>
  <c r="AZ4" i="12"/>
  <c r="BK4" i="12" s="1"/>
  <c r="AC4" i="12"/>
  <c r="H4" i="12"/>
  <c r="V1" i="12"/>
  <c r="AV21" i="11"/>
  <c r="AU21" i="11"/>
  <c r="Q21" i="11"/>
  <c r="N21" i="11"/>
  <c r="J21" i="11"/>
  <c r="AS21" i="11" s="1"/>
  <c r="N4" i="11" s="1"/>
  <c r="E21" i="11"/>
  <c r="C21" i="11"/>
  <c r="AV20" i="11"/>
  <c r="AU20" i="11"/>
  <c r="Q20" i="11"/>
  <c r="N20" i="11"/>
  <c r="J20" i="11"/>
  <c r="AS20" i="11" s="1"/>
  <c r="E20" i="11"/>
  <c r="C20" i="11"/>
  <c r="AV17" i="11"/>
  <c r="AU17" i="11"/>
  <c r="Q17" i="11"/>
  <c r="N17" i="11"/>
  <c r="J17" i="11"/>
  <c r="AS17" i="11" s="1"/>
  <c r="M6" i="11" s="1"/>
  <c r="E17" i="11"/>
  <c r="C17" i="11"/>
  <c r="AV16" i="11"/>
  <c r="AU16" i="11"/>
  <c r="Q16" i="11"/>
  <c r="N16" i="11"/>
  <c r="J16" i="11"/>
  <c r="E16" i="11"/>
  <c r="C16" i="11"/>
  <c r="AV13" i="11"/>
  <c r="AU13" i="11"/>
  <c r="Q13" i="11"/>
  <c r="N13" i="11"/>
  <c r="AZ13" i="11" s="1"/>
  <c r="J13" i="11"/>
  <c r="AS13" i="11" s="1"/>
  <c r="E13" i="11"/>
  <c r="C13" i="11"/>
  <c r="AV12" i="11"/>
  <c r="AU12" i="11"/>
  <c r="P7" i="11" s="1"/>
  <c r="Q12" i="11"/>
  <c r="N12" i="11"/>
  <c r="AZ12" i="11" s="1"/>
  <c r="J12" i="11"/>
  <c r="E12" i="11"/>
  <c r="C12" i="11"/>
  <c r="S8" i="11"/>
  <c r="BD7" i="11"/>
  <c r="BC7" i="11"/>
  <c r="BB7" i="11"/>
  <c r="BA7" i="11"/>
  <c r="AZ7" i="11"/>
  <c r="AY7" i="11"/>
  <c r="AX7" i="11"/>
  <c r="AB7" i="11"/>
  <c r="BD6" i="11"/>
  <c r="BC6" i="11"/>
  <c r="BB6" i="11"/>
  <c r="BA6" i="11"/>
  <c r="AZ6" i="11"/>
  <c r="AY6" i="11"/>
  <c r="AX6" i="11"/>
  <c r="AW6" i="11"/>
  <c r="AB6" i="11"/>
  <c r="BD5" i="11"/>
  <c r="BC5" i="11"/>
  <c r="BB5" i="11"/>
  <c r="BA5" i="11"/>
  <c r="AZ5" i="11"/>
  <c r="AY5" i="11"/>
  <c r="AW5" i="11"/>
  <c r="AV5" i="11"/>
  <c r="BG5" i="11" s="1"/>
  <c r="AB5" i="11"/>
  <c r="N5" i="11"/>
  <c r="BD4" i="11"/>
  <c r="BC4" i="11"/>
  <c r="BB4" i="11"/>
  <c r="BA4" i="11"/>
  <c r="AZ4" i="11"/>
  <c r="AY4" i="11"/>
  <c r="AX4" i="11"/>
  <c r="AW4" i="11"/>
  <c r="AV4" i="11"/>
  <c r="BG4" i="11" s="1"/>
  <c r="AB4" i="11"/>
  <c r="O4" i="11"/>
  <c r="M4" i="11"/>
  <c r="U1" i="11"/>
  <c r="AV21" i="10"/>
  <c r="AU21" i="10"/>
  <c r="Q21" i="10"/>
  <c r="N21" i="10"/>
  <c r="J21" i="10"/>
  <c r="AS21" i="10" s="1"/>
  <c r="E21" i="10"/>
  <c r="C21" i="10"/>
  <c r="AV20" i="10"/>
  <c r="AU20" i="10"/>
  <c r="Q20" i="10"/>
  <c r="N20" i="10"/>
  <c r="J20" i="10"/>
  <c r="AS20" i="10" s="1"/>
  <c r="P6" i="10" s="1"/>
  <c r="E20" i="10"/>
  <c r="C20" i="10"/>
  <c r="AV17" i="10"/>
  <c r="AU17" i="10"/>
  <c r="Q17" i="10"/>
  <c r="N17" i="10"/>
  <c r="J17" i="10"/>
  <c r="AS17" i="10" s="1"/>
  <c r="E17" i="10"/>
  <c r="C17" i="10"/>
  <c r="AV16" i="10"/>
  <c r="AU16" i="10"/>
  <c r="Q16" i="10"/>
  <c r="N16" i="10"/>
  <c r="J16" i="10"/>
  <c r="AS16" i="10" s="1"/>
  <c r="P5" i="10" s="1"/>
  <c r="E16" i="10"/>
  <c r="C16" i="10"/>
  <c r="AV13" i="10"/>
  <c r="AU13" i="10"/>
  <c r="Q13" i="10"/>
  <c r="N13" i="10"/>
  <c r="AZ13" i="10" s="1"/>
  <c r="J13" i="10"/>
  <c r="E13" i="10"/>
  <c r="C13" i="10"/>
  <c r="AV12" i="10"/>
  <c r="AU12" i="10"/>
  <c r="Q12" i="10"/>
  <c r="N12" i="10"/>
  <c r="AZ12" i="10" s="1"/>
  <c r="J12" i="10"/>
  <c r="AS12" i="10" s="1"/>
  <c r="E12" i="10"/>
  <c r="C12" i="10"/>
  <c r="S8" i="10"/>
  <c r="BD7" i="10"/>
  <c r="BC7" i="10"/>
  <c r="BB7" i="10"/>
  <c r="BA7" i="10"/>
  <c r="AZ7" i="10"/>
  <c r="AY7" i="10"/>
  <c r="AX7" i="10"/>
  <c r="AW7" i="10"/>
  <c r="AV7" i="10"/>
  <c r="BG7" i="10" s="1"/>
  <c r="AB7" i="10"/>
  <c r="P7" i="10"/>
  <c r="BD6" i="10"/>
  <c r="BC6" i="10"/>
  <c r="BB6" i="10"/>
  <c r="BA6" i="10"/>
  <c r="AZ6" i="10"/>
  <c r="AY6" i="10"/>
  <c r="AX6" i="10"/>
  <c r="AW6" i="10"/>
  <c r="AB6" i="10"/>
  <c r="BD5" i="10"/>
  <c r="BC5" i="10"/>
  <c r="BB5" i="10"/>
  <c r="BA5" i="10"/>
  <c r="AZ5" i="10"/>
  <c r="AY5" i="10"/>
  <c r="AX5" i="10"/>
  <c r="AW5" i="10"/>
  <c r="AV5" i="10"/>
  <c r="BG5" i="10" s="1"/>
  <c r="AB5" i="10"/>
  <c r="N5" i="10"/>
  <c r="BD4" i="10"/>
  <c r="BC4" i="10"/>
  <c r="BB4" i="10"/>
  <c r="BA4" i="10"/>
  <c r="AZ4" i="10"/>
  <c r="AY4" i="10"/>
  <c r="AX4" i="10"/>
  <c r="AW4" i="10"/>
  <c r="AV4" i="10"/>
  <c r="BG4" i="10" s="1"/>
  <c r="AB4" i="10"/>
  <c r="M4" i="10"/>
  <c r="U1" i="10"/>
  <c r="AV21" i="9"/>
  <c r="AU21" i="9"/>
  <c r="Q21" i="9"/>
  <c r="N21" i="9"/>
  <c r="J21" i="9"/>
  <c r="E21" i="9"/>
  <c r="C21" i="9"/>
  <c r="AV20" i="9"/>
  <c r="AU20" i="9"/>
  <c r="Q20" i="9"/>
  <c r="N20" i="9"/>
  <c r="J20" i="9"/>
  <c r="E20" i="9"/>
  <c r="C20" i="9"/>
  <c r="AV17" i="9"/>
  <c r="AU17" i="9"/>
  <c r="Q17" i="9"/>
  <c r="N17" i="9"/>
  <c r="J17" i="9"/>
  <c r="E17" i="9"/>
  <c r="C17" i="9"/>
  <c r="AV16" i="9"/>
  <c r="AU16" i="9"/>
  <c r="Q16" i="9"/>
  <c r="N16" i="9"/>
  <c r="J16" i="9"/>
  <c r="E16" i="9"/>
  <c r="C16" i="9"/>
  <c r="AV13" i="9"/>
  <c r="AU13" i="9"/>
  <c r="Q13" i="9"/>
  <c r="N13" i="9"/>
  <c r="AZ13" i="9" s="1"/>
  <c r="J13" i="9"/>
  <c r="AS13" i="9" s="1"/>
  <c r="E13" i="9"/>
  <c r="C13" i="9"/>
  <c r="AV12" i="9"/>
  <c r="AU12" i="9"/>
  <c r="Q12" i="9"/>
  <c r="N12" i="9"/>
  <c r="AZ12" i="9" s="1"/>
  <c r="J12" i="9"/>
  <c r="AY12" i="9" s="1"/>
  <c r="E12" i="9"/>
  <c r="C12" i="9"/>
  <c r="S8" i="9"/>
  <c r="BD7" i="9"/>
  <c r="BC7" i="9"/>
  <c r="BB7" i="9"/>
  <c r="BA7" i="9"/>
  <c r="AZ7" i="9"/>
  <c r="AY7" i="9"/>
  <c r="AW7" i="9"/>
  <c r="AV7" i="9"/>
  <c r="BG7" i="9" s="1"/>
  <c r="AB7" i="9"/>
  <c r="P7" i="9"/>
  <c r="BD6" i="9"/>
  <c r="BC6" i="9"/>
  <c r="BB6" i="9"/>
  <c r="BA6" i="9"/>
  <c r="AZ6" i="9"/>
  <c r="AY6" i="9"/>
  <c r="AX6" i="9"/>
  <c r="AW6" i="9"/>
  <c r="AV6" i="9"/>
  <c r="BG6" i="9" s="1"/>
  <c r="AB6" i="9"/>
  <c r="O6" i="9"/>
  <c r="BD5" i="9"/>
  <c r="BC5" i="9"/>
  <c r="BB5" i="9"/>
  <c r="BA5" i="9"/>
  <c r="AZ5" i="9"/>
  <c r="AY5" i="9"/>
  <c r="AX5" i="9"/>
  <c r="AW5" i="9"/>
  <c r="AV5" i="9"/>
  <c r="BG5" i="9" s="1"/>
  <c r="AX16" i="9" s="1"/>
  <c r="AB5" i="9"/>
  <c r="N5" i="9"/>
  <c r="BD4" i="9"/>
  <c r="BC4" i="9"/>
  <c r="BB4" i="9"/>
  <c r="BA4" i="9"/>
  <c r="AZ4" i="9"/>
  <c r="AY4" i="9"/>
  <c r="AX4" i="9"/>
  <c r="AW4" i="9"/>
  <c r="AV4" i="9"/>
  <c r="BG4" i="9" s="1"/>
  <c r="AB4" i="9"/>
  <c r="M4" i="9"/>
  <c r="U1" i="9"/>
  <c r="AV21" i="8"/>
  <c r="AU21" i="8"/>
  <c r="Q21" i="8"/>
  <c r="N21" i="8"/>
  <c r="J21" i="8"/>
  <c r="E21" i="8"/>
  <c r="C21" i="8"/>
  <c r="AV20" i="8"/>
  <c r="AU20" i="8"/>
  <c r="Q20" i="8"/>
  <c r="N20" i="8"/>
  <c r="J20" i="8"/>
  <c r="E20" i="8"/>
  <c r="C20" i="8"/>
  <c r="AV17" i="8"/>
  <c r="AU17" i="8"/>
  <c r="Q17" i="8"/>
  <c r="N17" i="8"/>
  <c r="J17" i="8"/>
  <c r="E17" i="8"/>
  <c r="C17" i="8"/>
  <c r="AV16" i="8"/>
  <c r="AU16" i="8"/>
  <c r="Q16" i="8"/>
  <c r="N16" i="8"/>
  <c r="J16" i="8"/>
  <c r="E16" i="8"/>
  <c r="C16" i="8"/>
  <c r="AV13" i="8"/>
  <c r="AU13" i="8"/>
  <c r="Q13" i="8"/>
  <c r="N13" i="8"/>
  <c r="AZ13" i="8" s="1"/>
  <c r="J13" i="8"/>
  <c r="AY13" i="8" s="1"/>
  <c r="E13" i="8"/>
  <c r="C13" i="8"/>
  <c r="AV12" i="8"/>
  <c r="AU12" i="8"/>
  <c r="Q12" i="8"/>
  <c r="N12" i="8"/>
  <c r="AZ12" i="8" s="1"/>
  <c r="J12" i="8"/>
  <c r="AS12" i="8" s="1"/>
  <c r="E12" i="8"/>
  <c r="C12" i="8"/>
  <c r="S8" i="8"/>
  <c r="BD7" i="8"/>
  <c r="BC7" i="8"/>
  <c r="BB7" i="8"/>
  <c r="BA7" i="8"/>
  <c r="AZ7" i="8"/>
  <c r="AY7" i="8"/>
  <c r="AX7" i="8"/>
  <c r="AV7" i="8"/>
  <c r="BG7" i="8" s="1"/>
  <c r="AB7" i="8"/>
  <c r="P7" i="8"/>
  <c r="BD6" i="8"/>
  <c r="BC6" i="8"/>
  <c r="BB6" i="8"/>
  <c r="BA6" i="8"/>
  <c r="AZ6" i="8"/>
  <c r="AY6" i="8"/>
  <c r="AX6" i="8"/>
  <c r="AW6" i="8"/>
  <c r="AV6" i="8"/>
  <c r="BG6" i="8" s="1"/>
  <c r="AB6" i="8"/>
  <c r="O6" i="8"/>
  <c r="BD5" i="8"/>
  <c r="BC5" i="8"/>
  <c r="BB5" i="8"/>
  <c r="BA5" i="8"/>
  <c r="AZ5" i="8"/>
  <c r="AY5" i="8"/>
  <c r="AX5" i="8"/>
  <c r="AW5" i="8"/>
  <c r="AV5" i="8"/>
  <c r="BG5" i="8" s="1"/>
  <c r="AB5" i="8"/>
  <c r="N5" i="8"/>
  <c r="BD4" i="8"/>
  <c r="BC4" i="8"/>
  <c r="BB4" i="8"/>
  <c r="BA4" i="8"/>
  <c r="AZ4" i="8"/>
  <c r="AY4" i="8"/>
  <c r="AX4" i="8"/>
  <c r="AW4" i="8"/>
  <c r="AV4" i="8"/>
  <c r="BG4" i="8" s="1"/>
  <c r="AB4" i="8"/>
  <c r="M4" i="8"/>
  <c r="U1" i="8"/>
  <c r="C79" i="5"/>
  <c r="B79" i="5"/>
  <c r="A79" i="5"/>
  <c r="C78" i="5"/>
  <c r="B78" i="5"/>
  <c r="A78" i="5"/>
  <c r="C77" i="5"/>
  <c r="B77" i="5"/>
  <c r="A77" i="5"/>
  <c r="C76" i="5"/>
  <c r="B76" i="5"/>
  <c r="A76" i="5"/>
  <c r="C75" i="5"/>
  <c r="B75" i="5"/>
  <c r="A75" i="5"/>
  <c r="C74" i="5"/>
  <c r="B74" i="5"/>
  <c r="A74" i="5"/>
  <c r="C73" i="5"/>
  <c r="B73" i="5"/>
  <c r="A73" i="5"/>
  <c r="C72" i="5"/>
  <c r="B72" i="5"/>
  <c r="A72" i="5"/>
  <c r="C71" i="5"/>
  <c r="B71" i="5"/>
  <c r="A71" i="5"/>
  <c r="C70" i="5"/>
  <c r="B70" i="5"/>
  <c r="A70" i="5"/>
  <c r="C69" i="5"/>
  <c r="B69" i="5"/>
  <c r="A69" i="5"/>
  <c r="C68" i="5"/>
  <c r="B68" i="5"/>
  <c r="A68" i="5"/>
  <c r="C67" i="5"/>
  <c r="B67" i="5"/>
  <c r="A67" i="5"/>
  <c r="C66" i="5"/>
  <c r="B66" i="5"/>
  <c r="A66" i="5"/>
  <c r="C65" i="5"/>
  <c r="B65" i="5"/>
  <c r="A65" i="5"/>
  <c r="C64" i="5"/>
  <c r="B64" i="5"/>
  <c r="A64" i="5"/>
  <c r="C63" i="5"/>
  <c r="B63" i="5"/>
  <c r="A63" i="5"/>
  <c r="C62" i="5"/>
  <c r="B62" i="5"/>
  <c r="A62" i="5"/>
  <c r="C61" i="5"/>
  <c r="B61" i="5"/>
  <c r="A61" i="5"/>
  <c r="C60" i="5"/>
  <c r="B60" i="5"/>
  <c r="A60" i="5"/>
  <c r="C59" i="5"/>
  <c r="B59" i="5"/>
  <c r="A59" i="5"/>
  <c r="C58" i="5"/>
  <c r="B58" i="5"/>
  <c r="A58" i="5"/>
  <c r="C57" i="5"/>
  <c r="B57" i="5"/>
  <c r="A57" i="5"/>
  <c r="C56" i="5"/>
  <c r="B56" i="5"/>
  <c r="A56" i="5"/>
  <c r="C55" i="5"/>
  <c r="B55" i="5"/>
  <c r="A55" i="5"/>
  <c r="C54" i="5"/>
  <c r="B54" i="5"/>
  <c r="A54" i="5"/>
  <c r="C53" i="5"/>
  <c r="B53" i="5"/>
  <c r="A53" i="5"/>
  <c r="C52" i="5"/>
  <c r="B52" i="5"/>
  <c r="A52" i="5"/>
  <c r="C51" i="5"/>
  <c r="B51" i="5"/>
  <c r="A51" i="5"/>
  <c r="C50" i="5"/>
  <c r="B50" i="5"/>
  <c r="A50" i="5"/>
  <c r="C49" i="5"/>
  <c r="B49" i="5"/>
  <c r="A49" i="5"/>
  <c r="C48" i="5"/>
  <c r="B48" i="5"/>
  <c r="A48" i="5"/>
  <c r="C47" i="5"/>
  <c r="B47" i="5"/>
  <c r="A47" i="5"/>
  <c r="C46" i="5"/>
  <c r="B46" i="5"/>
  <c r="A46" i="5"/>
  <c r="C45" i="5"/>
  <c r="B45" i="5"/>
  <c r="A45" i="5"/>
  <c r="C44" i="5"/>
  <c r="B44" i="5"/>
  <c r="A44" i="5"/>
  <c r="C43" i="5"/>
  <c r="B43" i="5"/>
  <c r="A43" i="5"/>
  <c r="C42" i="5"/>
  <c r="B42" i="5"/>
  <c r="A42" i="5"/>
  <c r="C41" i="5"/>
  <c r="B41" i="5"/>
  <c r="A41" i="5"/>
  <c r="C40" i="5"/>
  <c r="B40" i="5"/>
  <c r="A40" i="5"/>
  <c r="C39" i="5"/>
  <c r="B39" i="5"/>
  <c r="A39" i="5"/>
  <c r="C38" i="5"/>
  <c r="B38" i="5"/>
  <c r="A38" i="5"/>
  <c r="C37" i="5"/>
  <c r="B37" i="5"/>
  <c r="A37" i="5"/>
  <c r="C36" i="5"/>
  <c r="B36" i="5"/>
  <c r="A36" i="5"/>
  <c r="C35" i="5"/>
  <c r="B35" i="5"/>
  <c r="A35" i="5"/>
  <c r="C34" i="5"/>
  <c r="B34" i="5"/>
  <c r="A34" i="5"/>
  <c r="C33" i="5"/>
  <c r="B33" i="5"/>
  <c r="A33" i="5"/>
  <c r="C32" i="5"/>
  <c r="B32" i="5"/>
  <c r="A32" i="5"/>
  <c r="C30" i="5"/>
  <c r="B30" i="5"/>
  <c r="A30" i="5"/>
  <c r="C29" i="5"/>
  <c r="B29" i="5"/>
  <c r="A29" i="5"/>
  <c r="C28" i="5"/>
  <c r="B28" i="5"/>
  <c r="A28" i="5"/>
  <c r="C27" i="5"/>
  <c r="B27" i="5"/>
  <c r="A27" i="5"/>
  <c r="C26" i="5"/>
  <c r="B26" i="5"/>
  <c r="A26" i="5"/>
  <c r="C25" i="5"/>
  <c r="B25" i="5"/>
  <c r="A25" i="5"/>
  <c r="C24" i="5"/>
  <c r="B24" i="5"/>
  <c r="A24" i="5"/>
  <c r="C23" i="5"/>
  <c r="B23" i="5"/>
  <c r="A23" i="5"/>
  <c r="C22" i="5"/>
  <c r="B22" i="5"/>
  <c r="A22" i="5"/>
  <c r="C21" i="5"/>
  <c r="B21" i="5"/>
  <c r="A21" i="5"/>
  <c r="C20" i="5"/>
  <c r="B20" i="5"/>
  <c r="A20" i="5"/>
  <c r="C19" i="5"/>
  <c r="B19" i="5"/>
  <c r="A19" i="5"/>
  <c r="C18" i="5"/>
  <c r="B18" i="5"/>
  <c r="A18" i="5"/>
  <c r="C17" i="5"/>
  <c r="B17" i="5"/>
  <c r="A17" i="5"/>
  <c r="C16" i="5"/>
  <c r="B16" i="5"/>
  <c r="A16" i="5"/>
  <c r="C15" i="5"/>
  <c r="B15" i="5"/>
  <c r="A15" i="5"/>
  <c r="C14" i="5"/>
  <c r="B14" i="5"/>
  <c r="A14" i="5"/>
  <c r="C13" i="5"/>
  <c r="B13" i="5"/>
  <c r="A13" i="5"/>
  <c r="C12" i="5"/>
  <c r="B12" i="5"/>
  <c r="A12" i="5"/>
  <c r="C11" i="5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C4" i="5"/>
  <c r="B4" i="5"/>
  <c r="A4" i="5"/>
  <c r="D116" i="6"/>
  <c r="C116" i="6"/>
  <c r="B116" i="6"/>
  <c r="D115" i="6"/>
  <c r="C115" i="6"/>
  <c r="B115" i="6"/>
  <c r="D114" i="6"/>
  <c r="C114" i="6"/>
  <c r="B114" i="6"/>
  <c r="D113" i="6"/>
  <c r="C113" i="6"/>
  <c r="B113" i="6"/>
  <c r="D112" i="6"/>
  <c r="C112" i="6"/>
  <c r="B112" i="6"/>
  <c r="D111" i="6"/>
  <c r="C111" i="6"/>
  <c r="B111" i="6"/>
  <c r="D110" i="6"/>
  <c r="C110" i="6"/>
  <c r="B110" i="6"/>
  <c r="D109" i="6"/>
  <c r="C109" i="6"/>
  <c r="B109" i="6"/>
  <c r="D105" i="6"/>
  <c r="C105" i="6"/>
  <c r="B105" i="6"/>
  <c r="D104" i="6"/>
  <c r="C104" i="6"/>
  <c r="B104" i="6"/>
  <c r="D103" i="6"/>
  <c r="C103" i="6"/>
  <c r="B103" i="6"/>
  <c r="D102" i="6"/>
  <c r="C102" i="6"/>
  <c r="B102" i="6"/>
  <c r="D101" i="6"/>
  <c r="C101" i="6"/>
  <c r="B101" i="6"/>
  <c r="D100" i="6"/>
  <c r="C100" i="6"/>
  <c r="B100" i="6"/>
  <c r="D99" i="6"/>
  <c r="C99" i="6"/>
  <c r="B99" i="6"/>
  <c r="D98" i="6"/>
  <c r="C98" i="6"/>
  <c r="B98" i="6"/>
  <c r="D94" i="6"/>
  <c r="C94" i="6"/>
  <c r="B94" i="6"/>
  <c r="D93" i="6"/>
  <c r="C93" i="6"/>
  <c r="B93" i="6"/>
  <c r="D92" i="6"/>
  <c r="C92" i="6"/>
  <c r="B92" i="6"/>
  <c r="D91" i="6"/>
  <c r="C91" i="6"/>
  <c r="B91" i="6"/>
  <c r="D90" i="6"/>
  <c r="C90" i="6"/>
  <c r="B90" i="6"/>
  <c r="D89" i="6"/>
  <c r="C89" i="6"/>
  <c r="B89" i="6"/>
  <c r="D88" i="6"/>
  <c r="C88" i="6"/>
  <c r="B88" i="6"/>
  <c r="D87" i="6"/>
  <c r="C87" i="6"/>
  <c r="B87" i="6"/>
  <c r="D83" i="6"/>
  <c r="C83" i="6"/>
  <c r="B83" i="6"/>
  <c r="D82" i="6"/>
  <c r="C82" i="6"/>
  <c r="B82" i="6"/>
  <c r="D81" i="6"/>
  <c r="C81" i="6"/>
  <c r="B81" i="6"/>
  <c r="D80" i="6"/>
  <c r="C80" i="6"/>
  <c r="B80" i="6"/>
  <c r="D79" i="6"/>
  <c r="C79" i="6"/>
  <c r="B79" i="6"/>
  <c r="D78" i="6"/>
  <c r="C78" i="6"/>
  <c r="B78" i="6"/>
  <c r="D74" i="6"/>
  <c r="C74" i="6"/>
  <c r="B74" i="6"/>
  <c r="D73" i="6"/>
  <c r="C73" i="6"/>
  <c r="B73" i="6"/>
  <c r="D72" i="6"/>
  <c r="C72" i="6"/>
  <c r="B72" i="6"/>
  <c r="D71" i="6"/>
  <c r="C71" i="6"/>
  <c r="B71" i="6"/>
  <c r="D70" i="6"/>
  <c r="C70" i="6"/>
  <c r="B70" i="6"/>
  <c r="D69" i="6"/>
  <c r="C69" i="6"/>
  <c r="B69" i="6"/>
  <c r="D65" i="6"/>
  <c r="C65" i="6"/>
  <c r="B65" i="6"/>
  <c r="D64" i="6"/>
  <c r="C64" i="6"/>
  <c r="B64" i="6"/>
  <c r="D63" i="6"/>
  <c r="C63" i="6"/>
  <c r="B63" i="6"/>
  <c r="D62" i="6"/>
  <c r="C62" i="6"/>
  <c r="B62" i="6"/>
  <c r="D61" i="6"/>
  <c r="C61" i="6"/>
  <c r="B61" i="6"/>
  <c r="D60" i="6"/>
  <c r="C60" i="6"/>
  <c r="B60" i="6"/>
  <c r="D56" i="6"/>
  <c r="C56" i="6"/>
  <c r="B56" i="6"/>
  <c r="D55" i="6"/>
  <c r="C55" i="6"/>
  <c r="B55" i="6"/>
  <c r="D54" i="6"/>
  <c r="C54" i="6"/>
  <c r="B54" i="6"/>
  <c r="D53" i="6"/>
  <c r="C53" i="6"/>
  <c r="B53" i="6"/>
  <c r="D52" i="6"/>
  <c r="C52" i="6"/>
  <c r="B52" i="6"/>
  <c r="D51" i="6"/>
  <c r="C51" i="6"/>
  <c r="B51" i="6"/>
  <c r="D47" i="6"/>
  <c r="C47" i="6"/>
  <c r="B47" i="6"/>
  <c r="D46" i="6"/>
  <c r="C46" i="6"/>
  <c r="B46" i="6"/>
  <c r="D45" i="6"/>
  <c r="C45" i="6"/>
  <c r="B45" i="6"/>
  <c r="D44" i="6"/>
  <c r="C44" i="6"/>
  <c r="B44" i="6"/>
  <c r="D43" i="6"/>
  <c r="C43" i="6"/>
  <c r="B43" i="6"/>
  <c r="D42" i="6"/>
  <c r="C42" i="6"/>
  <c r="B42" i="6"/>
  <c r="D38" i="6"/>
  <c r="C38" i="6"/>
  <c r="B38" i="6"/>
  <c r="D37" i="6"/>
  <c r="C37" i="6"/>
  <c r="B37" i="6"/>
  <c r="D36" i="6"/>
  <c r="C36" i="6"/>
  <c r="B36" i="6"/>
  <c r="D35" i="6"/>
  <c r="C35" i="6"/>
  <c r="B35" i="6"/>
  <c r="D34" i="6"/>
  <c r="C34" i="6"/>
  <c r="B34" i="6"/>
  <c r="D33" i="6"/>
  <c r="C33" i="6"/>
  <c r="B33" i="6"/>
  <c r="D29" i="6"/>
  <c r="C29" i="6"/>
  <c r="B29" i="6"/>
  <c r="D28" i="6"/>
  <c r="C28" i="6"/>
  <c r="B28" i="6"/>
  <c r="D27" i="6"/>
  <c r="C27" i="6"/>
  <c r="B27" i="6"/>
  <c r="D26" i="6"/>
  <c r="C26" i="6"/>
  <c r="B26" i="6"/>
  <c r="D22" i="6"/>
  <c r="C22" i="6"/>
  <c r="B22" i="6"/>
  <c r="D21" i="6"/>
  <c r="C21" i="6"/>
  <c r="B21" i="6"/>
  <c r="D20" i="6"/>
  <c r="C20" i="6"/>
  <c r="B20" i="6"/>
  <c r="D19" i="6"/>
  <c r="C19" i="6"/>
  <c r="B19" i="6"/>
  <c r="D15" i="6"/>
  <c r="C15" i="6"/>
  <c r="B15" i="6"/>
  <c r="D14" i="6"/>
  <c r="C14" i="6"/>
  <c r="B14" i="6"/>
  <c r="D13" i="6"/>
  <c r="C13" i="6"/>
  <c r="B13" i="6"/>
  <c r="D12" i="6"/>
  <c r="C12" i="6"/>
  <c r="B12" i="6"/>
  <c r="D8" i="6"/>
  <c r="C8" i="6"/>
  <c r="B8" i="6"/>
  <c r="D7" i="6"/>
  <c r="C7" i="6"/>
  <c r="B7" i="6"/>
  <c r="D6" i="6"/>
  <c r="C6" i="6"/>
  <c r="B6" i="6"/>
  <c r="D5" i="6"/>
  <c r="C5" i="6"/>
  <c r="B5" i="6"/>
  <c r="H5" i="20" l="1"/>
  <c r="I4" i="20"/>
  <c r="J10" i="20"/>
  <c r="N6" i="20"/>
  <c r="K9" i="20"/>
  <c r="M7" i="20"/>
  <c r="O8" i="20"/>
  <c r="L11" i="20"/>
  <c r="L9" i="20"/>
  <c r="M8" i="20"/>
  <c r="K10" i="20"/>
  <c r="N7" i="20"/>
  <c r="J4" i="20"/>
  <c r="H6" i="20"/>
  <c r="O5" i="20"/>
  <c r="I11" i="20"/>
  <c r="J5" i="20"/>
  <c r="I6" i="20"/>
  <c r="K4" i="20"/>
  <c r="H7" i="20"/>
  <c r="BA40" i="20"/>
  <c r="M11" i="20"/>
  <c r="O9" i="20"/>
  <c r="L10" i="20"/>
  <c r="N8" i="20"/>
  <c r="L4" i="20"/>
  <c r="H8" i="20"/>
  <c r="M10" i="20"/>
  <c r="N9" i="20"/>
  <c r="I7" i="20"/>
  <c r="K5" i="20"/>
  <c r="J11" i="20"/>
  <c r="O6" i="20"/>
  <c r="J7" i="20"/>
  <c r="K6" i="20"/>
  <c r="I8" i="20"/>
  <c r="L5" i="20"/>
  <c r="H9" i="20"/>
  <c r="M4" i="20"/>
  <c r="N11" i="20"/>
  <c r="O10" i="20"/>
  <c r="H10" i="20"/>
  <c r="N4" i="20"/>
  <c r="M5" i="20"/>
  <c r="I9" i="20"/>
  <c r="J8" i="20"/>
  <c r="L6" i="20"/>
  <c r="K11" i="20"/>
  <c r="O7" i="20"/>
  <c r="BP11" i="20"/>
  <c r="BF28" i="20" s="1"/>
  <c r="BG28" i="20" s="1"/>
  <c r="J9" i="20"/>
  <c r="M6" i="20"/>
  <c r="BG18" i="20"/>
  <c r="BA17" i="20"/>
  <c r="I10" i="20" s="1"/>
  <c r="BP7" i="20"/>
  <c r="BE31" i="20" s="1"/>
  <c r="BH31" i="20" s="1"/>
  <c r="BG24" i="20"/>
  <c r="BA16" i="20"/>
  <c r="BP9" i="20"/>
  <c r="BE29" i="20" s="1"/>
  <c r="J4" i="19"/>
  <c r="H6" i="19"/>
  <c r="I6" i="19"/>
  <c r="J5" i="19"/>
  <c r="H7" i="19"/>
  <c r="K4" i="19"/>
  <c r="L4" i="19"/>
  <c r="H8" i="19"/>
  <c r="I7" i="19"/>
  <c r="K5" i="19"/>
  <c r="K6" i="19"/>
  <c r="J7" i="19"/>
  <c r="L5" i="19"/>
  <c r="I8" i="19"/>
  <c r="M4" i="19"/>
  <c r="H9" i="19"/>
  <c r="I9" i="19"/>
  <c r="M5" i="19"/>
  <c r="L6" i="19"/>
  <c r="J8" i="19"/>
  <c r="BA18" i="19"/>
  <c r="M6" i="19" s="1"/>
  <c r="BE24" i="19"/>
  <c r="BP5" i="19"/>
  <c r="BF30" i="19" s="1"/>
  <c r="BG30" i="19" s="1"/>
  <c r="H11" i="19"/>
  <c r="O4" i="19"/>
  <c r="BG16" i="19"/>
  <c r="BH22" i="19"/>
  <c r="BP9" i="19"/>
  <c r="BQ9" i="19" s="1"/>
  <c r="BP7" i="19"/>
  <c r="BQ7" i="19" s="1"/>
  <c r="I4" i="18"/>
  <c r="N6" i="18"/>
  <c r="J10" i="18"/>
  <c r="K9" i="18"/>
  <c r="M7" i="18"/>
  <c r="L11" i="18"/>
  <c r="O8" i="18"/>
  <c r="M8" i="18"/>
  <c r="L9" i="18"/>
  <c r="H6" i="18"/>
  <c r="J4" i="18"/>
  <c r="I6" i="18"/>
  <c r="J5" i="18"/>
  <c r="H7" i="18"/>
  <c r="K4" i="18"/>
  <c r="M11" i="18"/>
  <c r="O9" i="18"/>
  <c r="M10" i="18"/>
  <c r="N9" i="18"/>
  <c r="H8" i="18"/>
  <c r="L4" i="18"/>
  <c r="I7" i="18"/>
  <c r="K5" i="18"/>
  <c r="J11" i="18"/>
  <c r="O6" i="18"/>
  <c r="BA30" i="18"/>
  <c r="N11" i="18"/>
  <c r="O10" i="18"/>
  <c r="H9" i="18"/>
  <c r="M4" i="18"/>
  <c r="BA24" i="18"/>
  <c r="L6" i="18"/>
  <c r="J8" i="18"/>
  <c r="K11" i="18"/>
  <c r="O7" i="18"/>
  <c r="BA19" i="18"/>
  <c r="N5" i="18"/>
  <c r="I10" i="18"/>
  <c r="BH17" i="18"/>
  <c r="I4" i="17"/>
  <c r="H5" i="17"/>
  <c r="K9" i="17"/>
  <c r="M7" i="17"/>
  <c r="H6" i="17"/>
  <c r="J4" i="17"/>
  <c r="I6" i="17"/>
  <c r="J5" i="17"/>
  <c r="L9" i="17"/>
  <c r="M8" i="17"/>
  <c r="I7" i="17"/>
  <c r="K5" i="17"/>
  <c r="AW14" i="17"/>
  <c r="AW36" i="16"/>
  <c r="AW29" i="16"/>
  <c r="M5" i="16" s="1"/>
  <c r="AW24" i="16"/>
  <c r="AW21" i="16"/>
  <c r="AW16" i="16"/>
  <c r="AW15" i="16"/>
  <c r="H5" i="15"/>
  <c r="I4" i="15"/>
  <c r="L6" i="15"/>
  <c r="J8" i="15"/>
  <c r="K8" i="15"/>
  <c r="L7" i="15"/>
  <c r="H6" i="15"/>
  <c r="J4" i="15"/>
  <c r="M5" i="15"/>
  <c r="I9" i="15"/>
  <c r="J5" i="15"/>
  <c r="I6" i="15"/>
  <c r="H7" i="15"/>
  <c r="K4" i="15"/>
  <c r="L9" i="15"/>
  <c r="M8" i="15"/>
  <c r="L4" i="15"/>
  <c r="H8" i="15"/>
  <c r="K5" i="15"/>
  <c r="I7" i="15"/>
  <c r="M6" i="15"/>
  <c r="J9" i="15"/>
  <c r="L5" i="15"/>
  <c r="R5" i="15" s="1"/>
  <c r="I8" i="15"/>
  <c r="BC15" i="15"/>
  <c r="AZ9" i="15"/>
  <c r="BK9" i="15" s="1"/>
  <c r="BA19" i="15" s="1"/>
  <c r="BD19" i="15" s="1"/>
  <c r="I9" i="14"/>
  <c r="M5" i="14"/>
  <c r="I6" i="14"/>
  <c r="J5" i="14"/>
  <c r="H7" i="14"/>
  <c r="K4" i="14"/>
  <c r="L9" i="14"/>
  <c r="M8" i="14"/>
  <c r="L4" i="14"/>
  <c r="I7" i="14"/>
  <c r="K5" i="14"/>
  <c r="M6" i="14"/>
  <c r="J9" i="14"/>
  <c r="AW15" i="14"/>
  <c r="AW30" i="13"/>
  <c r="AW24" i="13"/>
  <c r="M8" i="13" s="1"/>
  <c r="AW15" i="13"/>
  <c r="AW14" i="13"/>
  <c r="R7" i="13"/>
  <c r="BC16" i="13"/>
  <c r="L7" i="12"/>
  <c r="K8" i="12"/>
  <c r="J4" i="12"/>
  <c r="H6" i="12"/>
  <c r="I9" i="12"/>
  <c r="M5" i="12"/>
  <c r="I6" i="12"/>
  <c r="J5" i="12"/>
  <c r="K4" i="12"/>
  <c r="H7" i="12"/>
  <c r="L9" i="12"/>
  <c r="M8" i="12"/>
  <c r="H8" i="12"/>
  <c r="L4" i="12"/>
  <c r="I7" i="12"/>
  <c r="K5" i="12"/>
  <c r="BL6" i="12"/>
  <c r="BA26" i="12" s="1"/>
  <c r="BD26" i="12" s="1"/>
  <c r="I8" i="12"/>
  <c r="L5" i="12"/>
  <c r="BC15" i="12"/>
  <c r="AV6" i="11"/>
  <c r="BG6" i="11" s="1"/>
  <c r="BH6" i="11" s="1"/>
  <c r="AY13" i="11"/>
  <c r="AS16" i="11"/>
  <c r="AS12" i="11"/>
  <c r="N4" i="10"/>
  <c r="M5" i="10"/>
  <c r="O4" i="10"/>
  <c r="M6" i="10"/>
  <c r="N7" i="10"/>
  <c r="M7" i="10"/>
  <c r="P4" i="10"/>
  <c r="Q4" i="10" s="1"/>
  <c r="AY12" i="10"/>
  <c r="BH5" i="9"/>
  <c r="AY12" i="8"/>
  <c r="AW17" i="8"/>
  <c r="AZ17" i="8" s="1"/>
  <c r="BH4" i="8"/>
  <c r="AX17" i="8"/>
  <c r="AY17" i="8" s="1"/>
  <c r="BH6" i="8"/>
  <c r="N6" i="9"/>
  <c r="O5" i="9"/>
  <c r="AY16" i="9"/>
  <c r="AW17" i="10"/>
  <c r="AZ17" i="10" s="1"/>
  <c r="BH4" i="10"/>
  <c r="BH5" i="10"/>
  <c r="AX16" i="10"/>
  <c r="AX16" i="8"/>
  <c r="AY16" i="8" s="1"/>
  <c r="BH5" i="8"/>
  <c r="AX17" i="9"/>
  <c r="AY17" i="9" s="1"/>
  <c r="BH6" i="9"/>
  <c r="BH7" i="9"/>
  <c r="AW16" i="9"/>
  <c r="AZ16" i="9" s="1"/>
  <c r="M7" i="8"/>
  <c r="P4" i="8"/>
  <c r="AW16" i="8"/>
  <c r="AZ16" i="8" s="1"/>
  <c r="BH4" i="9"/>
  <c r="AW17" i="9"/>
  <c r="BI5" i="9"/>
  <c r="BJ5" i="9" s="1"/>
  <c r="BK5" i="9" s="1"/>
  <c r="BL5" i="9" s="1"/>
  <c r="BM5" i="9" s="1"/>
  <c r="BN5" i="9" s="1"/>
  <c r="BO5" i="9" s="1"/>
  <c r="AW21" i="9"/>
  <c r="AQ5" i="9" s="1"/>
  <c r="BH7" i="10"/>
  <c r="AW16" i="10"/>
  <c r="AZ16" i="10" s="1"/>
  <c r="AS13" i="8"/>
  <c r="AS13" i="10"/>
  <c r="AV6" i="10"/>
  <c r="BG6" i="10" s="1"/>
  <c r="AY13" i="10"/>
  <c r="AX17" i="11"/>
  <c r="N6" i="11"/>
  <c r="O5" i="11"/>
  <c r="BA21" i="12"/>
  <c r="BD21" i="12" s="1"/>
  <c r="BL4" i="12"/>
  <c r="BL8" i="12"/>
  <c r="BB21" i="12"/>
  <c r="BC21" i="12" s="1"/>
  <c r="H9" i="12"/>
  <c r="M4" i="12"/>
  <c r="AS12" i="9"/>
  <c r="AS16" i="9"/>
  <c r="AS17" i="9"/>
  <c r="AS20" i="9"/>
  <c r="AS21" i="9"/>
  <c r="BL7" i="12"/>
  <c r="BB20" i="12"/>
  <c r="BC20" i="12" s="1"/>
  <c r="BA19" i="12"/>
  <c r="BD19" i="12" s="1"/>
  <c r="BL9" i="12"/>
  <c r="J7" i="12"/>
  <c r="K6" i="12"/>
  <c r="AW7" i="8"/>
  <c r="BH7" i="8" s="1"/>
  <c r="AS16" i="8"/>
  <c r="AS17" i="8"/>
  <c r="AS20" i="8"/>
  <c r="AS21" i="8"/>
  <c r="AX7" i="9"/>
  <c r="AY13" i="9"/>
  <c r="O6" i="10"/>
  <c r="O7" i="10"/>
  <c r="AW17" i="11"/>
  <c r="AZ17" i="11" s="1"/>
  <c r="BH4" i="11"/>
  <c r="AY16" i="10"/>
  <c r="AX16" i="11"/>
  <c r="AY16" i="11" s="1"/>
  <c r="BH5" i="11"/>
  <c r="BA20" i="12"/>
  <c r="BL5" i="12"/>
  <c r="BA21" i="13"/>
  <c r="BL4" i="13"/>
  <c r="BA20" i="13"/>
  <c r="BD20" i="13" s="1"/>
  <c r="BL5" i="13"/>
  <c r="BB19" i="13"/>
  <c r="BC19" i="13" s="1"/>
  <c r="BL6" i="13"/>
  <c r="AY17" i="11"/>
  <c r="BB19" i="12"/>
  <c r="BC19" i="12" s="1"/>
  <c r="AW34" i="12"/>
  <c r="M7" i="12" s="1"/>
  <c r="AW35" i="12"/>
  <c r="AW36" i="12"/>
  <c r="BL7" i="14"/>
  <c r="BB20" i="14"/>
  <c r="BC20" i="14" s="1"/>
  <c r="BB19" i="15"/>
  <c r="BC19" i="15" s="1"/>
  <c r="BL6" i="15"/>
  <c r="P5" i="11"/>
  <c r="O6" i="11"/>
  <c r="N7" i="11"/>
  <c r="BM6" i="12"/>
  <c r="J9" i="12"/>
  <c r="BC14" i="12"/>
  <c r="BC16" i="12"/>
  <c r="BA21" i="15"/>
  <c r="BD21" i="15" s="1"/>
  <c r="BL4" i="15"/>
  <c r="BA20" i="15"/>
  <c r="BD20" i="15" s="1"/>
  <c r="BL5" i="15"/>
  <c r="M5" i="11"/>
  <c r="AX5" i="11"/>
  <c r="P6" i="11"/>
  <c r="O7" i="11"/>
  <c r="AV7" i="11"/>
  <c r="BG7" i="11" s="1"/>
  <c r="AY12" i="11"/>
  <c r="BA19" i="13"/>
  <c r="BD21" i="13"/>
  <c r="BA21" i="14"/>
  <c r="BD21" i="14" s="1"/>
  <c r="BL4" i="14"/>
  <c r="BL8" i="14"/>
  <c r="BB21" i="14"/>
  <c r="BC21" i="14" s="1"/>
  <c r="BD19" i="14"/>
  <c r="BD20" i="14"/>
  <c r="AW7" i="11"/>
  <c r="BB20" i="13"/>
  <c r="BC20" i="13" s="1"/>
  <c r="BL7" i="13"/>
  <c r="BB19" i="14"/>
  <c r="BC19" i="14" s="1"/>
  <c r="BL6" i="14"/>
  <c r="BB20" i="15"/>
  <c r="BC20" i="15" s="1"/>
  <c r="BL7" i="15"/>
  <c r="BB21" i="15"/>
  <c r="BC21" i="15" s="1"/>
  <c r="BL8" i="15"/>
  <c r="BC21" i="13"/>
  <c r="AW30" i="14"/>
  <c r="AW31" i="14"/>
  <c r="AW34" i="14"/>
  <c r="AW35" i="14"/>
  <c r="AW36" i="14"/>
  <c r="BB19" i="16"/>
  <c r="BC19" i="16" s="1"/>
  <c r="BL6" i="16"/>
  <c r="BA19" i="16"/>
  <c r="BD19" i="16" s="1"/>
  <c r="BL9" i="16"/>
  <c r="I7" i="16"/>
  <c r="K5" i="16"/>
  <c r="I6" i="16"/>
  <c r="J5" i="16"/>
  <c r="BB19" i="17"/>
  <c r="BC19" i="17" s="1"/>
  <c r="BL6" i="17"/>
  <c r="BL8" i="13"/>
  <c r="K9" i="13"/>
  <c r="BC9" i="13"/>
  <c r="BL5" i="14"/>
  <c r="BL9" i="14"/>
  <c r="BA20" i="16"/>
  <c r="BD20" i="16" s="1"/>
  <c r="BL5" i="16"/>
  <c r="K4" i="16"/>
  <c r="H7" i="16"/>
  <c r="K8" i="16"/>
  <c r="L7" i="16"/>
  <c r="BA21" i="17"/>
  <c r="BD21" i="17" s="1"/>
  <c r="BL4" i="17"/>
  <c r="BB20" i="17"/>
  <c r="BC20" i="17" s="1"/>
  <c r="BL7" i="17"/>
  <c r="BL8" i="17"/>
  <c r="BB21" i="17"/>
  <c r="L9" i="13"/>
  <c r="BC15" i="13"/>
  <c r="AW14" i="14"/>
  <c r="AW16" i="14"/>
  <c r="BA21" i="16"/>
  <c r="BL4" i="16"/>
  <c r="BB21" i="16"/>
  <c r="BC21" i="16" s="1"/>
  <c r="BL8" i="16"/>
  <c r="L5" i="16"/>
  <c r="I8" i="16"/>
  <c r="J7" i="16"/>
  <c r="K6" i="16"/>
  <c r="L9" i="16"/>
  <c r="M8" i="16"/>
  <c r="H6" i="16"/>
  <c r="J4" i="16"/>
  <c r="H5" i="16"/>
  <c r="I4" i="16"/>
  <c r="I9" i="13"/>
  <c r="BA9" i="13"/>
  <c r="BL9" i="13" s="1"/>
  <c r="BB20" i="16"/>
  <c r="BC20" i="16" s="1"/>
  <c r="BL7" i="16"/>
  <c r="H9" i="16"/>
  <c r="M4" i="16"/>
  <c r="H8" i="16"/>
  <c r="L4" i="16"/>
  <c r="J8" i="16"/>
  <c r="L6" i="16"/>
  <c r="BA20" i="17"/>
  <c r="BD20" i="17" s="1"/>
  <c r="BL5" i="17"/>
  <c r="BA19" i="17"/>
  <c r="BD19" i="17" s="1"/>
  <c r="BL9" i="17"/>
  <c r="AW14" i="15"/>
  <c r="AW16" i="15"/>
  <c r="J9" i="16"/>
  <c r="BC14" i="16"/>
  <c r="BC16" i="16"/>
  <c r="BE23" i="18"/>
  <c r="BP6" i="18"/>
  <c r="BF23" i="18"/>
  <c r="BG23" i="18" s="1"/>
  <c r="BP8" i="18"/>
  <c r="L5" i="18"/>
  <c r="I8" i="18"/>
  <c r="K9" i="16"/>
  <c r="AW16" i="17"/>
  <c r="BP9" i="18"/>
  <c r="BF24" i="18"/>
  <c r="BG24" i="18" s="1"/>
  <c r="BE22" i="18"/>
  <c r="BP11" i="18"/>
  <c r="AW19" i="17"/>
  <c r="AW21" i="17"/>
  <c r="AW25" i="17"/>
  <c r="AW29" i="17"/>
  <c r="AW31" i="17"/>
  <c r="AW35" i="17"/>
  <c r="BP4" i="18"/>
  <c r="BE25" i="18"/>
  <c r="BP7" i="18"/>
  <c r="BF22" i="18"/>
  <c r="BG22" i="18" s="1"/>
  <c r="I9" i="18"/>
  <c r="M5" i="18"/>
  <c r="I9" i="16"/>
  <c r="AW15" i="17"/>
  <c r="BC21" i="17"/>
  <c r="BP5" i="18"/>
  <c r="BE24" i="18"/>
  <c r="BF25" i="18"/>
  <c r="BG25" i="18" s="1"/>
  <c r="BP10" i="18"/>
  <c r="BA18" i="18"/>
  <c r="BA25" i="18"/>
  <c r="BA31" i="18"/>
  <c r="BA16" i="18"/>
  <c r="BE23" i="19"/>
  <c r="BH23" i="19" s="1"/>
  <c r="BP6" i="19"/>
  <c r="BP4" i="19"/>
  <c r="BE25" i="19"/>
  <c r="BH25" i="19" s="1"/>
  <c r="BP8" i="19"/>
  <c r="BF23" i="19"/>
  <c r="BG23" i="19" s="1"/>
  <c r="BA19" i="19"/>
  <c r="BG19" i="19"/>
  <c r="BE25" i="20"/>
  <c r="BH25" i="20" s="1"/>
  <c r="BP4" i="20"/>
  <c r="BP11" i="19"/>
  <c r="O11" i="19"/>
  <c r="K11" i="19"/>
  <c r="M10" i="19"/>
  <c r="O9" i="19"/>
  <c r="N11" i="19"/>
  <c r="J11" i="19"/>
  <c r="L10" i="19"/>
  <c r="H10" i="19"/>
  <c r="N9" i="19"/>
  <c r="J9" i="19"/>
  <c r="M11" i="19"/>
  <c r="I11" i="19"/>
  <c r="BH24" i="19"/>
  <c r="BE24" i="20"/>
  <c r="BH24" i="20" s="1"/>
  <c r="BP5" i="20"/>
  <c r="BF24" i="19"/>
  <c r="BG24" i="19" s="1"/>
  <c r="BA17" i="19"/>
  <c r="N5" i="19" s="1"/>
  <c r="BG17" i="19"/>
  <c r="BD10" i="19"/>
  <c r="BO10" i="19" s="1"/>
  <c r="BG22" i="19"/>
  <c r="BF25" i="20"/>
  <c r="BG25" i="20" s="1"/>
  <c r="BP10" i="20"/>
  <c r="BG22" i="20"/>
  <c r="BA48" i="19"/>
  <c r="BA49" i="19"/>
  <c r="BA52" i="19"/>
  <c r="BA53" i="19"/>
  <c r="M7" i="19" s="1"/>
  <c r="BA54" i="19"/>
  <c r="BA55" i="19"/>
  <c r="BE23" i="20"/>
  <c r="BH23" i="20" s="1"/>
  <c r="BP6" i="20"/>
  <c r="K8" i="20"/>
  <c r="L7" i="20"/>
  <c r="N5" i="20"/>
  <c r="BF23" i="20"/>
  <c r="BG23" i="20" s="1"/>
  <c r="BP8" i="20"/>
  <c r="BG17" i="20"/>
  <c r="BG19" i="20"/>
  <c r="BE22" i="20"/>
  <c r="BQ11" i="20" l="1"/>
  <c r="R7" i="20"/>
  <c r="R8" i="20"/>
  <c r="R5" i="20"/>
  <c r="R6" i="20"/>
  <c r="R10" i="20"/>
  <c r="R9" i="20"/>
  <c r="BQ7" i="20"/>
  <c r="H11" i="20"/>
  <c r="R11" i="20" s="1"/>
  <c r="O4" i="20"/>
  <c r="R4" i="20" s="1"/>
  <c r="BQ9" i="20"/>
  <c r="BF37" i="20" s="1"/>
  <c r="BG37" i="20" s="1"/>
  <c r="K9" i="19"/>
  <c r="BQ5" i="19"/>
  <c r="BE31" i="19"/>
  <c r="BH31" i="19" s="1"/>
  <c r="BE29" i="19"/>
  <c r="BH29" i="19" s="1"/>
  <c r="K8" i="18"/>
  <c r="R8" i="18" s="1"/>
  <c r="L7" i="18"/>
  <c r="R5" i="18"/>
  <c r="H9" i="17"/>
  <c r="M4" i="17"/>
  <c r="R4" i="16"/>
  <c r="R8" i="15"/>
  <c r="BL9" i="15"/>
  <c r="L5" i="14"/>
  <c r="I8" i="14"/>
  <c r="H6" i="13"/>
  <c r="R6" i="13" s="1"/>
  <c r="J4" i="13"/>
  <c r="L5" i="13"/>
  <c r="R5" i="13" s="1"/>
  <c r="I8" i="13"/>
  <c r="R8" i="13" s="1"/>
  <c r="H9" i="13"/>
  <c r="R9" i="13" s="1"/>
  <c r="M4" i="13"/>
  <c r="R4" i="13" s="1"/>
  <c r="Q6" i="11"/>
  <c r="M7" i="11"/>
  <c r="Q7" i="11" s="1"/>
  <c r="P4" i="11"/>
  <c r="Q4" i="11" s="1"/>
  <c r="Q7" i="10"/>
  <c r="AS5" i="9"/>
  <c r="AA6" i="9" s="1"/>
  <c r="BB24" i="13"/>
  <c r="BC24" i="13" s="1"/>
  <c r="BM9" i="13"/>
  <c r="AX20" i="8"/>
  <c r="AY20" i="8" s="1"/>
  <c r="AR6" i="8" s="1"/>
  <c r="BI7" i="8"/>
  <c r="BJ7" i="8" s="1"/>
  <c r="BK7" i="8" s="1"/>
  <c r="BL7" i="8" s="1"/>
  <c r="BM7" i="8" s="1"/>
  <c r="BN7" i="8" s="1"/>
  <c r="BO7" i="8" s="1"/>
  <c r="N6" i="19"/>
  <c r="R6" i="19" s="1"/>
  <c r="J10" i="19"/>
  <c r="BE30" i="19"/>
  <c r="BQ8" i="19"/>
  <c r="BF31" i="19"/>
  <c r="BG31" i="19" s="1"/>
  <c r="BQ6" i="19"/>
  <c r="BE28" i="18"/>
  <c r="BQ10" i="18"/>
  <c r="BE31" i="18"/>
  <c r="BQ7" i="18"/>
  <c r="I9" i="17"/>
  <c r="M5" i="17"/>
  <c r="BH22" i="18"/>
  <c r="J7" i="17"/>
  <c r="K6" i="17"/>
  <c r="BQ6" i="18"/>
  <c r="BF31" i="18"/>
  <c r="BG31" i="18" s="1"/>
  <c r="K6" i="15"/>
  <c r="R6" i="15" s="1"/>
  <c r="J7" i="15"/>
  <c r="R7" i="15" s="1"/>
  <c r="BB24" i="17"/>
  <c r="BC24" i="17" s="1"/>
  <c r="BM9" i="17"/>
  <c r="J7" i="14"/>
  <c r="K6" i="14"/>
  <c r="BA25" i="17"/>
  <c r="BM7" i="17"/>
  <c r="BB26" i="16"/>
  <c r="BC26" i="16" s="1"/>
  <c r="BM5" i="16"/>
  <c r="BM5" i="14"/>
  <c r="BB26" i="14"/>
  <c r="BC26" i="14" s="1"/>
  <c r="K8" i="14"/>
  <c r="L7" i="14"/>
  <c r="BA26" i="14"/>
  <c r="BM6" i="14"/>
  <c r="BM7" i="13"/>
  <c r="BA25" i="13"/>
  <c r="BN6" i="12"/>
  <c r="BB30" i="12"/>
  <c r="BB26" i="13"/>
  <c r="BC26" i="13" s="1"/>
  <c r="BM5" i="13"/>
  <c r="BB25" i="13"/>
  <c r="BC25" i="13" s="1"/>
  <c r="BM4" i="13"/>
  <c r="K9" i="12"/>
  <c r="R9" i="12" s="1"/>
  <c r="M6" i="8"/>
  <c r="O4" i="8"/>
  <c r="BD20" i="12"/>
  <c r="BM9" i="12"/>
  <c r="BB24" i="12"/>
  <c r="BC24" i="12" s="1"/>
  <c r="O7" i="9"/>
  <c r="P6" i="9"/>
  <c r="N6" i="10"/>
  <c r="O5" i="10"/>
  <c r="Q5" i="10" s="1"/>
  <c r="BI7" i="10"/>
  <c r="AX20" i="10"/>
  <c r="AY20" i="10" s="1"/>
  <c r="BI7" i="9"/>
  <c r="AX20" i="9"/>
  <c r="AY20" i="9" s="1"/>
  <c r="AZ21" i="9"/>
  <c r="AR4" i="9" s="1"/>
  <c r="BI4" i="10"/>
  <c r="AX21" i="10"/>
  <c r="AY21" i="10" s="1"/>
  <c r="AR5" i="10" s="1"/>
  <c r="BE30" i="20"/>
  <c r="BQ8" i="20"/>
  <c r="BH29" i="20"/>
  <c r="L11" i="19"/>
  <c r="R11" i="19" s="1"/>
  <c r="O8" i="19"/>
  <c r="I10" i="19"/>
  <c r="BQ11" i="19"/>
  <c r="BF28" i="19"/>
  <c r="BG28" i="19" s="1"/>
  <c r="BF29" i="20"/>
  <c r="BG29" i="20" s="1"/>
  <c r="BQ4" i="20"/>
  <c r="H11" i="18"/>
  <c r="O4" i="18"/>
  <c r="K6" i="18"/>
  <c r="J7" i="18"/>
  <c r="R7" i="18" s="1"/>
  <c r="M6" i="18"/>
  <c r="J9" i="18"/>
  <c r="R9" i="18" s="1"/>
  <c r="BH24" i="18"/>
  <c r="K4" i="17"/>
  <c r="H7" i="17"/>
  <c r="BH25" i="18"/>
  <c r="BQ8" i="18"/>
  <c r="BE30" i="18"/>
  <c r="M4" i="15"/>
  <c r="R4" i="15" s="1"/>
  <c r="H9" i="15"/>
  <c r="R9" i="16"/>
  <c r="H9" i="14"/>
  <c r="M4" i="14"/>
  <c r="BA24" i="17"/>
  <c r="BM8" i="17"/>
  <c r="R7" i="16"/>
  <c r="BA26" i="17"/>
  <c r="BM6" i="17"/>
  <c r="BB24" i="16"/>
  <c r="BC24" i="16" s="1"/>
  <c r="BM9" i="16"/>
  <c r="BA26" i="16"/>
  <c r="BM6" i="16"/>
  <c r="H5" i="14"/>
  <c r="I4" i="14"/>
  <c r="H6" i="14"/>
  <c r="J4" i="14"/>
  <c r="BA25" i="15"/>
  <c r="BM7" i="15"/>
  <c r="BB24" i="15"/>
  <c r="BC24" i="15" s="1"/>
  <c r="BM9" i="15"/>
  <c r="BM4" i="14"/>
  <c r="BB25" i="14"/>
  <c r="BC25" i="14" s="1"/>
  <c r="BB26" i="15"/>
  <c r="BC26" i="15" s="1"/>
  <c r="BM5" i="15"/>
  <c r="BB25" i="15"/>
  <c r="BC25" i="15" s="1"/>
  <c r="BM4" i="15"/>
  <c r="H5" i="12"/>
  <c r="I4" i="12"/>
  <c r="R4" i="12" s="1"/>
  <c r="BA26" i="13"/>
  <c r="BM6" i="13"/>
  <c r="BI5" i="11"/>
  <c r="AW21" i="11"/>
  <c r="AX21" i="11"/>
  <c r="AY21" i="11" s="1"/>
  <c r="BI4" i="11"/>
  <c r="N7" i="8"/>
  <c r="P5" i="8"/>
  <c r="BA25" i="12"/>
  <c r="BM7" i="12"/>
  <c r="M6" i="9"/>
  <c r="O4" i="9"/>
  <c r="BM4" i="12"/>
  <c r="BB25" i="12"/>
  <c r="BC25" i="12" s="1"/>
  <c r="N6" i="8"/>
  <c r="O5" i="8"/>
  <c r="BI5" i="8"/>
  <c r="AW21" i="8"/>
  <c r="BI6" i="8"/>
  <c r="AW20" i="8"/>
  <c r="AX21" i="8"/>
  <c r="AY21" i="8" s="1"/>
  <c r="AR5" i="8" s="1"/>
  <c r="BI4" i="8"/>
  <c r="BJ4" i="8" s="1"/>
  <c r="BK4" i="8" s="1"/>
  <c r="BL4" i="8" s="1"/>
  <c r="BM4" i="8" s="1"/>
  <c r="BN4" i="8" s="1"/>
  <c r="BO4" i="8" s="1"/>
  <c r="BE34" i="20"/>
  <c r="BH34" i="20" s="1"/>
  <c r="BR11" i="20"/>
  <c r="BH22" i="20"/>
  <c r="H5" i="19"/>
  <c r="I4" i="19"/>
  <c r="R4" i="19" s="1"/>
  <c r="L9" i="19"/>
  <c r="R9" i="19" s="1"/>
  <c r="M8" i="19"/>
  <c r="BF35" i="20"/>
  <c r="BG35" i="20" s="1"/>
  <c r="BR7" i="20"/>
  <c r="BP10" i="19"/>
  <c r="BF25" i="19"/>
  <c r="BG25" i="19" s="1"/>
  <c r="BF30" i="20"/>
  <c r="BG30" i="20" s="1"/>
  <c r="BQ5" i="20"/>
  <c r="BE35" i="19"/>
  <c r="BR5" i="19"/>
  <c r="L7" i="19"/>
  <c r="K8" i="19"/>
  <c r="BF30" i="18"/>
  <c r="BG30" i="18" s="1"/>
  <c r="BQ5" i="18"/>
  <c r="L5" i="17"/>
  <c r="I8" i="17"/>
  <c r="BF29" i="18"/>
  <c r="BG29" i="18" s="1"/>
  <c r="BQ4" i="18"/>
  <c r="J8" i="17"/>
  <c r="L6" i="17"/>
  <c r="H8" i="17"/>
  <c r="L4" i="17"/>
  <c r="BH23" i="18"/>
  <c r="BB26" i="17"/>
  <c r="BC26" i="17" s="1"/>
  <c r="BM5" i="17"/>
  <c r="BM7" i="16"/>
  <c r="BA25" i="16"/>
  <c r="R6" i="16"/>
  <c r="BB25" i="16"/>
  <c r="BC25" i="16" s="1"/>
  <c r="BM4" i="16"/>
  <c r="BM4" i="17"/>
  <c r="BB25" i="17"/>
  <c r="BC25" i="17" s="1"/>
  <c r="BD21" i="16"/>
  <c r="J8" i="14"/>
  <c r="L6" i="14"/>
  <c r="BA24" i="14"/>
  <c r="BM8" i="14"/>
  <c r="BA26" i="15"/>
  <c r="BM6" i="15"/>
  <c r="J8" i="12"/>
  <c r="R8" i="12" s="1"/>
  <c r="L6" i="12"/>
  <c r="R6" i="12" s="1"/>
  <c r="BM5" i="12"/>
  <c r="BB26" i="12"/>
  <c r="BC26" i="12" s="1"/>
  <c r="M5" i="8"/>
  <c r="N4" i="8"/>
  <c r="N7" i="9"/>
  <c r="P5" i="9"/>
  <c r="BA24" i="12"/>
  <c r="BM8" i="12"/>
  <c r="AW20" i="11"/>
  <c r="BI6" i="11"/>
  <c r="BJ6" i="11" s="1"/>
  <c r="BK6" i="11" s="1"/>
  <c r="BL6" i="11" s="1"/>
  <c r="BM6" i="11" s="1"/>
  <c r="BN6" i="11" s="1"/>
  <c r="BO6" i="11" s="1"/>
  <c r="AR6" i="10"/>
  <c r="BI6" i="9"/>
  <c r="BJ6" i="9" s="1"/>
  <c r="BK6" i="9" s="1"/>
  <c r="BL6" i="9" s="1"/>
  <c r="BM6" i="9" s="1"/>
  <c r="BN6" i="9" s="1"/>
  <c r="BO6" i="9" s="1"/>
  <c r="AW20" i="9"/>
  <c r="AW21" i="10"/>
  <c r="BI5" i="10"/>
  <c r="BJ5" i="10" s="1"/>
  <c r="BK5" i="10" s="1"/>
  <c r="BL5" i="10" s="1"/>
  <c r="BM5" i="10" s="1"/>
  <c r="BN5" i="10" s="1"/>
  <c r="BO5" i="10" s="1"/>
  <c r="BF31" i="20"/>
  <c r="BG31" i="20" s="1"/>
  <c r="BQ6" i="20"/>
  <c r="K10" i="19"/>
  <c r="N7" i="19"/>
  <c r="BE28" i="20"/>
  <c r="BQ10" i="20"/>
  <c r="BF35" i="19"/>
  <c r="BG35" i="19" s="1"/>
  <c r="BR7" i="19"/>
  <c r="BF29" i="19"/>
  <c r="BG29" i="19" s="1"/>
  <c r="BQ4" i="19"/>
  <c r="BR9" i="19"/>
  <c r="BF37" i="19"/>
  <c r="BG37" i="19" s="1"/>
  <c r="N4" i="18"/>
  <c r="H10" i="18"/>
  <c r="K8" i="17"/>
  <c r="L7" i="17"/>
  <c r="M6" i="17"/>
  <c r="J9" i="17"/>
  <c r="BQ11" i="18"/>
  <c r="BF28" i="18"/>
  <c r="BG28" i="18" s="1"/>
  <c r="BE29" i="18"/>
  <c r="BQ9" i="18"/>
  <c r="R8" i="16"/>
  <c r="R5" i="16"/>
  <c r="BA24" i="16"/>
  <c r="BM8" i="16"/>
  <c r="BM9" i="14"/>
  <c r="BB24" i="14"/>
  <c r="BC24" i="14" s="1"/>
  <c r="BA24" i="13"/>
  <c r="BM8" i="13"/>
  <c r="K9" i="14"/>
  <c r="M7" i="14"/>
  <c r="BA24" i="15"/>
  <c r="BM8" i="15"/>
  <c r="AW16" i="11"/>
  <c r="BH7" i="11"/>
  <c r="Q5" i="11"/>
  <c r="BA25" i="14"/>
  <c r="BM7" i="14"/>
  <c r="BD19" i="13"/>
  <c r="O7" i="8"/>
  <c r="P6" i="8"/>
  <c r="R7" i="12"/>
  <c r="M5" i="9"/>
  <c r="N4" i="9"/>
  <c r="M7" i="9"/>
  <c r="P4" i="9"/>
  <c r="BH6" i="10"/>
  <c r="AX17" i="10"/>
  <c r="AY17" i="10" s="1"/>
  <c r="AX21" i="9"/>
  <c r="AY21" i="9" s="1"/>
  <c r="AR5" i="9" s="1"/>
  <c r="BI4" i="9"/>
  <c r="BJ4" i="9" s="1"/>
  <c r="BK4" i="9" s="1"/>
  <c r="BL4" i="9" s="1"/>
  <c r="BM4" i="9" s="1"/>
  <c r="BN4" i="9" s="1"/>
  <c r="BO4" i="9" s="1"/>
  <c r="AQ7" i="8"/>
  <c r="AQ7" i="9"/>
  <c r="AZ17" i="9"/>
  <c r="AR6" i="9" s="1"/>
  <c r="AQ4" i="8"/>
  <c r="AG11" i="20" l="1"/>
  <c r="BR9" i="20"/>
  <c r="AG7" i="20"/>
  <c r="S6" i="20"/>
  <c r="AG8" i="20"/>
  <c r="S8" i="20"/>
  <c r="S11" i="20"/>
  <c r="S9" i="20"/>
  <c r="AG9" i="20"/>
  <c r="S4" i="20"/>
  <c r="S5" i="20"/>
  <c r="AG6" i="20"/>
  <c r="AG4" i="20"/>
  <c r="AG10" i="20"/>
  <c r="S10" i="20"/>
  <c r="S7" i="20"/>
  <c r="AO7" i="20" s="1"/>
  <c r="AG5" i="20"/>
  <c r="R8" i="19"/>
  <c r="R10" i="19"/>
  <c r="R4" i="18"/>
  <c r="R6" i="18"/>
  <c r="R5" i="17"/>
  <c r="S9" i="16"/>
  <c r="AE8" i="16"/>
  <c r="R8" i="14"/>
  <c r="S8" i="13"/>
  <c r="S4" i="13"/>
  <c r="AE9" i="13"/>
  <c r="AE4" i="13"/>
  <c r="AE8" i="13"/>
  <c r="AE5" i="13"/>
  <c r="R5" i="11"/>
  <c r="AQ4" i="11"/>
  <c r="R6" i="11"/>
  <c r="AD6" i="11" s="1"/>
  <c r="AQ7" i="10"/>
  <c r="AQ4" i="10"/>
  <c r="Q7" i="8"/>
  <c r="Q4" i="8"/>
  <c r="AS4" i="8"/>
  <c r="AA7" i="8" s="1"/>
  <c r="AS7" i="8"/>
  <c r="AA4" i="8" s="1"/>
  <c r="Q5" i="8"/>
  <c r="BB31" i="16"/>
  <c r="BC31" i="16" s="1"/>
  <c r="BN7" i="16"/>
  <c r="R8" i="17"/>
  <c r="BH35" i="19"/>
  <c r="BJ5" i="8"/>
  <c r="BK5" i="8" s="1"/>
  <c r="BL5" i="8" s="1"/>
  <c r="BM5" i="8" s="1"/>
  <c r="BN5" i="8" s="1"/>
  <c r="BO5" i="8" s="1"/>
  <c r="AS5" i="8"/>
  <c r="AA6" i="8" s="1"/>
  <c r="BA30" i="12"/>
  <c r="BN4" i="12"/>
  <c r="BN7" i="12"/>
  <c r="BB31" i="12"/>
  <c r="BC31" i="12" s="1"/>
  <c r="AV8" i="12" s="1"/>
  <c r="BJ4" i="11"/>
  <c r="BK4" i="11" s="1"/>
  <c r="BL4" i="11" s="1"/>
  <c r="BM4" i="11" s="1"/>
  <c r="BN4" i="11" s="1"/>
  <c r="BO4" i="11" s="1"/>
  <c r="R5" i="12"/>
  <c r="AE5" i="12" s="1"/>
  <c r="BB29" i="15"/>
  <c r="BC29" i="15" s="1"/>
  <c r="BN5" i="15"/>
  <c r="BA29" i="15"/>
  <c r="BN9" i="15"/>
  <c r="BB30" i="16"/>
  <c r="BC30" i="16" s="1"/>
  <c r="BN6" i="16"/>
  <c r="BB30" i="17"/>
  <c r="BC30" i="17" s="1"/>
  <c r="BN6" i="17"/>
  <c r="BA31" i="17"/>
  <c r="BD31" i="17" s="1"/>
  <c r="BN8" i="17"/>
  <c r="AE9" i="16"/>
  <c r="R7" i="17"/>
  <c r="BR11" i="19"/>
  <c r="BE34" i="19"/>
  <c r="BH30" i="20"/>
  <c r="Q6" i="8"/>
  <c r="R6" i="8" s="1"/>
  <c r="BO6" i="12"/>
  <c r="BP6" i="12" s="1"/>
  <c r="BQ6" i="12" s="1"/>
  <c r="BR6" i="12" s="1"/>
  <c r="BS6" i="12" s="1"/>
  <c r="BB35" i="12"/>
  <c r="BC35" i="12" s="1"/>
  <c r="BB31" i="13"/>
  <c r="BC31" i="13" s="1"/>
  <c r="BN7" i="13"/>
  <c r="BA29" i="17"/>
  <c r="BN9" i="17"/>
  <c r="BF35" i="18"/>
  <c r="BG35" i="18" s="1"/>
  <c r="BR7" i="18"/>
  <c r="BF34" i="19"/>
  <c r="BG34" i="19" s="1"/>
  <c r="BR6" i="19"/>
  <c r="BN8" i="13"/>
  <c r="BA31" i="13"/>
  <c r="BD31" i="13" s="1"/>
  <c r="BN8" i="16"/>
  <c r="BA31" i="16"/>
  <c r="BD31" i="16" s="1"/>
  <c r="Q7" i="9"/>
  <c r="AX20" i="11"/>
  <c r="AY20" i="11" s="1"/>
  <c r="AR6" i="11" s="1"/>
  <c r="BI7" i="11"/>
  <c r="BJ7" i="11" s="1"/>
  <c r="BK7" i="11" s="1"/>
  <c r="BL7" i="11" s="1"/>
  <c r="BM7" i="11" s="1"/>
  <c r="BN7" i="11" s="1"/>
  <c r="BO7" i="11" s="1"/>
  <c r="AQ5" i="10"/>
  <c r="AZ21" i="10"/>
  <c r="AR4" i="10" s="1"/>
  <c r="AQ6" i="11"/>
  <c r="AZ20" i="11"/>
  <c r="AR7" i="11" s="1"/>
  <c r="BA31" i="14"/>
  <c r="BD31" i="14" s="1"/>
  <c r="BN8" i="14"/>
  <c r="S6" i="16"/>
  <c r="BN5" i="17"/>
  <c r="BB29" i="17"/>
  <c r="BC29" i="17" s="1"/>
  <c r="R7" i="19"/>
  <c r="BE35" i="20"/>
  <c r="BR5" i="20"/>
  <c r="BE28" i="19"/>
  <c r="BQ10" i="19"/>
  <c r="AQ6" i="8"/>
  <c r="AZ20" i="8"/>
  <c r="AR7" i="8" s="1"/>
  <c r="S6" i="13"/>
  <c r="BD25" i="12"/>
  <c r="BB30" i="13"/>
  <c r="BC30" i="13" s="1"/>
  <c r="BN6" i="13"/>
  <c r="R6" i="14"/>
  <c r="BD26" i="16"/>
  <c r="BD26" i="17"/>
  <c r="BD24" i="17"/>
  <c r="BH30" i="18"/>
  <c r="R4" i="17"/>
  <c r="BE36" i="20"/>
  <c r="BR4" i="20"/>
  <c r="BJ7" i="9"/>
  <c r="BK7" i="9" s="1"/>
  <c r="BL7" i="9" s="1"/>
  <c r="BM7" i="9" s="1"/>
  <c r="BN7" i="9" s="1"/>
  <c r="BO7" i="9" s="1"/>
  <c r="AS7" i="9"/>
  <c r="AA4" i="9" s="1"/>
  <c r="Q6" i="10"/>
  <c r="R8" i="10" s="1"/>
  <c r="AL8" i="10" s="1"/>
  <c r="AE7" i="13"/>
  <c r="BA29" i="12"/>
  <c r="BN9" i="12"/>
  <c r="BA30" i="13"/>
  <c r="BN4" i="13"/>
  <c r="S7" i="13"/>
  <c r="AE6" i="13"/>
  <c r="BN6" i="14"/>
  <c r="BB30" i="14"/>
  <c r="BC30" i="14" s="1"/>
  <c r="R7" i="14"/>
  <c r="BR6" i="18"/>
  <c r="BF34" i="18"/>
  <c r="BG34" i="18" s="1"/>
  <c r="BH31" i="18"/>
  <c r="AS4" i="9"/>
  <c r="AA7" i="9" s="1"/>
  <c r="AS5" i="10"/>
  <c r="AA6" i="10" s="1"/>
  <c r="S9" i="13"/>
  <c r="S5" i="13"/>
  <c r="BD25" i="14"/>
  <c r="BD24" i="13"/>
  <c r="BD24" i="16"/>
  <c r="S8" i="16"/>
  <c r="BE34" i="18"/>
  <c r="BR11" i="18"/>
  <c r="BE42" i="19"/>
  <c r="BS7" i="19"/>
  <c r="Q4" i="9"/>
  <c r="AS7" i="11"/>
  <c r="AA4" i="11" s="1"/>
  <c r="BA31" i="15"/>
  <c r="BD31" i="15" s="1"/>
  <c r="BN8" i="15"/>
  <c r="S4" i="16"/>
  <c r="AE5" i="16"/>
  <c r="BF37" i="18"/>
  <c r="BG37" i="18" s="1"/>
  <c r="BR9" i="18"/>
  <c r="BE40" i="19"/>
  <c r="BS9" i="19"/>
  <c r="BR10" i="20"/>
  <c r="BE37" i="20"/>
  <c r="BH37" i="20" s="1"/>
  <c r="BF34" i="20"/>
  <c r="BG34" i="20" s="1"/>
  <c r="BR6" i="20"/>
  <c r="AQ6" i="9"/>
  <c r="AZ20" i="9"/>
  <c r="AR7" i="9" s="1"/>
  <c r="AQ4" i="9"/>
  <c r="BA31" i="12"/>
  <c r="BD31" i="12" s="1"/>
  <c r="BN8" i="12"/>
  <c r="BN5" i="12"/>
  <c r="BB29" i="12"/>
  <c r="BC29" i="12" s="1"/>
  <c r="BB30" i="15"/>
  <c r="BC30" i="15" s="1"/>
  <c r="BN6" i="15"/>
  <c r="BD24" i="14"/>
  <c r="BA30" i="17"/>
  <c r="BN4" i="17"/>
  <c r="AE6" i="16"/>
  <c r="AE4" i="16"/>
  <c r="BE42" i="20"/>
  <c r="BS7" i="20"/>
  <c r="BJ6" i="8"/>
  <c r="BK6" i="8" s="1"/>
  <c r="BL6" i="8" s="1"/>
  <c r="BM6" i="8" s="1"/>
  <c r="BN6" i="8" s="1"/>
  <c r="BO6" i="8" s="1"/>
  <c r="AQ5" i="11"/>
  <c r="AZ21" i="11"/>
  <c r="AR4" i="11" s="1"/>
  <c r="BD26" i="13"/>
  <c r="BA30" i="15"/>
  <c r="BN4" i="15"/>
  <c r="BB31" i="15"/>
  <c r="BC31" i="15" s="1"/>
  <c r="BN7" i="15"/>
  <c r="R4" i="14"/>
  <c r="BA29" i="16"/>
  <c r="BN9" i="16"/>
  <c r="AE7" i="16"/>
  <c r="BR8" i="18"/>
  <c r="BF36" i="18"/>
  <c r="BG36" i="18" s="1"/>
  <c r="R11" i="18"/>
  <c r="BJ4" i="10"/>
  <c r="BK4" i="10" s="1"/>
  <c r="BL4" i="10" s="1"/>
  <c r="BM4" i="10" s="1"/>
  <c r="BN4" i="10" s="1"/>
  <c r="BO4" i="10" s="1"/>
  <c r="R7" i="11"/>
  <c r="R4" i="11"/>
  <c r="R8" i="11"/>
  <c r="AL8" i="11" s="1"/>
  <c r="BD26" i="14"/>
  <c r="BN5" i="14"/>
  <c r="BB29" i="14"/>
  <c r="BC29" i="14" s="1"/>
  <c r="BB31" i="17"/>
  <c r="BC31" i="17" s="1"/>
  <c r="BN7" i="17"/>
  <c r="R6" i="17"/>
  <c r="BR10" i="18"/>
  <c r="BE37" i="18"/>
  <c r="BH37" i="18" s="1"/>
  <c r="BF36" i="19"/>
  <c r="BG36" i="19" s="1"/>
  <c r="BR8" i="19"/>
  <c r="AS6" i="9"/>
  <c r="AA5" i="9" s="1"/>
  <c r="AS6" i="11"/>
  <c r="AA5" i="11" s="1"/>
  <c r="BA29" i="13"/>
  <c r="BN9" i="13"/>
  <c r="BI6" i="10"/>
  <c r="AW20" i="10"/>
  <c r="Q5" i="9"/>
  <c r="BN7" i="14"/>
  <c r="BB31" i="14"/>
  <c r="BC31" i="14" s="1"/>
  <c r="AZ16" i="11"/>
  <c r="AR5" i="11" s="1"/>
  <c r="BD24" i="15"/>
  <c r="BA29" i="14"/>
  <c r="BN9" i="14"/>
  <c r="S5" i="16"/>
  <c r="BH29" i="18"/>
  <c r="R10" i="18"/>
  <c r="BE36" i="19"/>
  <c r="BR4" i="19"/>
  <c r="BH28" i="20"/>
  <c r="BD24" i="12"/>
  <c r="R8" i="8"/>
  <c r="AL8" i="8" s="1"/>
  <c r="R4" i="8"/>
  <c r="BD26" i="15"/>
  <c r="BN4" i="16"/>
  <c r="BA30" i="16"/>
  <c r="BD25" i="16"/>
  <c r="BR4" i="18"/>
  <c r="BE36" i="18"/>
  <c r="BE35" i="18"/>
  <c r="BR5" i="18"/>
  <c r="BF43" i="19"/>
  <c r="BG43" i="19" s="1"/>
  <c r="BS5" i="19"/>
  <c r="R5" i="19"/>
  <c r="BF40" i="20"/>
  <c r="BG40" i="20" s="1"/>
  <c r="BS11" i="20"/>
  <c r="AQ5" i="8"/>
  <c r="AZ21" i="8"/>
  <c r="AR4" i="8" s="1"/>
  <c r="Q6" i="9"/>
  <c r="BJ5" i="11"/>
  <c r="BK5" i="11" s="1"/>
  <c r="BL5" i="11" s="1"/>
  <c r="BM5" i="11" s="1"/>
  <c r="BN5" i="11" s="1"/>
  <c r="BO5" i="11" s="1"/>
  <c r="BA30" i="14"/>
  <c r="BN4" i="14"/>
  <c r="BD25" i="15"/>
  <c r="R5" i="14"/>
  <c r="S7" i="16"/>
  <c r="R9" i="14"/>
  <c r="R9" i="15"/>
  <c r="AE9" i="15" s="1"/>
  <c r="BF36" i="20"/>
  <c r="BG36" i="20" s="1"/>
  <c r="BR8" i="20"/>
  <c r="BE40" i="20"/>
  <c r="BS9" i="20"/>
  <c r="BJ7" i="10"/>
  <c r="BK7" i="10" s="1"/>
  <c r="BL7" i="10" s="1"/>
  <c r="BM7" i="10" s="1"/>
  <c r="BN7" i="10" s="1"/>
  <c r="BO7" i="10" s="1"/>
  <c r="AS7" i="10"/>
  <c r="AA4" i="10" s="1"/>
  <c r="BB29" i="13"/>
  <c r="BC29" i="13" s="1"/>
  <c r="BN5" i="13"/>
  <c r="BC30" i="12"/>
  <c r="BD25" i="13"/>
  <c r="BB29" i="16"/>
  <c r="BC29" i="16" s="1"/>
  <c r="BN5" i="16"/>
  <c r="BD25" i="17"/>
  <c r="R9" i="17"/>
  <c r="AE9" i="17" s="1"/>
  <c r="BH28" i="18"/>
  <c r="BH30" i="19"/>
  <c r="AO12" i="20"/>
  <c r="AP12" i="20" s="1"/>
  <c r="AO10" i="20" l="1"/>
  <c r="AG13" i="20"/>
  <c r="AH8" i="20" s="1"/>
  <c r="AO5" i="20"/>
  <c r="AO11" i="20"/>
  <c r="AO9" i="20"/>
  <c r="AO8" i="20"/>
  <c r="AO6" i="20"/>
  <c r="AO4" i="20"/>
  <c r="AG10" i="18"/>
  <c r="AG7" i="18"/>
  <c r="AM7" i="16"/>
  <c r="AE6" i="15"/>
  <c r="S9" i="15"/>
  <c r="AE9" i="14"/>
  <c r="S9" i="14"/>
  <c r="AM5" i="13"/>
  <c r="AE11" i="13"/>
  <c r="AF9" i="13" s="1"/>
  <c r="AM4" i="13"/>
  <c r="S8" i="12"/>
  <c r="AU6" i="12"/>
  <c r="Z7" i="12" s="1"/>
  <c r="AE9" i="12"/>
  <c r="S6" i="12"/>
  <c r="AE7" i="12"/>
  <c r="AE8" i="12"/>
  <c r="AE4" i="12"/>
  <c r="AW6" i="12"/>
  <c r="AB7" i="12" s="1"/>
  <c r="S7" i="12"/>
  <c r="S5" i="12"/>
  <c r="S4" i="12"/>
  <c r="AQ7" i="11"/>
  <c r="AL6" i="11"/>
  <c r="AD5" i="11"/>
  <c r="AS4" i="11"/>
  <c r="AA7" i="11" s="1"/>
  <c r="R6" i="9"/>
  <c r="R5" i="9"/>
  <c r="AS6" i="8"/>
  <c r="AA5" i="8" s="1"/>
  <c r="BO5" i="16"/>
  <c r="BP5" i="16" s="1"/>
  <c r="BQ5" i="16" s="1"/>
  <c r="BR5" i="16" s="1"/>
  <c r="BS5" i="16" s="1"/>
  <c r="BA36" i="16"/>
  <c r="BT9" i="20"/>
  <c r="BE49" i="20"/>
  <c r="BH49" i="20" s="1"/>
  <c r="S5" i="14"/>
  <c r="BO4" i="14"/>
  <c r="BP4" i="14" s="1"/>
  <c r="BQ4" i="14" s="1"/>
  <c r="BR4" i="14" s="1"/>
  <c r="BS4" i="14" s="1"/>
  <c r="BB36" i="14"/>
  <c r="BC36" i="14" s="1"/>
  <c r="AG5" i="19"/>
  <c r="S10" i="19"/>
  <c r="BF43" i="18"/>
  <c r="BG43" i="18" s="1"/>
  <c r="BS5" i="18"/>
  <c r="BF42" i="18"/>
  <c r="BG42" i="18" s="1"/>
  <c r="BS4" i="18"/>
  <c r="BD30" i="16"/>
  <c r="AM5" i="16"/>
  <c r="BJ6" i="10"/>
  <c r="BK6" i="10" s="1"/>
  <c r="BL6" i="10" s="1"/>
  <c r="BM6" i="10" s="1"/>
  <c r="BN6" i="10" s="1"/>
  <c r="BO6" i="10" s="1"/>
  <c r="AS6" i="10"/>
  <c r="AA5" i="10" s="1"/>
  <c r="BD29" i="13"/>
  <c r="AE6" i="17"/>
  <c r="AD7" i="11"/>
  <c r="AL7" i="11"/>
  <c r="S11" i="18"/>
  <c r="AE4" i="14"/>
  <c r="S7" i="14"/>
  <c r="S8" i="14"/>
  <c r="S4" i="14"/>
  <c r="BB36" i="15"/>
  <c r="BC36" i="15" s="1"/>
  <c r="BO4" i="15"/>
  <c r="S8" i="19"/>
  <c r="AG4" i="19"/>
  <c r="AE5" i="17"/>
  <c r="BB36" i="17"/>
  <c r="BC36" i="17" s="1"/>
  <c r="BO4" i="17"/>
  <c r="BP4" i="17" s="1"/>
  <c r="BQ4" i="17" s="1"/>
  <c r="BR4" i="17" s="1"/>
  <c r="BS4" i="17" s="1"/>
  <c r="BH40" i="19"/>
  <c r="BF40" i="18"/>
  <c r="BG40" i="18" s="1"/>
  <c r="BS11" i="18"/>
  <c r="S8" i="18"/>
  <c r="S5" i="18"/>
  <c r="AM7" i="13"/>
  <c r="AE4" i="17"/>
  <c r="S9" i="17"/>
  <c r="S5" i="17"/>
  <c r="S4" i="17"/>
  <c r="S6" i="17"/>
  <c r="BB35" i="13"/>
  <c r="BO6" i="13"/>
  <c r="BP6" i="13" s="1"/>
  <c r="BQ6" i="13" s="1"/>
  <c r="BR6" i="13" s="1"/>
  <c r="BS6" i="13" s="1"/>
  <c r="AM6" i="13"/>
  <c r="BH28" i="19"/>
  <c r="AG7" i="19"/>
  <c r="AM6" i="16"/>
  <c r="AM8" i="13"/>
  <c r="BA35" i="16"/>
  <c r="BO8" i="16"/>
  <c r="BP8" i="16" s="1"/>
  <c r="BQ8" i="16" s="1"/>
  <c r="BR8" i="16" s="1"/>
  <c r="BS8" i="16" s="1"/>
  <c r="AW8" i="16" s="1"/>
  <c r="AB5" i="16" s="1"/>
  <c r="BS7" i="18"/>
  <c r="BE42" i="18"/>
  <c r="BD29" i="17"/>
  <c r="R7" i="10"/>
  <c r="BH34" i="19"/>
  <c r="AE7" i="17"/>
  <c r="AE8" i="15"/>
  <c r="S6" i="15"/>
  <c r="BD30" i="12"/>
  <c r="S8" i="17"/>
  <c r="AE6" i="12"/>
  <c r="AG9" i="18"/>
  <c r="BH40" i="20"/>
  <c r="BD30" i="14"/>
  <c r="BT11" i="20"/>
  <c r="BE46" i="20"/>
  <c r="BH35" i="18"/>
  <c r="BB36" i="16"/>
  <c r="BC36" i="16" s="1"/>
  <c r="AV5" i="16" s="1"/>
  <c r="BO4" i="16"/>
  <c r="S10" i="18"/>
  <c r="AG8" i="18"/>
  <c r="AE7" i="15"/>
  <c r="AS4" i="10"/>
  <c r="AA7" i="10" s="1"/>
  <c r="BD30" i="15"/>
  <c r="AH10" i="20"/>
  <c r="S7" i="19"/>
  <c r="AE11" i="16"/>
  <c r="BD30" i="17"/>
  <c r="BB35" i="15"/>
  <c r="BO6" i="15"/>
  <c r="BA36" i="12"/>
  <c r="BO5" i="12"/>
  <c r="BP5" i="12" s="1"/>
  <c r="BQ5" i="12" s="1"/>
  <c r="BR5" i="12" s="1"/>
  <c r="BS5" i="12" s="1"/>
  <c r="AG5" i="18"/>
  <c r="AM4" i="16"/>
  <c r="R8" i="9"/>
  <c r="AL8" i="9" s="1"/>
  <c r="R4" i="9"/>
  <c r="BH34" i="18"/>
  <c r="S4" i="18"/>
  <c r="S7" i="18"/>
  <c r="AM9" i="13"/>
  <c r="BB34" i="12"/>
  <c r="BC34" i="12" s="1"/>
  <c r="AV7" i="12" s="1"/>
  <c r="BO9" i="12"/>
  <c r="R6" i="10"/>
  <c r="AE6" i="14"/>
  <c r="AE8" i="14"/>
  <c r="BS6" i="19"/>
  <c r="BE43" i="19"/>
  <c r="BA34" i="13"/>
  <c r="BO7" i="13"/>
  <c r="BP7" i="13" s="1"/>
  <c r="BQ7" i="13" s="1"/>
  <c r="BR7" i="13" s="1"/>
  <c r="BS7" i="13" s="1"/>
  <c r="R4" i="10"/>
  <c r="BF40" i="19"/>
  <c r="BG40" i="19" s="1"/>
  <c r="BS11" i="19"/>
  <c r="S4" i="15"/>
  <c r="S8" i="15"/>
  <c r="BO6" i="17"/>
  <c r="BP6" i="17" s="1"/>
  <c r="BQ6" i="17" s="1"/>
  <c r="BR6" i="17" s="1"/>
  <c r="BS6" i="17" s="1"/>
  <c r="BB35" i="17"/>
  <c r="BA36" i="15"/>
  <c r="BO5" i="15"/>
  <c r="BA34" i="12"/>
  <c r="BO7" i="12"/>
  <c r="R7" i="8"/>
  <c r="AM9" i="16"/>
  <c r="BF46" i="19"/>
  <c r="BG46" i="19" s="1"/>
  <c r="BT5" i="19"/>
  <c r="BF42" i="19"/>
  <c r="BG42" i="19" s="1"/>
  <c r="BS4" i="19"/>
  <c r="BB34" i="14"/>
  <c r="BC34" i="14" s="1"/>
  <c r="AV7" i="14" s="1"/>
  <c r="BO9" i="14"/>
  <c r="BP9" i="14" s="1"/>
  <c r="BQ9" i="14" s="1"/>
  <c r="BR9" i="14" s="1"/>
  <c r="BS9" i="14" s="1"/>
  <c r="BB34" i="16"/>
  <c r="BC34" i="16" s="1"/>
  <c r="AV7" i="16" s="1"/>
  <c r="BO9" i="16"/>
  <c r="BP9" i="16" s="1"/>
  <c r="BQ9" i="16" s="1"/>
  <c r="BR9" i="16" s="1"/>
  <c r="BS9" i="16" s="1"/>
  <c r="BA34" i="15"/>
  <c r="BO7" i="15"/>
  <c r="BP7" i="15" s="1"/>
  <c r="BQ7" i="15" s="1"/>
  <c r="BR7" i="15" s="1"/>
  <c r="BS7" i="15" s="1"/>
  <c r="S11" i="19"/>
  <c r="S4" i="19"/>
  <c r="BF48" i="20"/>
  <c r="BG48" i="20" s="1"/>
  <c r="BT7" i="20"/>
  <c r="BA35" i="12"/>
  <c r="BO8" i="12"/>
  <c r="BP8" i="12" s="1"/>
  <c r="BQ8" i="12" s="1"/>
  <c r="BR8" i="12" s="1"/>
  <c r="BS8" i="12" s="1"/>
  <c r="BF41" i="20"/>
  <c r="BG41" i="20" s="1"/>
  <c r="BS10" i="20"/>
  <c r="BS9" i="18"/>
  <c r="BE40" i="18"/>
  <c r="BA35" i="15"/>
  <c r="BO8" i="15"/>
  <c r="BF48" i="19"/>
  <c r="BG48" i="19" s="1"/>
  <c r="BT7" i="19"/>
  <c r="AM8" i="16"/>
  <c r="S6" i="18"/>
  <c r="S9" i="18"/>
  <c r="BE43" i="18"/>
  <c r="BS6" i="18"/>
  <c r="BO6" i="14"/>
  <c r="BB35" i="14"/>
  <c r="BB36" i="13"/>
  <c r="BC36" i="13" s="1"/>
  <c r="AV5" i="13" s="1"/>
  <c r="BO4" i="13"/>
  <c r="BP4" i="13" s="1"/>
  <c r="BQ4" i="13" s="1"/>
  <c r="BR4" i="13" s="1"/>
  <c r="BS4" i="13" s="1"/>
  <c r="BD29" i="12"/>
  <c r="BF42" i="20"/>
  <c r="BG42" i="20" s="1"/>
  <c r="BS4" i="20"/>
  <c r="S6" i="14"/>
  <c r="BF43" i="20"/>
  <c r="BG43" i="20" s="1"/>
  <c r="BS5" i="20"/>
  <c r="R7" i="9"/>
  <c r="AL6" i="9" s="1"/>
  <c r="BA35" i="13"/>
  <c r="BO8" i="13"/>
  <c r="BP8" i="13" s="1"/>
  <c r="BQ8" i="13" s="1"/>
  <c r="BR8" i="13" s="1"/>
  <c r="BS8" i="13" s="1"/>
  <c r="AW8" i="13" s="1"/>
  <c r="AB5" i="13" s="1"/>
  <c r="R5" i="10"/>
  <c r="AG6" i="18"/>
  <c r="AE5" i="15"/>
  <c r="S5" i="15"/>
  <c r="BB34" i="15"/>
  <c r="BC34" i="15" s="1"/>
  <c r="AV7" i="15" s="1"/>
  <c r="BO9" i="15"/>
  <c r="BP9" i="15" s="1"/>
  <c r="BQ9" i="15" s="1"/>
  <c r="BR9" i="15" s="1"/>
  <c r="BS9" i="15" s="1"/>
  <c r="AG8" i="19"/>
  <c r="BA34" i="16"/>
  <c r="BO7" i="16"/>
  <c r="R5" i="8"/>
  <c r="AL6" i="8" s="1"/>
  <c r="S9" i="12"/>
  <c r="AM9" i="12" s="1"/>
  <c r="AG11" i="19"/>
  <c r="BA36" i="13"/>
  <c r="BO5" i="13"/>
  <c r="BE41" i="20"/>
  <c r="BS8" i="20"/>
  <c r="AE5" i="14"/>
  <c r="AS5" i="11"/>
  <c r="AA6" i="11" s="1"/>
  <c r="S5" i="19"/>
  <c r="BH36" i="18"/>
  <c r="BH36" i="19"/>
  <c r="BD29" i="14"/>
  <c r="BA34" i="14"/>
  <c r="BO7" i="14"/>
  <c r="BP7" i="14" s="1"/>
  <c r="BQ7" i="14" s="1"/>
  <c r="BR7" i="14" s="1"/>
  <c r="BS7" i="14" s="1"/>
  <c r="AW7" i="14" s="1"/>
  <c r="AB6" i="14" s="1"/>
  <c r="AQ6" i="10"/>
  <c r="AZ20" i="10"/>
  <c r="AR7" i="10" s="1"/>
  <c r="BB34" i="13"/>
  <c r="BC34" i="13" s="1"/>
  <c r="AV7" i="13" s="1"/>
  <c r="BO9" i="13"/>
  <c r="BP9" i="13" s="1"/>
  <c r="BQ9" i="13" s="1"/>
  <c r="BR9" i="13" s="1"/>
  <c r="BS9" i="13" s="1"/>
  <c r="BS8" i="19"/>
  <c r="BE41" i="19"/>
  <c r="BF41" i="18"/>
  <c r="BG41" i="18" s="1"/>
  <c r="BS10" i="18"/>
  <c r="BA34" i="17"/>
  <c r="BO7" i="17"/>
  <c r="BA36" i="14"/>
  <c r="BO5" i="14"/>
  <c r="AD4" i="11"/>
  <c r="AD9" i="11" s="1"/>
  <c r="AL4" i="11"/>
  <c r="AG11" i="18"/>
  <c r="BE41" i="18"/>
  <c r="BS8" i="18"/>
  <c r="BD29" i="16"/>
  <c r="S9" i="19"/>
  <c r="S6" i="19"/>
  <c r="BH42" i="20"/>
  <c r="BE43" i="20"/>
  <c r="BS6" i="20"/>
  <c r="BE49" i="19"/>
  <c r="BH49" i="19" s="1"/>
  <c r="BT9" i="19"/>
  <c r="BH42" i="19"/>
  <c r="AF8" i="13"/>
  <c r="AG4" i="18"/>
  <c r="AL5" i="11"/>
  <c r="AE7" i="14"/>
  <c r="BD30" i="13"/>
  <c r="BH36" i="20"/>
  <c r="BR10" i="19"/>
  <c r="BE37" i="19"/>
  <c r="BH37" i="19" s="1"/>
  <c r="BH35" i="20"/>
  <c r="BA36" i="17"/>
  <c r="BO5" i="17"/>
  <c r="BA35" i="14"/>
  <c r="BO8" i="14"/>
  <c r="AG6" i="19"/>
  <c r="BB34" i="17"/>
  <c r="BC34" i="17" s="1"/>
  <c r="AV7" i="17" s="1"/>
  <c r="BO9" i="17"/>
  <c r="S7" i="17"/>
  <c r="S7" i="15"/>
  <c r="AE4" i="15"/>
  <c r="BA35" i="17"/>
  <c r="BO8" i="17"/>
  <c r="BP8" i="17" s="1"/>
  <c r="BQ8" i="17" s="1"/>
  <c r="BR8" i="17" s="1"/>
  <c r="BS8" i="17" s="1"/>
  <c r="BB35" i="16"/>
  <c r="BO6" i="16"/>
  <c r="BD29" i="15"/>
  <c r="BO4" i="12"/>
  <c r="BP4" i="12" s="1"/>
  <c r="BQ4" i="12" s="1"/>
  <c r="BR4" i="12" s="1"/>
  <c r="BS4" i="12" s="1"/>
  <c r="BB36" i="12"/>
  <c r="BC36" i="12" s="1"/>
  <c r="AV5" i="12" s="1"/>
  <c r="AE8" i="17"/>
  <c r="AG10" i="19"/>
  <c r="AG9" i="19"/>
  <c r="AH7" i="20" l="1"/>
  <c r="AH4" i="20"/>
  <c r="AH9" i="20"/>
  <c r="AH6" i="20"/>
  <c r="AH11" i="20"/>
  <c r="AH5" i="20"/>
  <c r="AO6" i="19"/>
  <c r="AO9" i="18"/>
  <c r="AG13" i="18"/>
  <c r="AH6" i="18" s="1"/>
  <c r="AV5" i="17"/>
  <c r="AU4" i="17"/>
  <c r="Z9" i="17" s="1"/>
  <c r="AW6" i="17"/>
  <c r="AB7" i="17" s="1"/>
  <c r="AM7" i="17"/>
  <c r="AW4" i="17"/>
  <c r="AB9" i="17" s="1"/>
  <c r="AW5" i="16"/>
  <c r="AB8" i="16" s="1"/>
  <c r="AU9" i="16"/>
  <c r="Z4" i="16" s="1"/>
  <c r="AU4" i="15"/>
  <c r="Z9" i="15" s="1"/>
  <c r="AV5" i="15"/>
  <c r="AU9" i="15"/>
  <c r="Z4" i="15" s="1"/>
  <c r="AE11" i="15"/>
  <c r="AF8" i="15" s="1"/>
  <c r="AM9" i="15"/>
  <c r="AM7" i="15"/>
  <c r="AV5" i="14"/>
  <c r="AU9" i="14"/>
  <c r="Z4" i="14" s="1"/>
  <c r="AU4" i="14"/>
  <c r="Z9" i="14" s="1"/>
  <c r="AW4" i="14"/>
  <c r="AB9" i="14" s="1"/>
  <c r="AM6" i="14"/>
  <c r="AU4" i="13"/>
  <c r="Z9" i="13" s="1"/>
  <c r="AW7" i="13"/>
  <c r="AB6" i="13" s="1"/>
  <c r="AF4" i="13"/>
  <c r="AF7" i="13"/>
  <c r="AF6" i="13"/>
  <c r="AF5" i="13"/>
  <c r="AW6" i="13"/>
  <c r="AB7" i="13" s="1"/>
  <c r="AW9" i="13"/>
  <c r="AB4" i="13" s="1"/>
  <c r="AV6" i="12"/>
  <c r="AE11" i="12"/>
  <c r="AF5" i="12" s="1"/>
  <c r="AW5" i="12"/>
  <c r="AB8" i="12" s="1"/>
  <c r="AM4" i="12"/>
  <c r="AU9" i="12"/>
  <c r="Z4" i="12" s="1"/>
  <c r="AD5" i="9"/>
  <c r="BD35" i="14"/>
  <c r="AV6" i="14" s="1"/>
  <c r="AU8" i="14"/>
  <c r="Z5" i="14" s="1"/>
  <c r="BU9" i="19"/>
  <c r="BV9" i="19" s="1"/>
  <c r="BW9" i="19" s="1"/>
  <c r="BA9" i="19" s="1"/>
  <c r="AD7" i="19" s="1"/>
  <c r="BF53" i="19"/>
  <c r="BG53" i="19" s="1"/>
  <c r="AE7" i="11"/>
  <c r="AE6" i="11"/>
  <c r="AE5" i="11"/>
  <c r="AE4" i="11"/>
  <c r="BD34" i="17"/>
  <c r="AV9" i="17" s="1"/>
  <c r="AU7" i="17"/>
  <c r="Z6" i="17" s="1"/>
  <c r="BT8" i="19"/>
  <c r="BF49" i="19"/>
  <c r="BG49" i="19" s="1"/>
  <c r="BC35" i="16"/>
  <c r="AV8" i="16" s="1"/>
  <c r="AU6" i="16"/>
  <c r="Z7" i="16" s="1"/>
  <c r="BP5" i="17"/>
  <c r="BQ5" i="17" s="1"/>
  <c r="BR5" i="17" s="1"/>
  <c r="BS5" i="17" s="1"/>
  <c r="AO9" i="19"/>
  <c r="BH41" i="18"/>
  <c r="BP5" i="14"/>
  <c r="BQ5" i="14" s="1"/>
  <c r="BR5" i="14" s="1"/>
  <c r="BS5" i="14" s="1"/>
  <c r="BT10" i="18"/>
  <c r="BE48" i="18"/>
  <c r="BP5" i="13"/>
  <c r="BQ5" i="13" s="1"/>
  <c r="BR5" i="13" s="1"/>
  <c r="BS5" i="13" s="1"/>
  <c r="BD35" i="13"/>
  <c r="AV6" i="13" s="1"/>
  <c r="AU8" i="13"/>
  <c r="Z5" i="13" s="1"/>
  <c r="BP6" i="14"/>
  <c r="BQ6" i="14" s="1"/>
  <c r="BR6" i="14" s="1"/>
  <c r="BS6" i="14" s="1"/>
  <c r="AO6" i="18"/>
  <c r="BP8" i="15"/>
  <c r="BQ8" i="15" s="1"/>
  <c r="BR8" i="15" s="1"/>
  <c r="BS8" i="15" s="1"/>
  <c r="AW8" i="15" s="1"/>
  <c r="AB5" i="15" s="1"/>
  <c r="BE48" i="20"/>
  <c r="BT10" i="20"/>
  <c r="BD35" i="12"/>
  <c r="AU8" i="12"/>
  <c r="Z5" i="12" s="1"/>
  <c r="AO11" i="19"/>
  <c r="BD34" i="12"/>
  <c r="AV9" i="12" s="1"/>
  <c r="AU7" i="12"/>
  <c r="Z6" i="12" s="1"/>
  <c r="BC35" i="17"/>
  <c r="AV8" i="17" s="1"/>
  <c r="AU6" i="17"/>
  <c r="Z7" i="17" s="1"/>
  <c r="BT11" i="19"/>
  <c r="BE46" i="19"/>
  <c r="BP6" i="15"/>
  <c r="BQ6" i="15" s="1"/>
  <c r="BR6" i="15" s="1"/>
  <c r="BS6" i="15" s="1"/>
  <c r="AF8" i="16"/>
  <c r="AF4" i="16"/>
  <c r="AF9" i="16"/>
  <c r="AF5" i="16"/>
  <c r="AF6" i="16"/>
  <c r="AF7" i="16"/>
  <c r="BP4" i="16"/>
  <c r="BQ4" i="16" s="1"/>
  <c r="BR4" i="16" s="1"/>
  <c r="BS4" i="16" s="1"/>
  <c r="BH46" i="20"/>
  <c r="AM5" i="12"/>
  <c r="BD35" i="16"/>
  <c r="AV6" i="16" s="1"/>
  <c r="AU8" i="16"/>
  <c r="Z5" i="16" s="1"/>
  <c r="BC35" i="13"/>
  <c r="AV8" i="13" s="1"/>
  <c r="AU6" i="13"/>
  <c r="Z7" i="13" s="1"/>
  <c r="AM9" i="17"/>
  <c r="AO8" i="18"/>
  <c r="AG13" i="19"/>
  <c r="AM4" i="14"/>
  <c r="AO11" i="18"/>
  <c r="AU9" i="13"/>
  <c r="Z4" i="13" s="1"/>
  <c r="AW8" i="17"/>
  <c r="AB5" i="17" s="1"/>
  <c r="AW9" i="15"/>
  <c r="AB4" i="15" s="1"/>
  <c r="BD36" i="17"/>
  <c r="AV4" i="17" s="1"/>
  <c r="AU5" i="17"/>
  <c r="Z8" i="17" s="1"/>
  <c r="BF47" i="20"/>
  <c r="BG47" i="20" s="1"/>
  <c r="BT6" i="20"/>
  <c r="BD36" i="14"/>
  <c r="AV4" i="14" s="1"/>
  <c r="AU5" i="14"/>
  <c r="Z8" i="14" s="1"/>
  <c r="AO5" i="19"/>
  <c r="BD36" i="13"/>
  <c r="AV4" i="13" s="1"/>
  <c r="AU5" i="13"/>
  <c r="Z8" i="13" s="1"/>
  <c r="AD5" i="8"/>
  <c r="AL5" i="8"/>
  <c r="AD7" i="9"/>
  <c r="AL7" i="9"/>
  <c r="BE47" i="20"/>
  <c r="BT4" i="20"/>
  <c r="BF47" i="18"/>
  <c r="BG47" i="18" s="1"/>
  <c r="BT6" i="18"/>
  <c r="BD35" i="15"/>
  <c r="AV6" i="15" s="1"/>
  <c r="AU8" i="15"/>
  <c r="Z5" i="15" s="1"/>
  <c r="BE53" i="20"/>
  <c r="BU7" i="20"/>
  <c r="BV7" i="20" s="1"/>
  <c r="BW7" i="20" s="1"/>
  <c r="AD6" i="9"/>
  <c r="BP5" i="15"/>
  <c r="BQ5" i="15" s="1"/>
  <c r="BR5" i="15" s="1"/>
  <c r="BS5" i="15" s="1"/>
  <c r="BD34" i="13"/>
  <c r="AV9" i="13" s="1"/>
  <c r="AU7" i="13"/>
  <c r="Z6" i="13" s="1"/>
  <c r="BC35" i="15"/>
  <c r="AV8" i="15" s="1"/>
  <c r="AU6" i="15"/>
  <c r="Z7" i="15" s="1"/>
  <c r="AO7" i="19"/>
  <c r="BF52" i="20"/>
  <c r="BG52" i="20" s="1"/>
  <c r="AZ8" i="20" s="1"/>
  <c r="BU11" i="20"/>
  <c r="BV11" i="20" s="1"/>
  <c r="BW11" i="20" s="1"/>
  <c r="BA11" i="20" s="1"/>
  <c r="AD11" i="20" s="1"/>
  <c r="AM8" i="17"/>
  <c r="AM6" i="15"/>
  <c r="BH42" i="18"/>
  <c r="AM6" i="17"/>
  <c r="AE11" i="17"/>
  <c r="BT11" i="18"/>
  <c r="BE46" i="18"/>
  <c r="AO8" i="19"/>
  <c r="AM8" i="14"/>
  <c r="AL4" i="8"/>
  <c r="BE47" i="18"/>
  <c r="BT4" i="18"/>
  <c r="AO10" i="19"/>
  <c r="BF53" i="20"/>
  <c r="BU9" i="20"/>
  <c r="AD6" i="8"/>
  <c r="AW4" i="13"/>
  <c r="AB9" i="13" s="1"/>
  <c r="BP6" i="16"/>
  <c r="BQ6" i="16" s="1"/>
  <c r="BR6" i="16" s="1"/>
  <c r="BS6" i="16" s="1"/>
  <c r="AW6" i="16" s="1"/>
  <c r="AB7" i="16" s="1"/>
  <c r="BD35" i="17"/>
  <c r="AV6" i="17" s="1"/>
  <c r="AU8" i="17"/>
  <c r="Z5" i="17" s="1"/>
  <c r="BP9" i="17"/>
  <c r="BQ9" i="17" s="1"/>
  <c r="BR9" i="17" s="1"/>
  <c r="BS9" i="17" s="1"/>
  <c r="BP8" i="14"/>
  <c r="BQ8" i="14" s="1"/>
  <c r="BR8" i="14" s="1"/>
  <c r="BS8" i="14" s="1"/>
  <c r="BS10" i="19"/>
  <c r="BF41" i="19"/>
  <c r="BG41" i="19" s="1"/>
  <c r="AH8" i="18"/>
  <c r="AH7" i="18"/>
  <c r="BH43" i="20"/>
  <c r="BP7" i="17"/>
  <c r="BQ7" i="17" s="1"/>
  <c r="BR7" i="17" s="1"/>
  <c r="BS7" i="17" s="1"/>
  <c r="BH41" i="19"/>
  <c r="BD34" i="14"/>
  <c r="AV9" i="14" s="1"/>
  <c r="AU7" i="14"/>
  <c r="Z6" i="14" s="1"/>
  <c r="BF49" i="20"/>
  <c r="BG49" i="20" s="1"/>
  <c r="BT8" i="20"/>
  <c r="BP7" i="16"/>
  <c r="BQ7" i="16" s="1"/>
  <c r="BR7" i="16" s="1"/>
  <c r="BS7" i="16" s="1"/>
  <c r="AL5" i="10"/>
  <c r="AD5" i="10"/>
  <c r="BF46" i="20"/>
  <c r="BG46" i="20" s="1"/>
  <c r="BT5" i="20"/>
  <c r="BH43" i="18"/>
  <c r="BE53" i="19"/>
  <c r="BU7" i="19"/>
  <c r="BV7" i="19" s="1"/>
  <c r="BW7" i="19" s="1"/>
  <c r="BA7" i="19" s="1"/>
  <c r="AD10" i="19" s="1"/>
  <c r="BH40" i="18"/>
  <c r="AW8" i="12"/>
  <c r="AB5" i="12" s="1"/>
  <c r="BD34" i="15"/>
  <c r="AV9" i="15" s="1"/>
  <c r="AU7" i="15"/>
  <c r="Z6" i="15" s="1"/>
  <c r="BE55" i="19"/>
  <c r="BU5" i="19"/>
  <c r="BV5" i="19" s="1"/>
  <c r="BW5" i="19" s="1"/>
  <c r="AF9" i="12"/>
  <c r="AF6" i="12"/>
  <c r="AF8" i="12"/>
  <c r="AL7" i="8"/>
  <c r="AD7" i="8"/>
  <c r="BD36" i="15"/>
  <c r="AV4" i="15" s="1"/>
  <c r="AU5" i="15"/>
  <c r="Z8" i="15" s="1"/>
  <c r="AM8" i="15"/>
  <c r="AD4" i="10"/>
  <c r="AL4" i="10"/>
  <c r="BH43" i="19"/>
  <c r="AD6" i="10"/>
  <c r="AL6" i="10"/>
  <c r="AO7" i="18"/>
  <c r="AL4" i="9"/>
  <c r="AD4" i="9"/>
  <c r="AD9" i="9" s="1"/>
  <c r="AM7" i="12"/>
  <c r="AU4" i="12"/>
  <c r="Z9" i="12" s="1"/>
  <c r="AD7" i="10"/>
  <c r="AL7" i="10"/>
  <c r="BT7" i="18"/>
  <c r="BF48" i="18"/>
  <c r="BG48" i="18" s="1"/>
  <c r="AM4" i="17"/>
  <c r="BP4" i="15"/>
  <c r="BQ4" i="15" s="1"/>
  <c r="BR4" i="15" s="1"/>
  <c r="BS4" i="15" s="1"/>
  <c r="AW4" i="15" s="1"/>
  <c r="AB9" i="15" s="1"/>
  <c r="AM7" i="14"/>
  <c r="AD4" i="8"/>
  <c r="AM5" i="14"/>
  <c r="BD36" i="16"/>
  <c r="AV4" i="16" s="1"/>
  <c r="AU5" i="16"/>
  <c r="Z8" i="16" s="1"/>
  <c r="BA5" i="19"/>
  <c r="AD4" i="19" s="1"/>
  <c r="AW9" i="14"/>
  <c r="AB4" i="14" s="1"/>
  <c r="AW9" i="16"/>
  <c r="AB4" i="16" s="1"/>
  <c r="BF49" i="18"/>
  <c r="BG49" i="18" s="1"/>
  <c r="BT8" i="18"/>
  <c r="BH41" i="20"/>
  <c r="BD34" i="16"/>
  <c r="AV9" i="16" s="1"/>
  <c r="AU7" i="16"/>
  <c r="Z6" i="16" s="1"/>
  <c r="AM5" i="15"/>
  <c r="BC35" i="14"/>
  <c r="AV8" i="14" s="1"/>
  <c r="AU6" i="14"/>
  <c r="Z7" i="14" s="1"/>
  <c r="BT9" i="18"/>
  <c r="BE49" i="18"/>
  <c r="BH49" i="18" s="1"/>
  <c r="AO12" i="19"/>
  <c r="AP12" i="19" s="1"/>
  <c r="AO4" i="19"/>
  <c r="BE47" i="19"/>
  <c r="BT4" i="19"/>
  <c r="AM6" i="12"/>
  <c r="BP7" i="12"/>
  <c r="BQ7" i="12" s="1"/>
  <c r="BR7" i="12" s="1"/>
  <c r="BS7" i="12" s="1"/>
  <c r="AM4" i="15"/>
  <c r="BF47" i="19"/>
  <c r="BG47" i="19" s="1"/>
  <c r="BT6" i="19"/>
  <c r="BP9" i="12"/>
  <c r="BQ9" i="12" s="1"/>
  <c r="BR9" i="12" s="1"/>
  <c r="BS9" i="12" s="1"/>
  <c r="AO12" i="18"/>
  <c r="AP12" i="18" s="1"/>
  <c r="AO4" i="18"/>
  <c r="BD36" i="12"/>
  <c r="AV4" i="12" s="1"/>
  <c r="AU5" i="12"/>
  <c r="Z8" i="12" s="1"/>
  <c r="AO10" i="18"/>
  <c r="AU9" i="17"/>
  <c r="Z4" i="17" s="1"/>
  <c r="AM5" i="17"/>
  <c r="AO5" i="18"/>
  <c r="AY9" i="19"/>
  <c r="AB7" i="19" s="1"/>
  <c r="AE11" i="14"/>
  <c r="AU4" i="16"/>
  <c r="Z9" i="16" s="1"/>
  <c r="BT5" i="18"/>
  <c r="BF46" i="18"/>
  <c r="BG46" i="18" s="1"/>
  <c r="AM8" i="12"/>
  <c r="AW4" i="12"/>
  <c r="AB9" i="12" s="1"/>
  <c r="AL5" i="9"/>
  <c r="AM9" i="14"/>
  <c r="AW7" i="15"/>
  <c r="AB6" i="15" s="1"/>
  <c r="BA7" i="20" l="1"/>
  <c r="AD10" i="20" s="1"/>
  <c r="AI10" i="20"/>
  <c r="AI11" i="20"/>
  <c r="AI9" i="20"/>
  <c r="AI6" i="20"/>
  <c r="AI4" i="20"/>
  <c r="AI7" i="20"/>
  <c r="AI8" i="20"/>
  <c r="AI5" i="20"/>
  <c r="AH9" i="18"/>
  <c r="AH10" i="18"/>
  <c r="AH4" i="18"/>
  <c r="AH11" i="18"/>
  <c r="AH5" i="18"/>
  <c r="AW7" i="16"/>
  <c r="AB6" i="16" s="1"/>
  <c r="AG9" i="16"/>
  <c r="AF7" i="15"/>
  <c r="AF5" i="15"/>
  <c r="AF6" i="15"/>
  <c r="AF4" i="15"/>
  <c r="AG6" i="15" s="1"/>
  <c r="AF9" i="15"/>
  <c r="AW8" i="14"/>
  <c r="AB5" i="14" s="1"/>
  <c r="AG7" i="13"/>
  <c r="AG8" i="13"/>
  <c r="AG5" i="13"/>
  <c r="AG4" i="13"/>
  <c r="AG9" i="13"/>
  <c r="AG6" i="13"/>
  <c r="AF7" i="12"/>
  <c r="AW9" i="12"/>
  <c r="AB4" i="12" s="1"/>
  <c r="AF4" i="12"/>
  <c r="AF6" i="11"/>
  <c r="AD9" i="8"/>
  <c r="AE6" i="8" s="1"/>
  <c r="AW7" i="12"/>
  <c r="AB6" i="12" s="1"/>
  <c r="BH47" i="19"/>
  <c r="AW9" i="17"/>
  <c r="AB4" i="17" s="1"/>
  <c r="BF55" i="18"/>
  <c r="BG55" i="18" s="1"/>
  <c r="BU4" i="18"/>
  <c r="BV4" i="18" s="1"/>
  <c r="BW4" i="18" s="1"/>
  <c r="AF9" i="17"/>
  <c r="AF5" i="17"/>
  <c r="AF6" i="17"/>
  <c r="AF7" i="17"/>
  <c r="AF8" i="17"/>
  <c r="AF4" i="17"/>
  <c r="AW5" i="15"/>
  <c r="AB8" i="15" s="1"/>
  <c r="BH53" i="20"/>
  <c r="AZ9" i="20" s="1"/>
  <c r="AY7" i="20"/>
  <c r="AB10" i="20" s="1"/>
  <c r="BU6" i="18"/>
  <c r="BV6" i="18" s="1"/>
  <c r="BW6" i="18" s="1"/>
  <c r="BE54" i="18"/>
  <c r="BH47" i="20"/>
  <c r="AG6" i="16"/>
  <c r="AG8" i="16"/>
  <c r="BH46" i="19"/>
  <c r="AW5" i="14"/>
  <c r="AB8" i="14" s="1"/>
  <c r="AF4" i="11"/>
  <c r="BE55" i="18"/>
  <c r="BU5" i="18"/>
  <c r="BV5" i="18" s="1"/>
  <c r="BW5" i="18" s="1"/>
  <c r="BA5" i="18" s="1"/>
  <c r="AD4" i="18" s="1"/>
  <c r="BE54" i="19"/>
  <c r="BU6" i="19"/>
  <c r="BV6" i="19" s="1"/>
  <c r="BW6" i="19" s="1"/>
  <c r="BA6" i="19" s="1"/>
  <c r="AD8" i="19" s="1"/>
  <c r="BF53" i="18"/>
  <c r="BG53" i="18" s="1"/>
  <c r="BU9" i="18"/>
  <c r="BV9" i="18" s="1"/>
  <c r="BW9" i="18" s="1"/>
  <c r="BA9" i="18" s="1"/>
  <c r="AD7" i="18" s="1"/>
  <c r="BU8" i="18"/>
  <c r="BV8" i="18" s="1"/>
  <c r="BW8" i="18" s="1"/>
  <c r="BA8" i="18" s="1"/>
  <c r="AD9" i="18" s="1"/>
  <c r="BE52" i="18"/>
  <c r="AE4" i="8"/>
  <c r="AE7" i="8"/>
  <c r="BE52" i="20"/>
  <c r="BU8" i="20"/>
  <c r="BV8" i="20" s="1"/>
  <c r="BW8" i="20" s="1"/>
  <c r="BA8" i="20" s="1"/>
  <c r="AD9" i="20" s="1"/>
  <c r="BT10" i="19"/>
  <c r="BE48" i="19"/>
  <c r="BV9" i="20"/>
  <c r="BW9" i="20" s="1"/>
  <c r="BH47" i="18"/>
  <c r="AH11" i="19"/>
  <c r="AH9" i="19"/>
  <c r="AH10" i="19"/>
  <c r="AH7" i="19"/>
  <c r="AH5" i="19"/>
  <c r="AH8" i="19"/>
  <c r="AH6" i="19"/>
  <c r="AH4" i="19"/>
  <c r="AY11" i="20"/>
  <c r="AB11" i="20" s="1"/>
  <c r="AG5" i="16"/>
  <c r="AW6" i="15"/>
  <c r="AB7" i="15" s="1"/>
  <c r="BU11" i="19"/>
  <c r="BV11" i="19" s="1"/>
  <c r="BW11" i="19" s="1"/>
  <c r="BF52" i="19"/>
  <c r="BG52" i="19" s="1"/>
  <c r="AZ8" i="19" s="1"/>
  <c r="BU8" i="19"/>
  <c r="BV8" i="19" s="1"/>
  <c r="BW8" i="19" s="1"/>
  <c r="BE52" i="19"/>
  <c r="AF5" i="11"/>
  <c r="AE6" i="9"/>
  <c r="AE5" i="9"/>
  <c r="AE4" i="9"/>
  <c r="AE7" i="9"/>
  <c r="AD9" i="10"/>
  <c r="BG53" i="20"/>
  <c r="AY9" i="20"/>
  <c r="AB7" i="20" s="1"/>
  <c r="BH46" i="18"/>
  <c r="BF54" i="20"/>
  <c r="BG54" i="20" s="1"/>
  <c r="BU10" i="20"/>
  <c r="BV10" i="20" s="1"/>
  <c r="BW10" i="20" s="1"/>
  <c r="BA10" i="20" s="1"/>
  <c r="AD5" i="20" s="1"/>
  <c r="BH48" i="18"/>
  <c r="AZ7" i="18" s="1"/>
  <c r="BE55" i="20"/>
  <c r="BU5" i="20"/>
  <c r="BV5" i="20" s="1"/>
  <c r="BW5" i="20" s="1"/>
  <c r="BA5" i="20" s="1"/>
  <c r="AD4" i="20" s="1"/>
  <c r="AF9" i="14"/>
  <c r="AF5" i="14"/>
  <c r="AF6" i="14"/>
  <c r="AF7" i="14"/>
  <c r="AF8" i="14"/>
  <c r="AF4" i="14"/>
  <c r="BF55" i="19"/>
  <c r="BG55" i="19" s="1"/>
  <c r="AZ5" i="19" s="1"/>
  <c r="BU4" i="19"/>
  <c r="BV4" i="19" s="1"/>
  <c r="BW4" i="19" s="1"/>
  <c r="BA4" i="19" s="1"/>
  <c r="AD6" i="19" s="1"/>
  <c r="BE53" i="18"/>
  <c r="BU7" i="18"/>
  <c r="BV7" i="18" s="1"/>
  <c r="BW7" i="18" s="1"/>
  <c r="BH55" i="19"/>
  <c r="AZ4" i="19" s="1"/>
  <c r="AY5" i="19"/>
  <c r="BH53" i="19"/>
  <c r="AZ9" i="19" s="1"/>
  <c r="AY7" i="19"/>
  <c r="AB10" i="19" s="1"/>
  <c r="AW7" i="17"/>
  <c r="AB6" i="17" s="1"/>
  <c r="BU11" i="18"/>
  <c r="BV11" i="18" s="1"/>
  <c r="BW11" i="18" s="1"/>
  <c r="BA11" i="18" s="1"/>
  <c r="AD11" i="18" s="1"/>
  <c r="BF52" i="18"/>
  <c r="BG52" i="18" s="1"/>
  <c r="AZ8" i="18" s="1"/>
  <c r="BF55" i="20"/>
  <c r="BG55" i="20" s="1"/>
  <c r="AZ5" i="20" s="1"/>
  <c r="BU4" i="20"/>
  <c r="BV4" i="20" s="1"/>
  <c r="BW4" i="20" s="1"/>
  <c r="BA4" i="20" s="1"/>
  <c r="AD6" i="20" s="1"/>
  <c r="BE54" i="20"/>
  <c r="BU6" i="20"/>
  <c r="BV6" i="20" s="1"/>
  <c r="BW6" i="20" s="1"/>
  <c r="BA6" i="20" s="1"/>
  <c r="AD8" i="20" s="1"/>
  <c r="AW4" i="16"/>
  <c r="AB9" i="16" s="1"/>
  <c r="AG7" i="16"/>
  <c r="AG4" i="16"/>
  <c r="BH48" i="20"/>
  <c r="AZ7" i="20" s="1"/>
  <c r="AW6" i="14"/>
  <c r="AB7" i="14" s="1"/>
  <c r="AW5" i="13"/>
  <c r="AB8" i="13" s="1"/>
  <c r="BU10" i="18"/>
  <c r="BF54" i="18"/>
  <c r="BG54" i="18" s="1"/>
  <c r="AW5" i="17"/>
  <c r="AB8" i="17" s="1"/>
  <c r="AF7" i="11"/>
  <c r="AZ6" i="20" l="1"/>
  <c r="AY10" i="20"/>
  <c r="AB5" i="20" s="1"/>
  <c r="AI13" i="20"/>
  <c r="BA9" i="20"/>
  <c r="AD7" i="20" s="1"/>
  <c r="BA8" i="19"/>
  <c r="AD9" i="19" s="1"/>
  <c r="BA11" i="19"/>
  <c r="AD11" i="19" s="1"/>
  <c r="AI8" i="19"/>
  <c r="AZ6" i="18"/>
  <c r="AZ5" i="18"/>
  <c r="AI7" i="18"/>
  <c r="AY4" i="18"/>
  <c r="AB6" i="18" s="1"/>
  <c r="AI5" i="18"/>
  <c r="AI11" i="18"/>
  <c r="BA6" i="18"/>
  <c r="AD8" i="18" s="1"/>
  <c r="AI9" i="18"/>
  <c r="AI8" i="18"/>
  <c r="AI6" i="18"/>
  <c r="AI4" i="18"/>
  <c r="AI10" i="18"/>
  <c r="AY9" i="18"/>
  <c r="AB7" i="18" s="1"/>
  <c r="BA4" i="18"/>
  <c r="AD6" i="18" s="1"/>
  <c r="AG7" i="17"/>
  <c r="AG11" i="16"/>
  <c r="AG5" i="15"/>
  <c r="AG7" i="15"/>
  <c r="AG8" i="15"/>
  <c r="AG9" i="15"/>
  <c r="AG4" i="15"/>
  <c r="AG8" i="14"/>
  <c r="AG11" i="13"/>
  <c r="AH9" i="13" s="1"/>
  <c r="AG7" i="12"/>
  <c r="AG8" i="12"/>
  <c r="AG5" i="12"/>
  <c r="AG4" i="12"/>
  <c r="AG9" i="12"/>
  <c r="AG6" i="12"/>
  <c r="AF7" i="9"/>
  <c r="AE5" i="8"/>
  <c r="AF6" i="8"/>
  <c r="BH53" i="18"/>
  <c r="AZ9" i="18" s="1"/>
  <c r="AY7" i="18"/>
  <c r="AB10" i="18" s="1"/>
  <c r="BV10" i="18"/>
  <c r="BW10" i="18" s="1"/>
  <c r="AG7" i="14"/>
  <c r="AH8" i="13"/>
  <c r="AH7" i="13"/>
  <c r="AF5" i="9"/>
  <c r="AI4" i="19"/>
  <c r="AI7" i="19"/>
  <c r="AF4" i="8"/>
  <c r="AF9" i="11"/>
  <c r="BH54" i="18"/>
  <c r="AZ10" i="18" s="1"/>
  <c r="AY6" i="18"/>
  <c r="AB8" i="18" s="1"/>
  <c r="AG6" i="17"/>
  <c r="BA7" i="18"/>
  <c r="AD10" i="18" s="1"/>
  <c r="AG6" i="14"/>
  <c r="AY10" i="18"/>
  <c r="AB5" i="18" s="1"/>
  <c r="AY11" i="18"/>
  <c r="AB11" i="18" s="1"/>
  <c r="AE6" i="10"/>
  <c r="AE7" i="10"/>
  <c r="AE5" i="10"/>
  <c r="AE4" i="10"/>
  <c r="AF6" i="9"/>
  <c r="BH52" i="19"/>
  <c r="AZ11" i="19" s="1"/>
  <c r="AY8" i="19"/>
  <c r="AB9" i="19" s="1"/>
  <c r="AI6" i="19"/>
  <c r="AI10" i="19"/>
  <c r="BH48" i="19"/>
  <c r="AZ7" i="19" s="1"/>
  <c r="AJ11" i="20"/>
  <c r="AJ9" i="20"/>
  <c r="AJ7" i="20"/>
  <c r="AJ10" i="20"/>
  <c r="AJ8" i="20"/>
  <c r="AJ6" i="20"/>
  <c r="AJ4" i="20"/>
  <c r="AJ5" i="20"/>
  <c r="AF5" i="8"/>
  <c r="BH55" i="18"/>
  <c r="AZ4" i="18" s="1"/>
  <c r="AY5" i="18"/>
  <c r="AG4" i="17"/>
  <c r="AG5" i="17"/>
  <c r="AH6" i="16"/>
  <c r="AH7" i="16"/>
  <c r="AH8" i="16"/>
  <c r="AH4" i="16"/>
  <c r="AH9" i="16"/>
  <c r="AH5" i="16"/>
  <c r="BH54" i="20"/>
  <c r="AZ10" i="20" s="1"/>
  <c r="AY6" i="20"/>
  <c r="AB8" i="20" s="1"/>
  <c r="AG4" i="14"/>
  <c r="AG5" i="14"/>
  <c r="BH55" i="20"/>
  <c r="AZ4" i="20" s="1"/>
  <c r="AY5" i="20"/>
  <c r="AI9" i="19"/>
  <c r="BF54" i="19"/>
  <c r="BG54" i="19" s="1"/>
  <c r="AZ6" i="19" s="1"/>
  <c r="BU10" i="19"/>
  <c r="BV10" i="19" s="1"/>
  <c r="BW10" i="19" s="1"/>
  <c r="BA10" i="19" s="1"/>
  <c r="AD5" i="19" s="1"/>
  <c r="BH52" i="20"/>
  <c r="AZ11" i="20" s="1"/>
  <c r="AY8" i="20"/>
  <c r="AB9" i="20" s="1"/>
  <c r="BH52" i="18"/>
  <c r="AZ11" i="18" s="1"/>
  <c r="AY8" i="18"/>
  <c r="AB9" i="18" s="1"/>
  <c r="AY11" i="19"/>
  <c r="AB11" i="19" s="1"/>
  <c r="AY4" i="20"/>
  <c r="AB6" i="20" s="1"/>
  <c r="AG8" i="17"/>
  <c r="AG9" i="17"/>
  <c r="AG9" i="14"/>
  <c r="AF4" i="9"/>
  <c r="AI5" i="19"/>
  <c r="AI11" i="19"/>
  <c r="AF7" i="8"/>
  <c r="BH54" i="19"/>
  <c r="AZ10" i="19" s="1"/>
  <c r="AY6" i="19"/>
  <c r="AB8" i="19" s="1"/>
  <c r="AY4" i="19"/>
  <c r="AB6" i="19" s="1"/>
  <c r="AI13" i="18" l="1"/>
  <c r="AJ5" i="18" s="1"/>
  <c r="AI5" i="16"/>
  <c r="AG11" i="15"/>
  <c r="AH8" i="15" s="1"/>
  <c r="AH9" i="15"/>
  <c r="AH6" i="15"/>
  <c r="AH5" i="15"/>
  <c r="AH4" i="15"/>
  <c r="AH7" i="15"/>
  <c r="AH6" i="13"/>
  <c r="AH5" i="13"/>
  <c r="AH4" i="13"/>
  <c r="AI9" i="13" s="1"/>
  <c r="AG11" i="12"/>
  <c r="AH4" i="12" s="1"/>
  <c r="AF7" i="10"/>
  <c r="AF9" i="9"/>
  <c r="AG4" i="9" s="1"/>
  <c r="AG6" i="9"/>
  <c r="AG5" i="9"/>
  <c r="AG11" i="14"/>
  <c r="AI9" i="16"/>
  <c r="AI6" i="16"/>
  <c r="AF6" i="10"/>
  <c r="AI13" i="19"/>
  <c r="AH7" i="12"/>
  <c r="AH8" i="12"/>
  <c r="AH6" i="12"/>
  <c r="AI4" i="16"/>
  <c r="AF4" i="10"/>
  <c r="AJ9" i="18"/>
  <c r="AJ7" i="18"/>
  <c r="AJ6" i="18"/>
  <c r="AJ4" i="18"/>
  <c r="AG6" i="11"/>
  <c r="AG5" i="11"/>
  <c r="AG4" i="11"/>
  <c r="AG7" i="11"/>
  <c r="AI4" i="13"/>
  <c r="BA10" i="18"/>
  <c r="AD5" i="18" s="1"/>
  <c r="AI8" i="16"/>
  <c r="AG11" i="17"/>
  <c r="AY10" i="19"/>
  <c r="AB5" i="19" s="1"/>
  <c r="AF5" i="10"/>
  <c r="AF9" i="8"/>
  <c r="AI7" i="13"/>
  <c r="AI7" i="16"/>
  <c r="AK4" i="20"/>
  <c r="AK5" i="20" s="1"/>
  <c r="AK6" i="20" s="1"/>
  <c r="AK7" i="20" s="1"/>
  <c r="AK8" i="20" s="1"/>
  <c r="AK9" i="20" s="1"/>
  <c r="AK10" i="20" s="1"/>
  <c r="AK11" i="20" s="1"/>
  <c r="AK12" i="20" s="1"/>
  <c r="AJ11" i="18" l="1"/>
  <c r="AJ8" i="18"/>
  <c r="AJ10" i="18"/>
  <c r="AI6" i="15"/>
  <c r="AI9" i="15"/>
  <c r="AI4" i="15"/>
  <c r="AI5" i="15"/>
  <c r="AI7" i="15"/>
  <c r="AI8" i="15"/>
  <c r="AI6" i="13"/>
  <c r="AI5" i="13"/>
  <c r="AI11" i="13" s="1"/>
  <c r="AI8" i="13"/>
  <c r="AH5" i="12"/>
  <c r="AH9" i="12"/>
  <c r="AI6" i="12"/>
  <c r="AI9" i="12"/>
  <c r="AH7" i="11"/>
  <c r="AG7" i="9"/>
  <c r="AH5" i="9"/>
  <c r="AG7" i="8"/>
  <c r="AG6" i="8"/>
  <c r="AG5" i="8"/>
  <c r="AG4" i="8"/>
  <c r="AH4" i="8" s="1"/>
  <c r="AH5" i="11"/>
  <c r="AH7" i="17"/>
  <c r="AH8" i="17"/>
  <c r="AH4" i="17"/>
  <c r="AH9" i="17"/>
  <c r="AH5" i="17"/>
  <c r="AH6" i="17"/>
  <c r="AH6" i="11"/>
  <c r="AI11" i="16"/>
  <c r="AI4" i="12"/>
  <c r="AJ10" i="19"/>
  <c r="AJ11" i="19"/>
  <c r="AJ8" i="19"/>
  <c r="AJ6" i="19"/>
  <c r="AJ4" i="19"/>
  <c r="AJ9" i="19"/>
  <c r="AJ7" i="19"/>
  <c r="AJ5" i="19"/>
  <c r="AH6" i="9"/>
  <c r="AK13" i="20"/>
  <c r="AK4" i="18"/>
  <c r="AK5" i="18" s="1"/>
  <c r="AK6" i="18" s="1"/>
  <c r="AK7" i="18" s="1"/>
  <c r="AK8" i="18" s="1"/>
  <c r="AK9" i="18" s="1"/>
  <c r="AK10" i="18" s="1"/>
  <c r="AK11" i="18" s="1"/>
  <c r="AK12" i="18" s="1"/>
  <c r="AF9" i="10"/>
  <c r="AI8" i="12"/>
  <c r="AH7" i="9"/>
  <c r="AH4" i="11"/>
  <c r="AI5" i="12"/>
  <c r="AI7" i="12"/>
  <c r="AH7" i="14"/>
  <c r="AH8" i="14"/>
  <c r="AH4" i="14"/>
  <c r="AH9" i="14"/>
  <c r="AH5" i="14"/>
  <c r="AH6" i="14"/>
  <c r="AH4" i="9"/>
  <c r="AI5" i="17" l="1"/>
  <c r="AI11" i="15"/>
  <c r="AJ7" i="15" s="1"/>
  <c r="AI4" i="14"/>
  <c r="AH9" i="11"/>
  <c r="AH9" i="9"/>
  <c r="AI4" i="9" s="1"/>
  <c r="AK4" i="19"/>
  <c r="AK5" i="19" s="1"/>
  <c r="AK6" i="19" s="1"/>
  <c r="AK7" i="19" s="1"/>
  <c r="AK8" i="19" s="1"/>
  <c r="AK9" i="19" s="1"/>
  <c r="AK10" i="19" s="1"/>
  <c r="AK11" i="19" s="1"/>
  <c r="AK12" i="19" s="1"/>
  <c r="AI7" i="17"/>
  <c r="AI5" i="9"/>
  <c r="AI8" i="14"/>
  <c r="AI11" i="12"/>
  <c r="AI9" i="17"/>
  <c r="AH5" i="8"/>
  <c r="AJ4" i="15"/>
  <c r="AJ5" i="15"/>
  <c r="AI7" i="14"/>
  <c r="AK13" i="18"/>
  <c r="AJ8" i="16"/>
  <c r="AJ4" i="16"/>
  <c r="AJ9" i="16"/>
  <c r="AJ5" i="16"/>
  <c r="AJ6" i="16"/>
  <c r="AJ7" i="16"/>
  <c r="AJ8" i="13"/>
  <c r="AJ9" i="13"/>
  <c r="AJ6" i="13"/>
  <c r="AJ7" i="13"/>
  <c r="AJ4" i="13"/>
  <c r="AJ5" i="13"/>
  <c r="AI4" i="17"/>
  <c r="AH6" i="8"/>
  <c r="AI6" i="14"/>
  <c r="AI5" i="14"/>
  <c r="AI9" i="14"/>
  <c r="AI7" i="11"/>
  <c r="AI6" i="11"/>
  <c r="AI5" i="11"/>
  <c r="AI4" i="11"/>
  <c r="AG7" i="10"/>
  <c r="AG5" i="10"/>
  <c r="AG4" i="10"/>
  <c r="AG6" i="10"/>
  <c r="AL10" i="20"/>
  <c r="AL8" i="20"/>
  <c r="AL11" i="20"/>
  <c r="AL9" i="20"/>
  <c r="AL7" i="20"/>
  <c r="AL6" i="20"/>
  <c r="AL5" i="20"/>
  <c r="AL4" i="20"/>
  <c r="AI6" i="17"/>
  <c r="AI8" i="17"/>
  <c r="AH7" i="8"/>
  <c r="AN7" i="20" l="1"/>
  <c r="AP7" i="20" s="1"/>
  <c r="AL7" i="16"/>
  <c r="AN7" i="16" s="1"/>
  <c r="AJ8" i="15"/>
  <c r="AJ9" i="15"/>
  <c r="AJ6" i="15"/>
  <c r="AL7" i="15" s="1"/>
  <c r="AN7" i="15" s="1"/>
  <c r="AL8" i="15"/>
  <c r="AN8" i="15" s="1"/>
  <c r="AI11" i="14"/>
  <c r="AJ5" i="14" s="1"/>
  <c r="AL7" i="13"/>
  <c r="AN7" i="13" s="1"/>
  <c r="AK7" i="11"/>
  <c r="AM7" i="11" s="1"/>
  <c r="AH7" i="10"/>
  <c r="AI6" i="9"/>
  <c r="AI7" i="9"/>
  <c r="AK4" i="9"/>
  <c r="AM4" i="9" s="1"/>
  <c r="AH9" i="8"/>
  <c r="AI5" i="8" s="1"/>
  <c r="AL4" i="16"/>
  <c r="AN4" i="16" s="1"/>
  <c r="AL10" i="18"/>
  <c r="AL8" i="18"/>
  <c r="AL6" i="18"/>
  <c r="AL11" i="18"/>
  <c r="AL9" i="18"/>
  <c r="AL7" i="18"/>
  <c r="AL5" i="18"/>
  <c r="AL4" i="18"/>
  <c r="AH6" i="10"/>
  <c r="AK4" i="11"/>
  <c r="AM4" i="11" s="1"/>
  <c r="AI11" i="17"/>
  <c r="AL6" i="13"/>
  <c r="AN6" i="13" s="1"/>
  <c r="AL6" i="16"/>
  <c r="AN6" i="16" s="1"/>
  <c r="AL8" i="16"/>
  <c r="AN8" i="16" s="1"/>
  <c r="AL9" i="15"/>
  <c r="AN9" i="15" s="1"/>
  <c r="AK5" i="9"/>
  <c r="AM5" i="9" s="1"/>
  <c r="AN9" i="20"/>
  <c r="AP9" i="20" s="1"/>
  <c r="AN11" i="20"/>
  <c r="AP11" i="20" s="1"/>
  <c r="AK5" i="11"/>
  <c r="AM5" i="11" s="1"/>
  <c r="AL5" i="13"/>
  <c r="AN5" i="13" s="1"/>
  <c r="AL9" i="13"/>
  <c r="AN9" i="13" s="1"/>
  <c r="AL5" i="16"/>
  <c r="AN5" i="16" s="1"/>
  <c r="AL5" i="15"/>
  <c r="AN5" i="15" s="1"/>
  <c r="AK6" i="9"/>
  <c r="AM6" i="9" s="1"/>
  <c r="AK13" i="19"/>
  <c r="AN10" i="20"/>
  <c r="AP10" i="20" s="1"/>
  <c r="AN4" i="20"/>
  <c r="AP4" i="20" s="1"/>
  <c r="AN5" i="20"/>
  <c r="AP5" i="20" s="1"/>
  <c r="AH4" i="10"/>
  <c r="AN6" i="20"/>
  <c r="AP6" i="20" s="1"/>
  <c r="AN8" i="20"/>
  <c r="AP8" i="20" s="1"/>
  <c r="AH5" i="10"/>
  <c r="AK6" i="11"/>
  <c r="AM6" i="11" s="1"/>
  <c r="AN6" i="11" s="1"/>
  <c r="S6" i="11" s="1"/>
  <c r="A6" i="11" s="1"/>
  <c r="AL4" i="13"/>
  <c r="AN4" i="13" s="1"/>
  <c r="AL8" i="13"/>
  <c r="AN8" i="13" s="1"/>
  <c r="AL9" i="16"/>
  <c r="AN9" i="16" s="1"/>
  <c r="AL4" i="15"/>
  <c r="AN4" i="15" s="1"/>
  <c r="AL6" i="15"/>
  <c r="AN6" i="15" s="1"/>
  <c r="AJ9" i="12"/>
  <c r="AJ5" i="12"/>
  <c r="AJ6" i="12"/>
  <c r="AJ7" i="12"/>
  <c r="AJ8" i="12"/>
  <c r="AJ4" i="12"/>
  <c r="AK7" i="9"/>
  <c r="AM7" i="9" s="1"/>
  <c r="AQ5" i="20" l="1"/>
  <c r="T5" i="20" s="1"/>
  <c r="A5" i="20" s="1"/>
  <c r="AQ7" i="20"/>
  <c r="T7" i="20" s="1"/>
  <c r="A7" i="20" s="1"/>
  <c r="AN5" i="18"/>
  <c r="AP5" i="18" s="1"/>
  <c r="AN4" i="18"/>
  <c r="AP4" i="18" s="1"/>
  <c r="AO9" i="16"/>
  <c r="T9" i="16" s="1"/>
  <c r="A9" i="16" s="1"/>
  <c r="AO4" i="15"/>
  <c r="T4" i="15" s="1"/>
  <c r="A4" i="15" s="1"/>
  <c r="AJ7" i="14"/>
  <c r="AJ8" i="14"/>
  <c r="AJ9" i="14"/>
  <c r="AJ6" i="14"/>
  <c r="AJ4" i="14"/>
  <c r="AO8" i="13"/>
  <c r="T8" i="13" s="1"/>
  <c r="A8" i="13" s="1"/>
  <c r="AO4" i="13"/>
  <c r="T4" i="13" s="1"/>
  <c r="A4" i="13" s="1"/>
  <c r="AL6" i="12"/>
  <c r="AN6" i="12" s="1"/>
  <c r="AL4" i="12"/>
  <c r="AN4" i="12" s="1"/>
  <c r="AN7" i="11"/>
  <c r="S7" i="11" s="1"/>
  <c r="A7" i="11" s="1"/>
  <c r="AN7" i="9"/>
  <c r="S7" i="9" s="1"/>
  <c r="A7" i="9" s="1"/>
  <c r="AI6" i="8"/>
  <c r="AI7" i="8"/>
  <c r="AI4" i="8"/>
  <c r="AK4" i="8" s="1"/>
  <c r="AM4" i="8" s="1"/>
  <c r="AK7" i="8"/>
  <c r="AM7" i="8" s="1"/>
  <c r="AL7" i="12"/>
  <c r="AN7" i="12" s="1"/>
  <c r="AO6" i="15"/>
  <c r="T6" i="15" s="1"/>
  <c r="A6" i="15" s="1"/>
  <c r="AQ6" i="20"/>
  <c r="T6" i="20" s="1"/>
  <c r="A6" i="20" s="1"/>
  <c r="AQ10" i="20"/>
  <c r="T10" i="20" s="1"/>
  <c r="A10" i="20" s="1"/>
  <c r="AO5" i="15"/>
  <c r="T5" i="15" s="1"/>
  <c r="A5" i="15" s="1"/>
  <c r="AN5" i="11"/>
  <c r="S5" i="11" s="1"/>
  <c r="A5" i="11" s="1"/>
  <c r="AO9" i="15"/>
  <c r="T9" i="15" s="1"/>
  <c r="A9" i="15" s="1"/>
  <c r="AJ9" i="17"/>
  <c r="AJ5" i="17"/>
  <c r="AJ6" i="17"/>
  <c r="AJ7" i="17"/>
  <c r="AL7" i="17" s="1"/>
  <c r="AN7" i="17" s="1"/>
  <c r="AJ8" i="17"/>
  <c r="AJ4" i="17"/>
  <c r="AO8" i="15"/>
  <c r="T8" i="15" s="1"/>
  <c r="A8" i="15" s="1"/>
  <c r="AN9" i="18"/>
  <c r="AP9" i="18" s="1"/>
  <c r="AN10" i="18"/>
  <c r="AP10" i="18" s="1"/>
  <c r="AH9" i="10"/>
  <c r="AL11" i="19"/>
  <c r="AL9" i="19"/>
  <c r="AL7" i="19"/>
  <c r="AL5" i="19"/>
  <c r="AL10" i="19"/>
  <c r="AL8" i="19"/>
  <c r="AL6" i="19"/>
  <c r="AL4" i="19"/>
  <c r="AO5" i="16"/>
  <c r="T5" i="16" s="1"/>
  <c r="A5" i="16" s="1"/>
  <c r="AQ11" i="20"/>
  <c r="T11" i="20" s="1"/>
  <c r="A11" i="20" s="1"/>
  <c r="AO8" i="16"/>
  <c r="T8" i="16" s="1"/>
  <c r="A8" i="16" s="1"/>
  <c r="AN4" i="11"/>
  <c r="S4" i="11" s="1"/>
  <c r="A4" i="11" s="1"/>
  <c r="AN11" i="18"/>
  <c r="AP11" i="18" s="1"/>
  <c r="AO4" i="16"/>
  <c r="T4" i="16" s="1"/>
  <c r="A4" i="16" s="1"/>
  <c r="AL5" i="12"/>
  <c r="AN5" i="12" s="1"/>
  <c r="AN6" i="9"/>
  <c r="S6" i="9" s="1"/>
  <c r="A6" i="9" s="1"/>
  <c r="AO9" i="13"/>
  <c r="T9" i="13" s="1"/>
  <c r="A9" i="13" s="1"/>
  <c r="AQ9" i="20"/>
  <c r="T9" i="20" s="1"/>
  <c r="A9" i="20" s="1"/>
  <c r="AO6" i="16"/>
  <c r="T6" i="16" s="1"/>
  <c r="A6" i="16" s="1"/>
  <c r="AN6" i="18"/>
  <c r="AP6" i="18" s="1"/>
  <c r="AO7" i="16"/>
  <c r="T7" i="16" s="1"/>
  <c r="A7" i="16" s="1"/>
  <c r="AL8" i="12"/>
  <c r="AN8" i="12" s="1"/>
  <c r="AL9" i="12"/>
  <c r="AN9" i="12" s="1"/>
  <c r="AQ8" i="20"/>
  <c r="T8" i="20" s="1"/>
  <c r="A8" i="20" s="1"/>
  <c r="AQ12" i="20"/>
  <c r="T12" i="20" s="1"/>
  <c r="A12" i="20" s="1"/>
  <c r="AQ4" i="20"/>
  <c r="T4" i="20" s="1"/>
  <c r="A4" i="20" s="1"/>
  <c r="AO7" i="15"/>
  <c r="T7" i="15" s="1"/>
  <c r="A7" i="15" s="1"/>
  <c r="X9" i="15" s="1"/>
  <c r="AO5" i="13"/>
  <c r="T5" i="13" s="1"/>
  <c r="A5" i="13" s="1"/>
  <c r="AN5" i="9"/>
  <c r="S5" i="9" s="1"/>
  <c r="A5" i="9" s="1"/>
  <c r="AO6" i="13"/>
  <c r="T6" i="13" s="1"/>
  <c r="A6" i="13" s="1"/>
  <c r="AN4" i="9"/>
  <c r="S4" i="9" s="1"/>
  <c r="A4" i="9" s="1"/>
  <c r="AN7" i="18"/>
  <c r="AP7" i="18" s="1"/>
  <c r="AN8" i="18"/>
  <c r="AP8" i="18" s="1"/>
  <c r="AO7" i="13"/>
  <c r="T7" i="13" s="1"/>
  <c r="A7" i="13" s="1"/>
  <c r="AK5" i="8"/>
  <c r="AM5" i="8" s="1"/>
  <c r="AN10" i="19" l="1"/>
  <c r="AP10" i="19" s="1"/>
  <c r="AQ7" i="18"/>
  <c r="T7" i="18" s="1"/>
  <c r="A7" i="18" s="1"/>
  <c r="AQ12" i="18"/>
  <c r="T12" i="18" s="1"/>
  <c r="A12" i="18" s="1"/>
  <c r="X4" i="15"/>
  <c r="AA4" i="15"/>
  <c r="Y4" i="15"/>
  <c r="AL9" i="14"/>
  <c r="AN9" i="14" s="1"/>
  <c r="AL4" i="14"/>
  <c r="AN4" i="14" s="1"/>
  <c r="AL7" i="14"/>
  <c r="AN7" i="14" s="1"/>
  <c r="AL8" i="14"/>
  <c r="AN8" i="14" s="1"/>
  <c r="AL5" i="14"/>
  <c r="AN5" i="14" s="1"/>
  <c r="AL6" i="14"/>
  <c r="AN6" i="14" s="1"/>
  <c r="AA4" i="13"/>
  <c r="X4" i="13"/>
  <c r="Y4" i="13"/>
  <c r="AA8" i="13"/>
  <c r="AO9" i="12"/>
  <c r="T9" i="12" s="1"/>
  <c r="A9" i="12" s="1"/>
  <c r="AO8" i="12"/>
  <c r="T8" i="12" s="1"/>
  <c r="A8" i="12" s="1"/>
  <c r="AK6" i="8"/>
  <c r="AM6" i="8" s="1"/>
  <c r="AN5" i="8" s="1"/>
  <c r="S5" i="8" s="1"/>
  <c r="A5" i="8" s="1"/>
  <c r="AQ8" i="18"/>
  <c r="T8" i="18" s="1"/>
  <c r="A8" i="18" s="1"/>
  <c r="AO4" i="12"/>
  <c r="T4" i="12" s="1"/>
  <c r="A4" i="12" s="1"/>
  <c r="AN8" i="19"/>
  <c r="AP8" i="19" s="1"/>
  <c r="AN9" i="19"/>
  <c r="AP9" i="19" s="1"/>
  <c r="X6" i="15"/>
  <c r="X5" i="15"/>
  <c r="Y5" i="15"/>
  <c r="AA6" i="15"/>
  <c r="Y9" i="15"/>
  <c r="AQ10" i="18"/>
  <c r="T10" i="18" s="1"/>
  <c r="A10" i="18" s="1"/>
  <c r="AL8" i="17"/>
  <c r="AN8" i="17" s="1"/>
  <c r="AL9" i="17"/>
  <c r="AN9" i="17" s="1"/>
  <c r="AA7" i="13"/>
  <c r="X8" i="13"/>
  <c r="X7" i="13"/>
  <c r="X9" i="13"/>
  <c r="AQ6" i="18"/>
  <c r="T6" i="18" s="1"/>
  <c r="A6" i="18" s="1"/>
  <c r="AQ4" i="18"/>
  <c r="T4" i="18" s="1"/>
  <c r="A4" i="18" s="1"/>
  <c r="AN11" i="19"/>
  <c r="AP11" i="19" s="1"/>
  <c r="Y7" i="15"/>
  <c r="Y6" i="15"/>
  <c r="AA7" i="15"/>
  <c r="X7" i="15"/>
  <c r="X10" i="15"/>
  <c r="AQ9" i="18"/>
  <c r="T9" i="18" s="1"/>
  <c r="A9" i="18" s="1"/>
  <c r="AA6" i="13"/>
  <c r="Y8" i="13"/>
  <c r="Y7" i="9"/>
  <c r="Z6" i="9"/>
  <c r="W5" i="9"/>
  <c r="X4" i="9"/>
  <c r="X7" i="9"/>
  <c r="Y6" i="9"/>
  <c r="Z5" i="9"/>
  <c r="W4" i="9"/>
  <c r="W7" i="9"/>
  <c r="X6" i="9"/>
  <c r="Y5" i="9"/>
  <c r="Z4" i="9"/>
  <c r="Z7" i="9"/>
  <c r="W6" i="9"/>
  <c r="X5" i="9"/>
  <c r="Y4" i="9"/>
  <c r="AQ5" i="18"/>
  <c r="T5" i="18" s="1"/>
  <c r="A5" i="18" s="1"/>
  <c r="X9" i="16"/>
  <c r="AA8" i="16"/>
  <c r="Y6" i="16"/>
  <c r="X5" i="16"/>
  <c r="AA4" i="16"/>
  <c r="AA9" i="16"/>
  <c r="Y7" i="16"/>
  <c r="X6" i="16"/>
  <c r="AA5" i="16"/>
  <c r="Y8" i="16"/>
  <c r="X7" i="16"/>
  <c r="AA6" i="16"/>
  <c r="Y4" i="16"/>
  <c r="X10" i="16"/>
  <c r="Y9" i="16"/>
  <c r="X8" i="16"/>
  <c r="AA7" i="16"/>
  <c r="Y5" i="16"/>
  <c r="X4" i="16"/>
  <c r="W7" i="11"/>
  <c r="X6" i="11"/>
  <c r="Y5" i="11"/>
  <c r="Z7" i="11"/>
  <c r="W6" i="11"/>
  <c r="X5" i="11"/>
  <c r="Y4" i="11"/>
  <c r="Y7" i="11"/>
  <c r="Z6" i="11"/>
  <c r="W5" i="11"/>
  <c r="X4" i="11"/>
  <c r="X7" i="11"/>
  <c r="Y6" i="11"/>
  <c r="Z5" i="11"/>
  <c r="W4" i="11"/>
  <c r="Z4" i="11"/>
  <c r="AN4" i="19"/>
  <c r="AP4" i="19" s="1"/>
  <c r="AN5" i="19"/>
  <c r="AP5" i="19" s="1"/>
  <c r="AI7" i="10"/>
  <c r="AI6" i="10"/>
  <c r="AI5" i="10"/>
  <c r="AI4" i="10"/>
  <c r="AA9" i="15"/>
  <c r="AA8" i="15"/>
  <c r="X8" i="15"/>
  <c r="Y8" i="15"/>
  <c r="AN6" i="8"/>
  <c r="S6" i="8" s="1"/>
  <c r="A6" i="8" s="1"/>
  <c r="AL6" i="17"/>
  <c r="AN6" i="17" s="1"/>
  <c r="AA5" i="13"/>
  <c r="X5" i="13"/>
  <c r="Y5" i="13"/>
  <c r="Y9" i="13"/>
  <c r="AA9" i="13"/>
  <c r="AO7" i="12"/>
  <c r="T7" i="12" s="1"/>
  <c r="A7" i="12" s="1"/>
  <c r="AA11" i="20"/>
  <c r="AC10" i="20"/>
  <c r="AA9" i="20"/>
  <c r="AC8" i="20"/>
  <c r="AA7" i="20"/>
  <c r="AA12" i="20"/>
  <c r="Z11" i="20"/>
  <c r="Z9" i="20"/>
  <c r="Z7" i="20"/>
  <c r="Z12" i="20"/>
  <c r="AC11" i="20"/>
  <c r="AA10" i="20"/>
  <c r="AC9" i="20"/>
  <c r="AA8" i="20"/>
  <c r="AC7" i="20"/>
  <c r="AA6" i="20"/>
  <c r="Z10" i="20"/>
  <c r="Z8" i="20"/>
  <c r="Z6" i="20"/>
  <c r="AC5" i="20"/>
  <c r="AA4" i="20"/>
  <c r="Z4" i="20"/>
  <c r="AA5" i="20"/>
  <c r="AC4" i="20"/>
  <c r="AC6" i="20"/>
  <c r="Z5" i="20"/>
  <c r="AB4" i="20"/>
  <c r="AO5" i="12"/>
  <c r="T5" i="12" s="1"/>
  <c r="A5" i="12" s="1"/>
  <c r="AQ11" i="18"/>
  <c r="T11" i="18" s="1"/>
  <c r="A11" i="18" s="1"/>
  <c r="AN6" i="19"/>
  <c r="AP6" i="19" s="1"/>
  <c r="AN7" i="19"/>
  <c r="AP7" i="19" s="1"/>
  <c r="AA5" i="15"/>
  <c r="AL4" i="17"/>
  <c r="AN4" i="17" s="1"/>
  <c r="AL5" i="17"/>
  <c r="AN5" i="17" s="1"/>
  <c r="X6" i="13"/>
  <c r="Y6" i="13"/>
  <c r="Y7" i="13"/>
  <c r="X10" i="13"/>
  <c r="AO6" i="12"/>
  <c r="T6" i="12" s="1"/>
  <c r="A6" i="12" s="1"/>
  <c r="AQ7" i="19" l="1"/>
  <c r="T7" i="19" s="1"/>
  <c r="A7" i="19" s="1"/>
  <c r="AO5" i="17"/>
  <c r="T5" i="17" s="1"/>
  <c r="A5" i="17" s="1"/>
  <c r="AO6" i="14"/>
  <c r="T6" i="14" s="1"/>
  <c r="A6" i="14" s="1"/>
  <c r="AO9" i="14"/>
  <c r="T9" i="14" s="1"/>
  <c r="A9" i="14" s="1"/>
  <c r="AO8" i="14"/>
  <c r="T8" i="14" s="1"/>
  <c r="A8" i="14" s="1"/>
  <c r="AO7" i="14"/>
  <c r="T7" i="14" s="1"/>
  <c r="A7" i="14" s="1"/>
  <c r="AO4" i="14"/>
  <c r="T4" i="14" s="1"/>
  <c r="A4" i="14" s="1"/>
  <c r="Y7" i="14" s="1"/>
  <c r="AO5" i="14"/>
  <c r="T5" i="14" s="1"/>
  <c r="A5" i="14" s="1"/>
  <c r="AK7" i="10"/>
  <c r="AM7" i="10" s="1"/>
  <c r="AK4" i="10"/>
  <c r="AM4" i="10" s="1"/>
  <c r="AN4" i="8"/>
  <c r="S4" i="8" s="1"/>
  <c r="A4" i="8" s="1"/>
  <c r="AN7" i="8"/>
  <c r="S7" i="8" s="1"/>
  <c r="A7" i="8" s="1"/>
  <c r="W7" i="8"/>
  <c r="Z7" i="8"/>
  <c r="X7" i="8"/>
  <c r="Y6" i="8"/>
  <c r="X4" i="8"/>
  <c r="Z4" i="8"/>
  <c r="Y7" i="8"/>
  <c r="AA12" i="18"/>
  <c r="AA11" i="18"/>
  <c r="AC10" i="18"/>
  <c r="AA9" i="18"/>
  <c r="AC8" i="18"/>
  <c r="AA7" i="18"/>
  <c r="AC6" i="18"/>
  <c r="AA5" i="18"/>
  <c r="Z12" i="18"/>
  <c r="Z11" i="18"/>
  <c r="Z9" i="18"/>
  <c r="Z7" i="18"/>
  <c r="Z5" i="18"/>
  <c r="AB4" i="18"/>
  <c r="AC11" i="18"/>
  <c r="AA10" i="18"/>
  <c r="AC9" i="18"/>
  <c r="AA8" i="18"/>
  <c r="AC7" i="18"/>
  <c r="AA6" i="18"/>
  <c r="AC5" i="18"/>
  <c r="AA4" i="18"/>
  <c r="Z10" i="18"/>
  <c r="Z8" i="18"/>
  <c r="Z6" i="18"/>
  <c r="Z4" i="18"/>
  <c r="AC4" i="18"/>
  <c r="AO8" i="17"/>
  <c r="T8" i="17" s="1"/>
  <c r="A8" i="17" s="1"/>
  <c r="AQ8" i="19"/>
  <c r="T8" i="19" s="1"/>
  <c r="A8" i="19" s="1"/>
  <c r="AQ5" i="19"/>
  <c r="T5" i="19" s="1"/>
  <c r="A5" i="19" s="1"/>
  <c r="AO4" i="17"/>
  <c r="T4" i="17" s="1"/>
  <c r="A4" i="17" s="1"/>
  <c r="AQ6" i="19"/>
  <c r="T6" i="19" s="1"/>
  <c r="A6" i="19" s="1"/>
  <c r="W5" i="8"/>
  <c r="X5" i="8"/>
  <c r="Y5" i="8"/>
  <c r="Z5" i="8"/>
  <c r="AK5" i="10"/>
  <c r="AM5" i="10" s="1"/>
  <c r="AQ12" i="19"/>
  <c r="T12" i="19" s="1"/>
  <c r="A12" i="19" s="1"/>
  <c r="AQ4" i="19"/>
  <c r="T4" i="19" s="1"/>
  <c r="A4" i="19" s="1"/>
  <c r="AQ11" i="19"/>
  <c r="T11" i="19" s="1"/>
  <c r="A11" i="19" s="1"/>
  <c r="AA9" i="12"/>
  <c r="Y7" i="12"/>
  <c r="X6" i="12"/>
  <c r="AA5" i="12"/>
  <c r="Y8" i="12"/>
  <c r="X7" i="12"/>
  <c r="AA6" i="12"/>
  <c r="Y4" i="12"/>
  <c r="X10" i="12"/>
  <c r="Y9" i="12"/>
  <c r="X8" i="12"/>
  <c r="AA7" i="12"/>
  <c r="Y5" i="12"/>
  <c r="X4" i="12"/>
  <c r="X9" i="12"/>
  <c r="AA8" i="12"/>
  <c r="Y6" i="12"/>
  <c r="X5" i="12"/>
  <c r="AA4" i="12"/>
  <c r="AA9" i="14"/>
  <c r="Z6" i="8"/>
  <c r="W6" i="8"/>
  <c r="X6" i="8"/>
  <c r="AO6" i="17"/>
  <c r="T6" i="17" s="1"/>
  <c r="A6" i="17" s="1"/>
  <c r="AK6" i="10"/>
  <c r="AM6" i="10" s="1"/>
  <c r="AO7" i="17"/>
  <c r="T7" i="17" s="1"/>
  <c r="A7" i="17" s="1"/>
  <c r="AQ10" i="19"/>
  <c r="T10" i="19" s="1"/>
  <c r="A10" i="19" s="1"/>
  <c r="AO9" i="17"/>
  <c r="T9" i="17" s="1"/>
  <c r="A9" i="17" s="1"/>
  <c r="AQ9" i="19"/>
  <c r="T9" i="19" s="1"/>
  <c r="A9" i="19" s="1"/>
  <c r="X9" i="14" l="1"/>
  <c r="AA4" i="14"/>
  <c r="X10" i="14"/>
  <c r="Y5" i="14"/>
  <c r="Y6" i="14"/>
  <c r="Y8" i="14"/>
  <c r="AA8" i="14"/>
  <c r="AA7" i="14"/>
  <c r="Y4" i="14"/>
  <c r="AA5" i="14"/>
  <c r="AA6" i="14"/>
  <c r="X6" i="14"/>
  <c r="X8" i="14"/>
  <c r="X5" i="14"/>
  <c r="X4" i="14"/>
  <c r="Y9" i="14"/>
  <c r="X7" i="14"/>
  <c r="AN6" i="10"/>
  <c r="S6" i="10" s="1"/>
  <c r="A6" i="10" s="1"/>
  <c r="W4" i="8"/>
  <c r="Y4" i="8"/>
  <c r="AN5" i="10"/>
  <c r="S5" i="10" s="1"/>
  <c r="A5" i="10" s="1"/>
  <c r="AN4" i="10"/>
  <c r="S4" i="10" s="1"/>
  <c r="A4" i="10" s="1"/>
  <c r="Z12" i="19"/>
  <c r="AC11" i="19"/>
  <c r="AA10" i="19"/>
  <c r="AC9" i="19"/>
  <c r="Z10" i="19"/>
  <c r="AA11" i="19"/>
  <c r="Z11" i="19"/>
  <c r="Z7" i="19"/>
  <c r="Z5" i="19"/>
  <c r="AB4" i="19"/>
  <c r="AA8" i="19"/>
  <c r="AC7" i="19"/>
  <c r="AA6" i="19"/>
  <c r="AC5" i="19"/>
  <c r="AA4" i="19"/>
  <c r="AA12" i="19"/>
  <c r="AA9" i="19"/>
  <c r="Z8" i="19"/>
  <c r="Z6" i="19"/>
  <c r="Z4" i="19"/>
  <c r="AC10" i="19"/>
  <c r="Z9" i="19"/>
  <c r="AC8" i="19"/>
  <c r="AA7" i="19"/>
  <c r="AC6" i="19"/>
  <c r="AA5" i="19"/>
  <c r="AC4" i="19"/>
  <c r="X10" i="17"/>
  <c r="AA9" i="17"/>
  <c r="Y7" i="17"/>
  <c r="X6" i="17"/>
  <c r="AA5" i="17"/>
  <c r="Y8" i="17"/>
  <c r="X7" i="17"/>
  <c r="AA6" i="17"/>
  <c r="Y4" i="17"/>
  <c r="Y9" i="17"/>
  <c r="X8" i="17"/>
  <c r="AA7" i="17"/>
  <c r="Y5" i="17"/>
  <c r="X4" i="17"/>
  <c r="X9" i="17"/>
  <c r="AA8" i="17"/>
  <c r="Y6" i="17"/>
  <c r="X5" i="17"/>
  <c r="AA4" i="17"/>
  <c r="AN7" i="10"/>
  <c r="S7" i="10" s="1"/>
  <c r="A7" i="10" s="1"/>
  <c r="Y7" i="10" l="1"/>
  <c r="X7" i="10"/>
  <c r="W6" i="10"/>
  <c r="X5" i="10"/>
  <c r="Y4" i="10"/>
  <c r="Z7" i="10"/>
  <c r="Z6" i="10"/>
  <c r="W5" i="10"/>
  <c r="X4" i="10"/>
  <c r="W7" i="10"/>
  <c r="Y6" i="10"/>
  <c r="Z5" i="10"/>
  <c r="W4" i="10"/>
  <c r="X6" i="10"/>
  <c r="Y5" i="10"/>
  <c r="Z4" i="10"/>
</calcChain>
</file>

<file path=xl/sharedStrings.xml><?xml version="1.0" encoding="utf-8"?>
<sst xmlns="http://schemas.openxmlformats.org/spreadsheetml/2006/main" count="1402" uniqueCount="152">
  <si>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</si>
  <si>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</si>
  <si>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</si>
  <si>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</si>
  <si>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</si>
  <si>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</si>
  <si>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</si>
  <si>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</si>
  <si>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</si>
  <si>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</si>
  <si>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</si>
  <si>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</si>
  <si>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</si>
  <si>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</si>
  <si>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</si>
  <si>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</si>
  <si>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</si>
  <si>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</si>
  <si>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</si>
  <si>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</si>
  <si>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</si>
  <si>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</si>
  <si>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</si>
  <si>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</si>
  <si>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</si>
  <si>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</si>
  <si>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</si>
  <si>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</si>
  <si>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</si>
  <si>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</si>
  <si>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pos</t>
  </si>
  <si>
    <t>Prog</t>
  </si>
  <si>
    <t>Rat</t>
  </si>
  <si>
    <t>ID</t>
  </si>
  <si>
    <t>w/z</t>
  </si>
  <si>
    <t>z/w</t>
  </si>
  <si>
    <t>ronde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</si>
  <si>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</si>
  <si>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</si>
  <si>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</si>
  <si>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</si>
  <si>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</si>
  <si>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</si>
  <si>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</si>
  <si>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</si>
  <si>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</si>
  <si>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</si>
  <si>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</si>
  <si>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</si>
  <si>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</si>
  <si>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</si>
  <si>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</si>
  <si>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</si>
  <si>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</si>
  <si>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</si>
  <si>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</si>
  <si>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</si>
  <si>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</si>
  <si>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</si>
  <si>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</si>
  <si>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</si>
  <si>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</si>
  <si>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groep</t>
  </si>
  <si>
    <t>Groep A</t>
  </si>
  <si>
    <t>Thomas Beerdsen</t>
  </si>
  <si>
    <t>Max Warmerdam</t>
  </si>
  <si>
    <t>Anna Martinez *</t>
  </si>
  <si>
    <t>William Shakhverdian</t>
  </si>
  <si>
    <t>Groep B</t>
  </si>
  <si>
    <t>Tobias de Vries</t>
  </si>
  <si>
    <t>Willeke Knottnerus *</t>
  </si>
  <si>
    <t>Imre Woest *</t>
  </si>
  <si>
    <t>Saa Albers</t>
  </si>
  <si>
    <t>Groep C</t>
  </si>
  <si>
    <t>Ruben de Vries</t>
  </si>
  <si>
    <t>Lennart Molanus</t>
  </si>
  <si>
    <t>Jeffrey van Eek</t>
  </si>
  <si>
    <t>Jim Pronk</t>
  </si>
  <si>
    <t>Groep D</t>
  </si>
  <si>
    <t>Floris van Capelleveen</t>
  </si>
  <si>
    <t>Tim Evendijk</t>
  </si>
  <si>
    <t>Lars Boere</t>
  </si>
  <si>
    <t>Marnix van Tol</t>
  </si>
  <si>
    <t>Groep E</t>
  </si>
  <si>
    <t>Joab Weseman</t>
  </si>
  <si>
    <t>Florian Molanus</t>
  </si>
  <si>
    <t>Julian van Meegen</t>
  </si>
  <si>
    <t>Marjon Landsbergen *</t>
  </si>
  <si>
    <t>Hilbert Buijs</t>
  </si>
  <si>
    <t>Wouter Wieggers</t>
  </si>
  <si>
    <t>Groep F</t>
  </si>
  <si>
    <t>Jian van de Pol</t>
  </si>
  <si>
    <t>Ivan Engelen</t>
  </si>
  <si>
    <t>Bart van Enckevort</t>
  </si>
  <si>
    <t>Aristides Buntara</t>
  </si>
  <si>
    <t>Fadi el Kasah</t>
  </si>
  <si>
    <t>Bye</t>
  </si>
  <si>
    <t>Groep G</t>
  </si>
  <si>
    <t>Rutger van den Berg</t>
  </si>
  <si>
    <t>Vigo Stam</t>
  </si>
  <si>
    <t>Maikel Simon</t>
  </si>
  <si>
    <t>Reijn Aarts</t>
  </si>
  <si>
    <t>Noraly Luitjes *</t>
  </si>
  <si>
    <t>Mees van Essen</t>
  </si>
  <si>
    <t>Groep H</t>
  </si>
  <si>
    <t>Erik Smouter</t>
  </si>
  <si>
    <t>Aaron Lamers</t>
  </si>
  <si>
    <t>Fidel Issa</t>
  </si>
  <si>
    <t>Chao Daniels</t>
  </si>
  <si>
    <t>Boaz Wierper</t>
  </si>
  <si>
    <t>Floris Ros</t>
  </si>
  <si>
    <t>Groep I</t>
  </si>
  <si>
    <t>Yasin Gokoglan</t>
  </si>
  <si>
    <t>Chris Kamperman</t>
  </si>
  <si>
    <t>Niels van Wolfswinkel</t>
  </si>
  <si>
    <t>�mit �zyilmaz</t>
  </si>
  <si>
    <t>Ilias Drysdale</t>
  </si>
  <si>
    <t>H�seyin Ersoy</t>
  </si>
  <si>
    <t>Groep J</t>
  </si>
  <si>
    <t>Danh Nguyen</t>
  </si>
  <si>
    <t>Morris Doorn</t>
  </si>
  <si>
    <t>Kamil Reinds</t>
  </si>
  <si>
    <t>David Veenstra</t>
  </si>
  <si>
    <t>Blanca Ordelmans *</t>
  </si>
  <si>
    <t>Martin Smouter</t>
  </si>
  <si>
    <t>Groep K</t>
  </si>
  <si>
    <t>Florens Boelen</t>
  </si>
  <si>
    <t>Roj van de Ruitenbeek</t>
  </si>
  <si>
    <t>Mathijs de Wolff</t>
  </si>
  <si>
    <t>Teun Klein Gunnewiek</t>
  </si>
  <si>
    <t>Aron de Blois</t>
  </si>
  <si>
    <t>Quinten Kauw a Tjoe</t>
  </si>
  <si>
    <t>Elias Axelsson</t>
  </si>
  <si>
    <t>Eric Rikken</t>
  </si>
  <si>
    <t>Groep L</t>
  </si>
  <si>
    <t>Ryan Bartelds</t>
  </si>
  <si>
    <t>Vera Maters *</t>
  </si>
  <si>
    <t>Willem Veldhuizen</t>
  </si>
  <si>
    <t>Jochem Kuijvenhoven</t>
  </si>
  <si>
    <t>Ahmed Sahin</t>
  </si>
  <si>
    <t>Koen Stadegaard</t>
  </si>
  <si>
    <t>Philip Faour</t>
  </si>
  <si>
    <t>Matthijs Brons</t>
  </si>
  <si>
    <t>Groep M</t>
  </si>
  <si>
    <t>Luka Da costa Fernandes</t>
  </si>
  <si>
    <t>Joris Diepenbroek</t>
  </si>
  <si>
    <t>Tim Schopman</t>
  </si>
  <si>
    <t>Tim Biljardt</t>
  </si>
  <si>
    <t>Seger Endendijk</t>
  </si>
  <si>
    <t>Wesley de Grijs</t>
  </si>
  <si>
    <t>Tristan van Kappen</t>
  </si>
  <si>
    <t>Kevin Beute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</si>
</sst>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4B4B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77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0" fillId="6" borderId="0" xfId="0" applyFill="1"/>
    <xf numFmtId="0" fontId="5" fillId="0" borderId="0" xfId="0" applyFont="1" applyAlignment="1">
      <alignment horizontal="center"/>
    </xf>
    <xf numFmtId="0" fontId="0" fillId="0" borderId="0" xfId="0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4" borderId="1" xfId="0" applyFill="1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</cellXfs>
  <cellStyles count="2">
    <cellStyle name="Standaard" xfId="0" builtinId="0"/>
    <cellStyle name="Standaard_Kopie van Uitslagen" xfId="1"/>
  </cellStyles>
  <dxfs count="52"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65" t="s">
        <v>38</v>
      </c>
      <c r="B1" s="65"/>
      <c r="C1" s="65"/>
      <c r="D1" s="65"/>
      <c r="E1" s="65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 t="s">
        <v>63</v>
      </c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64" t="s">
        <v>4</v>
      </c>
      <c r="B4" s="64" t="s">
        <v>6</v>
      </c>
      <c r="C4" s="64" t="s">
        <v>7</v>
      </c>
      <c r="D4" s="64" t="s">
        <v>8</v>
      </c>
      <c r="E4" s="3"/>
      <c r="F4" s="1"/>
      <c r="G4" s="1"/>
      <c r="H4" s="1"/>
      <c r="I4" s="1"/>
      <c r="J4" s="1"/>
      <c r="K4" s="1"/>
    </row>
    <row r="5" spans="1:11" x14ac:dyDescent="0.25">
      <c r="A5" s="1">
        <v>1</v>
      </c>
      <c r="B5" s="1" t="str">
        <f>'Groep A'!C4</f>
        <v>Thomas Beerdsen</v>
      </c>
      <c r="C5" s="1">
        <f>'Groep A'!D4</f>
        <v>8274266</v>
      </c>
      <c r="D5" s="1">
        <f>'Groep A'!F4</f>
        <v>2445</v>
      </c>
      <c r="E5" s="1"/>
      <c r="F5" s="1"/>
      <c r="G5" s="1"/>
      <c r="H5" s="1"/>
      <c r="I5" s="1"/>
      <c r="J5" s="1"/>
      <c r="K5" s="1"/>
    </row>
    <row r="6" spans="1:11" x14ac:dyDescent="0.25">
      <c r="A6" s="1">
        <v>2</v>
      </c>
      <c r="B6" s="1" t="str">
        <f>'Groep A'!C5</f>
        <v>Max Warmerdam</v>
      </c>
      <c r="C6" s="1">
        <f>'Groep A'!D5</f>
        <v>8413383</v>
      </c>
      <c r="D6" s="1">
        <f>'Groep A'!F5</f>
        <v>2399</v>
      </c>
      <c r="E6" s="1"/>
      <c r="F6" s="1"/>
      <c r="G6" s="1"/>
      <c r="H6" s="1"/>
      <c r="I6" s="1"/>
      <c r="J6" s="1"/>
      <c r="K6" s="1"/>
    </row>
    <row r="7" spans="1:11" x14ac:dyDescent="0.25">
      <c r="A7" s="1">
        <v>3</v>
      </c>
      <c r="B7" s="1" t="str">
        <f>'Groep A'!C6</f>
        <v>Anna Martinez *</v>
      </c>
      <c r="C7" s="1">
        <f>'Groep A'!D6</f>
        <v>8511250</v>
      </c>
      <c r="D7" s="1">
        <f>'Groep A'!F6</f>
        <v>1836</v>
      </c>
      <c r="E7" s="1"/>
      <c r="F7" s="1"/>
      <c r="G7" s="1"/>
      <c r="H7" s="1"/>
      <c r="I7" s="1"/>
      <c r="J7" s="1"/>
      <c r="K7" s="1"/>
    </row>
    <row r="8" spans="1:11" x14ac:dyDescent="0.25">
      <c r="A8" s="1">
        <v>4</v>
      </c>
      <c r="B8" s="1" t="str">
        <f>'Groep A'!C7</f>
        <v>William Shakhverdian</v>
      </c>
      <c r="C8" s="1">
        <f>'Groep A'!D7</f>
        <v>8560255</v>
      </c>
      <c r="D8" s="1">
        <f>'Groep A'!F7</f>
        <v>1827</v>
      </c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 t="s">
        <v>68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64" t="s">
        <v>4</v>
      </c>
      <c r="B11" s="64" t="s">
        <v>6</v>
      </c>
      <c r="C11" s="64" t="s">
        <v>7</v>
      </c>
      <c r="D11" s="64" t="s">
        <v>8</v>
      </c>
      <c r="E11" s="1"/>
      <c r="F11" s="1"/>
      <c r="G11" s="1"/>
      <c r="H11" s="1"/>
      <c r="I11" s="1"/>
      <c r="J11" s="1"/>
      <c r="K11" s="1"/>
    </row>
    <row r="12" spans="1:11" x14ac:dyDescent="0.25">
      <c r="A12" s="1">
        <v>1</v>
      </c>
      <c r="B12" s="1" t="str">
        <f>'Groep B'!C4</f>
        <v>Tobias de Vries</v>
      </c>
      <c r="C12" s="1">
        <f>'Groep B'!D4</f>
        <v>8524736</v>
      </c>
      <c r="D12" s="1">
        <f>'Groep B'!F4</f>
        <v>1793</v>
      </c>
      <c r="E12" s="1"/>
      <c r="F12" s="1"/>
      <c r="G12" s="1"/>
      <c r="H12" s="1"/>
      <c r="I12" s="1"/>
      <c r="J12" s="1"/>
      <c r="K12" s="1"/>
    </row>
    <row r="13" spans="1:11" x14ac:dyDescent="0.25">
      <c r="A13" s="1">
        <v>2</v>
      </c>
      <c r="B13" s="1" t="str">
        <f>'Groep B'!C5</f>
        <v>Willeke Knottnerus *</v>
      </c>
      <c r="C13" s="1">
        <f>'Groep B'!D5</f>
        <v>8295309</v>
      </c>
      <c r="D13" s="1">
        <f>'Groep B'!F5</f>
        <v>1650</v>
      </c>
      <c r="E13" s="1"/>
      <c r="F13" s="1"/>
      <c r="G13" s="1"/>
      <c r="H13" s="1"/>
      <c r="I13" s="1"/>
      <c r="J13" s="1"/>
      <c r="K13" s="1"/>
    </row>
    <row r="14" spans="1:11" x14ac:dyDescent="0.25">
      <c r="A14" s="1">
        <v>3</v>
      </c>
      <c r="B14" s="1" t="str">
        <f>'Groep B'!C6</f>
        <v>Imre Woest *</v>
      </c>
      <c r="C14" s="1">
        <f>'Groep B'!D6</f>
        <v>8560915</v>
      </c>
      <c r="D14" s="1">
        <f>'Groep B'!F6</f>
        <v>1385</v>
      </c>
      <c r="E14" s="1"/>
      <c r="F14" s="1"/>
      <c r="G14" s="1"/>
      <c r="H14" s="1"/>
      <c r="I14" s="1"/>
      <c r="J14" s="1"/>
      <c r="K14" s="1"/>
    </row>
    <row r="15" spans="1:11" x14ac:dyDescent="0.25">
      <c r="A15" s="1">
        <v>4</v>
      </c>
      <c r="B15" s="1" t="str">
        <f>'Groep B'!C7</f>
        <v>Saa Albers</v>
      </c>
      <c r="C15" s="1">
        <f>'Groep B'!D7</f>
        <v>8649487</v>
      </c>
      <c r="D15" s="1">
        <f>'Groep B'!F7</f>
        <v>1360</v>
      </c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 t="s">
        <v>73</v>
      </c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64" t="s">
        <v>4</v>
      </c>
      <c r="B18" s="64" t="s">
        <v>6</v>
      </c>
      <c r="C18" s="64" t="s">
        <v>7</v>
      </c>
      <c r="D18" s="64" t="s">
        <v>8</v>
      </c>
      <c r="E18" s="1"/>
      <c r="F18" s="1"/>
      <c r="G18" s="1"/>
      <c r="H18" s="1"/>
      <c r="I18" s="1"/>
      <c r="J18" s="1"/>
      <c r="K18" s="1"/>
    </row>
    <row r="19" spans="1:11" x14ac:dyDescent="0.25">
      <c r="A19" s="1">
        <v>1</v>
      </c>
      <c r="B19" s="1" t="str">
        <f>'Groep C'!C4</f>
        <v>Ruben de Vries</v>
      </c>
      <c r="C19" s="1">
        <f>'Groep C'!D4</f>
        <v>8360121</v>
      </c>
      <c r="D19" s="1">
        <f>'Groep C'!F4</f>
        <v>1290</v>
      </c>
      <c r="E19" s="1"/>
      <c r="F19" s="1"/>
      <c r="G19" s="1"/>
      <c r="H19" s="1"/>
      <c r="I19" s="1"/>
      <c r="J19" s="1"/>
      <c r="K19" s="1"/>
    </row>
    <row r="20" spans="1:11" x14ac:dyDescent="0.25">
      <c r="A20" s="1">
        <v>2</v>
      </c>
      <c r="B20" s="1" t="str">
        <f>'Groep C'!C5</f>
        <v>Lennart Molanus</v>
      </c>
      <c r="C20" s="1">
        <f>'Groep C'!D5</f>
        <v>8572927</v>
      </c>
      <c r="D20" s="1">
        <f>'Groep C'!F5</f>
        <v>1290</v>
      </c>
      <c r="E20" s="1"/>
      <c r="F20" s="1"/>
      <c r="G20" s="1"/>
      <c r="H20" s="1"/>
      <c r="I20" s="1"/>
      <c r="J20" s="1"/>
      <c r="K20" s="1"/>
    </row>
    <row r="21" spans="1:11" x14ac:dyDescent="0.25">
      <c r="A21" s="1">
        <v>3</v>
      </c>
      <c r="B21" s="1" t="str">
        <f>'Groep C'!C6</f>
        <v>Jeffrey van Eek</v>
      </c>
      <c r="C21" s="1">
        <f>'Groep C'!D6</f>
        <v>8419587</v>
      </c>
      <c r="D21" s="1">
        <f>'Groep C'!F6</f>
        <v>1197</v>
      </c>
      <c r="E21" s="1"/>
      <c r="F21" s="1"/>
      <c r="G21" s="1"/>
      <c r="H21" s="1"/>
      <c r="I21" s="1"/>
      <c r="J21" s="1"/>
      <c r="K21" s="1"/>
    </row>
    <row r="22" spans="1:11" x14ac:dyDescent="0.25">
      <c r="A22" s="1">
        <v>4</v>
      </c>
      <c r="B22" s="1" t="str">
        <f>'Groep C'!C7</f>
        <v>Jim Pronk</v>
      </c>
      <c r="C22" s="1">
        <f>'Groep C'!D7</f>
        <v>8320444</v>
      </c>
      <c r="D22" s="1">
        <f>'Groep C'!F7</f>
        <v>1153</v>
      </c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 t="s">
        <v>78</v>
      </c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64" t="s">
        <v>4</v>
      </c>
      <c r="B25" s="64" t="s">
        <v>6</v>
      </c>
      <c r="C25" s="64" t="s">
        <v>7</v>
      </c>
      <c r="D25" s="64" t="s">
        <v>8</v>
      </c>
      <c r="E25" s="1"/>
      <c r="F25" s="1"/>
      <c r="G25" s="1"/>
      <c r="H25" s="1"/>
      <c r="I25" s="1"/>
      <c r="J25" s="1"/>
      <c r="K25" s="1"/>
    </row>
    <row r="26" spans="1:11" x14ac:dyDescent="0.25">
      <c r="A26" s="1">
        <v>1</v>
      </c>
      <c r="B26" s="1" t="str">
        <f>'Groep D'!C4</f>
        <v>Floris van Capelleveen</v>
      </c>
      <c r="C26" s="1">
        <f>'Groep D'!D4</f>
        <v>8426165</v>
      </c>
      <c r="D26" s="1">
        <f>'Groep D'!F4</f>
        <v>1120</v>
      </c>
      <c r="E26" s="1"/>
      <c r="F26" s="1"/>
      <c r="G26" s="1"/>
      <c r="H26" s="1"/>
      <c r="I26" s="1"/>
      <c r="J26" s="1"/>
      <c r="K26" s="1"/>
    </row>
    <row r="27" spans="1:11" x14ac:dyDescent="0.25">
      <c r="A27" s="1">
        <v>2</v>
      </c>
      <c r="B27" s="1" t="str">
        <f>'Groep D'!C5</f>
        <v>Tim Evendijk</v>
      </c>
      <c r="C27" s="1">
        <f>'Groep D'!D5</f>
        <v>8320279</v>
      </c>
      <c r="D27" s="1">
        <f>'Groep D'!F5</f>
        <v>1113</v>
      </c>
      <c r="E27" s="1"/>
      <c r="F27" s="1"/>
      <c r="G27" s="1"/>
      <c r="H27" s="1"/>
      <c r="I27" s="1"/>
      <c r="J27" s="1"/>
      <c r="K27" s="1"/>
    </row>
    <row r="28" spans="1:11" x14ac:dyDescent="0.25">
      <c r="A28" s="1">
        <v>3</v>
      </c>
      <c r="B28" s="1" t="str">
        <f>'Groep D'!C6</f>
        <v>Lars Boere</v>
      </c>
      <c r="C28" s="1">
        <f>'Groep D'!D6</f>
        <v>8557714</v>
      </c>
      <c r="D28" s="1">
        <f>'Groep D'!F6</f>
        <v>1079</v>
      </c>
      <c r="E28" s="1"/>
      <c r="F28" s="1"/>
      <c r="G28" s="1"/>
      <c r="H28" s="1"/>
      <c r="I28" s="1"/>
      <c r="J28" s="1"/>
      <c r="K28" s="1"/>
    </row>
    <row r="29" spans="1:11" x14ac:dyDescent="0.25">
      <c r="A29" s="1">
        <v>4</v>
      </c>
      <c r="B29" s="1" t="str">
        <f>'Groep D'!C7</f>
        <v>Marnix van Tol</v>
      </c>
      <c r="C29" s="1">
        <f>'Groep D'!D7</f>
        <v>8496565</v>
      </c>
      <c r="D29" s="1">
        <f>'Groep D'!F7</f>
        <v>1039</v>
      </c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 t="s">
        <v>83</v>
      </c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64" t="s">
        <v>4</v>
      </c>
      <c r="B32" s="64" t="s">
        <v>6</v>
      </c>
      <c r="C32" s="64" t="s">
        <v>7</v>
      </c>
      <c r="D32" s="64" t="s">
        <v>8</v>
      </c>
      <c r="E32" s="1"/>
      <c r="F32" s="1"/>
      <c r="G32" s="1"/>
      <c r="H32" s="1"/>
      <c r="I32" s="1"/>
      <c r="J32" s="1"/>
      <c r="K32" s="1"/>
    </row>
    <row r="33" spans="1:11" x14ac:dyDescent="0.25">
      <c r="A33" s="1">
        <v>1</v>
      </c>
      <c r="B33" s="1" t="str">
        <f>'Groep E'!C4</f>
        <v>Joab Weseman</v>
      </c>
      <c r="C33" s="1">
        <f>'Groep E'!D4</f>
        <v>8461915</v>
      </c>
      <c r="D33" s="1">
        <f>'Groep E'!F4</f>
        <v>1032</v>
      </c>
      <c r="E33" s="1"/>
      <c r="F33" s="1"/>
      <c r="G33" s="1"/>
      <c r="H33" s="1"/>
      <c r="I33" s="1"/>
      <c r="J33" s="1"/>
      <c r="K33" s="1"/>
    </row>
    <row r="34" spans="1:11" x14ac:dyDescent="0.25">
      <c r="A34" s="1">
        <v>2</v>
      </c>
      <c r="B34" s="1" t="str">
        <f>'Groep E'!C5</f>
        <v>Florian Molanus</v>
      </c>
      <c r="C34" s="1">
        <f>'Groep E'!D5</f>
        <v>8553358</v>
      </c>
      <c r="D34" s="1">
        <f>'Groep E'!F5</f>
        <v>1019</v>
      </c>
      <c r="E34" s="1"/>
      <c r="F34" s="1"/>
      <c r="G34" s="1"/>
      <c r="H34" s="1"/>
      <c r="I34" s="1"/>
      <c r="J34" s="1"/>
      <c r="K34" s="1"/>
    </row>
    <row r="35" spans="1:11" x14ac:dyDescent="0.25">
      <c r="A35" s="1">
        <v>3</v>
      </c>
      <c r="B35" s="1" t="str">
        <f>'Groep E'!C6</f>
        <v>Julian van Meegen</v>
      </c>
      <c r="C35" s="1">
        <f>'Groep E'!D6</f>
        <v>8593552</v>
      </c>
      <c r="D35" s="1">
        <f>'Groep E'!F6</f>
        <v>972</v>
      </c>
      <c r="E35" s="1"/>
      <c r="F35" s="1"/>
      <c r="G35" s="1"/>
      <c r="H35" s="1"/>
      <c r="I35" s="1"/>
      <c r="J35" s="1"/>
      <c r="K35" s="1"/>
    </row>
    <row r="36" spans="1:11" x14ac:dyDescent="0.25">
      <c r="A36" s="1">
        <v>4</v>
      </c>
      <c r="B36" s="1" t="str">
        <f>'Groep E'!C7</f>
        <v>Marjon Landsbergen *</v>
      </c>
      <c r="C36" s="1">
        <f>'Groep E'!D7</f>
        <v>8418256</v>
      </c>
      <c r="D36" s="1">
        <f>'Groep E'!F7</f>
        <v>871</v>
      </c>
      <c r="E36" s="1"/>
      <c r="F36" s="1"/>
      <c r="G36" s="1"/>
      <c r="H36" s="1"/>
      <c r="I36" s="1"/>
      <c r="J36" s="1"/>
      <c r="K36" s="1"/>
    </row>
    <row r="37" spans="1:11" x14ac:dyDescent="0.25">
      <c r="A37" s="1">
        <v>5</v>
      </c>
      <c r="B37" s="1" t="str">
        <f>'Groep E'!C8</f>
        <v>Hilbert Buijs</v>
      </c>
      <c r="C37" s="1">
        <f>'Groep E'!D8</f>
        <v>8605718</v>
      </c>
      <c r="D37" s="1">
        <f>'Groep E'!F8</f>
        <v>860</v>
      </c>
      <c r="E37" s="1"/>
      <c r="F37" s="1"/>
      <c r="G37" s="1"/>
      <c r="H37" s="1"/>
      <c r="I37" s="1"/>
      <c r="J37" s="1"/>
      <c r="K37" s="1"/>
    </row>
    <row r="38" spans="1:11" x14ac:dyDescent="0.25">
      <c r="A38" s="1">
        <v>6</v>
      </c>
      <c r="B38" s="1" t="str">
        <f>'Groep E'!C9</f>
        <v>Wouter Wieggers</v>
      </c>
      <c r="C38" s="1">
        <f>'Groep E'!D9</f>
        <v>8621800</v>
      </c>
      <c r="D38" s="1">
        <f>'Groep E'!F9</f>
        <v>846</v>
      </c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 t="s">
        <v>90</v>
      </c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64" t="s">
        <v>4</v>
      </c>
      <c r="B41" s="64" t="s">
        <v>6</v>
      </c>
      <c r="C41" s="64" t="s">
        <v>7</v>
      </c>
      <c r="D41" s="64" t="s">
        <v>8</v>
      </c>
      <c r="E41" s="1"/>
      <c r="F41" s="1"/>
      <c r="G41" s="1"/>
      <c r="H41" s="1"/>
      <c r="I41" s="1"/>
      <c r="J41" s="1"/>
      <c r="K41" s="1"/>
    </row>
    <row r="42" spans="1:11" x14ac:dyDescent="0.25">
      <c r="A42" s="1">
        <v>1</v>
      </c>
      <c r="B42" s="1" t="str">
        <f>'Groep F'!C4</f>
        <v>Jian van de Pol</v>
      </c>
      <c r="C42" s="1">
        <f>'Groep F'!D4</f>
        <v>8559870</v>
      </c>
      <c r="D42" s="1">
        <f>'Groep F'!F4</f>
        <v>767</v>
      </c>
      <c r="E42" s="1"/>
      <c r="F42" s="1"/>
      <c r="G42" s="1"/>
      <c r="H42" s="1"/>
      <c r="I42" s="1"/>
      <c r="J42" s="1"/>
      <c r="K42" s="1"/>
    </row>
    <row r="43" spans="1:11" x14ac:dyDescent="0.25">
      <c r="A43" s="1">
        <v>2</v>
      </c>
      <c r="B43" s="1" t="str">
        <f>'Groep F'!C5</f>
        <v>Ivan Engelen</v>
      </c>
      <c r="C43" s="1">
        <f>'Groep F'!D5</f>
        <v>8522019</v>
      </c>
      <c r="D43" s="1">
        <f>'Groep F'!F5</f>
        <v>702</v>
      </c>
      <c r="E43" s="1"/>
      <c r="F43" s="1"/>
      <c r="G43" s="1"/>
      <c r="H43" s="1"/>
      <c r="I43" s="1"/>
      <c r="J43" s="1"/>
      <c r="K43" s="1"/>
    </row>
    <row r="44" spans="1:11" x14ac:dyDescent="0.25">
      <c r="A44" s="1">
        <v>3</v>
      </c>
      <c r="B44" s="1" t="str">
        <f>'Groep F'!C6</f>
        <v>Bart van Enckevort</v>
      </c>
      <c r="C44" s="1">
        <f>'Groep F'!D6</f>
        <v>8605938</v>
      </c>
      <c r="D44" s="1">
        <f>'Groep F'!F6</f>
        <v>680</v>
      </c>
      <c r="E44" s="1"/>
      <c r="F44" s="1"/>
      <c r="G44" s="1"/>
      <c r="H44" s="1"/>
      <c r="I44" s="1"/>
      <c r="J44" s="1"/>
      <c r="K44" s="1"/>
    </row>
    <row r="45" spans="1:11" x14ac:dyDescent="0.25">
      <c r="A45" s="1">
        <v>4</v>
      </c>
      <c r="B45" s="1" t="str">
        <f>'Groep F'!C7</f>
        <v>Aristides Buntara</v>
      </c>
      <c r="C45" s="1">
        <f>'Groep F'!D7</f>
        <v>8705785</v>
      </c>
      <c r="D45" s="1">
        <f>'Groep F'!F7</f>
        <v>668</v>
      </c>
      <c r="E45" s="1"/>
      <c r="F45" s="1"/>
      <c r="G45" s="1"/>
      <c r="H45" s="1"/>
      <c r="I45" s="1"/>
      <c r="J45" s="1"/>
      <c r="K45" s="1"/>
    </row>
    <row r="46" spans="1:11" x14ac:dyDescent="0.25">
      <c r="A46" s="1">
        <v>5</v>
      </c>
      <c r="B46" s="1" t="str">
        <f>'Groep F'!C8</f>
        <v>Fadi el Kasah</v>
      </c>
      <c r="C46" s="1">
        <f>'Groep F'!D8</f>
        <v>8574324</v>
      </c>
      <c r="D46" s="1">
        <f>'Groep F'!F8</f>
        <v>657</v>
      </c>
      <c r="E46" s="1"/>
      <c r="F46" s="1"/>
      <c r="G46" s="1"/>
      <c r="H46" s="1"/>
      <c r="I46" s="1"/>
      <c r="J46" s="1"/>
      <c r="K46" s="1"/>
    </row>
    <row r="47" spans="1:11" x14ac:dyDescent="0.25">
      <c r="A47" s="1">
        <v>6</v>
      </c>
      <c r="B47" s="1" t="str">
        <f>'Groep F'!C9</f>
        <v>Bye</v>
      </c>
      <c r="C47" s="1">
        <f>'Groep F'!D9</f>
        <v>0</v>
      </c>
      <c r="D47" s="1">
        <f>'Groep F'!F9</f>
        <v>-1</v>
      </c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 t="s">
        <v>97</v>
      </c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64" t="s">
        <v>4</v>
      </c>
      <c r="B50" s="64" t="s">
        <v>6</v>
      </c>
      <c r="C50" s="64" t="s">
        <v>7</v>
      </c>
      <c r="D50" s="64" t="s">
        <v>8</v>
      </c>
      <c r="E50" s="1"/>
      <c r="F50" s="1"/>
      <c r="G50" s="1"/>
      <c r="H50" s="1"/>
      <c r="I50" s="1"/>
      <c r="J50" s="1"/>
      <c r="K50" s="1"/>
    </row>
    <row r="51" spans="1:11" x14ac:dyDescent="0.25">
      <c r="A51" s="1">
        <v>1</v>
      </c>
      <c r="B51" s="1" t="str">
        <f>'Groep G'!C4</f>
        <v>Rutger van den Berg</v>
      </c>
      <c r="C51" s="1">
        <f>'Groep G'!D4</f>
        <v>8526507</v>
      </c>
      <c r="D51" s="1">
        <f>'Groep G'!F4</f>
        <v>622</v>
      </c>
      <c r="E51" s="1"/>
      <c r="F51" s="1"/>
      <c r="G51" s="1"/>
      <c r="H51" s="1"/>
      <c r="I51" s="1"/>
      <c r="J51" s="1"/>
      <c r="K51" s="1"/>
    </row>
    <row r="52" spans="1:11" x14ac:dyDescent="0.25">
      <c r="A52" s="1">
        <v>2</v>
      </c>
      <c r="B52" s="1" t="str">
        <f>'Groep G'!C5</f>
        <v>Vigo Stam</v>
      </c>
      <c r="C52" s="1">
        <f>'Groep G'!D5</f>
        <v>8670772</v>
      </c>
      <c r="D52" s="1">
        <f>'Groep G'!F5</f>
        <v>600</v>
      </c>
      <c r="E52" s="1"/>
      <c r="F52" s="1"/>
      <c r="G52" s="1"/>
      <c r="H52" s="1"/>
      <c r="I52" s="1"/>
      <c r="J52" s="1"/>
      <c r="K52" s="1"/>
    </row>
    <row r="53" spans="1:11" x14ac:dyDescent="0.25">
      <c r="A53" s="1">
        <v>3</v>
      </c>
      <c r="B53" s="1" t="str">
        <f>'Groep G'!C6</f>
        <v>Maikel Simon</v>
      </c>
      <c r="C53" s="1">
        <f>'Groep G'!D6</f>
        <v>8524087</v>
      </c>
      <c r="D53" s="1">
        <f>'Groep G'!F6</f>
        <v>577</v>
      </c>
      <c r="E53" s="1"/>
      <c r="F53" s="1"/>
      <c r="G53" s="1"/>
      <c r="H53" s="1"/>
      <c r="I53" s="1"/>
      <c r="J53" s="1"/>
      <c r="K53" s="1"/>
    </row>
    <row r="54" spans="1:11" x14ac:dyDescent="0.25">
      <c r="A54" s="1">
        <v>4</v>
      </c>
      <c r="B54" s="1" t="str">
        <f>'Groep G'!C7</f>
        <v>Reijn Aarts</v>
      </c>
      <c r="C54" s="1">
        <f>'Groep G'!D7</f>
        <v>8669551</v>
      </c>
      <c r="D54" s="1">
        <f>'Groep G'!F7</f>
        <v>533</v>
      </c>
      <c r="E54" s="1"/>
      <c r="F54" s="1"/>
      <c r="G54" s="1"/>
      <c r="H54" s="1"/>
      <c r="I54" s="1"/>
      <c r="J54" s="1"/>
      <c r="K54" s="1"/>
    </row>
    <row r="55" spans="1:11" x14ac:dyDescent="0.25">
      <c r="A55" s="1">
        <v>5</v>
      </c>
      <c r="B55" s="1" t="str">
        <f>'Groep G'!C8</f>
        <v>Noraly Luitjes *</v>
      </c>
      <c r="C55" s="1">
        <f>'Groep G'!D8</f>
        <v>8486654</v>
      </c>
      <c r="D55" s="1">
        <f>'Groep G'!F8</f>
        <v>531</v>
      </c>
      <c r="E55" s="1"/>
      <c r="F55" s="1"/>
      <c r="G55" s="1"/>
      <c r="H55" s="1"/>
      <c r="I55" s="1"/>
      <c r="J55" s="1"/>
      <c r="K55" s="1"/>
    </row>
    <row r="56" spans="1:11" x14ac:dyDescent="0.25">
      <c r="A56" s="1">
        <v>6</v>
      </c>
      <c r="B56" s="1" t="str">
        <f>'Groep G'!C9</f>
        <v>Mees van Essen</v>
      </c>
      <c r="C56" s="1">
        <f>'Groep G'!D9</f>
        <v>8672312</v>
      </c>
      <c r="D56" s="1">
        <f>'Groep G'!F9</f>
        <v>480</v>
      </c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 t="s">
        <v>104</v>
      </c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64" t="s">
        <v>4</v>
      </c>
      <c r="B59" s="64" t="s">
        <v>6</v>
      </c>
      <c r="C59" s="64" t="s">
        <v>7</v>
      </c>
      <c r="D59" s="64" t="s">
        <v>8</v>
      </c>
      <c r="E59" s="1"/>
      <c r="F59" s="1"/>
      <c r="G59" s="1"/>
      <c r="H59" s="1"/>
      <c r="I59" s="1"/>
      <c r="J59" s="1"/>
      <c r="K59" s="1"/>
    </row>
    <row r="60" spans="1:11" x14ac:dyDescent="0.25">
      <c r="A60" s="1">
        <v>1</v>
      </c>
      <c r="B60" s="1" t="str">
        <f>'Groep H'!C4</f>
        <v>Erik Smouter</v>
      </c>
      <c r="C60" s="1">
        <f>'Groep H'!D4</f>
        <v>8663182</v>
      </c>
      <c r="D60" s="1">
        <f>'Groep H'!F4</f>
        <v>470</v>
      </c>
      <c r="E60" s="1"/>
      <c r="F60" s="1"/>
      <c r="G60" s="1"/>
      <c r="H60" s="1"/>
      <c r="I60" s="1"/>
      <c r="J60" s="1"/>
      <c r="K60" s="1"/>
    </row>
    <row r="61" spans="1:11" x14ac:dyDescent="0.25">
      <c r="A61" s="1">
        <v>2</v>
      </c>
      <c r="B61" s="1" t="str">
        <f>'Groep H'!C5</f>
        <v>Aaron Lamers</v>
      </c>
      <c r="C61" s="1">
        <f>'Groep H'!D5</f>
        <v>8657242</v>
      </c>
      <c r="D61" s="1">
        <f>'Groep H'!F5</f>
        <v>456</v>
      </c>
      <c r="E61" s="1"/>
      <c r="F61" s="1"/>
      <c r="G61" s="1"/>
      <c r="H61" s="1"/>
      <c r="I61" s="1"/>
      <c r="J61" s="1"/>
      <c r="K61" s="1"/>
    </row>
    <row r="62" spans="1:11" x14ac:dyDescent="0.25">
      <c r="A62" s="1">
        <v>3</v>
      </c>
      <c r="B62" s="1" t="str">
        <f>'Groep H'!C6</f>
        <v>Fidel Issa</v>
      </c>
      <c r="C62" s="1">
        <f>'Groep H'!D6</f>
        <v>8615860</v>
      </c>
      <c r="D62" s="1">
        <f>'Groep H'!F6</f>
        <v>447</v>
      </c>
      <c r="E62" s="1"/>
      <c r="F62" s="1"/>
      <c r="G62" s="1"/>
      <c r="H62" s="1"/>
      <c r="I62" s="1"/>
      <c r="J62" s="1"/>
      <c r="K62" s="1"/>
    </row>
    <row r="63" spans="1:11" x14ac:dyDescent="0.25">
      <c r="A63" s="1">
        <v>4</v>
      </c>
      <c r="B63" s="1" t="str">
        <f>'Groep H'!C7</f>
        <v>Chao Daniels</v>
      </c>
      <c r="C63" s="1">
        <f>'Groep H'!D7</f>
        <v>8531149</v>
      </c>
      <c r="D63" s="1">
        <f>'Groep H'!F7</f>
        <v>444</v>
      </c>
      <c r="E63" s="1"/>
      <c r="F63" s="1"/>
      <c r="G63" s="1"/>
      <c r="H63" s="1"/>
      <c r="I63" s="1"/>
      <c r="J63" s="1"/>
      <c r="K63" s="1"/>
    </row>
    <row r="64" spans="1:11" x14ac:dyDescent="0.25">
      <c r="A64" s="1">
        <v>5</v>
      </c>
      <c r="B64" s="1" t="str">
        <f>'Groep H'!C8</f>
        <v>Boaz Wierper</v>
      </c>
      <c r="C64" s="1">
        <f>'Groep H'!D8</f>
        <v>8664777</v>
      </c>
      <c r="D64" s="1">
        <f>'Groep H'!F8</f>
        <v>420</v>
      </c>
      <c r="E64" s="1"/>
      <c r="F64" s="1"/>
      <c r="G64" s="1"/>
      <c r="H64" s="1"/>
      <c r="I64" s="1"/>
      <c r="J64" s="1"/>
      <c r="K64" s="1"/>
    </row>
    <row r="65" spans="1:11" x14ac:dyDescent="0.25">
      <c r="A65" s="1">
        <v>6</v>
      </c>
      <c r="B65" s="1" t="str">
        <f>'Groep H'!C9</f>
        <v>Floris Ros</v>
      </c>
      <c r="C65" s="1">
        <f>'Groep H'!D9</f>
        <v>8492803</v>
      </c>
      <c r="D65" s="1">
        <f>'Groep H'!F9</f>
        <v>369</v>
      </c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 t="s">
        <v>111</v>
      </c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64" t="s">
        <v>4</v>
      </c>
      <c r="B68" s="64" t="s">
        <v>6</v>
      </c>
      <c r="C68" s="64" t="s">
        <v>7</v>
      </c>
      <c r="D68" s="64" t="s">
        <v>8</v>
      </c>
      <c r="E68" s="1"/>
      <c r="F68" s="1"/>
      <c r="G68" s="1"/>
      <c r="H68" s="1"/>
      <c r="I68" s="1"/>
      <c r="J68" s="1"/>
      <c r="K68" s="1"/>
    </row>
    <row r="69" spans="1:11" x14ac:dyDescent="0.25">
      <c r="A69" s="1">
        <v>1</v>
      </c>
      <c r="B69" s="1" t="str">
        <f>'Groep I'!C4</f>
        <v>Yasin Gokoglan</v>
      </c>
      <c r="C69" s="1">
        <f>'Groep I'!D4</f>
        <v>8535329</v>
      </c>
      <c r="D69" s="1">
        <f>'Groep I'!F4</f>
        <v>367</v>
      </c>
      <c r="E69" s="1"/>
      <c r="F69" s="1"/>
      <c r="G69" s="1"/>
      <c r="H69" s="1"/>
      <c r="I69" s="1"/>
      <c r="J69" s="1"/>
      <c r="K69" s="1"/>
    </row>
    <row r="70" spans="1:11" x14ac:dyDescent="0.25">
      <c r="A70" s="1">
        <v>2</v>
      </c>
      <c r="B70" s="1" t="str">
        <f>'Groep I'!C5</f>
        <v>Chris Kamperman</v>
      </c>
      <c r="C70" s="1">
        <f>'Groep I'!D5</f>
        <v>8589823</v>
      </c>
      <c r="D70" s="1">
        <f>'Groep I'!F5</f>
        <v>365</v>
      </c>
      <c r="E70" s="1"/>
      <c r="F70" s="1"/>
      <c r="G70" s="1"/>
      <c r="H70" s="1"/>
      <c r="I70" s="1"/>
      <c r="J70" s="1"/>
      <c r="K70" s="1"/>
    </row>
    <row r="71" spans="1:11" x14ac:dyDescent="0.25">
      <c r="A71" s="1">
        <v>3</v>
      </c>
      <c r="B71" s="1" t="str">
        <f>'Groep I'!C6</f>
        <v>Niels van Wolfswinkel</v>
      </c>
      <c r="C71" s="1">
        <f>'Groep I'!D6</f>
        <v>8659178</v>
      </c>
      <c r="D71" s="1">
        <f>'Groep I'!F6</f>
        <v>356</v>
      </c>
      <c r="E71" s="1"/>
      <c r="F71" s="1"/>
      <c r="G71" s="1"/>
      <c r="H71" s="1"/>
      <c r="I71" s="1"/>
      <c r="J71" s="1"/>
      <c r="K71" s="1"/>
    </row>
    <row r="72" spans="1:11" x14ac:dyDescent="0.25">
      <c r="A72" s="1">
        <v>4</v>
      </c>
      <c r="B72" s="1" t="str">
        <f>'Groep I'!C7</f>
        <v>�mit �zyilmaz</v>
      </c>
      <c r="C72" s="1">
        <f>'Groep I'!D7</f>
        <v>8647463</v>
      </c>
      <c r="D72" s="1">
        <f>'Groep I'!F7</f>
        <v>346</v>
      </c>
      <c r="E72" s="1"/>
      <c r="F72" s="1"/>
      <c r="G72" s="1"/>
      <c r="H72" s="1"/>
      <c r="I72" s="1"/>
      <c r="J72" s="1"/>
      <c r="K72" s="1"/>
    </row>
    <row r="73" spans="1:11" x14ac:dyDescent="0.25">
      <c r="A73" s="1">
        <v>5</v>
      </c>
      <c r="B73" s="1" t="str">
        <f>'Groep I'!C8</f>
        <v>Ilias Drysdale</v>
      </c>
      <c r="C73" s="1">
        <f>'Groep I'!D8</f>
        <v>8515881</v>
      </c>
      <c r="D73" s="1">
        <f>'Groep I'!F8</f>
        <v>343</v>
      </c>
      <c r="E73" s="1"/>
      <c r="F73" s="1"/>
      <c r="G73" s="1"/>
      <c r="H73" s="1"/>
      <c r="I73" s="1"/>
      <c r="J73" s="1"/>
      <c r="K73" s="1"/>
    </row>
    <row r="74" spans="1:11" x14ac:dyDescent="0.25">
      <c r="A74" s="1">
        <v>6</v>
      </c>
      <c r="B74" s="1" t="str">
        <f>'Groep I'!C9</f>
        <v>H�seyin Ersoy</v>
      </c>
      <c r="C74" s="1">
        <f>'Groep I'!D9</f>
        <v>8624880</v>
      </c>
      <c r="D74" s="1">
        <f>'Groep I'!F9</f>
        <v>334</v>
      </c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 t="s">
        <v>118</v>
      </c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64" t="s">
        <v>4</v>
      </c>
      <c r="B77" s="64" t="s">
        <v>6</v>
      </c>
      <c r="C77" s="64" t="s">
        <v>7</v>
      </c>
      <c r="D77" s="64" t="s">
        <v>8</v>
      </c>
      <c r="E77" s="1"/>
      <c r="F77" s="1"/>
      <c r="G77" s="1"/>
      <c r="H77" s="1"/>
      <c r="I77" s="1"/>
      <c r="J77" s="1"/>
      <c r="K77" s="1"/>
    </row>
    <row r="78" spans="1:11" x14ac:dyDescent="0.25">
      <c r="A78" s="1">
        <v>1</v>
      </c>
      <c r="B78" s="1" t="str">
        <f>'Groep J'!C4</f>
        <v>Danh Nguyen</v>
      </c>
      <c r="C78" s="1">
        <f>'Groep J'!D4</f>
        <v>8631898</v>
      </c>
      <c r="D78" s="1">
        <f>'Groep J'!F4</f>
        <v>312</v>
      </c>
      <c r="E78" s="1"/>
      <c r="F78" s="1"/>
      <c r="G78" s="1"/>
      <c r="H78" s="1"/>
      <c r="I78" s="1"/>
      <c r="J78" s="1"/>
      <c r="K78" s="1"/>
    </row>
    <row r="79" spans="1:11" x14ac:dyDescent="0.25">
      <c r="A79" s="1">
        <v>2</v>
      </c>
      <c r="B79" s="1" t="str">
        <f>'Groep J'!C5</f>
        <v>Morris Doorn</v>
      </c>
      <c r="C79" s="1">
        <f>'Groep J'!D5</f>
        <v>8579021</v>
      </c>
      <c r="D79" s="1">
        <f>'Groep J'!F5</f>
        <v>301</v>
      </c>
      <c r="E79" s="1"/>
      <c r="F79" s="1"/>
      <c r="G79" s="1"/>
      <c r="H79" s="1"/>
      <c r="I79" s="1"/>
      <c r="J79" s="1"/>
      <c r="K79" s="1"/>
    </row>
    <row r="80" spans="1:11" x14ac:dyDescent="0.25">
      <c r="A80" s="1">
        <v>3</v>
      </c>
      <c r="B80" s="1" t="str">
        <f>'Groep J'!C6</f>
        <v>Kamil Reinds</v>
      </c>
      <c r="C80" s="1">
        <f>'Groep J'!D6</f>
        <v>8690781</v>
      </c>
      <c r="D80" s="1">
        <f>'Groep J'!F6</f>
        <v>299</v>
      </c>
      <c r="E80" s="1"/>
      <c r="F80" s="1"/>
      <c r="G80" s="1"/>
      <c r="H80" s="1"/>
      <c r="I80" s="1"/>
      <c r="J80" s="1"/>
      <c r="K80" s="1"/>
    </row>
    <row r="81" spans="1:11" x14ac:dyDescent="0.25">
      <c r="A81" s="1">
        <v>4</v>
      </c>
      <c r="B81" s="1" t="str">
        <f>'Groep J'!C7</f>
        <v>David Veenstra</v>
      </c>
      <c r="C81" s="1">
        <f>'Groep J'!D7</f>
        <v>8674798</v>
      </c>
      <c r="D81" s="1">
        <f>'Groep J'!F7</f>
        <v>295</v>
      </c>
      <c r="E81" s="1"/>
      <c r="F81" s="1"/>
      <c r="G81" s="1"/>
      <c r="H81" s="1"/>
      <c r="I81" s="1"/>
      <c r="J81" s="1"/>
      <c r="K81" s="1"/>
    </row>
    <row r="82" spans="1:11" x14ac:dyDescent="0.25">
      <c r="A82" s="1">
        <v>5</v>
      </c>
      <c r="B82" s="1" t="str">
        <f>'Groep J'!C8</f>
        <v>Blanca Ordelmans *</v>
      </c>
      <c r="C82" s="1">
        <f>'Groep J'!D8</f>
        <v>8577712</v>
      </c>
      <c r="D82" s="1">
        <f>'Groep J'!F8</f>
        <v>285</v>
      </c>
      <c r="E82" s="1"/>
      <c r="F82" s="1"/>
      <c r="G82" s="1"/>
      <c r="H82" s="1"/>
      <c r="I82" s="1"/>
      <c r="J82" s="1"/>
      <c r="K82" s="1"/>
    </row>
    <row r="83" spans="1:11" x14ac:dyDescent="0.25">
      <c r="A83" s="1">
        <v>6</v>
      </c>
      <c r="B83" s="1" t="str">
        <f>'Groep J'!C9</f>
        <v>Martin Smouter</v>
      </c>
      <c r="C83" s="1">
        <f>'Groep J'!D9</f>
        <v>8560299</v>
      </c>
      <c r="D83" s="1">
        <f>'Groep J'!F9</f>
        <v>277</v>
      </c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 t="s">
        <v>125</v>
      </c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64" t="s">
        <v>4</v>
      </c>
      <c r="B86" s="64" t="s">
        <v>6</v>
      </c>
      <c r="C86" s="64" t="s">
        <v>7</v>
      </c>
      <c r="D86" s="64" t="s">
        <v>8</v>
      </c>
      <c r="E86" s="1"/>
      <c r="F86" s="1"/>
      <c r="G86" s="1"/>
      <c r="H86" s="1"/>
      <c r="I86" s="1"/>
      <c r="J86" s="1"/>
      <c r="K86" s="1"/>
    </row>
    <row r="87" spans="1:11" x14ac:dyDescent="0.25">
      <c r="A87" s="1">
        <v>1</v>
      </c>
      <c r="B87" s="1" t="str">
        <f>'Groep K'!C4</f>
        <v>Florens Boelen</v>
      </c>
      <c r="C87" s="1">
        <f>'Groep K'!D4</f>
        <v>8578999</v>
      </c>
      <c r="D87" s="1">
        <f>'Groep K'!F4</f>
        <v>277</v>
      </c>
      <c r="E87" s="1"/>
      <c r="F87" s="1"/>
      <c r="G87" s="1"/>
      <c r="H87" s="1"/>
      <c r="I87" s="1"/>
      <c r="J87" s="1"/>
      <c r="K87" s="1"/>
    </row>
    <row r="88" spans="1:11" x14ac:dyDescent="0.25">
      <c r="A88" s="1">
        <v>2</v>
      </c>
      <c r="B88" s="1" t="str">
        <f>'Groep K'!C5</f>
        <v>Roj van de Ruitenbeek</v>
      </c>
      <c r="C88" s="1">
        <f>'Groep K'!D5</f>
        <v>8550234</v>
      </c>
      <c r="D88" s="1">
        <f>'Groep K'!F5</f>
        <v>276</v>
      </c>
      <c r="E88" s="1"/>
      <c r="F88" s="1"/>
      <c r="G88" s="1"/>
      <c r="H88" s="1"/>
      <c r="I88" s="1"/>
      <c r="J88" s="1"/>
      <c r="K88" s="1"/>
    </row>
    <row r="89" spans="1:11" x14ac:dyDescent="0.25">
      <c r="A89" s="1">
        <v>3</v>
      </c>
      <c r="B89" s="1" t="str">
        <f>'Groep K'!C6</f>
        <v>Mathijs de Wolff</v>
      </c>
      <c r="C89" s="1">
        <f>'Groep K'!D6</f>
        <v>8637574</v>
      </c>
      <c r="D89" s="1">
        <f>'Groep K'!F6</f>
        <v>275</v>
      </c>
      <c r="E89" s="1"/>
      <c r="F89" s="1"/>
      <c r="G89" s="1"/>
      <c r="H89" s="1"/>
      <c r="I89" s="1"/>
      <c r="J89" s="1"/>
      <c r="K89" s="1"/>
    </row>
    <row r="90" spans="1:11" x14ac:dyDescent="0.25">
      <c r="A90" s="1">
        <v>4</v>
      </c>
      <c r="B90" s="1" t="str">
        <f>'Groep K'!C7</f>
        <v>Teun Klein Gunnewiek</v>
      </c>
      <c r="C90" s="1">
        <f>'Groep K'!D7</f>
        <v>8626860</v>
      </c>
      <c r="D90" s="1">
        <f>'Groep K'!F7</f>
        <v>274</v>
      </c>
      <c r="E90" s="1"/>
      <c r="F90" s="1"/>
      <c r="G90" s="1"/>
      <c r="H90" s="1"/>
      <c r="I90" s="1"/>
      <c r="J90" s="1"/>
      <c r="K90" s="1"/>
    </row>
    <row r="91" spans="1:11" x14ac:dyDescent="0.25">
      <c r="A91" s="1">
        <v>5</v>
      </c>
      <c r="B91" s="1" t="str">
        <f>'Groep K'!C8</f>
        <v>Aron de Blois</v>
      </c>
      <c r="C91" s="1">
        <f>'Groep K'!D8</f>
        <v>8601560</v>
      </c>
      <c r="D91" s="1">
        <f>'Groep K'!F8</f>
        <v>268</v>
      </c>
      <c r="E91" s="1"/>
      <c r="F91" s="1"/>
      <c r="G91" s="1"/>
      <c r="H91" s="1"/>
      <c r="I91" s="1"/>
      <c r="J91" s="1"/>
      <c r="K91" s="1"/>
    </row>
    <row r="92" spans="1:11" x14ac:dyDescent="0.25">
      <c r="A92" s="1">
        <v>6</v>
      </c>
      <c r="B92" s="1" t="str">
        <f>'Groep K'!C9</f>
        <v>Quinten Kauw a Tjoe</v>
      </c>
      <c r="C92" s="1">
        <f>'Groep K'!D9</f>
        <v>8690616</v>
      </c>
      <c r="D92" s="1">
        <f>'Groep K'!F9</f>
        <v>257</v>
      </c>
      <c r="E92" s="1"/>
      <c r="F92" s="1"/>
      <c r="G92" s="1"/>
      <c r="H92" s="1"/>
      <c r="I92" s="1"/>
      <c r="J92" s="1"/>
      <c r="K92" s="1"/>
    </row>
    <row r="93" spans="1:11" x14ac:dyDescent="0.25">
      <c r="A93" s="1">
        <v>7</v>
      </c>
      <c r="B93" s="1" t="str">
        <f>'Groep K'!C10</f>
        <v>Elias Axelsson</v>
      </c>
      <c r="C93" s="1">
        <f>'Groep K'!D10</f>
        <v>8711945</v>
      </c>
      <c r="D93" s="1">
        <f>'Groep K'!F10</f>
        <v>254</v>
      </c>
      <c r="E93" s="1"/>
      <c r="F93" s="1"/>
      <c r="G93" s="1"/>
      <c r="H93" s="1"/>
      <c r="I93" s="1"/>
      <c r="J93" s="1"/>
      <c r="K93" s="1"/>
    </row>
    <row r="94" spans="1:11" x14ac:dyDescent="0.25">
      <c r="A94" s="1">
        <v>8</v>
      </c>
      <c r="B94" s="1" t="str">
        <f>'Groep K'!C11</f>
        <v>Eric Rikken</v>
      </c>
      <c r="C94" s="1">
        <f>'Groep K'!D11</f>
        <v>8659266</v>
      </c>
      <c r="D94" s="1">
        <f>'Groep K'!F11</f>
        <v>252</v>
      </c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 t="s">
        <v>134</v>
      </c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64" t="s">
        <v>4</v>
      </c>
      <c r="B97" s="64" t="s">
        <v>6</v>
      </c>
      <c r="C97" s="64" t="s">
        <v>7</v>
      </c>
      <c r="D97" s="64" t="s">
        <v>8</v>
      </c>
      <c r="E97" s="1"/>
      <c r="F97" s="1"/>
      <c r="G97" s="1"/>
      <c r="H97" s="1"/>
      <c r="I97" s="1"/>
      <c r="J97" s="1"/>
      <c r="K97" s="1"/>
    </row>
    <row r="98" spans="1:11" x14ac:dyDescent="0.25">
      <c r="A98" s="1">
        <v>1</v>
      </c>
      <c r="B98" s="1" t="str">
        <f>'Groep L'!C4</f>
        <v>Ryan Bartelds</v>
      </c>
      <c r="C98" s="1">
        <f>'Groep L'!D4</f>
        <v>8615167</v>
      </c>
      <c r="D98" s="1">
        <f>'Groep L'!F4</f>
        <v>252</v>
      </c>
      <c r="E98" s="1"/>
      <c r="F98" s="1"/>
      <c r="G98" s="1"/>
      <c r="H98" s="1"/>
      <c r="I98" s="1"/>
      <c r="J98" s="1"/>
      <c r="K98" s="1"/>
    </row>
    <row r="99" spans="1:11" x14ac:dyDescent="0.25">
      <c r="A99" s="1">
        <v>2</v>
      </c>
      <c r="B99" s="1" t="str">
        <f>'Groep L'!C5</f>
        <v>Vera Maters *</v>
      </c>
      <c r="C99" s="1">
        <f>'Groep L'!D5</f>
        <v>8589900</v>
      </c>
      <c r="D99" s="1">
        <f>'Groep L'!F5</f>
        <v>246</v>
      </c>
      <c r="E99" s="1"/>
      <c r="F99" s="1"/>
      <c r="G99" s="1"/>
      <c r="H99" s="1"/>
      <c r="I99" s="1"/>
      <c r="J99" s="1"/>
      <c r="K99" s="1"/>
    </row>
    <row r="100" spans="1:11" x14ac:dyDescent="0.25">
      <c r="A100" s="1">
        <v>3</v>
      </c>
      <c r="B100" s="1" t="str">
        <f>'Groep L'!C6</f>
        <v>Willem Veldhuizen</v>
      </c>
      <c r="C100" s="1">
        <f>'Groep L'!D6</f>
        <v>638091</v>
      </c>
      <c r="D100" s="1">
        <f>'Groep L'!F6</f>
        <v>245</v>
      </c>
      <c r="E100" s="1"/>
      <c r="F100" s="1"/>
      <c r="G100" s="1"/>
      <c r="H100" s="1"/>
      <c r="I100" s="1"/>
      <c r="J100" s="1"/>
      <c r="K100" s="1"/>
    </row>
    <row r="101" spans="1:11" x14ac:dyDescent="0.25">
      <c r="A101" s="1">
        <v>4</v>
      </c>
      <c r="B101" s="1" t="str">
        <f>'Groep L'!C7</f>
        <v>Jochem Kuijvenhoven</v>
      </c>
      <c r="C101" s="1">
        <f>'Groep L'!D7</f>
        <v>8552192</v>
      </c>
      <c r="D101" s="1">
        <f>'Groep L'!F7</f>
        <v>236</v>
      </c>
      <c r="E101" s="1"/>
      <c r="F101" s="1"/>
      <c r="G101" s="1"/>
      <c r="H101" s="1"/>
      <c r="I101" s="1"/>
      <c r="J101" s="1"/>
      <c r="K101" s="1"/>
    </row>
    <row r="102" spans="1:11" x14ac:dyDescent="0.25">
      <c r="A102" s="1">
        <v>5</v>
      </c>
      <c r="B102" s="1" t="str">
        <f>'Groep L'!C8</f>
        <v>Ahmed Sahin</v>
      </c>
      <c r="C102" s="1">
        <f>'Groep L'!D8</f>
        <v>8690627</v>
      </c>
      <c r="D102" s="1">
        <f>'Groep L'!F8</f>
        <v>234</v>
      </c>
      <c r="E102" s="1"/>
      <c r="F102" s="1"/>
      <c r="G102" s="1"/>
      <c r="H102" s="1"/>
      <c r="I102" s="1"/>
      <c r="J102" s="1"/>
      <c r="K102" s="1"/>
    </row>
    <row r="103" spans="1:11" x14ac:dyDescent="0.25">
      <c r="A103" s="1">
        <v>6</v>
      </c>
      <c r="B103" s="1" t="str">
        <f>'Groep L'!C9</f>
        <v>Koen Stadegaard</v>
      </c>
      <c r="C103" s="1">
        <f>'Groep L'!D9</f>
        <v>8681266</v>
      </c>
      <c r="D103" s="1">
        <f>'Groep L'!F9</f>
        <v>231</v>
      </c>
      <c r="E103" s="1"/>
      <c r="F103" s="1"/>
      <c r="G103" s="1"/>
      <c r="H103" s="1"/>
      <c r="I103" s="1"/>
      <c r="J103" s="1"/>
      <c r="K103" s="1"/>
    </row>
    <row r="104" spans="1:11" x14ac:dyDescent="0.25">
      <c r="A104" s="1">
        <v>7</v>
      </c>
      <c r="B104" s="1" t="str">
        <f>'Groep L'!C10</f>
        <v>Philip Faour</v>
      </c>
      <c r="C104" s="1">
        <f>'Groep L'!D10</f>
        <v>8737300</v>
      </c>
      <c r="D104" s="1">
        <f>'Groep L'!F10</f>
        <v>216</v>
      </c>
      <c r="E104" s="1"/>
      <c r="F104" s="1"/>
      <c r="G104" s="1"/>
      <c r="H104" s="1"/>
      <c r="I104" s="1"/>
      <c r="J104" s="1"/>
      <c r="K104" s="1"/>
    </row>
    <row r="105" spans="1:11" x14ac:dyDescent="0.25">
      <c r="A105" s="1">
        <v>8</v>
      </c>
      <c r="B105" s="1" t="str">
        <f>'Groep L'!C11</f>
        <v>Matthijs Brons</v>
      </c>
      <c r="C105" s="1">
        <f>'Groep L'!D11</f>
        <v>8649498</v>
      </c>
      <c r="D105" s="1">
        <f>'Groep L'!F11</f>
        <v>210</v>
      </c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 t="s">
        <v>143</v>
      </c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64" t="s">
        <v>4</v>
      </c>
      <c r="B108" s="64" t="s">
        <v>6</v>
      </c>
      <c r="C108" s="64" t="s">
        <v>7</v>
      </c>
      <c r="D108" s="64" t="s">
        <v>8</v>
      </c>
      <c r="E108" s="1"/>
      <c r="F108" s="1"/>
      <c r="G108" s="1"/>
      <c r="H108" s="1"/>
      <c r="I108" s="1"/>
      <c r="J108" s="1"/>
      <c r="K108" s="1"/>
    </row>
    <row r="109" spans="1:11" x14ac:dyDescent="0.25">
      <c r="A109" s="1">
        <v>1</v>
      </c>
      <c r="B109" s="1" t="str">
        <f>'Groep M'!C4</f>
        <v>Luka Da costa Fernandes</v>
      </c>
      <c r="C109" s="1">
        <f>'Groep M'!D4</f>
        <v>8659288</v>
      </c>
      <c r="D109" s="1">
        <f>'Groep M'!F4</f>
        <v>207</v>
      </c>
      <c r="E109" s="1"/>
      <c r="F109" s="1"/>
      <c r="G109" s="1"/>
      <c r="H109" s="1"/>
      <c r="I109" s="1"/>
      <c r="J109" s="1"/>
      <c r="K109" s="1"/>
    </row>
    <row r="110" spans="1:11" x14ac:dyDescent="0.25">
      <c r="A110" s="1">
        <v>2</v>
      </c>
      <c r="B110" s="1" t="str">
        <f>'Groep M'!C5</f>
        <v>Joris Diepenbroek</v>
      </c>
      <c r="C110" s="1">
        <f>'Groep M'!D5</f>
        <v>8742371</v>
      </c>
      <c r="D110" s="1">
        <f>'Groep M'!F5</f>
        <v>195</v>
      </c>
      <c r="E110" s="1"/>
      <c r="F110" s="1"/>
      <c r="G110" s="1"/>
      <c r="H110" s="1"/>
      <c r="I110" s="1"/>
      <c r="J110" s="1"/>
      <c r="K110" s="1"/>
    </row>
    <row r="111" spans="1:11" x14ac:dyDescent="0.25">
      <c r="A111" s="1">
        <v>3</v>
      </c>
      <c r="B111" s="1" t="str">
        <f>'Groep M'!C6</f>
        <v>Tim Schopman</v>
      </c>
      <c r="C111" s="1">
        <f>'Groep M'!D6</f>
        <v>8698954</v>
      </c>
      <c r="D111" s="1">
        <f>'Groep M'!F6</f>
        <v>172</v>
      </c>
      <c r="E111" s="1"/>
      <c r="F111" s="1"/>
      <c r="G111" s="1"/>
      <c r="H111" s="1"/>
      <c r="I111" s="1"/>
      <c r="J111" s="1"/>
      <c r="K111" s="1"/>
    </row>
    <row r="112" spans="1:11" x14ac:dyDescent="0.25">
      <c r="A112" s="1">
        <v>4</v>
      </c>
      <c r="B112" s="1" t="str">
        <f>'Groep M'!C7</f>
        <v>Tim Biljardt</v>
      </c>
      <c r="C112" s="1">
        <f>'Groep M'!D7</f>
        <v>8628488</v>
      </c>
      <c r="D112" s="1">
        <f>'Groep M'!F7</f>
        <v>170</v>
      </c>
      <c r="E112" s="1"/>
      <c r="F112" s="1"/>
      <c r="G112" s="1"/>
      <c r="H112" s="1"/>
      <c r="I112" s="1"/>
      <c r="J112" s="1"/>
      <c r="K112" s="1"/>
    </row>
    <row r="113" spans="1:11" x14ac:dyDescent="0.25">
      <c r="A113" s="1">
        <v>5</v>
      </c>
      <c r="B113" s="1" t="str">
        <f>'Groep M'!C8</f>
        <v>Seger Endendijk</v>
      </c>
      <c r="C113" s="1">
        <f>'Groep M'!D8</f>
        <v>8636507</v>
      </c>
      <c r="D113" s="1">
        <f>'Groep M'!F8</f>
        <v>166</v>
      </c>
      <c r="E113" s="1"/>
      <c r="F113" s="1"/>
      <c r="G113" s="1"/>
      <c r="H113" s="1"/>
      <c r="I113" s="1"/>
      <c r="J113" s="1"/>
      <c r="K113" s="1"/>
    </row>
    <row r="114" spans="1:11" x14ac:dyDescent="0.25">
      <c r="A114" s="1">
        <v>6</v>
      </c>
      <c r="B114" s="1" t="str">
        <f>'Groep M'!C9</f>
        <v>Wesley de Grijs</v>
      </c>
      <c r="C114" s="1">
        <f>'Groep M'!D9</f>
        <v>8726619</v>
      </c>
      <c r="D114" s="1">
        <f>'Groep M'!F9</f>
        <v>166</v>
      </c>
      <c r="E114" s="1"/>
      <c r="F114" s="1"/>
      <c r="G114" s="1"/>
      <c r="H114" s="1"/>
      <c r="I114" s="1"/>
      <c r="J114" s="1"/>
      <c r="K114" s="1"/>
    </row>
    <row r="115" spans="1:11" x14ac:dyDescent="0.25">
      <c r="A115" s="1">
        <v>7</v>
      </c>
      <c r="B115" s="1" t="str">
        <f>'Groep M'!C10</f>
        <v>Tristan van Kappen</v>
      </c>
      <c r="C115" s="1">
        <f>'Groep M'!D10</f>
        <v>8633988</v>
      </c>
      <c r="D115" s="1">
        <f>'Groep M'!F10</f>
        <v>159</v>
      </c>
      <c r="E115" s="1"/>
      <c r="F115" s="1"/>
      <c r="G115" s="1"/>
      <c r="H115" s="1"/>
      <c r="I115" s="1"/>
      <c r="J115" s="1"/>
      <c r="K115" s="1"/>
    </row>
    <row r="116" spans="1:11" x14ac:dyDescent="0.25">
      <c r="A116" s="1">
        <v>8</v>
      </c>
      <c r="B116" s="1" t="str">
        <f>'Groep M'!C11</f>
        <v>Kevin Beute</v>
      </c>
      <c r="C116" s="1">
        <f>'Groep M'!D11</f>
        <v>8689637</v>
      </c>
      <c r="D116" s="1">
        <f>'Groep M'!F11</f>
        <v>119</v>
      </c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65" t="s">
        <v>37</v>
      </c>
      <c r="B1" s="65"/>
      <c r="C1" s="65"/>
      <c r="D1" s="65"/>
      <c r="E1" s="65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64" t="s">
        <v>6</v>
      </c>
      <c r="B3" s="64" t="s">
        <v>7</v>
      </c>
      <c r="C3" s="64" t="s">
        <v>8</v>
      </c>
      <c r="D3" s="64" t="s">
        <v>62</v>
      </c>
      <c r="E3" s="2"/>
      <c r="F3" s="1"/>
      <c r="G3" s="1"/>
      <c r="H3" s="1"/>
    </row>
    <row r="4" spans="1:8" x14ac:dyDescent="0.25">
      <c r="A4" s="3" t="str">
        <f>'Groep A'!C4</f>
        <v>Thomas Beerdsen</v>
      </c>
      <c r="B4" s="3">
        <f>'Groep A'!D4</f>
        <v>8274266</v>
      </c>
      <c r="C4" s="3">
        <f>'Groep A'!F4</f>
        <v>2445</v>
      </c>
      <c r="D4" s="3" t="s">
        <v>63</v>
      </c>
      <c r="E4" s="3"/>
      <c r="F4" s="1"/>
      <c r="G4" s="1"/>
      <c r="H4" s="1"/>
    </row>
    <row r="5" spans="1:8" x14ac:dyDescent="0.25">
      <c r="A5" s="1" t="str">
        <f>'Groep A'!C5</f>
        <v>Max Warmerdam</v>
      </c>
      <c r="B5" s="1">
        <f>'Groep A'!D5</f>
        <v>8413383</v>
      </c>
      <c r="C5" s="1">
        <f>'Groep A'!F5</f>
        <v>2399</v>
      </c>
      <c r="D5" s="1" t="s">
        <v>63</v>
      </c>
      <c r="E5" s="1"/>
      <c r="F5" s="1"/>
      <c r="G5" s="1"/>
      <c r="H5" s="1"/>
    </row>
    <row r="6" spans="1:8" x14ac:dyDescent="0.25">
      <c r="A6" s="1" t="str">
        <f>'Groep A'!C6</f>
        <v>Anna Martinez *</v>
      </c>
      <c r="B6" s="1">
        <f>'Groep A'!D6</f>
        <v>8511250</v>
      </c>
      <c r="C6" s="1">
        <f>'Groep A'!F6</f>
        <v>1836</v>
      </c>
      <c r="D6" s="1" t="s">
        <v>63</v>
      </c>
      <c r="E6" s="1"/>
      <c r="F6" s="1"/>
      <c r="G6" s="1"/>
      <c r="H6" s="1"/>
    </row>
    <row r="7" spans="1:8" x14ac:dyDescent="0.25">
      <c r="A7" s="1" t="str">
        <f>'Groep A'!C7</f>
        <v>William Shakhverdian</v>
      </c>
      <c r="B7" s="1">
        <f>'Groep A'!D7</f>
        <v>8560255</v>
      </c>
      <c r="C7" s="1">
        <f>'Groep A'!F7</f>
        <v>1827</v>
      </c>
      <c r="D7" s="1" t="s">
        <v>63</v>
      </c>
      <c r="E7" s="1"/>
      <c r="F7" s="1"/>
      <c r="G7" s="1"/>
      <c r="H7" s="1"/>
    </row>
    <row r="8" spans="1:8" x14ac:dyDescent="0.25">
      <c r="A8" s="1" t="str">
        <f>'Groep B'!C4</f>
        <v>Tobias de Vries</v>
      </c>
      <c r="B8" s="1">
        <f>'Groep B'!D4</f>
        <v>8524736</v>
      </c>
      <c r="C8" s="1">
        <f>'Groep B'!F4</f>
        <v>1793</v>
      </c>
      <c r="D8" s="1" t="s">
        <v>68</v>
      </c>
      <c r="E8" s="1"/>
      <c r="F8" s="1"/>
      <c r="G8" s="1"/>
      <c r="H8" s="1"/>
    </row>
    <row r="9" spans="1:8" x14ac:dyDescent="0.25">
      <c r="A9" s="1" t="str">
        <f>'Groep B'!C5</f>
        <v>Willeke Knottnerus *</v>
      </c>
      <c r="B9" s="1">
        <f>'Groep B'!D5</f>
        <v>8295309</v>
      </c>
      <c r="C9" s="1">
        <f>'Groep B'!F5</f>
        <v>1650</v>
      </c>
      <c r="D9" s="1" t="s">
        <v>68</v>
      </c>
      <c r="E9" s="1"/>
      <c r="F9" s="1"/>
      <c r="G9" s="1"/>
      <c r="H9" s="1"/>
    </row>
    <row r="10" spans="1:8" x14ac:dyDescent="0.25">
      <c r="A10" s="1" t="str">
        <f>'Groep B'!C6</f>
        <v>Imre Woest *</v>
      </c>
      <c r="B10" s="1">
        <f>'Groep B'!D6</f>
        <v>8560915</v>
      </c>
      <c r="C10" s="1">
        <f>'Groep B'!F6</f>
        <v>1385</v>
      </c>
      <c r="D10" s="1" t="s">
        <v>68</v>
      </c>
      <c r="E10" s="1"/>
      <c r="F10" s="1"/>
      <c r="G10" s="1"/>
      <c r="H10" s="1"/>
    </row>
    <row r="11" spans="1:8" x14ac:dyDescent="0.25">
      <c r="A11" s="1" t="str">
        <f>'Groep B'!C7</f>
        <v>Saa Albers</v>
      </c>
      <c r="B11" s="1">
        <f>'Groep B'!D7</f>
        <v>8649487</v>
      </c>
      <c r="C11" s="1">
        <f>'Groep B'!F7</f>
        <v>1360</v>
      </c>
      <c r="D11" s="1" t="s">
        <v>68</v>
      </c>
      <c r="E11" s="1"/>
      <c r="F11" s="1"/>
      <c r="G11" s="1"/>
      <c r="H11" s="1"/>
    </row>
    <row r="12" spans="1:8" x14ac:dyDescent="0.25">
      <c r="A12" s="1" t="str">
        <f>'Groep C'!C4</f>
        <v>Ruben de Vries</v>
      </c>
      <c r="B12" s="1">
        <f>'Groep C'!D4</f>
        <v>8360121</v>
      </c>
      <c r="C12" s="1">
        <f>'Groep C'!F4</f>
        <v>1290</v>
      </c>
      <c r="D12" s="1" t="s">
        <v>73</v>
      </c>
      <c r="E12" s="1"/>
      <c r="F12" s="1"/>
      <c r="G12" s="1"/>
      <c r="H12" s="1"/>
    </row>
    <row r="13" spans="1:8" x14ac:dyDescent="0.25">
      <c r="A13" s="1" t="str">
        <f>'Groep C'!C5</f>
        <v>Lennart Molanus</v>
      </c>
      <c r="B13" s="1">
        <f>'Groep C'!D5</f>
        <v>8572927</v>
      </c>
      <c r="C13" s="1">
        <f>'Groep C'!F5</f>
        <v>1290</v>
      </c>
      <c r="D13" s="1" t="s">
        <v>73</v>
      </c>
      <c r="E13" s="1"/>
      <c r="F13" s="1"/>
      <c r="G13" s="1"/>
      <c r="H13" s="1"/>
    </row>
    <row r="14" spans="1:8" x14ac:dyDescent="0.25">
      <c r="A14" s="1" t="str">
        <f>'Groep C'!C6</f>
        <v>Jeffrey van Eek</v>
      </c>
      <c r="B14" s="1">
        <f>'Groep C'!D6</f>
        <v>8419587</v>
      </c>
      <c r="C14" s="1">
        <f>'Groep C'!F6</f>
        <v>1197</v>
      </c>
      <c r="D14" s="1" t="s">
        <v>73</v>
      </c>
      <c r="E14" s="1"/>
      <c r="F14" s="1"/>
      <c r="G14" s="1"/>
      <c r="H14" s="1"/>
    </row>
    <row r="15" spans="1:8" x14ac:dyDescent="0.25">
      <c r="A15" s="1" t="str">
        <f>'Groep C'!C7</f>
        <v>Jim Pronk</v>
      </c>
      <c r="B15" s="1">
        <f>'Groep C'!D7</f>
        <v>8320444</v>
      </c>
      <c r="C15" s="1">
        <f>'Groep C'!F7</f>
        <v>1153</v>
      </c>
      <c r="D15" s="1" t="s">
        <v>73</v>
      </c>
      <c r="E15" s="1"/>
      <c r="F15" s="1"/>
      <c r="G15" s="1"/>
      <c r="H15" s="1"/>
    </row>
    <row r="16" spans="1:8" x14ac:dyDescent="0.25">
      <c r="A16" s="1" t="str">
        <f>'Groep D'!C4</f>
        <v>Floris van Capelleveen</v>
      </c>
      <c r="B16" s="1">
        <f>'Groep D'!D4</f>
        <v>8426165</v>
      </c>
      <c r="C16" s="1">
        <f>'Groep D'!F4</f>
        <v>1120</v>
      </c>
      <c r="D16" s="1" t="s">
        <v>78</v>
      </c>
      <c r="E16" s="1"/>
      <c r="F16" s="1"/>
      <c r="G16" s="1"/>
      <c r="H16" s="1"/>
    </row>
    <row r="17" spans="1:8" x14ac:dyDescent="0.25">
      <c r="A17" s="1" t="str">
        <f>'Groep D'!C5</f>
        <v>Tim Evendijk</v>
      </c>
      <c r="B17" s="1">
        <f>'Groep D'!D5</f>
        <v>8320279</v>
      </c>
      <c r="C17" s="1">
        <f>'Groep D'!F5</f>
        <v>1113</v>
      </c>
      <c r="D17" s="1" t="s">
        <v>78</v>
      </c>
      <c r="E17" s="1"/>
      <c r="F17" s="1"/>
      <c r="G17" s="1"/>
      <c r="H17" s="1"/>
    </row>
    <row r="18" spans="1:8" x14ac:dyDescent="0.25">
      <c r="A18" s="1" t="str">
        <f>'Groep D'!C6</f>
        <v>Lars Boere</v>
      </c>
      <c r="B18" s="1">
        <f>'Groep D'!D6</f>
        <v>8557714</v>
      </c>
      <c r="C18" s="1">
        <f>'Groep D'!F6</f>
        <v>1079</v>
      </c>
      <c r="D18" s="1" t="s">
        <v>78</v>
      </c>
      <c r="E18" s="1"/>
      <c r="F18" s="1"/>
      <c r="G18" s="1"/>
      <c r="H18" s="1"/>
    </row>
    <row r="19" spans="1:8" x14ac:dyDescent="0.25">
      <c r="A19" s="1" t="str">
        <f>'Groep D'!C7</f>
        <v>Marnix van Tol</v>
      </c>
      <c r="B19" s="1">
        <f>'Groep D'!D7</f>
        <v>8496565</v>
      </c>
      <c r="C19" s="1">
        <f>'Groep D'!F7</f>
        <v>1039</v>
      </c>
      <c r="D19" s="1" t="s">
        <v>78</v>
      </c>
      <c r="E19" s="1"/>
      <c r="F19" s="1"/>
      <c r="G19" s="1"/>
      <c r="H19" s="1"/>
    </row>
    <row r="20" spans="1:8" x14ac:dyDescent="0.25">
      <c r="A20" s="1" t="str">
        <f>'Groep E'!C4</f>
        <v>Joab Weseman</v>
      </c>
      <c r="B20" s="1">
        <f>'Groep E'!D4</f>
        <v>8461915</v>
      </c>
      <c r="C20" s="1">
        <f>'Groep E'!F4</f>
        <v>1032</v>
      </c>
      <c r="D20" s="1" t="s">
        <v>83</v>
      </c>
      <c r="E20" s="1"/>
      <c r="F20" s="1"/>
      <c r="G20" s="1"/>
      <c r="H20" s="1"/>
    </row>
    <row r="21" spans="1:8" x14ac:dyDescent="0.25">
      <c r="A21" s="1" t="str">
        <f>'Groep E'!C5</f>
        <v>Florian Molanus</v>
      </c>
      <c r="B21" s="1">
        <f>'Groep E'!D5</f>
        <v>8553358</v>
      </c>
      <c r="C21" s="1">
        <f>'Groep E'!F5</f>
        <v>1019</v>
      </c>
      <c r="D21" s="1" t="s">
        <v>83</v>
      </c>
      <c r="E21" s="1"/>
      <c r="F21" s="1"/>
      <c r="G21" s="1"/>
      <c r="H21" s="1"/>
    </row>
    <row r="22" spans="1:8" x14ac:dyDescent="0.25">
      <c r="A22" s="1" t="str">
        <f>'Groep E'!C6</f>
        <v>Julian van Meegen</v>
      </c>
      <c r="B22" s="1">
        <f>'Groep E'!D6</f>
        <v>8593552</v>
      </c>
      <c r="C22" s="1">
        <f>'Groep E'!F6</f>
        <v>972</v>
      </c>
      <c r="D22" s="1" t="s">
        <v>83</v>
      </c>
      <c r="E22" s="1"/>
      <c r="F22" s="1"/>
      <c r="G22" s="1"/>
      <c r="H22" s="1"/>
    </row>
    <row r="23" spans="1:8" x14ac:dyDescent="0.25">
      <c r="A23" s="1" t="str">
        <f>'Groep E'!C7</f>
        <v>Marjon Landsbergen *</v>
      </c>
      <c r="B23" s="1">
        <f>'Groep E'!D7</f>
        <v>8418256</v>
      </c>
      <c r="C23" s="1">
        <f>'Groep E'!F7</f>
        <v>871</v>
      </c>
      <c r="D23" s="1" t="s">
        <v>83</v>
      </c>
      <c r="E23" s="1"/>
      <c r="F23" s="1"/>
      <c r="G23" s="1"/>
      <c r="H23" s="1"/>
    </row>
    <row r="24" spans="1:8" x14ac:dyDescent="0.25">
      <c r="A24" s="1" t="str">
        <f>'Groep E'!C8</f>
        <v>Hilbert Buijs</v>
      </c>
      <c r="B24" s="1">
        <f>'Groep E'!D8</f>
        <v>8605718</v>
      </c>
      <c r="C24" s="1">
        <f>'Groep E'!F8</f>
        <v>860</v>
      </c>
      <c r="D24" s="1" t="s">
        <v>83</v>
      </c>
      <c r="E24" s="1"/>
      <c r="F24" s="1"/>
      <c r="G24" s="1"/>
      <c r="H24" s="1"/>
    </row>
    <row r="25" spans="1:8" x14ac:dyDescent="0.25">
      <c r="A25" s="1" t="str">
        <f>'Groep E'!C9</f>
        <v>Wouter Wieggers</v>
      </c>
      <c r="B25" s="1">
        <f>'Groep E'!D9</f>
        <v>8621800</v>
      </c>
      <c r="C25" s="1">
        <f>'Groep E'!F9</f>
        <v>846</v>
      </c>
      <c r="D25" s="1" t="s">
        <v>83</v>
      </c>
      <c r="E25" s="1"/>
      <c r="F25" s="1"/>
      <c r="G25" s="1"/>
      <c r="H25" s="1"/>
    </row>
    <row r="26" spans="1:8" x14ac:dyDescent="0.25">
      <c r="A26" s="1" t="str">
        <f>'Groep F'!C4</f>
        <v>Jian van de Pol</v>
      </c>
      <c r="B26" s="1">
        <f>'Groep F'!D4</f>
        <v>8559870</v>
      </c>
      <c r="C26" s="1">
        <f>'Groep F'!F4</f>
        <v>767</v>
      </c>
      <c r="D26" s="1" t="s">
        <v>90</v>
      </c>
      <c r="E26" s="1"/>
      <c r="F26" s="1"/>
      <c r="G26" s="1"/>
      <c r="H26" s="1"/>
    </row>
    <row r="27" spans="1:8" x14ac:dyDescent="0.25">
      <c r="A27" s="1" t="str">
        <f>'Groep F'!C5</f>
        <v>Ivan Engelen</v>
      </c>
      <c r="B27" s="1">
        <f>'Groep F'!D5</f>
        <v>8522019</v>
      </c>
      <c r="C27" s="1">
        <f>'Groep F'!F5</f>
        <v>702</v>
      </c>
      <c r="D27" s="1" t="s">
        <v>90</v>
      </c>
      <c r="E27" s="1"/>
      <c r="F27" s="1"/>
      <c r="G27" s="1"/>
      <c r="H27" s="1"/>
    </row>
    <row r="28" spans="1:8" x14ac:dyDescent="0.25">
      <c r="A28" s="1" t="str">
        <f>'Groep F'!C6</f>
        <v>Bart van Enckevort</v>
      </c>
      <c r="B28" s="1">
        <f>'Groep F'!D6</f>
        <v>8605938</v>
      </c>
      <c r="C28" s="1">
        <f>'Groep F'!F6</f>
        <v>680</v>
      </c>
      <c r="D28" s="1" t="s">
        <v>90</v>
      </c>
      <c r="E28" s="1"/>
      <c r="F28" s="1"/>
      <c r="G28" s="1"/>
      <c r="H28" s="1"/>
    </row>
    <row r="29" spans="1:8" x14ac:dyDescent="0.25">
      <c r="A29" s="1" t="str">
        <f>'Groep F'!C7</f>
        <v>Aristides Buntara</v>
      </c>
      <c r="B29" s="1">
        <f>'Groep F'!D7</f>
        <v>8705785</v>
      </c>
      <c r="C29" s="1">
        <f>'Groep F'!F7</f>
        <v>668</v>
      </c>
      <c r="D29" s="1" t="s">
        <v>90</v>
      </c>
      <c r="E29" s="1"/>
      <c r="F29" s="1"/>
      <c r="G29" s="1"/>
      <c r="H29" s="1"/>
    </row>
    <row r="30" spans="1:8" x14ac:dyDescent="0.25">
      <c r="A30" s="1" t="str">
        <f>'Groep F'!C8</f>
        <v>Fadi el Kasah</v>
      </c>
      <c r="B30" s="1">
        <f>'Groep F'!D8</f>
        <v>8574324</v>
      </c>
      <c r="C30" s="1">
        <f>'Groep F'!F8</f>
        <v>657</v>
      </c>
      <c r="D30" s="1" t="s">
        <v>90</v>
      </c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 t="str">
        <f>'Groep G'!C4</f>
        <v>Rutger van den Berg</v>
      </c>
      <c r="B32" s="1">
        <f>'Groep G'!D4</f>
        <v>8526507</v>
      </c>
      <c r="C32" s="1">
        <f>'Groep G'!F4</f>
        <v>622</v>
      </c>
      <c r="D32" s="1" t="s">
        <v>97</v>
      </c>
      <c r="E32" s="1"/>
      <c r="F32" s="1"/>
      <c r="G32" s="1"/>
      <c r="H32" s="1"/>
    </row>
    <row r="33" spans="1:8" x14ac:dyDescent="0.25">
      <c r="A33" s="1" t="str">
        <f>'Groep G'!C5</f>
        <v>Vigo Stam</v>
      </c>
      <c r="B33" s="1">
        <f>'Groep G'!D5</f>
        <v>8670772</v>
      </c>
      <c r="C33" s="1">
        <f>'Groep G'!F5</f>
        <v>600</v>
      </c>
      <c r="D33" s="1" t="s">
        <v>97</v>
      </c>
      <c r="E33" s="1"/>
      <c r="F33" s="1"/>
      <c r="G33" s="1"/>
      <c r="H33" s="1"/>
    </row>
    <row r="34" spans="1:8" x14ac:dyDescent="0.25">
      <c r="A34" s="1" t="str">
        <f>'Groep G'!C6</f>
        <v>Maikel Simon</v>
      </c>
      <c r="B34" s="1">
        <f>'Groep G'!D6</f>
        <v>8524087</v>
      </c>
      <c r="C34" s="1">
        <f>'Groep G'!F6</f>
        <v>577</v>
      </c>
      <c r="D34" s="1" t="s">
        <v>97</v>
      </c>
      <c r="E34" s="1"/>
      <c r="F34" s="1"/>
      <c r="G34" s="1"/>
      <c r="H34" s="1"/>
    </row>
    <row r="35" spans="1:8" x14ac:dyDescent="0.25">
      <c r="A35" s="1" t="str">
        <f>'Groep G'!C7</f>
        <v>Reijn Aarts</v>
      </c>
      <c r="B35" s="1">
        <f>'Groep G'!D7</f>
        <v>8669551</v>
      </c>
      <c r="C35" s="1">
        <f>'Groep G'!F7</f>
        <v>533</v>
      </c>
      <c r="D35" s="1" t="s">
        <v>97</v>
      </c>
      <c r="E35" s="1"/>
      <c r="F35" s="1"/>
      <c r="G35" s="1"/>
      <c r="H35" s="1"/>
    </row>
    <row r="36" spans="1:8" x14ac:dyDescent="0.25">
      <c r="A36" s="1" t="str">
        <f>'Groep G'!C8</f>
        <v>Noraly Luitjes *</v>
      </c>
      <c r="B36" s="1">
        <f>'Groep G'!D8</f>
        <v>8486654</v>
      </c>
      <c r="C36" s="1">
        <f>'Groep G'!F8</f>
        <v>531</v>
      </c>
      <c r="D36" s="1" t="s">
        <v>97</v>
      </c>
      <c r="E36" s="1"/>
      <c r="F36" s="1"/>
      <c r="G36" s="1"/>
      <c r="H36" s="1"/>
    </row>
    <row r="37" spans="1:8" x14ac:dyDescent="0.25">
      <c r="A37" s="1" t="str">
        <f>'Groep G'!C9</f>
        <v>Mees van Essen</v>
      </c>
      <c r="B37" s="1">
        <f>'Groep G'!D9</f>
        <v>8672312</v>
      </c>
      <c r="C37" s="1">
        <f>'Groep G'!F9</f>
        <v>480</v>
      </c>
      <c r="D37" s="1" t="s">
        <v>97</v>
      </c>
      <c r="E37" s="1"/>
      <c r="F37" s="1"/>
      <c r="G37" s="1"/>
      <c r="H37" s="1"/>
    </row>
    <row r="38" spans="1:8" x14ac:dyDescent="0.25">
      <c r="A38" s="1" t="str">
        <f>'Groep H'!C4</f>
        <v>Erik Smouter</v>
      </c>
      <c r="B38" s="1">
        <f>'Groep H'!D4</f>
        <v>8663182</v>
      </c>
      <c r="C38" s="1">
        <f>'Groep H'!F4</f>
        <v>470</v>
      </c>
      <c r="D38" s="1" t="s">
        <v>104</v>
      </c>
      <c r="E38" s="1"/>
      <c r="F38" s="1"/>
      <c r="G38" s="1"/>
      <c r="H38" s="1"/>
    </row>
    <row r="39" spans="1:8" x14ac:dyDescent="0.25">
      <c r="A39" s="1" t="str">
        <f>'Groep H'!C5</f>
        <v>Aaron Lamers</v>
      </c>
      <c r="B39" s="1">
        <f>'Groep H'!D5</f>
        <v>8657242</v>
      </c>
      <c r="C39" s="1">
        <f>'Groep H'!F5</f>
        <v>456</v>
      </c>
      <c r="D39" s="1" t="s">
        <v>104</v>
      </c>
      <c r="E39" s="1"/>
      <c r="F39" s="1"/>
      <c r="G39" s="1"/>
      <c r="H39" s="1"/>
    </row>
    <row r="40" spans="1:8" x14ac:dyDescent="0.25">
      <c r="A40" s="1" t="str">
        <f>'Groep H'!C6</f>
        <v>Fidel Issa</v>
      </c>
      <c r="B40" s="1">
        <f>'Groep H'!D6</f>
        <v>8615860</v>
      </c>
      <c r="C40" s="1">
        <f>'Groep H'!F6</f>
        <v>447</v>
      </c>
      <c r="D40" s="1" t="s">
        <v>104</v>
      </c>
      <c r="E40" s="1"/>
      <c r="F40" s="1"/>
      <c r="G40" s="1"/>
      <c r="H40" s="1"/>
    </row>
    <row r="41" spans="1:8" x14ac:dyDescent="0.25">
      <c r="A41" s="1" t="str">
        <f>'Groep H'!C7</f>
        <v>Chao Daniels</v>
      </c>
      <c r="B41" s="1">
        <f>'Groep H'!D7</f>
        <v>8531149</v>
      </c>
      <c r="C41" s="1">
        <f>'Groep H'!F7</f>
        <v>444</v>
      </c>
      <c r="D41" s="1" t="s">
        <v>104</v>
      </c>
      <c r="E41" s="1"/>
      <c r="F41" s="1"/>
      <c r="G41" s="1"/>
      <c r="H41" s="1"/>
    </row>
    <row r="42" spans="1:8" x14ac:dyDescent="0.25">
      <c r="A42" s="1" t="str">
        <f>'Groep H'!C8</f>
        <v>Boaz Wierper</v>
      </c>
      <c r="B42" s="1">
        <f>'Groep H'!D8</f>
        <v>8664777</v>
      </c>
      <c r="C42" s="1">
        <f>'Groep H'!F8</f>
        <v>420</v>
      </c>
      <c r="D42" s="1" t="s">
        <v>104</v>
      </c>
      <c r="E42" s="1"/>
      <c r="F42" s="1"/>
      <c r="G42" s="1"/>
      <c r="H42" s="1"/>
    </row>
    <row r="43" spans="1:8" x14ac:dyDescent="0.25">
      <c r="A43" s="1" t="str">
        <f>'Groep H'!C9</f>
        <v>Floris Ros</v>
      </c>
      <c r="B43" s="1">
        <f>'Groep H'!D9</f>
        <v>8492803</v>
      </c>
      <c r="C43" s="1">
        <f>'Groep H'!F9</f>
        <v>369</v>
      </c>
      <c r="D43" s="1" t="s">
        <v>104</v>
      </c>
      <c r="E43" s="1"/>
      <c r="F43" s="1"/>
      <c r="G43" s="1"/>
      <c r="H43" s="1"/>
    </row>
    <row r="44" spans="1:8" x14ac:dyDescent="0.25">
      <c r="A44" s="1" t="str">
        <f>'Groep I'!C4</f>
        <v>Yasin Gokoglan</v>
      </c>
      <c r="B44" s="1">
        <f>'Groep I'!D4</f>
        <v>8535329</v>
      </c>
      <c r="C44" s="1">
        <f>'Groep I'!F4</f>
        <v>367</v>
      </c>
      <c r="D44" s="1" t="s">
        <v>111</v>
      </c>
      <c r="E44" s="1"/>
      <c r="F44" s="1"/>
      <c r="G44" s="1"/>
      <c r="H44" s="1"/>
    </row>
    <row r="45" spans="1:8" x14ac:dyDescent="0.25">
      <c r="A45" s="1" t="str">
        <f>'Groep I'!C5</f>
        <v>Chris Kamperman</v>
      </c>
      <c r="B45" s="1">
        <f>'Groep I'!D5</f>
        <v>8589823</v>
      </c>
      <c r="C45" s="1">
        <f>'Groep I'!F5</f>
        <v>365</v>
      </c>
      <c r="D45" s="1" t="s">
        <v>111</v>
      </c>
      <c r="E45" s="1"/>
      <c r="F45" s="1"/>
      <c r="G45" s="1"/>
      <c r="H45" s="1"/>
    </row>
    <row r="46" spans="1:8" x14ac:dyDescent="0.25">
      <c r="A46" s="1" t="str">
        <f>'Groep I'!C6</f>
        <v>Niels van Wolfswinkel</v>
      </c>
      <c r="B46" s="1">
        <f>'Groep I'!D6</f>
        <v>8659178</v>
      </c>
      <c r="C46" s="1">
        <f>'Groep I'!F6</f>
        <v>356</v>
      </c>
      <c r="D46" s="1" t="s">
        <v>111</v>
      </c>
      <c r="E46" s="1"/>
      <c r="F46" s="1"/>
      <c r="G46" s="1"/>
      <c r="H46" s="1"/>
    </row>
    <row r="47" spans="1:8" x14ac:dyDescent="0.25">
      <c r="A47" s="1" t="str">
        <f>'Groep I'!C7</f>
        <v>�mit �zyilmaz</v>
      </c>
      <c r="B47" s="1">
        <f>'Groep I'!D7</f>
        <v>8647463</v>
      </c>
      <c r="C47" s="1">
        <f>'Groep I'!F7</f>
        <v>346</v>
      </c>
      <c r="D47" s="1" t="s">
        <v>111</v>
      </c>
      <c r="E47" s="1"/>
      <c r="F47" s="1"/>
      <c r="G47" s="1"/>
      <c r="H47" s="1"/>
    </row>
    <row r="48" spans="1:8" x14ac:dyDescent="0.25">
      <c r="A48" s="1" t="str">
        <f>'Groep I'!C8</f>
        <v>Ilias Drysdale</v>
      </c>
      <c r="B48" s="1">
        <f>'Groep I'!D8</f>
        <v>8515881</v>
      </c>
      <c r="C48" s="1">
        <f>'Groep I'!F8</f>
        <v>343</v>
      </c>
      <c r="D48" s="1" t="s">
        <v>111</v>
      </c>
      <c r="E48" s="1"/>
      <c r="F48" s="1"/>
      <c r="G48" s="1"/>
      <c r="H48" s="1"/>
    </row>
    <row r="49" spans="1:8" x14ac:dyDescent="0.25">
      <c r="A49" s="1" t="str">
        <f>'Groep I'!C9</f>
        <v>H�seyin Ersoy</v>
      </c>
      <c r="B49" s="1">
        <f>'Groep I'!D9</f>
        <v>8624880</v>
      </c>
      <c r="C49" s="1">
        <f>'Groep I'!F9</f>
        <v>334</v>
      </c>
      <c r="D49" s="1" t="s">
        <v>111</v>
      </c>
      <c r="E49" s="1"/>
      <c r="F49" s="1"/>
      <c r="G49" s="1"/>
      <c r="H49" s="1"/>
    </row>
    <row r="50" spans="1:8" x14ac:dyDescent="0.25">
      <c r="A50" s="1" t="str">
        <f>'Groep J'!C4</f>
        <v>Danh Nguyen</v>
      </c>
      <c r="B50" s="1">
        <f>'Groep J'!D4</f>
        <v>8631898</v>
      </c>
      <c r="C50" s="1">
        <f>'Groep J'!F4</f>
        <v>312</v>
      </c>
      <c r="D50" s="1" t="s">
        <v>118</v>
      </c>
      <c r="E50" s="1"/>
      <c r="F50" s="1"/>
      <c r="G50" s="1"/>
      <c r="H50" s="1"/>
    </row>
    <row r="51" spans="1:8" x14ac:dyDescent="0.25">
      <c r="A51" s="1" t="str">
        <f>'Groep J'!C5</f>
        <v>Morris Doorn</v>
      </c>
      <c r="B51" s="1">
        <f>'Groep J'!D5</f>
        <v>8579021</v>
      </c>
      <c r="C51" s="1">
        <f>'Groep J'!F5</f>
        <v>301</v>
      </c>
      <c r="D51" s="1" t="s">
        <v>118</v>
      </c>
      <c r="E51" s="1"/>
      <c r="F51" s="1"/>
      <c r="G51" s="1"/>
      <c r="H51" s="1"/>
    </row>
    <row r="52" spans="1:8" x14ac:dyDescent="0.25">
      <c r="A52" s="1" t="str">
        <f>'Groep J'!C6</f>
        <v>Kamil Reinds</v>
      </c>
      <c r="B52" s="1">
        <f>'Groep J'!D6</f>
        <v>8690781</v>
      </c>
      <c r="C52" s="1">
        <f>'Groep J'!F6</f>
        <v>299</v>
      </c>
      <c r="D52" s="1" t="s">
        <v>118</v>
      </c>
      <c r="E52" s="1"/>
      <c r="F52" s="1"/>
      <c r="G52" s="1"/>
      <c r="H52" s="1"/>
    </row>
    <row r="53" spans="1:8" x14ac:dyDescent="0.25">
      <c r="A53" s="1" t="str">
        <f>'Groep J'!C7</f>
        <v>David Veenstra</v>
      </c>
      <c r="B53" s="1">
        <f>'Groep J'!D7</f>
        <v>8674798</v>
      </c>
      <c r="C53" s="1">
        <f>'Groep J'!F7</f>
        <v>295</v>
      </c>
      <c r="D53" s="1" t="s">
        <v>118</v>
      </c>
      <c r="E53" s="1"/>
      <c r="F53" s="1"/>
      <c r="G53" s="1"/>
      <c r="H53" s="1"/>
    </row>
    <row r="54" spans="1:8" x14ac:dyDescent="0.25">
      <c r="A54" s="1" t="str">
        <f>'Groep J'!C8</f>
        <v>Blanca Ordelmans *</v>
      </c>
      <c r="B54" s="1">
        <f>'Groep J'!D8</f>
        <v>8577712</v>
      </c>
      <c r="C54" s="1">
        <f>'Groep J'!F8</f>
        <v>285</v>
      </c>
      <c r="D54" s="1" t="s">
        <v>118</v>
      </c>
      <c r="E54" s="1"/>
      <c r="F54" s="1"/>
      <c r="G54" s="1"/>
      <c r="H54" s="1"/>
    </row>
    <row r="55" spans="1:8" x14ac:dyDescent="0.25">
      <c r="A55" s="1" t="str">
        <f>'Groep J'!C9</f>
        <v>Martin Smouter</v>
      </c>
      <c r="B55" s="1">
        <f>'Groep J'!D9</f>
        <v>8560299</v>
      </c>
      <c r="C55" s="1">
        <f>'Groep J'!F9</f>
        <v>277</v>
      </c>
      <c r="D55" s="1" t="s">
        <v>118</v>
      </c>
      <c r="E55" s="1"/>
      <c r="F55" s="1"/>
      <c r="G55" s="1"/>
      <c r="H55" s="1"/>
    </row>
    <row r="56" spans="1:8" x14ac:dyDescent="0.25">
      <c r="A56" s="1" t="str">
        <f>'Groep K'!C4</f>
        <v>Florens Boelen</v>
      </c>
      <c r="B56" s="1">
        <f>'Groep K'!D4</f>
        <v>8578999</v>
      </c>
      <c r="C56" s="1">
        <f>'Groep K'!F4</f>
        <v>277</v>
      </c>
      <c r="D56" s="1" t="s">
        <v>125</v>
      </c>
      <c r="E56" s="1"/>
      <c r="F56" s="1"/>
      <c r="G56" s="1"/>
      <c r="H56" s="1"/>
    </row>
    <row r="57" spans="1:8" x14ac:dyDescent="0.25">
      <c r="A57" s="1" t="str">
        <f>'Groep K'!C5</f>
        <v>Roj van de Ruitenbeek</v>
      </c>
      <c r="B57" s="1">
        <f>'Groep K'!D5</f>
        <v>8550234</v>
      </c>
      <c r="C57" s="1">
        <f>'Groep K'!F5</f>
        <v>276</v>
      </c>
      <c r="D57" s="1" t="s">
        <v>125</v>
      </c>
      <c r="E57" s="1"/>
      <c r="F57" s="1"/>
      <c r="G57" s="1"/>
      <c r="H57" s="1"/>
    </row>
    <row r="58" spans="1:8" x14ac:dyDescent="0.25">
      <c r="A58" s="1" t="str">
        <f>'Groep K'!C6</f>
        <v>Mathijs de Wolff</v>
      </c>
      <c r="B58" s="1">
        <f>'Groep K'!D6</f>
        <v>8637574</v>
      </c>
      <c r="C58" s="1">
        <f>'Groep K'!F6</f>
        <v>275</v>
      </c>
      <c r="D58" s="1" t="s">
        <v>125</v>
      </c>
      <c r="E58" s="1"/>
      <c r="F58" s="1"/>
      <c r="G58" s="1"/>
      <c r="H58" s="1"/>
    </row>
    <row r="59" spans="1:8" x14ac:dyDescent="0.25">
      <c r="A59" s="1" t="str">
        <f>'Groep K'!C7</f>
        <v>Teun Klein Gunnewiek</v>
      </c>
      <c r="B59" s="1">
        <f>'Groep K'!D7</f>
        <v>8626860</v>
      </c>
      <c r="C59" s="1">
        <f>'Groep K'!F7</f>
        <v>274</v>
      </c>
      <c r="D59" s="1" t="s">
        <v>125</v>
      </c>
      <c r="E59" s="1"/>
      <c r="F59" s="1"/>
      <c r="G59" s="1"/>
      <c r="H59" s="1"/>
    </row>
    <row r="60" spans="1:8" x14ac:dyDescent="0.25">
      <c r="A60" s="1" t="str">
        <f>'Groep K'!C8</f>
        <v>Aron de Blois</v>
      </c>
      <c r="B60" s="1">
        <f>'Groep K'!D8</f>
        <v>8601560</v>
      </c>
      <c r="C60" s="1">
        <f>'Groep K'!F8</f>
        <v>268</v>
      </c>
      <c r="D60" s="1" t="s">
        <v>125</v>
      </c>
      <c r="E60" s="1"/>
      <c r="F60" s="1"/>
      <c r="G60" s="1"/>
      <c r="H60" s="1"/>
    </row>
    <row r="61" spans="1:8" x14ac:dyDescent="0.25">
      <c r="A61" s="1" t="str">
        <f>'Groep K'!C9</f>
        <v>Quinten Kauw a Tjoe</v>
      </c>
      <c r="B61" s="1">
        <f>'Groep K'!D9</f>
        <v>8690616</v>
      </c>
      <c r="C61" s="1">
        <f>'Groep K'!F9</f>
        <v>257</v>
      </c>
      <c r="D61" s="1" t="s">
        <v>125</v>
      </c>
      <c r="E61" s="1"/>
      <c r="F61" s="1"/>
      <c r="G61" s="1"/>
      <c r="H61" s="1"/>
    </row>
    <row r="62" spans="1:8" x14ac:dyDescent="0.25">
      <c r="A62" s="1" t="str">
        <f>'Groep K'!C10</f>
        <v>Elias Axelsson</v>
      </c>
      <c r="B62" s="1">
        <f>'Groep K'!D10</f>
        <v>8711945</v>
      </c>
      <c r="C62" s="1">
        <f>'Groep K'!F10</f>
        <v>254</v>
      </c>
      <c r="D62" s="1" t="s">
        <v>125</v>
      </c>
      <c r="E62" s="1"/>
      <c r="F62" s="1"/>
      <c r="G62" s="1"/>
      <c r="H62" s="1"/>
    </row>
    <row r="63" spans="1:8" x14ac:dyDescent="0.25">
      <c r="A63" s="1" t="str">
        <f>'Groep K'!C11</f>
        <v>Eric Rikken</v>
      </c>
      <c r="B63" s="1">
        <f>'Groep K'!D11</f>
        <v>8659266</v>
      </c>
      <c r="C63" s="1">
        <f>'Groep K'!F11</f>
        <v>252</v>
      </c>
      <c r="D63" s="1" t="s">
        <v>125</v>
      </c>
      <c r="E63" s="1"/>
      <c r="F63" s="1"/>
      <c r="G63" s="1"/>
      <c r="H63" s="1"/>
    </row>
    <row r="64" spans="1:8" x14ac:dyDescent="0.25">
      <c r="A64" s="1" t="str">
        <f>'Groep L'!C4</f>
        <v>Ryan Bartelds</v>
      </c>
      <c r="B64" s="1">
        <f>'Groep L'!D4</f>
        <v>8615167</v>
      </c>
      <c r="C64" s="1">
        <f>'Groep L'!F4</f>
        <v>252</v>
      </c>
      <c r="D64" s="1" t="s">
        <v>134</v>
      </c>
      <c r="E64" s="1"/>
      <c r="F64" s="1"/>
      <c r="G64" s="1"/>
      <c r="H64" s="1"/>
    </row>
    <row r="65" spans="1:8" x14ac:dyDescent="0.25">
      <c r="A65" s="1" t="str">
        <f>'Groep L'!C5</f>
        <v>Vera Maters *</v>
      </c>
      <c r="B65" s="1">
        <f>'Groep L'!D5</f>
        <v>8589900</v>
      </c>
      <c r="C65" s="1">
        <f>'Groep L'!F5</f>
        <v>246</v>
      </c>
      <c r="D65" s="1" t="s">
        <v>134</v>
      </c>
      <c r="E65" s="1"/>
      <c r="F65" s="1"/>
      <c r="G65" s="1"/>
      <c r="H65" s="1"/>
    </row>
    <row r="66" spans="1:8" x14ac:dyDescent="0.25">
      <c r="A66" s="1" t="str">
        <f>'Groep L'!C6</f>
        <v>Willem Veldhuizen</v>
      </c>
      <c r="B66" s="1">
        <f>'Groep L'!D6</f>
        <v>638091</v>
      </c>
      <c r="C66" s="1">
        <f>'Groep L'!F6</f>
        <v>245</v>
      </c>
      <c r="D66" s="1" t="s">
        <v>134</v>
      </c>
      <c r="E66" s="1"/>
      <c r="F66" s="1"/>
      <c r="G66" s="1"/>
      <c r="H66" s="1"/>
    </row>
    <row r="67" spans="1:8" x14ac:dyDescent="0.25">
      <c r="A67" s="1" t="str">
        <f>'Groep L'!C7</f>
        <v>Jochem Kuijvenhoven</v>
      </c>
      <c r="B67" s="1">
        <f>'Groep L'!D7</f>
        <v>8552192</v>
      </c>
      <c r="C67" s="1">
        <f>'Groep L'!F7</f>
        <v>236</v>
      </c>
      <c r="D67" s="1" t="s">
        <v>134</v>
      </c>
      <c r="E67" s="1"/>
      <c r="F67" s="1"/>
      <c r="G67" s="1"/>
      <c r="H67" s="1"/>
    </row>
    <row r="68" spans="1:8" x14ac:dyDescent="0.25">
      <c r="A68" s="1" t="str">
        <f>'Groep L'!C8</f>
        <v>Ahmed Sahin</v>
      </c>
      <c r="B68" s="1">
        <f>'Groep L'!D8</f>
        <v>8690627</v>
      </c>
      <c r="C68" s="1">
        <f>'Groep L'!F8</f>
        <v>234</v>
      </c>
      <c r="D68" s="1" t="s">
        <v>134</v>
      </c>
      <c r="E68" s="1"/>
      <c r="F68" s="1"/>
      <c r="G68" s="1"/>
      <c r="H68" s="1"/>
    </row>
    <row r="69" spans="1:8" x14ac:dyDescent="0.25">
      <c r="A69" s="1" t="str">
        <f>'Groep L'!C9</f>
        <v>Koen Stadegaard</v>
      </c>
      <c r="B69" s="1">
        <f>'Groep L'!D9</f>
        <v>8681266</v>
      </c>
      <c r="C69" s="1">
        <f>'Groep L'!F9</f>
        <v>231</v>
      </c>
      <c r="D69" s="1" t="s">
        <v>134</v>
      </c>
      <c r="E69" s="1"/>
      <c r="F69" s="1"/>
      <c r="G69" s="1"/>
      <c r="H69" s="1"/>
    </row>
    <row r="70" spans="1:8" x14ac:dyDescent="0.25">
      <c r="A70" s="1" t="str">
        <f>'Groep L'!C10</f>
        <v>Philip Faour</v>
      </c>
      <c r="B70" s="1">
        <f>'Groep L'!D10</f>
        <v>8737300</v>
      </c>
      <c r="C70" s="1">
        <f>'Groep L'!F10</f>
        <v>216</v>
      </c>
      <c r="D70" s="1" t="s">
        <v>134</v>
      </c>
      <c r="E70" s="1"/>
      <c r="F70" s="1"/>
      <c r="G70" s="1"/>
      <c r="H70" s="1"/>
    </row>
    <row r="71" spans="1:8" x14ac:dyDescent="0.25">
      <c r="A71" s="1" t="str">
        <f>'Groep L'!C11</f>
        <v>Matthijs Brons</v>
      </c>
      <c r="B71" s="1">
        <f>'Groep L'!D11</f>
        <v>8649498</v>
      </c>
      <c r="C71" s="1">
        <f>'Groep L'!F11</f>
        <v>210</v>
      </c>
      <c r="D71" s="1" t="s">
        <v>134</v>
      </c>
      <c r="E71" s="1"/>
      <c r="F71" s="1"/>
      <c r="G71" s="1"/>
      <c r="H71" s="1"/>
    </row>
    <row r="72" spans="1:8" x14ac:dyDescent="0.25">
      <c r="A72" s="1" t="str">
        <f>'Groep M'!C4</f>
        <v>Luka Da costa Fernandes</v>
      </c>
      <c r="B72" s="1">
        <f>'Groep M'!D4</f>
        <v>8659288</v>
      </c>
      <c r="C72" s="1">
        <f>'Groep M'!F4</f>
        <v>207</v>
      </c>
      <c r="D72" s="1" t="s">
        <v>143</v>
      </c>
      <c r="E72" s="1"/>
      <c r="F72" s="1"/>
      <c r="G72" s="1"/>
      <c r="H72" s="1"/>
    </row>
    <row r="73" spans="1:8" x14ac:dyDescent="0.25">
      <c r="A73" s="1" t="str">
        <f>'Groep M'!C5</f>
        <v>Joris Diepenbroek</v>
      </c>
      <c r="B73" s="1">
        <f>'Groep M'!D5</f>
        <v>8742371</v>
      </c>
      <c r="C73" s="1">
        <f>'Groep M'!F5</f>
        <v>195</v>
      </c>
      <c r="D73" s="1" t="s">
        <v>143</v>
      </c>
      <c r="E73" s="1"/>
      <c r="F73" s="1"/>
      <c r="G73" s="1"/>
      <c r="H73" s="1"/>
    </row>
    <row r="74" spans="1:8" x14ac:dyDescent="0.25">
      <c r="A74" s="1" t="str">
        <f>'Groep M'!C6</f>
        <v>Tim Schopman</v>
      </c>
      <c r="B74" s="1">
        <f>'Groep M'!D6</f>
        <v>8698954</v>
      </c>
      <c r="C74" s="1">
        <f>'Groep M'!F6</f>
        <v>172</v>
      </c>
      <c r="D74" s="1" t="s">
        <v>143</v>
      </c>
      <c r="E74" s="1"/>
      <c r="F74" s="1"/>
      <c r="G74" s="1"/>
      <c r="H74" s="1"/>
    </row>
    <row r="75" spans="1:8" x14ac:dyDescent="0.25">
      <c r="A75" s="1" t="str">
        <f>'Groep M'!C7</f>
        <v>Tim Biljardt</v>
      </c>
      <c r="B75" s="1">
        <f>'Groep M'!D7</f>
        <v>8628488</v>
      </c>
      <c r="C75" s="1">
        <f>'Groep M'!F7</f>
        <v>170</v>
      </c>
      <c r="D75" s="1" t="s">
        <v>143</v>
      </c>
      <c r="E75" s="1"/>
      <c r="F75" s="1"/>
      <c r="G75" s="1"/>
      <c r="H75" s="1"/>
    </row>
    <row r="76" spans="1:8" x14ac:dyDescent="0.25">
      <c r="A76" s="1" t="str">
        <f>'Groep M'!C8</f>
        <v>Seger Endendijk</v>
      </c>
      <c r="B76" s="1">
        <f>'Groep M'!D8</f>
        <v>8636507</v>
      </c>
      <c r="C76" s="1">
        <f>'Groep M'!F8</f>
        <v>166</v>
      </c>
      <c r="D76" s="1" t="s">
        <v>143</v>
      </c>
      <c r="E76" s="1"/>
      <c r="F76" s="1"/>
      <c r="G76" s="1"/>
      <c r="H76" s="1"/>
    </row>
    <row r="77" spans="1:8" x14ac:dyDescent="0.25">
      <c r="A77" s="1" t="str">
        <f>'Groep M'!C9</f>
        <v>Wesley de Grijs</v>
      </c>
      <c r="B77" s="1">
        <f>'Groep M'!D9</f>
        <v>8726619</v>
      </c>
      <c r="C77" s="1">
        <f>'Groep M'!F9</f>
        <v>166</v>
      </c>
      <c r="D77" s="1" t="s">
        <v>143</v>
      </c>
      <c r="E77" s="1"/>
      <c r="F77" s="1"/>
      <c r="G77" s="1"/>
      <c r="H77" s="1"/>
    </row>
    <row r="78" spans="1:8" x14ac:dyDescent="0.25">
      <c r="A78" s="1" t="str">
        <f>'Groep M'!C10</f>
        <v>Tristan van Kappen</v>
      </c>
      <c r="B78" s="1">
        <f>'Groep M'!D10</f>
        <v>8633988</v>
      </c>
      <c r="C78" s="1">
        <f>'Groep M'!F10</f>
        <v>159</v>
      </c>
      <c r="D78" s="1" t="s">
        <v>143</v>
      </c>
      <c r="E78" s="1"/>
      <c r="F78" s="1"/>
      <c r="G78" s="1"/>
      <c r="H78" s="1"/>
    </row>
    <row r="79" spans="1:8" x14ac:dyDescent="0.25">
      <c r="A79" s="1" t="str">
        <f>'Groep M'!C11</f>
        <v>Kevin Beute</v>
      </c>
      <c r="B79" s="1">
        <f>'Groep M'!D11</f>
        <v>8689637</v>
      </c>
      <c r="C79" s="1">
        <f>'Groep M'!F11</f>
        <v>119</v>
      </c>
      <c r="D79" s="1" t="s">
        <v>143</v>
      </c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39</v>
      </c>
      <c r="B1">
        <v>0</v>
      </c>
      <c r="C1" s="4" t="s">
        <v>41</v>
      </c>
      <c r="D1">
        <v>0</v>
      </c>
      <c r="E1">
        <v>1</v>
      </c>
    </row>
    <row r="2" spans="1:5" x14ac:dyDescent="0.25">
      <c r="A2" t="s">
        <v>61</v>
      </c>
      <c r="B2">
        <v>1</v>
      </c>
      <c r="C2" s="4" t="s">
        <v>40</v>
      </c>
      <c r="D2">
        <v>1</v>
      </c>
      <c r="E2">
        <v>0</v>
      </c>
    </row>
    <row r="3" spans="1:5" x14ac:dyDescent="0.25">
      <c r="B3">
        <v>2</v>
      </c>
      <c r="C3" s="4" t="s">
        <v>42</v>
      </c>
      <c r="D3">
        <v>0.5</v>
      </c>
      <c r="E3">
        <v>0.5</v>
      </c>
    </row>
    <row r="4" spans="1:5" x14ac:dyDescent="0.25">
      <c r="B4">
        <v>3</v>
      </c>
      <c r="C4" s="4" t="s">
        <v>59</v>
      </c>
      <c r="D4">
        <v>0</v>
      </c>
      <c r="E4">
        <v>1</v>
      </c>
    </row>
    <row r="5" spans="1:5" x14ac:dyDescent="0.25">
      <c r="B5">
        <v>4</v>
      </c>
      <c r="C5" s="4" t="s">
        <v>58</v>
      </c>
      <c r="D5">
        <v>1</v>
      </c>
      <c r="E5">
        <v>0</v>
      </c>
    </row>
    <row r="6" spans="1:5" x14ac:dyDescent="0.25">
      <c r="B6">
        <v>5</v>
      </c>
      <c r="C6" s="4" t="s">
        <v>60</v>
      </c>
      <c r="D6">
        <v>0.5</v>
      </c>
      <c r="E6">
        <v>0.5</v>
      </c>
    </row>
    <row r="7" spans="1:5" x14ac:dyDescent="0.25">
      <c r="B7">
        <v>6</v>
      </c>
      <c r="C7" s="4" t="s">
        <v>44</v>
      </c>
      <c r="D7">
        <v>0</v>
      </c>
      <c r="E7">
        <v>0</v>
      </c>
    </row>
    <row r="8" spans="1:5" x14ac:dyDescent="0.25">
      <c r="B8">
        <v>7</v>
      </c>
      <c r="C8" s="4" t="s">
        <v>45</v>
      </c>
      <c r="D8">
        <v>0</v>
      </c>
      <c r="E8">
        <v>1</v>
      </c>
    </row>
    <row r="9" spans="1:5" x14ac:dyDescent="0.25">
      <c r="B9">
        <v>8</v>
      </c>
      <c r="C9" s="4" t="s">
        <v>43</v>
      </c>
      <c r="D9">
        <v>1</v>
      </c>
      <c r="E9">
        <v>0</v>
      </c>
    </row>
    <row r="10" spans="1:5" x14ac:dyDescent="0.25">
      <c r="B10">
        <v>9</v>
      </c>
      <c r="C10" s="4" t="s">
        <v>46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autoPageBreaks="0" fitToPage="1"/>
  </sheetPr>
  <dimension ref="A1:BP21"/>
  <sheetViews>
    <sheetView view="pageBreakPreview" zoomScaleNormal="100" zoomScaleSheetLayoutView="100" workbookViewId="0">
      <selection activeCell="S21" sqref="S21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2" width="3.7109375" style="6" customWidth="1" collapsed="1"/>
    <col min="13" max="13" width="3.85546875" style="6" customWidth="1" collapsed="1"/>
    <col min="14" max="14" width="4.28515625" style="6" customWidth="1" collapsed="1"/>
    <col min="15" max="15" width="5.28515625" style="6" customWidth="1" collapsed="1"/>
    <col min="16" max="16" width="3.7109375" style="6" customWidth="1" collapsed="1"/>
    <col min="17" max="17" width="10.140625" style="6" customWidth="1" collapsed="1"/>
    <col min="18" max="18" width="7" style="6" customWidth="1" collapsed="1"/>
    <col min="19" max="19" width="6.7109375" style="6" customWidth="1" collapsed="1"/>
    <col min="20" max="20" width="3.7109375" style="6" customWidth="1" collapsed="1"/>
    <col min="21" max="21" width="6.7109375" style="6" customWidth="1" collapsed="1"/>
    <col min="22" max="22" width="3" style="6" hidden="1" customWidth="1" collapsed="1"/>
    <col min="23" max="23" width="27.7109375" style="6" customWidth="1" collapsed="1"/>
    <col min="24" max="24" width="6.7109375" style="6" customWidth="1" collapsed="1"/>
    <col min="25" max="25" width="6.7109375" style="6" hidden="1" customWidth="1" collapsed="1"/>
    <col min="26" max="26" width="6.7109375" style="6" customWidth="1" collapsed="1"/>
    <col min="27" max="28" width="6.7109375" style="6" hidden="1" customWidth="1" collapsed="1"/>
    <col min="29" max="29" width="3.5703125" style="6" customWidth="1" collapsed="1"/>
    <col min="30" max="30" width="8.85546875" style="6" hidden="1" customWidth="1" collapsed="1"/>
    <col min="31" max="31" width="6.140625" style="6" hidden="1" customWidth="1" collapsed="1"/>
    <col min="32" max="32" width="8.5703125" style="6" hidden="1" customWidth="1" collapsed="1"/>
    <col min="33" max="33" width="6.140625" style="6" hidden="1" customWidth="1" collapsed="1"/>
    <col min="34" max="34" width="8.5703125" style="6" hidden="1" customWidth="1" collapsed="1"/>
    <col min="35" max="36" width="6.7109375" style="6" hidden="1" customWidth="1" collapsed="1"/>
    <col min="37" max="37" width="10.42578125" style="6" hidden="1" customWidth="1" collapsed="1"/>
    <col min="38" max="42" width="6.7109375" style="6" hidden="1" customWidth="1" collapsed="1"/>
    <col min="43" max="46" width="9.140625" style="6" hidden="1" customWidth="1" collapsed="1"/>
    <col min="47" max="48" width="4.42578125" style="6" hidden="1" customWidth="1" collapsed="1"/>
    <col min="49" max="67" width="3.7109375" style="6" hidden="1" customWidth="1" collapsed="1"/>
    <col min="68" max="68" width="9.140625" style="6" hidden="1" customWidth="1" collapsed="1"/>
    <col min="69" max="85" width="9.140625" style="6" customWidth="1" collapsed="1"/>
    <col min="86" max="16384" width="9.140625" style="6" collapsed="1"/>
  </cols>
  <sheetData>
    <row r="1" spans="1:67" ht="26.25" x14ac:dyDescent="0.4">
      <c r="A1" s="24">
        <v>4</v>
      </c>
      <c r="B1" s="68" t="s">
        <v>29</v>
      </c>
      <c r="C1" s="68"/>
      <c r="D1" s="68"/>
      <c r="E1" s="68"/>
      <c r="F1" s="68"/>
      <c r="G1" s="71" t="s">
        <v>63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15"/>
      <c r="U1" s="69" t="str">
        <f>"UITSLAG " &amp; G1</f>
        <v>UITSLAG Groep A</v>
      </c>
      <c r="V1" s="70"/>
      <c r="W1" s="70"/>
      <c r="X1" s="70"/>
      <c r="Y1" s="70"/>
      <c r="Z1" s="70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25</v>
      </c>
      <c r="AR2" s="16" t="s">
        <v>24</v>
      </c>
      <c r="AS2" s="16" t="s">
        <v>26</v>
      </c>
      <c r="AV2" s="70" t="s">
        <v>20</v>
      </c>
      <c r="AW2" s="70"/>
      <c r="AX2" s="70"/>
      <c r="AY2" s="70"/>
      <c r="AZ2" s="70"/>
      <c r="BA2" s="70"/>
      <c r="BB2" s="70"/>
      <c r="BC2" s="70"/>
      <c r="BD2" s="70"/>
      <c r="BE2" s="17"/>
      <c r="BF2" s="18"/>
      <c r="BG2" s="70" t="s">
        <v>21</v>
      </c>
      <c r="BH2" s="70"/>
      <c r="BI2" s="70"/>
      <c r="BJ2" s="70"/>
      <c r="BK2" s="70"/>
      <c r="BL2" s="70"/>
      <c r="BM2" s="70"/>
      <c r="BN2" s="70"/>
      <c r="BO2" s="70"/>
    </row>
    <row r="3" spans="1:67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15</v>
      </c>
      <c r="R3" s="7" t="s">
        <v>24</v>
      </c>
      <c r="S3" s="7" t="s">
        <v>56</v>
      </c>
      <c r="T3" s="21"/>
      <c r="U3" s="7" t="s">
        <v>30</v>
      </c>
      <c r="V3" s="22" t="s">
        <v>28</v>
      </c>
      <c r="W3" s="7" t="s">
        <v>6</v>
      </c>
      <c r="X3" s="7" t="s">
        <v>27</v>
      </c>
      <c r="Y3" s="7" t="s">
        <v>22</v>
      </c>
      <c r="Z3" s="7" t="s">
        <v>24</v>
      </c>
      <c r="AA3" s="7" t="s">
        <v>31</v>
      </c>
      <c r="AB3" s="7" t="s">
        <v>32</v>
      </c>
      <c r="AC3" s="21"/>
      <c r="AD3" s="7" t="s">
        <v>47</v>
      </c>
      <c r="AE3" s="7" t="s">
        <v>48</v>
      </c>
      <c r="AF3" s="7" t="s">
        <v>49</v>
      </c>
      <c r="AG3" s="7" t="s">
        <v>50</v>
      </c>
      <c r="AH3" s="7" t="s">
        <v>51</v>
      </c>
      <c r="AI3" s="7" t="s">
        <v>52</v>
      </c>
      <c r="AJ3" s="7"/>
      <c r="AK3" s="7" t="s">
        <v>53</v>
      </c>
      <c r="AL3" s="7" t="s">
        <v>54</v>
      </c>
      <c r="AM3" s="7" t="s">
        <v>55</v>
      </c>
      <c r="AN3" s="7" t="s">
        <v>56</v>
      </c>
      <c r="AO3" s="21"/>
      <c r="AP3" s="7" t="s">
        <v>33</v>
      </c>
      <c r="AQ3" s="23" t="s">
        <v>23</v>
      </c>
      <c r="AR3" s="16" t="s">
        <v>23</v>
      </c>
      <c r="AS3" s="16" t="s">
        <v>23</v>
      </c>
      <c r="AU3" s="6" t="s">
        <v>28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28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64</v>
      </c>
      <c r="D4" s="67">
        <v>8274266</v>
      </c>
      <c r="E4" s="67"/>
      <c r="F4" s="25">
        <v>2445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>
        <f t="shared" si="0"/>
        <v>0.5</v>
      </c>
      <c r="O4" s="27">
        <f t="shared" si="0"/>
        <v>1</v>
      </c>
      <c r="P4" s="27">
        <f t="shared" si="0"/>
        <v>0</v>
      </c>
      <c r="Q4" s="28">
        <f>SUM(M4:P4)</f>
        <v>1.5</v>
      </c>
      <c r="R4" s="29">
        <f>IF(M4="",0,M4)*$Q$4+IF(N4="",0,N4)*$Q$5+IF(O4="",0,O4)*$Q$6+IF(P4="",0,P4)*$Q$7</f>
        <v>2.5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Thomas Beerdsen</v>
      </c>
      <c r="X4" s="34">
        <f>IF(ISNA(VLOOKUP($B4,$A$4:$S$7,17,FALSE)),0,VLOOKUP($B4,$A$4:$S$7,17,FALSE))</f>
        <v>1.5</v>
      </c>
      <c r="Y4" s="34">
        <f t="shared" ref="Y4" si="1">IF(ISNA(VLOOKUP($B4,$A$4:$S$7,17,FALSE)),0,VLOOKUP($B4,$A$4:$S$7,17,FALSE))</f>
        <v>1.5</v>
      </c>
      <c r="Z4" s="34">
        <f>IF(ISNA(VLOOKUP($B4,$A$4:$S$7,18,FALSE)),0,VLOOKUP($B4,$A$4:$S$7,18,FALSE))</f>
        <v>2.5</v>
      </c>
      <c r="AA4" s="34">
        <f>VLOOKUP($V4,$AP$4:$AS$7,4,FALSE)</f>
        <v>9</v>
      </c>
      <c r="AB4" s="35">
        <f>VLOOKUP($V4,$B$4:$K$7,5,FALSE)</f>
        <v>1827</v>
      </c>
      <c r="AC4" s="30"/>
      <c r="AD4" s="36">
        <f>IF(R4=$R$4,IF(M4="",0,M4))+IF(R4=$R$5,IF(N4="",0,N4))+IF(R4=$R$6,IF(O4="",0,O4))+IF(R4=$R$7,IF(P4="",0,P4))</f>
        <v>0.5</v>
      </c>
      <c r="AE4" s="30">
        <f>$AD$9*R4+AD4</f>
        <v>5.5</v>
      </c>
      <c r="AF4" s="30">
        <f>IF(AE4=$AEE$4,IF(M4="",0,M4))+IF(AE4=$AE$5,IF(N4="",0,N4))+IF(AE4=$AE$6,IF(O4="",0,O4))+IF(AE4=$AE$7,IF(P4="",0,P4))</f>
        <v>0.5</v>
      </c>
      <c r="AG4" s="30">
        <f>$AF$9*AE4+AF4</f>
        <v>11.5</v>
      </c>
      <c r="AH4" s="30">
        <f>IF(AG4=$AG$4,IF(M4="",0,M4))+IF(AG4=$AG$5,IF(N4="",0,N4))+IF(AG4=$AG$6,IF(O4="",0,O4))+IF(AG4=$AG$7,IF(O4="",0,O4))</f>
        <v>0</v>
      </c>
      <c r="AI4" s="30">
        <f>$AH$9*AG4+AJ4</f>
        <v>11.5</v>
      </c>
      <c r="AJ4" s="30"/>
      <c r="AK4" s="30">
        <f>RANK(AI4,$AI$4:$AI$7,1)-1</f>
        <v>3</v>
      </c>
      <c r="AL4" s="30">
        <f>RANK(R4,$R$4:$R$7,1)-1</f>
        <v>2</v>
      </c>
      <c r="AM4" s="30">
        <f>4*AK4+AL4</f>
        <v>14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1</v>
      </c>
      <c r="AR4" s="39">
        <f>SUMIF($AQ$9:$AQ$21,B4,$AY$9:$AY$21)+SUMIF($AR$9:$AR$21,B4,$AZ$9:$AZ$21)</f>
        <v>1.25</v>
      </c>
      <c r="AS4" s="39">
        <f>SUM(BG4:BO4)</f>
        <v>11.5</v>
      </c>
      <c r="AU4" s="6">
        <v>1</v>
      </c>
      <c r="AV4" s="6">
        <f t="shared" ref="AV4:BD7" si="2">SUMIFS($J$12:$J$21,$AQ$12:$AQ$21,$AU4,$AP$12:$AP$21,AV$3)+SUMIFS($N$12:$N$21,$AR$12:$AR$21,$AU4,$AP$12:$AP$21,AV$3)</f>
        <v>0</v>
      </c>
      <c r="AW4" s="6">
        <f t="shared" si="2"/>
        <v>1</v>
      </c>
      <c r="AX4" s="6">
        <f t="shared" si="2"/>
        <v>0.5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1</v>
      </c>
      <c r="BI4" s="6">
        <f t="shared" si="3"/>
        <v>1.5</v>
      </c>
      <c r="BJ4" s="6">
        <f t="shared" si="3"/>
        <v>1.5</v>
      </c>
      <c r="BK4" s="6">
        <f t="shared" si="3"/>
        <v>1.5</v>
      </c>
      <c r="BL4" s="6">
        <f t="shared" si="3"/>
        <v>1.5</v>
      </c>
      <c r="BM4" s="6">
        <f t="shared" si="3"/>
        <v>1.5</v>
      </c>
      <c r="BN4" s="6">
        <f t="shared" si="3"/>
        <v>1.5</v>
      </c>
      <c r="BO4" s="6">
        <f t="shared" si="3"/>
        <v>1.5</v>
      </c>
    </row>
    <row r="5" spans="1:67" x14ac:dyDescent="0.25">
      <c r="A5" s="24">
        <f t="shared" ref="A5:A7" si="4">S5</f>
        <v>2</v>
      </c>
      <c r="B5" s="25">
        <v>2</v>
      </c>
      <c r="C5" s="25" t="s">
        <v>65</v>
      </c>
      <c r="D5" s="67">
        <v>8413383</v>
      </c>
      <c r="E5" s="67"/>
      <c r="F5" s="25">
        <v>2399</v>
      </c>
      <c r="M5" s="27">
        <f t="shared" si="0"/>
        <v>0.5</v>
      </c>
      <c r="N5" s="26" t="str">
        <f t="shared" si="0"/>
        <v/>
      </c>
      <c r="O5" s="27">
        <f t="shared" si="0"/>
        <v>0.5</v>
      </c>
      <c r="P5" s="27">
        <f t="shared" si="0"/>
        <v>1</v>
      </c>
      <c r="Q5" s="28">
        <f>SUM(M5:P5)</f>
        <v>2</v>
      </c>
      <c r="R5" s="29">
        <f t="shared" ref="R5:R7" si="5">IF(M5="",0,M5)*$Q$4+IF(N5="",0,N5)*$Q$5+IF(O5="",0,O5)*$Q$6+IF(P5="",0,P5)*$Q$7</f>
        <v>2.5</v>
      </c>
      <c r="S5" s="27">
        <f t="shared" ref="S5:S8" si="6">AN5</f>
        <v>2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Max Warmerdam</v>
      </c>
      <c r="X5" s="34">
        <f t="shared" ref="X5:Y7" si="8">IF(ISNA(VLOOKUP($B5,$A$4:$S$7,17,FALSE)),0,VLOOKUP($B5,$A$4:$S$7,17,FALSE))</f>
        <v>2</v>
      </c>
      <c r="Y5" s="34">
        <f t="shared" si="8"/>
        <v>2</v>
      </c>
      <c r="Z5" s="34">
        <f t="shared" ref="Z5:Z7" si="9">IF(ISNA(VLOOKUP($B5,$A$4:$S$7,18,FALSE)),0,VLOOKUP($B5,$A$4:$S$7,18,FALSE))</f>
        <v>2.5</v>
      </c>
      <c r="AA5" s="34">
        <f>VLOOKUP($V5,$AP$4:$AS$7,4,FALSE)</f>
        <v>11.5</v>
      </c>
      <c r="AB5" s="35">
        <f>VLOOKUP($V5,$B$4:$K$7,5,FALSE)</f>
        <v>1836</v>
      </c>
      <c r="AC5" s="30"/>
      <c r="AD5" s="36">
        <f t="shared" ref="AD5:AD7" si="10">IF(R5=$R$4,IF(M5="",0,M5))+IF(R5=$R$5,IF(N5="",0,N5))+IF(R5=$R$6,IF(O5="",0,O5))+IF(R5=$R$7,IF(P5="",0,P5))</f>
        <v>0.5</v>
      </c>
      <c r="AE5" s="30">
        <f t="shared" ref="AE5:AE7" si="11">$AD$9*R5+AD5</f>
        <v>5.5</v>
      </c>
      <c r="AF5" s="30">
        <f>IF(AE5=$AEE$4,IF(M5="",0,M5))+IF(AE5=$AE$5,IF(N5="",0,N5))+IF(AE5=$AE$6,IF(O5="",0,O5))+IF(AE5=$AE$7,IF(P5="",0,P5))</f>
        <v>0</v>
      </c>
      <c r="AG5" s="30">
        <f t="shared" ref="AG5:AG7" si="12">$AF$9*AE5+AF5</f>
        <v>11</v>
      </c>
      <c r="AH5" s="30">
        <f t="shared" ref="AH5:AH7" si="13">IF(AG5=$AG$4,IF(M5="",0,M5))+IF(AG5=$AG$5,IF(N5="",0,N5))+IF(AG5=$AG$6,IF(O5="",0,O5))+IF(AG5=$AG$7,IF(O5="",0,O5))</f>
        <v>0</v>
      </c>
      <c r="AI5" s="30">
        <f t="shared" ref="AI5:AI7" si="14">$AH$9*AG5+AJ5</f>
        <v>11</v>
      </c>
      <c r="AJ5" s="30"/>
      <c r="AK5" s="30">
        <f t="shared" ref="AK5:AK7" si="15">RANK(AI5,$AI$4:$AI$7,1)-1</f>
        <v>2</v>
      </c>
      <c r="AL5" s="30">
        <f t="shared" ref="AL5:AL7" si="16">RANK(R5,$R$4:$R$7,1)-1</f>
        <v>2</v>
      </c>
      <c r="AM5" s="30">
        <f t="shared" ref="AM5:AM7" si="17">4*AK5+AL5</f>
        <v>10</v>
      </c>
      <c r="AN5" s="30">
        <f t="shared" ref="AN5:AN7" si="18">RANK(AM5,$AM$4:$AM$7)</f>
        <v>2</v>
      </c>
      <c r="AO5" s="30"/>
      <c r="AP5" s="37">
        <v>2</v>
      </c>
      <c r="AQ5" s="38">
        <f>SUMIF($AQ$9:$AQ$21,B5,$AW$9:$AW$21)+SUMIF($AR$9:$AR$21,B5,$AX$9:$AX$21)</f>
        <v>2</v>
      </c>
      <c r="AR5" s="39">
        <f>SUMIF($AQ$9:$AQ$21,B5,$AY$9:$AY$21)+SUMIF($AR$9:$AR$21,B5,$AZ$9:$AZ$21)</f>
        <v>1.5</v>
      </c>
      <c r="AS5" s="39">
        <f t="shared" ref="AS5:AS7" si="19">SUM(BG5:BO5)</f>
        <v>16</v>
      </c>
      <c r="AU5" s="6">
        <v>2</v>
      </c>
      <c r="AV5" s="6">
        <f t="shared" si="2"/>
        <v>0.5</v>
      </c>
      <c r="AW5" s="6">
        <f t="shared" si="2"/>
        <v>1</v>
      </c>
      <c r="AX5" s="6">
        <f t="shared" si="2"/>
        <v>0.5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0.5</v>
      </c>
      <c r="BH5" s="6">
        <f t="shared" si="3"/>
        <v>1.5</v>
      </c>
      <c r="BI5" s="6">
        <f t="shared" si="3"/>
        <v>2</v>
      </c>
      <c r="BJ5" s="6">
        <f t="shared" si="3"/>
        <v>2</v>
      </c>
      <c r="BK5" s="6">
        <f t="shared" si="3"/>
        <v>2</v>
      </c>
      <c r="BL5" s="6">
        <f t="shared" si="3"/>
        <v>2</v>
      </c>
      <c r="BM5" s="6">
        <f t="shared" si="3"/>
        <v>2</v>
      </c>
      <c r="BN5" s="6">
        <f t="shared" si="3"/>
        <v>2</v>
      </c>
      <c r="BO5" s="6">
        <f t="shared" si="3"/>
        <v>2</v>
      </c>
    </row>
    <row r="6" spans="1:67" x14ac:dyDescent="0.25">
      <c r="A6" s="24">
        <f t="shared" si="4"/>
        <v>3</v>
      </c>
      <c r="B6" s="25">
        <v>3</v>
      </c>
      <c r="C6" s="25" t="s">
        <v>66</v>
      </c>
      <c r="D6" s="67">
        <v>8511250</v>
      </c>
      <c r="E6" s="67"/>
      <c r="F6" s="25">
        <v>1836</v>
      </c>
      <c r="M6" s="27">
        <f t="shared" si="0"/>
        <v>0</v>
      </c>
      <c r="N6" s="27">
        <f t="shared" si="0"/>
        <v>0.5</v>
      </c>
      <c r="O6" s="26" t="str">
        <f t="shared" si="0"/>
        <v/>
      </c>
      <c r="P6" s="27">
        <f t="shared" si="0"/>
        <v>1</v>
      </c>
      <c r="Q6" s="28">
        <f>SUM(M6:P6)</f>
        <v>1.5</v>
      </c>
      <c r="R6" s="29">
        <f t="shared" si="5"/>
        <v>2</v>
      </c>
      <c r="S6" s="27">
        <f t="shared" si="6"/>
        <v>3</v>
      </c>
      <c r="T6" s="30"/>
      <c r="U6" s="31">
        <v>3</v>
      </c>
      <c r="V6" s="32">
        <v>2</v>
      </c>
      <c r="W6" s="33" t="str">
        <f t="shared" si="7"/>
        <v>Anna Martinez *</v>
      </c>
      <c r="X6" s="34">
        <f t="shared" si="8"/>
        <v>1.5</v>
      </c>
      <c r="Y6" s="34">
        <f t="shared" si="8"/>
        <v>1.5</v>
      </c>
      <c r="Z6" s="34">
        <f t="shared" si="9"/>
        <v>2</v>
      </c>
      <c r="AA6" s="34">
        <f>VLOOKUP($V6,$AP$4:$AS$7,4,FALSE)</f>
        <v>16</v>
      </c>
      <c r="AB6" s="35">
        <f>VLOOKUP($V6,$B$4:$K$7,5,FALSE)</f>
        <v>2399</v>
      </c>
      <c r="AC6" s="30"/>
      <c r="AD6" s="36">
        <f t="shared" si="10"/>
        <v>0</v>
      </c>
      <c r="AE6" s="30">
        <f t="shared" si="11"/>
        <v>4</v>
      </c>
      <c r="AF6" s="30">
        <f>IF(AE6=$AEE$4,IF(M6="",0,M6))+IF(AE6=$AE$5,IF(N6="",0,N6))+IF(AE6=$AE$6,IF(O6="",0,O6))+IF(AE6=$AE$7,IF(P6="",0,P6))</f>
        <v>0</v>
      </c>
      <c r="AG6" s="30">
        <f t="shared" si="12"/>
        <v>8</v>
      </c>
      <c r="AH6" s="30">
        <f t="shared" si="13"/>
        <v>0</v>
      </c>
      <c r="AI6" s="30">
        <f t="shared" si="14"/>
        <v>8</v>
      </c>
      <c r="AJ6" s="30"/>
      <c r="AK6" s="30">
        <f t="shared" si="15"/>
        <v>1</v>
      </c>
      <c r="AL6" s="30">
        <f t="shared" si="16"/>
        <v>1</v>
      </c>
      <c r="AM6" s="30">
        <f t="shared" si="17"/>
        <v>5</v>
      </c>
      <c r="AN6" s="30">
        <f t="shared" si="18"/>
        <v>3</v>
      </c>
      <c r="AO6" s="30"/>
      <c r="AP6" s="37">
        <v>3</v>
      </c>
      <c r="AQ6" s="38">
        <f>SUMIF($AQ$9:$AQ$21,B6,$AW$9:$AW$21)+SUMIF($AR$9:$AR$21,B6,$AX$9:$AX$21)</f>
        <v>1</v>
      </c>
      <c r="AR6" s="39">
        <f>SUMIF($AQ$9:$AQ$21,B6,$AY$9:$AY$21)+SUMIF($AR$9:$AR$21,B6,$AZ$9:$AZ$21)</f>
        <v>1</v>
      </c>
      <c r="AS6" s="39">
        <f t="shared" si="19"/>
        <v>11.5</v>
      </c>
      <c r="AU6" s="6">
        <v>3</v>
      </c>
      <c r="AV6" s="6">
        <f t="shared" si="2"/>
        <v>0.5</v>
      </c>
      <c r="AW6" s="6">
        <f t="shared" si="2"/>
        <v>0</v>
      </c>
      <c r="AX6" s="6">
        <f t="shared" si="2"/>
        <v>1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0.5</v>
      </c>
      <c r="BH6" s="6">
        <f t="shared" si="3"/>
        <v>0.5</v>
      </c>
      <c r="BI6" s="6">
        <f t="shared" si="3"/>
        <v>1.5</v>
      </c>
      <c r="BJ6" s="6">
        <f t="shared" si="3"/>
        <v>1.5</v>
      </c>
      <c r="BK6" s="6">
        <f t="shared" si="3"/>
        <v>1.5</v>
      </c>
      <c r="BL6" s="6">
        <f t="shared" si="3"/>
        <v>1.5</v>
      </c>
      <c r="BM6" s="6">
        <f t="shared" si="3"/>
        <v>1.5</v>
      </c>
      <c r="BN6" s="6">
        <f t="shared" si="3"/>
        <v>1.5</v>
      </c>
      <c r="BO6" s="6">
        <f t="shared" si="3"/>
        <v>1.5</v>
      </c>
    </row>
    <row r="7" spans="1:67" x14ac:dyDescent="0.25">
      <c r="A7" s="24">
        <f t="shared" si="4"/>
        <v>4</v>
      </c>
      <c r="B7" s="25">
        <v>4</v>
      </c>
      <c r="C7" s="25" t="s">
        <v>67</v>
      </c>
      <c r="D7" s="67">
        <v>8560255</v>
      </c>
      <c r="E7" s="67"/>
      <c r="F7" s="25">
        <v>1827</v>
      </c>
      <c r="M7" s="27">
        <f t="shared" si="0"/>
        <v>1</v>
      </c>
      <c r="N7" s="27">
        <f t="shared" si="0"/>
        <v>0</v>
      </c>
      <c r="O7" s="27">
        <f t="shared" si="0"/>
        <v>0</v>
      </c>
      <c r="P7" s="26" t="str">
        <f t="shared" si="0"/>
        <v/>
      </c>
      <c r="Q7" s="28">
        <f>SUM(M7:P7)</f>
        <v>1</v>
      </c>
      <c r="R7" s="29">
        <f t="shared" si="5"/>
        <v>1.5</v>
      </c>
      <c r="S7" s="27">
        <f t="shared" si="6"/>
        <v>4</v>
      </c>
      <c r="T7" s="30"/>
      <c r="U7" s="31">
        <v>4</v>
      </c>
      <c r="V7" s="32">
        <v>1</v>
      </c>
      <c r="W7" s="33" t="str">
        <f t="shared" si="7"/>
        <v>William Shakhverdian</v>
      </c>
      <c r="X7" s="34">
        <f t="shared" si="8"/>
        <v>1</v>
      </c>
      <c r="Y7" s="34">
        <f t="shared" si="8"/>
        <v>1</v>
      </c>
      <c r="Z7" s="34">
        <f t="shared" si="9"/>
        <v>1.5</v>
      </c>
      <c r="AA7" s="34">
        <f>VLOOKUP($V7,$AP$4:$AS$7,4,FALSE)</f>
        <v>11.5</v>
      </c>
      <c r="AB7" s="35">
        <f>VLOOKUP($V7,$B$4:$K$7,5,FALSE)</f>
        <v>2445</v>
      </c>
      <c r="AC7" s="30"/>
      <c r="AD7" s="36">
        <f t="shared" si="10"/>
        <v>0</v>
      </c>
      <c r="AE7" s="30">
        <f t="shared" si="11"/>
        <v>3</v>
      </c>
      <c r="AF7" s="30">
        <f>IF(AE7=$AEE$4,IF(M7="",0,M7))+IF(AE7=$AE$5,IF(N7="",0,N7))+IF(AE7=$AE$6,IF(O7="",0,O7))+IF(AE7=$AE$7,IF(P7="",0,P7))</f>
        <v>0</v>
      </c>
      <c r="AG7" s="30">
        <f t="shared" si="12"/>
        <v>6</v>
      </c>
      <c r="AH7" s="30">
        <f t="shared" si="13"/>
        <v>0</v>
      </c>
      <c r="AI7" s="30">
        <f t="shared" si="14"/>
        <v>6</v>
      </c>
      <c r="AJ7" s="30"/>
      <c r="AK7" s="30">
        <f t="shared" si="15"/>
        <v>0</v>
      </c>
      <c r="AL7" s="30">
        <f t="shared" si="16"/>
        <v>0</v>
      </c>
      <c r="AM7" s="30">
        <f t="shared" si="17"/>
        <v>0</v>
      </c>
      <c r="AN7" s="30">
        <f t="shared" si="18"/>
        <v>4</v>
      </c>
      <c r="AO7" s="30"/>
      <c r="AP7" s="37">
        <v>4</v>
      </c>
      <c r="AQ7" s="38">
        <f>SUMIF($AQ$9:$AQ$21,B7,$AW$9:$AW$21)+SUMIF($AR$9:$AR$21,B7,$AX$9:$AX$21)</f>
        <v>2</v>
      </c>
      <c r="AR7" s="39">
        <f>SUMIF($AQ$9:$AQ$21,B7,$AY$9:$AY$21)+SUMIF($AR$9:$AR$21,B7,$AZ$9:$AZ$21)</f>
        <v>0</v>
      </c>
      <c r="AS7" s="39">
        <f t="shared" si="19"/>
        <v>9</v>
      </c>
      <c r="AU7" s="6">
        <v>4</v>
      </c>
      <c r="AV7" s="6">
        <f t="shared" si="2"/>
        <v>1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1</v>
      </c>
      <c r="BH7" s="6">
        <f t="shared" si="3"/>
        <v>1</v>
      </c>
      <c r="BI7" s="6">
        <f t="shared" si="3"/>
        <v>1</v>
      </c>
      <c r="BJ7" s="6">
        <f t="shared" si="3"/>
        <v>1</v>
      </c>
      <c r="BK7" s="6">
        <f t="shared" si="3"/>
        <v>1</v>
      </c>
      <c r="BL7" s="6">
        <f t="shared" si="3"/>
        <v>1</v>
      </c>
      <c r="BM7" s="6">
        <f t="shared" si="3"/>
        <v>1</v>
      </c>
      <c r="BN7" s="6">
        <f t="shared" si="3"/>
        <v>1</v>
      </c>
      <c r="BO7" s="6">
        <f t="shared" si="3"/>
        <v>1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2</v>
      </c>
      <c r="AF9" s="30">
        <f>2*MAX(AF4:AF7)+1</f>
        <v>2</v>
      </c>
      <c r="AH9" s="30">
        <f>2*MAX(AH4:AH7)+1</f>
        <v>1</v>
      </c>
      <c r="AP9" s="41" t="s">
        <v>36</v>
      </c>
      <c r="AQ9" s="41" t="s">
        <v>0</v>
      </c>
      <c r="AR9" s="41" t="s">
        <v>1</v>
      </c>
      <c r="AS9" s="41" t="s">
        <v>2</v>
      </c>
      <c r="AU9" s="42" t="s">
        <v>34</v>
      </c>
      <c r="AV9" s="42" t="s">
        <v>35</v>
      </c>
      <c r="AW9" s="6" t="s">
        <v>16</v>
      </c>
      <c r="AX9" s="6" t="s">
        <v>17</v>
      </c>
      <c r="AY9" s="6" t="s">
        <v>18</v>
      </c>
      <c r="AZ9" s="6" t="s">
        <v>19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William Shakhverdian</v>
      </c>
      <c r="D12" s="46" t="s">
        <v>5</v>
      </c>
      <c r="E12" s="66" t="str">
        <f>VLOOKUP(AR12,$B$4:$F$7,2,FALSE)</f>
        <v>Thomas Beerdsen</v>
      </c>
      <c r="F12" s="66"/>
      <c r="G12" s="66"/>
      <c r="H12" s="66"/>
      <c r="J12" s="66">
        <f>IF(S12="","",VLOOKUP(S12,Configuratie!$B$1:$E$10,3,FALSE))</f>
        <v>1</v>
      </c>
      <c r="K12" s="66"/>
      <c r="L12" s="47" t="s">
        <v>5</v>
      </c>
      <c r="N12" s="66">
        <f>IF(S12="","",VLOOKUP(S12,Configuratie!$B$1:$E$10,4,FALSE))</f>
        <v>0</v>
      </c>
      <c r="O12" s="66"/>
      <c r="Q12" s="6" t="str">
        <f>IF(S12="","",VLOOKUP(S12,Configuratie!$B$1:$E$10,2,FALSE))</f>
        <v>1-0</v>
      </c>
      <c r="S12" s="5">
        <v>1</v>
      </c>
      <c r="AP12" s="6">
        <v>1</v>
      </c>
      <c r="AQ12" s="6">
        <v>4</v>
      </c>
      <c r="AR12" s="6">
        <v>1</v>
      </c>
      <c r="AS12" s="6">
        <f>IF(AND(ISNUMBER(J12),ISNUMBER(N12)),IF(J12+N12=1,1,0),"")</f>
        <v>1</v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>
        <f>J12*AX12</f>
        <v>0</v>
      </c>
      <c r="AZ12" s="6">
        <f>N12*AW12</f>
        <v>0</v>
      </c>
    </row>
    <row r="13" spans="1:67" x14ac:dyDescent="0.25">
      <c r="B13" s="6">
        <v>2</v>
      </c>
      <c r="C13" s="6" t="str">
        <f>VLOOKUP(AQ13,$B$4:$F$7,2,FALSE)</f>
        <v>Anna Martinez *</v>
      </c>
      <c r="D13" s="46" t="s">
        <v>5</v>
      </c>
      <c r="E13" s="66" t="str">
        <f>VLOOKUP(AR13,$B$4:$F$7,2,FALSE)</f>
        <v>Max Warmerdam</v>
      </c>
      <c r="F13" s="66"/>
      <c r="G13" s="66"/>
      <c r="H13" s="66"/>
      <c r="J13" s="66">
        <f>IF(S13="","",VLOOKUP(S13,Configuratie!$B$1:$E$10,3,FALSE))</f>
        <v>0.5</v>
      </c>
      <c r="K13" s="66"/>
      <c r="L13" s="47" t="s">
        <v>5</v>
      </c>
      <c r="N13" s="66">
        <f>IF(S13="","",VLOOKUP(S13,Configuratie!$B$1:$E$10,4,FALSE))</f>
        <v>0.5</v>
      </c>
      <c r="O13" s="66"/>
      <c r="Q13" s="6" t="str">
        <f>IF(S13="","",VLOOKUP(S13,Configuratie!$B$1:$E$10,2,FALSE))</f>
        <v>½-½</v>
      </c>
      <c r="S13" s="5">
        <v>2</v>
      </c>
      <c r="AP13" s="6">
        <v>1</v>
      </c>
      <c r="AQ13" s="6">
        <v>3</v>
      </c>
      <c r="AR13" s="6">
        <v>2</v>
      </c>
      <c r="AS13" s="6">
        <f>IF(AND(ISNUMBER(J13),ISNUMBER(N13)),IF(J13+N13=1,1,0),"")</f>
        <v>1</v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>
        <f>J13*AX13</f>
        <v>0</v>
      </c>
      <c r="AZ13" s="6">
        <f>N13*AW13</f>
        <v>0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William Shakhverdian</v>
      </c>
      <c r="D16" s="46" t="s">
        <v>5</v>
      </c>
      <c r="E16" s="66" t="str">
        <f>VLOOKUP(AR16,$B$4:$F$7,2,FALSE)</f>
        <v>Max Warmerdam</v>
      </c>
      <c r="F16" s="66"/>
      <c r="G16" s="66"/>
      <c r="H16" s="66"/>
      <c r="J16" s="66">
        <f>IF(S16="","",VLOOKUP(S16,Configuratie!$B$1:$E$10,3,FALSE))</f>
        <v>0</v>
      </c>
      <c r="K16" s="66"/>
      <c r="L16" s="47" t="s">
        <v>5</v>
      </c>
      <c r="N16" s="66">
        <f>IF(S16="","",VLOOKUP(S16,Configuratie!$B$1:$E$10,4,FALSE))</f>
        <v>1</v>
      </c>
      <c r="O16" s="66"/>
      <c r="Q16" s="6" t="str">
        <f>IF(S16="","",VLOOKUP(S16,Configuratie!$B$1:$E$10,2,FALSE))</f>
        <v>0-1</v>
      </c>
      <c r="S16" s="5">
        <v>0</v>
      </c>
      <c r="AP16" s="6">
        <v>2</v>
      </c>
      <c r="AQ16" s="6">
        <v>4</v>
      </c>
      <c r="AR16" s="6">
        <v>2</v>
      </c>
      <c r="AS16" s="6">
        <f>IF(AND(ISNUMBER(J16),ISNUMBER(N16)),IF(J16+N16=1,1,0),"")</f>
        <v>1</v>
      </c>
      <c r="AU16" s="48">
        <f>AQ16*100+AR16</f>
        <v>402</v>
      </c>
      <c r="AV16" s="48">
        <f>AR16*100+AQ16</f>
        <v>204</v>
      </c>
      <c r="AW16" s="6">
        <f>VLOOKUP(AQ16,$BF$3:$BO$7,$AP16,FALSE)</f>
        <v>1</v>
      </c>
      <c r="AX16" s="6">
        <f>VLOOKUP(AR16,$BF$3:$BO$7,$AP16,FALSE)</f>
        <v>0.5</v>
      </c>
      <c r="AY16" s="6">
        <f>J16*AX16</f>
        <v>0</v>
      </c>
      <c r="AZ16" s="6">
        <f>N16*AW16</f>
        <v>1</v>
      </c>
    </row>
    <row r="17" spans="2:52" x14ac:dyDescent="0.25">
      <c r="B17" s="6">
        <v>2</v>
      </c>
      <c r="C17" s="6" t="str">
        <f>VLOOKUP(AQ17,$B$4:$F$7,2,FALSE)</f>
        <v>Thomas Beerdsen</v>
      </c>
      <c r="D17" s="46" t="s">
        <v>5</v>
      </c>
      <c r="E17" s="66" t="str">
        <f>VLOOKUP(AR17,$B$4:$F$7,2,FALSE)</f>
        <v>Anna Martinez *</v>
      </c>
      <c r="F17" s="66"/>
      <c r="G17" s="66"/>
      <c r="H17" s="66"/>
      <c r="J17" s="66">
        <f>IF(S17="","",VLOOKUP(S17,Configuratie!$B$1:$E$10,3,FALSE))</f>
        <v>1</v>
      </c>
      <c r="K17" s="66"/>
      <c r="L17" s="47" t="s">
        <v>5</v>
      </c>
      <c r="N17" s="66">
        <f>IF(S17="","",VLOOKUP(S17,Configuratie!$B$1:$E$10,4,FALSE))</f>
        <v>0</v>
      </c>
      <c r="O17" s="66"/>
      <c r="Q17" s="6" t="str">
        <f>IF(S17="","",VLOOKUP(S17,Configuratie!$B$1:$E$10,2,FALSE))</f>
        <v>1-0</v>
      </c>
      <c r="S17" s="5">
        <v>1</v>
      </c>
      <c r="AP17" s="6">
        <v>2</v>
      </c>
      <c r="AQ17" s="6">
        <v>1</v>
      </c>
      <c r="AR17" s="6">
        <v>3</v>
      </c>
      <c r="AS17" s="6">
        <f>IF(AND(ISNUMBER(J17),ISNUMBER(N17)),IF(J17+N17=1,1,0),"")</f>
        <v>1</v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0.5</v>
      </c>
      <c r="AY17" s="6">
        <f>J17*AX17</f>
        <v>0.5</v>
      </c>
      <c r="AZ17" s="6">
        <f>N17*AW17</f>
        <v>0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0</v>
      </c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Anna Martinez *</v>
      </c>
      <c r="D20" s="46" t="s">
        <v>5</v>
      </c>
      <c r="E20" s="66" t="str">
        <f>VLOOKUP(AR20,$B$4:$F$7,2,FALSE)</f>
        <v>William Shakhverdian</v>
      </c>
      <c r="F20" s="66"/>
      <c r="G20" s="66"/>
      <c r="H20" s="66"/>
      <c r="J20" s="66">
        <f>IF(S20="","",VLOOKUP(S20,Configuratie!$B$1:$E$10,3,FALSE))</f>
        <v>1</v>
      </c>
      <c r="K20" s="66"/>
      <c r="L20" s="47" t="s">
        <v>5</v>
      </c>
      <c r="N20" s="66">
        <f>IF(S20="","",VLOOKUP(S20,Configuratie!$B$1:$E$10,4,FALSE))</f>
        <v>0</v>
      </c>
      <c r="O20" s="66"/>
      <c r="Q20" s="6" t="str">
        <f>IF(S20="","",VLOOKUP(S20,Configuratie!$B$1:$E$10,2,FALSE))</f>
        <v>1-0</v>
      </c>
      <c r="S20" s="5">
        <v>1</v>
      </c>
      <c r="AP20" s="6">
        <v>3</v>
      </c>
      <c r="AQ20" s="6">
        <v>3</v>
      </c>
      <c r="AR20" s="6">
        <v>4</v>
      </c>
      <c r="AS20" s="6">
        <f>IF(AND(ISNUMBER(J20),ISNUMBER(N20)),IF(J20+N20=1,1,0),"")</f>
        <v>1</v>
      </c>
      <c r="AU20" s="48">
        <f>AQ20*100+AR20</f>
        <v>304</v>
      </c>
      <c r="AV20" s="48">
        <f>AR20*100+AQ20</f>
        <v>403</v>
      </c>
      <c r="AW20" s="6">
        <f>VLOOKUP(AQ20,$BF$3:$BO$7,$AP20,FALSE)</f>
        <v>0.5</v>
      </c>
      <c r="AX20" s="6">
        <f>VLOOKUP(AR20,$BF$3:$BO$7,$AP20,FALSE)</f>
        <v>1</v>
      </c>
      <c r="AY20" s="6">
        <f>J20*AX20</f>
        <v>1</v>
      </c>
      <c r="AZ20" s="6">
        <f>N20*AW20</f>
        <v>0</v>
      </c>
    </row>
    <row r="21" spans="2:52" x14ac:dyDescent="0.25">
      <c r="B21" s="6">
        <v>2</v>
      </c>
      <c r="C21" s="6" t="str">
        <f>VLOOKUP(AQ21,$B$4:$F$7,2,FALSE)</f>
        <v>Max Warmerdam</v>
      </c>
      <c r="D21" s="46" t="s">
        <v>5</v>
      </c>
      <c r="E21" s="66" t="str">
        <f>VLOOKUP(AR21,$B$4:$F$7,2,FALSE)</f>
        <v>Thomas Beerdsen</v>
      </c>
      <c r="F21" s="66"/>
      <c r="G21" s="66"/>
      <c r="H21" s="66"/>
      <c r="J21" s="66">
        <f>IF(S21="","",VLOOKUP(S21,Configuratie!$B$1:$E$10,3,FALSE))</f>
        <v>0.5</v>
      </c>
      <c r="K21" s="66"/>
      <c r="L21" s="47" t="s">
        <v>5</v>
      </c>
      <c r="N21" s="66">
        <f>IF(S21="","",VLOOKUP(S21,Configuratie!$B$1:$E$10,4,FALSE))</f>
        <v>0.5</v>
      </c>
      <c r="O21" s="66"/>
      <c r="Q21" s="6" t="str">
        <f>IF(S21="","",VLOOKUP(S21,Configuratie!$B$1:$E$10,2,FALSE))</f>
        <v>½-½</v>
      </c>
      <c r="S21" s="5">
        <v>2</v>
      </c>
      <c r="AP21" s="6">
        <v>3</v>
      </c>
      <c r="AQ21" s="6">
        <v>2</v>
      </c>
      <c r="AR21" s="6">
        <v>1</v>
      </c>
      <c r="AS21" s="6">
        <f>IF(AND(ISNUMBER(J21),ISNUMBER(N21)),IF(J21+N21=1,1,0),"")</f>
        <v>1</v>
      </c>
      <c r="AU21" s="48">
        <f>AQ21*100+AR21</f>
        <v>201</v>
      </c>
      <c r="AV21" s="48">
        <f>AR21*100+AQ21</f>
        <v>102</v>
      </c>
      <c r="AW21" s="6">
        <f>VLOOKUP(AQ21,$BF$3:$BO$7,$AP21,FALSE)</f>
        <v>1.5</v>
      </c>
      <c r="AX21" s="6">
        <f>VLOOKUP(AR21,$BF$3:$BO$7,$AP21,FALSE)</f>
        <v>1</v>
      </c>
      <c r="AY21" s="6">
        <f>J21*AX21</f>
        <v>0.5</v>
      </c>
      <c r="AZ21" s="6">
        <f>N21*AW21</f>
        <v>0.75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51" priority="5" stopIfTrue="1" operator="between">
      <formula>0</formula>
      <formula>1</formula>
    </cfRule>
  </conditionalFormatting>
  <conditionalFormatting sqref="S4:S7">
    <cfRule type="cellIs" dxfId="50" priority="1" operator="equal">
      <formula>3</formula>
    </cfRule>
    <cfRule type="cellIs" dxfId="49" priority="2" operator="equal">
      <formula>2</formula>
    </cfRule>
    <cfRule type="cellIs" dxfId="48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autoPageBreaks="0" fitToPage="1"/>
  </sheetPr>
  <dimension ref="A1:BP21"/>
  <sheetViews>
    <sheetView view="pageBreakPreview" zoomScaleNormal="100" zoomScaleSheetLayoutView="100" workbookViewId="0">
      <selection activeCell="S21" sqref="S21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2" width="3.7109375" style="6" customWidth="1" collapsed="1"/>
    <col min="13" max="13" width="3.85546875" style="6" customWidth="1" collapsed="1"/>
    <col min="14" max="14" width="4.28515625" style="6" customWidth="1" collapsed="1"/>
    <col min="15" max="15" width="5.28515625" style="6" customWidth="1" collapsed="1"/>
    <col min="16" max="16" width="3.7109375" style="6" customWidth="1" collapsed="1"/>
    <col min="17" max="17" width="10.140625" style="6" customWidth="1" collapsed="1"/>
    <col min="18" max="18" width="7" style="6" customWidth="1" collapsed="1"/>
    <col min="19" max="19" width="6.7109375" style="6" customWidth="1" collapsed="1"/>
    <col min="20" max="20" width="3.7109375" style="6" customWidth="1" collapsed="1"/>
    <col min="21" max="21" width="6.7109375" style="6" customWidth="1" collapsed="1"/>
    <col min="22" max="22" width="3" style="6" hidden="1" customWidth="1" collapsed="1"/>
    <col min="23" max="23" width="27.7109375" style="6" customWidth="1" collapsed="1"/>
    <col min="24" max="24" width="6.7109375" style="6" customWidth="1" collapsed="1"/>
    <col min="25" max="25" width="6.7109375" style="6" hidden="1" customWidth="1" collapsed="1"/>
    <col min="26" max="26" width="6.7109375" style="6" customWidth="1" collapsed="1"/>
    <col min="27" max="28" width="6.7109375" style="6" hidden="1" customWidth="1" collapsed="1"/>
    <col min="29" max="29" width="3.5703125" style="6" customWidth="1" collapsed="1"/>
    <col min="30" max="30" width="8.85546875" style="6" hidden="1" customWidth="1" collapsed="1"/>
    <col min="31" max="31" width="6.140625" style="6" hidden="1" customWidth="1" collapsed="1"/>
    <col min="32" max="32" width="8.5703125" style="6" hidden="1" customWidth="1" collapsed="1"/>
    <col min="33" max="33" width="6.140625" style="6" hidden="1" customWidth="1" collapsed="1"/>
    <col min="34" max="34" width="8.5703125" style="6" hidden="1" customWidth="1" collapsed="1"/>
    <col min="35" max="36" width="6.7109375" style="6" hidden="1" customWidth="1" collapsed="1"/>
    <col min="37" max="37" width="10.42578125" style="6" hidden="1" customWidth="1" collapsed="1"/>
    <col min="38" max="42" width="6.7109375" style="6" hidden="1" customWidth="1" collapsed="1"/>
    <col min="43" max="46" width="9.140625" style="6" hidden="1" customWidth="1" collapsed="1"/>
    <col min="47" max="48" width="4.42578125" style="6" hidden="1" customWidth="1" collapsed="1"/>
    <col min="49" max="67" width="3.7109375" style="6" hidden="1" customWidth="1" collapsed="1"/>
    <col min="68" max="68" width="9.140625" style="6" hidden="1" customWidth="1" collapsed="1"/>
    <col min="69" max="85" width="9.140625" style="6" customWidth="1" collapsed="1"/>
    <col min="86" max="16384" width="9.140625" style="6" collapsed="1"/>
  </cols>
  <sheetData>
    <row r="1" spans="1:67" ht="26.25" x14ac:dyDescent="0.4">
      <c r="A1" s="24">
        <v>4</v>
      </c>
      <c r="B1" s="68" t="s">
        <v>29</v>
      </c>
      <c r="C1" s="68"/>
      <c r="D1" s="68"/>
      <c r="E1" s="68"/>
      <c r="F1" s="68"/>
      <c r="G1" s="71" t="s">
        <v>68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15"/>
      <c r="U1" s="69" t="str">
        <f>"UITSLAG " &amp; G1</f>
        <v>UITSLAG Groep B</v>
      </c>
      <c r="V1" s="70"/>
      <c r="W1" s="70"/>
      <c r="X1" s="70"/>
      <c r="Y1" s="70"/>
      <c r="Z1" s="70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25</v>
      </c>
      <c r="AR2" s="16" t="s">
        <v>24</v>
      </c>
      <c r="AS2" s="16" t="s">
        <v>26</v>
      </c>
      <c r="AV2" s="70" t="s">
        <v>20</v>
      </c>
      <c r="AW2" s="70"/>
      <c r="AX2" s="70"/>
      <c r="AY2" s="70"/>
      <c r="AZ2" s="70"/>
      <c r="BA2" s="70"/>
      <c r="BB2" s="70"/>
      <c r="BC2" s="70"/>
      <c r="BD2" s="70"/>
      <c r="BE2" s="17"/>
      <c r="BF2" s="18"/>
      <c r="BG2" s="70" t="s">
        <v>21</v>
      </c>
      <c r="BH2" s="70"/>
      <c r="BI2" s="70"/>
      <c r="BJ2" s="70"/>
      <c r="BK2" s="70"/>
      <c r="BL2" s="70"/>
      <c r="BM2" s="70"/>
      <c r="BN2" s="70"/>
      <c r="BO2" s="70"/>
    </row>
    <row r="3" spans="1:67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15</v>
      </c>
      <c r="R3" s="7" t="s">
        <v>24</v>
      </c>
      <c r="S3" s="7" t="s">
        <v>56</v>
      </c>
      <c r="T3" s="21"/>
      <c r="U3" s="7" t="s">
        <v>30</v>
      </c>
      <c r="V3" s="22" t="s">
        <v>28</v>
      </c>
      <c r="W3" s="7" t="s">
        <v>6</v>
      </c>
      <c r="X3" s="7" t="s">
        <v>27</v>
      </c>
      <c r="Y3" s="7" t="s">
        <v>22</v>
      </c>
      <c r="Z3" s="7" t="s">
        <v>24</v>
      </c>
      <c r="AA3" s="7" t="s">
        <v>31</v>
      </c>
      <c r="AB3" s="7" t="s">
        <v>32</v>
      </c>
      <c r="AC3" s="21"/>
      <c r="AD3" s="7" t="s">
        <v>47</v>
      </c>
      <c r="AE3" s="7" t="s">
        <v>48</v>
      </c>
      <c r="AF3" s="7" t="s">
        <v>49</v>
      </c>
      <c r="AG3" s="7" t="s">
        <v>50</v>
      </c>
      <c r="AH3" s="7" t="s">
        <v>51</v>
      </c>
      <c r="AI3" s="7" t="s">
        <v>52</v>
      </c>
      <c r="AJ3" s="7"/>
      <c r="AK3" s="7" t="s">
        <v>53</v>
      </c>
      <c r="AL3" s="7" t="s">
        <v>54</v>
      </c>
      <c r="AM3" s="7" t="s">
        <v>55</v>
      </c>
      <c r="AN3" s="7" t="s">
        <v>56</v>
      </c>
      <c r="AO3" s="21"/>
      <c r="AP3" s="7" t="s">
        <v>33</v>
      </c>
      <c r="AQ3" s="23" t="s">
        <v>23</v>
      </c>
      <c r="AR3" s="16" t="s">
        <v>23</v>
      </c>
      <c r="AS3" s="16" t="s">
        <v>23</v>
      </c>
      <c r="AU3" s="6" t="s">
        <v>28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28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3</v>
      </c>
      <c r="B4" s="25">
        <v>1</v>
      </c>
      <c r="C4" s="25" t="s">
        <v>69</v>
      </c>
      <c r="D4" s="67">
        <v>8524736</v>
      </c>
      <c r="E4" s="67"/>
      <c r="F4" s="25">
        <v>1793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>
        <f t="shared" si="0"/>
        <v>1</v>
      </c>
      <c r="O4" s="27">
        <f t="shared" si="0"/>
        <v>0.5</v>
      </c>
      <c r="P4" s="27">
        <f t="shared" si="0"/>
        <v>0</v>
      </c>
      <c r="Q4" s="28">
        <f>SUM(M4:P4)</f>
        <v>1.5</v>
      </c>
      <c r="R4" s="29">
        <f>IF(M4="",0,M4)*$Q$4+IF(N4="",0,N4)*$Q$5+IF(O4="",0,O4)*$Q$6+IF(P4="",0,P4)*$Q$7</f>
        <v>1.5</v>
      </c>
      <c r="S4" s="27">
        <f>AN4</f>
        <v>3</v>
      </c>
      <c r="T4" s="30"/>
      <c r="U4" s="31">
        <v>1</v>
      </c>
      <c r="V4" s="32">
        <v>4</v>
      </c>
      <c r="W4" s="33" t="str">
        <f>IF(ISNA(VLOOKUP(B4,$A$4:$T$7,3,FALSE)),C4,VLOOKUP(B4,$A$4:$T$7,3,FALSE))</f>
        <v>Imre Woest *</v>
      </c>
      <c r="X4" s="34">
        <f>IF(ISNA(VLOOKUP($B4,$A$4:$S$7,17,FALSE)),0,VLOOKUP($B4,$A$4:$S$7,17,FALSE))</f>
        <v>2</v>
      </c>
      <c r="Y4" s="34">
        <f t="shared" ref="Y4" si="1">IF(ISNA(VLOOKUP($B4,$A$4:$S$7,17,FALSE)),0,VLOOKUP($B4,$A$4:$S$7,17,FALSE))</f>
        <v>2</v>
      </c>
      <c r="Z4" s="34">
        <f>IF(ISNA(VLOOKUP($B4,$A$4:$S$7,18,FALSE)),0,VLOOKUP($B4,$A$4:$S$7,18,FALSE))</f>
        <v>3</v>
      </c>
      <c r="AA4" s="34">
        <f>VLOOKUP($V4,$AP$4:$AS$7,4,FALSE)</f>
        <v>17</v>
      </c>
      <c r="AB4" s="35">
        <f>VLOOKUP($V4,$B$4:$K$7,5,FALSE)</f>
        <v>1360</v>
      </c>
      <c r="AC4" s="30"/>
      <c r="AD4" s="36">
        <f>IF(R4=$R$4,IF(M4="",0,M4))+IF(R4=$R$5,IF(N4="",0,N4))+IF(R4=$R$6,IF(O4="",0,O4))+IF(R4=$R$7,IF(P4="",0,P4))</f>
        <v>0</v>
      </c>
      <c r="AE4" s="30">
        <f>$AD$9*R4+AD4</f>
        <v>1.5</v>
      </c>
      <c r="AF4" s="30">
        <f>IF(AE4=$AEE$4,IF(M4="",0,M4))+IF(AE4=$AE$5,IF(N4="",0,N4))+IF(AE4=$AE$6,IF(O4="",0,O4))+IF(AE4=$AE$7,IF(P4="",0,P4))</f>
        <v>0</v>
      </c>
      <c r="AG4" s="30">
        <f>$AF$9*AE4+AF4</f>
        <v>1.5</v>
      </c>
      <c r="AH4" s="30">
        <f>IF(AG4=$AG$4,IF(M4="",0,M4))+IF(AG4=$AG$5,IF(N4="",0,N4))+IF(AG4=$AG$6,IF(O4="",0,O4))+IF(AG4=$AG$7,IF(O4="",0,O4))</f>
        <v>0</v>
      </c>
      <c r="AI4" s="30">
        <f>$AH$9*AG4+AJ4</f>
        <v>1.5</v>
      </c>
      <c r="AJ4" s="30"/>
      <c r="AK4" s="30">
        <f>RANK(AI4,$AI$4:$AI$7,1)-1</f>
        <v>1</v>
      </c>
      <c r="AL4" s="30">
        <f>RANK(R4,$R$4:$R$7,1)-1</f>
        <v>1</v>
      </c>
      <c r="AM4" s="30">
        <f>4*AK4+AL4</f>
        <v>5</v>
      </c>
      <c r="AN4" s="30">
        <f>RANK(AM4,$AM$4:$AM$7)</f>
        <v>3</v>
      </c>
      <c r="AO4" s="30"/>
      <c r="AP4" s="37">
        <v>1</v>
      </c>
      <c r="AQ4" s="38">
        <f>SUMIF($AQ$9:$AQ$21,B4,$AW$9:$AW$21)+SUMIF($AR$9:$AR$21,B4,$AX$9:$AX$21)</f>
        <v>0.5</v>
      </c>
      <c r="AR4" s="39">
        <f>SUMIF($AQ$9:$AQ$21,B4,$AY$9:$AY$21)+SUMIF($AR$9:$AR$21,B4,$AZ$9:$AZ$21)</f>
        <v>0.75</v>
      </c>
      <c r="AS4" s="39">
        <f>SUM(BG4:BO4)</f>
        <v>11</v>
      </c>
      <c r="AU4" s="6">
        <v>1</v>
      </c>
      <c r="AV4" s="6">
        <f t="shared" ref="AV4:BD7" si="2">SUMIFS($J$12:$J$21,$AQ$12:$AQ$21,$AU4,$AP$12:$AP$21,AV$3)+SUMIFS($N$12:$N$21,$AR$12:$AR$21,$AU4,$AP$12:$AP$21,AV$3)</f>
        <v>0</v>
      </c>
      <c r="AW4" s="6">
        <f t="shared" si="2"/>
        <v>0.5</v>
      </c>
      <c r="AX4" s="6">
        <f t="shared" si="2"/>
        <v>1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0.5</v>
      </c>
      <c r="BI4" s="6">
        <f t="shared" si="3"/>
        <v>1.5</v>
      </c>
      <c r="BJ4" s="6">
        <f t="shared" si="3"/>
        <v>1.5</v>
      </c>
      <c r="BK4" s="6">
        <f t="shared" si="3"/>
        <v>1.5</v>
      </c>
      <c r="BL4" s="6">
        <f t="shared" si="3"/>
        <v>1.5</v>
      </c>
      <c r="BM4" s="6">
        <f t="shared" si="3"/>
        <v>1.5</v>
      </c>
      <c r="BN4" s="6">
        <f t="shared" si="3"/>
        <v>1.5</v>
      </c>
      <c r="BO4" s="6">
        <f t="shared" si="3"/>
        <v>1.5</v>
      </c>
    </row>
    <row r="5" spans="1:67" x14ac:dyDescent="0.25">
      <c r="A5" s="24">
        <f t="shared" ref="A5:A7" si="4">S5</f>
        <v>4</v>
      </c>
      <c r="B5" s="25">
        <v>2</v>
      </c>
      <c r="C5" s="25" t="s">
        <v>70</v>
      </c>
      <c r="D5" s="67">
        <v>8295309</v>
      </c>
      <c r="E5" s="67"/>
      <c r="F5" s="25">
        <v>1650</v>
      </c>
      <c r="M5" s="27">
        <f t="shared" si="0"/>
        <v>0</v>
      </c>
      <c r="N5" s="26" t="str">
        <f t="shared" si="0"/>
        <v/>
      </c>
      <c r="O5" s="27">
        <f t="shared" si="0"/>
        <v>0.5</v>
      </c>
      <c r="P5" s="27">
        <f t="shared" si="0"/>
        <v>0</v>
      </c>
      <c r="Q5" s="28">
        <f>SUM(M5:P5)</f>
        <v>0.5</v>
      </c>
      <c r="R5" s="29">
        <f t="shared" ref="R5:R7" si="5">IF(M5="",0,M5)*$Q$4+IF(N5="",0,N5)*$Q$5+IF(O5="",0,O5)*$Q$6+IF(P5="",0,P5)*$Q$7</f>
        <v>1</v>
      </c>
      <c r="S5" s="27">
        <f t="shared" ref="S5:S8" si="6">AN5</f>
        <v>4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Saa Albers</v>
      </c>
      <c r="X5" s="34">
        <f t="shared" ref="X5:Y7" si="8">IF(ISNA(VLOOKUP($B5,$A$4:$S$7,17,FALSE)),0,VLOOKUP($B5,$A$4:$S$7,17,FALSE))</f>
        <v>2</v>
      </c>
      <c r="Y5" s="34">
        <f t="shared" si="8"/>
        <v>2</v>
      </c>
      <c r="Z5" s="34">
        <f t="shared" ref="Z5:Z7" si="9">IF(ISNA(VLOOKUP($B5,$A$4:$S$7,18,FALSE)),0,VLOOKUP($B5,$A$4:$S$7,18,FALSE))</f>
        <v>2</v>
      </c>
      <c r="AA5" s="34">
        <f>VLOOKUP($V5,$AP$4:$AS$7,4,FALSE)</f>
        <v>15.5</v>
      </c>
      <c r="AB5" s="35">
        <f>VLOOKUP($V5,$B$4:$K$7,5,FALSE)</f>
        <v>1385</v>
      </c>
      <c r="AC5" s="30"/>
      <c r="AD5" s="36">
        <f t="shared" ref="AD5:AD7" si="10">IF(R5=$R$4,IF(M5="",0,M5))+IF(R5=$R$5,IF(N5="",0,N5))+IF(R5=$R$6,IF(O5="",0,O5))+IF(R5=$R$7,IF(P5="",0,P5))</f>
        <v>0</v>
      </c>
      <c r="AE5" s="30">
        <f t="shared" ref="AE5:AE7" si="11">$AD$9*R5+AD5</f>
        <v>1</v>
      </c>
      <c r="AF5" s="30">
        <f>IF(AE5=$AEE$4,IF(M5="",0,M5))+IF(AE5=$AE$5,IF(N5="",0,N5))+IF(AE5=$AE$6,IF(O5="",0,O5))+IF(AE5=$AE$7,IF(P5="",0,P5))</f>
        <v>0</v>
      </c>
      <c r="AG5" s="30">
        <f t="shared" ref="AG5:AG7" si="12">$AF$9*AE5+AF5</f>
        <v>1</v>
      </c>
      <c r="AH5" s="30">
        <f t="shared" ref="AH5:AH7" si="13">IF(AG5=$AG$4,IF(M5="",0,M5))+IF(AG5=$AG$5,IF(N5="",0,N5))+IF(AG5=$AG$6,IF(O5="",0,O5))+IF(AG5=$AG$7,IF(O5="",0,O5))</f>
        <v>0</v>
      </c>
      <c r="AI5" s="30">
        <f t="shared" ref="AI5:AI7" si="14">$AH$9*AG5+AJ5</f>
        <v>1</v>
      </c>
      <c r="AJ5" s="30"/>
      <c r="AK5" s="30">
        <f t="shared" ref="AK5:AK7" si="15">RANK(AI5,$AI$4:$AI$7,1)-1</f>
        <v>0</v>
      </c>
      <c r="AL5" s="30">
        <f t="shared" ref="AL5:AL7" si="16">RANK(R5,$R$4:$R$7,1)-1</f>
        <v>0</v>
      </c>
      <c r="AM5" s="30">
        <f t="shared" ref="AM5:AM7" si="17">4*AK5+AL5</f>
        <v>0</v>
      </c>
      <c r="AN5" s="30">
        <f t="shared" ref="AN5:AN7" si="18">RANK(AM5,$AM$4:$AM$7)</f>
        <v>4</v>
      </c>
      <c r="AO5" s="30"/>
      <c r="AP5" s="37">
        <v>2</v>
      </c>
      <c r="AQ5" s="38">
        <f>SUMIF($AQ$9:$AQ$21,B5,$AW$9:$AW$21)+SUMIF($AR$9:$AR$21,B5,$AX$9:$AX$21)</f>
        <v>1</v>
      </c>
      <c r="AR5" s="39">
        <f>SUMIF($AQ$9:$AQ$21,B5,$AY$9:$AY$21)+SUMIF($AR$9:$AR$21,B5,$AZ$9:$AZ$21)</f>
        <v>0</v>
      </c>
      <c r="AS5" s="39">
        <f t="shared" ref="AS5:AS7" si="19">SUM(BG5:BO5)</f>
        <v>4.5</v>
      </c>
      <c r="AU5" s="6">
        <v>2</v>
      </c>
      <c r="AV5" s="6">
        <f t="shared" si="2"/>
        <v>0.5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0.5</v>
      </c>
      <c r="BH5" s="6">
        <f t="shared" si="3"/>
        <v>0.5</v>
      </c>
      <c r="BI5" s="6">
        <f t="shared" si="3"/>
        <v>0.5</v>
      </c>
      <c r="BJ5" s="6">
        <f t="shared" si="3"/>
        <v>0.5</v>
      </c>
      <c r="BK5" s="6">
        <f t="shared" si="3"/>
        <v>0.5</v>
      </c>
      <c r="BL5" s="6">
        <f t="shared" si="3"/>
        <v>0.5</v>
      </c>
      <c r="BM5" s="6">
        <f t="shared" si="3"/>
        <v>0.5</v>
      </c>
      <c r="BN5" s="6">
        <f t="shared" si="3"/>
        <v>0.5</v>
      </c>
      <c r="BO5" s="6">
        <f t="shared" si="3"/>
        <v>0.5</v>
      </c>
    </row>
    <row r="6" spans="1:67" x14ac:dyDescent="0.25">
      <c r="A6" s="24">
        <f t="shared" si="4"/>
        <v>1</v>
      </c>
      <c r="B6" s="25">
        <v>3</v>
      </c>
      <c r="C6" s="25" t="s">
        <v>71</v>
      </c>
      <c r="D6" s="67">
        <v>8560915</v>
      </c>
      <c r="E6" s="67"/>
      <c r="F6" s="25">
        <v>1385</v>
      </c>
      <c r="M6" s="27">
        <f t="shared" si="0"/>
        <v>0.5</v>
      </c>
      <c r="N6" s="27">
        <f t="shared" si="0"/>
        <v>0.5</v>
      </c>
      <c r="O6" s="26" t="str">
        <f t="shared" si="0"/>
        <v/>
      </c>
      <c r="P6" s="27">
        <f t="shared" si="0"/>
        <v>1</v>
      </c>
      <c r="Q6" s="28">
        <f>SUM(M6:P6)</f>
        <v>2</v>
      </c>
      <c r="R6" s="29">
        <f t="shared" si="5"/>
        <v>3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Tobias de Vries</v>
      </c>
      <c r="X6" s="34">
        <f t="shared" si="8"/>
        <v>1.5</v>
      </c>
      <c r="Y6" s="34">
        <f t="shared" si="8"/>
        <v>1.5</v>
      </c>
      <c r="Z6" s="34">
        <f t="shared" si="9"/>
        <v>1.5</v>
      </c>
      <c r="AA6" s="34">
        <f>VLOOKUP($V6,$AP$4:$AS$7,4,FALSE)</f>
        <v>4.5</v>
      </c>
      <c r="AB6" s="35">
        <f>VLOOKUP($V6,$B$4:$K$7,5,FALSE)</f>
        <v>1650</v>
      </c>
      <c r="AC6" s="30"/>
      <c r="AD6" s="36">
        <f t="shared" si="10"/>
        <v>0</v>
      </c>
      <c r="AE6" s="30">
        <f t="shared" si="11"/>
        <v>3</v>
      </c>
      <c r="AF6" s="30">
        <f>IF(AE6=$AEE$4,IF(M6="",0,M6))+IF(AE6=$AE$5,IF(N6="",0,N6))+IF(AE6=$AE$6,IF(O6="",0,O6))+IF(AE6=$AE$7,IF(P6="",0,P6))</f>
        <v>0</v>
      </c>
      <c r="AG6" s="30">
        <f t="shared" si="12"/>
        <v>3</v>
      </c>
      <c r="AH6" s="30">
        <f t="shared" si="13"/>
        <v>0</v>
      </c>
      <c r="AI6" s="30">
        <f t="shared" si="14"/>
        <v>3</v>
      </c>
      <c r="AJ6" s="30"/>
      <c r="AK6" s="30">
        <f t="shared" si="15"/>
        <v>3</v>
      </c>
      <c r="AL6" s="30">
        <f t="shared" si="16"/>
        <v>3</v>
      </c>
      <c r="AM6" s="30">
        <f t="shared" si="17"/>
        <v>15</v>
      </c>
      <c r="AN6" s="30">
        <f t="shared" si="18"/>
        <v>1</v>
      </c>
      <c r="AO6" s="30"/>
      <c r="AP6" s="37">
        <v>3</v>
      </c>
      <c r="AQ6" s="38">
        <f>SUMIF($AQ$9:$AQ$21,B6,$AW$9:$AW$21)+SUMIF($AR$9:$AR$21,B6,$AX$9:$AX$21)</f>
        <v>1.5</v>
      </c>
      <c r="AR6" s="39">
        <f>SUMIF($AQ$9:$AQ$21,B6,$AY$9:$AY$21)+SUMIF($AR$9:$AR$21,B6,$AZ$9:$AZ$21)</f>
        <v>2</v>
      </c>
      <c r="AS6" s="39">
        <f t="shared" si="19"/>
        <v>15.5</v>
      </c>
      <c r="AU6" s="6">
        <v>3</v>
      </c>
      <c r="AV6" s="6">
        <f t="shared" si="2"/>
        <v>0.5</v>
      </c>
      <c r="AW6" s="6">
        <f t="shared" si="2"/>
        <v>0.5</v>
      </c>
      <c r="AX6" s="6">
        <f t="shared" si="2"/>
        <v>1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0.5</v>
      </c>
      <c r="BH6" s="6">
        <f t="shared" si="3"/>
        <v>1</v>
      </c>
      <c r="BI6" s="6">
        <f t="shared" si="3"/>
        <v>2</v>
      </c>
      <c r="BJ6" s="6">
        <f t="shared" si="3"/>
        <v>2</v>
      </c>
      <c r="BK6" s="6">
        <f t="shared" si="3"/>
        <v>2</v>
      </c>
      <c r="BL6" s="6">
        <f t="shared" si="3"/>
        <v>2</v>
      </c>
      <c r="BM6" s="6">
        <f t="shared" si="3"/>
        <v>2</v>
      </c>
      <c r="BN6" s="6">
        <f t="shared" si="3"/>
        <v>2</v>
      </c>
      <c r="BO6" s="6">
        <f t="shared" si="3"/>
        <v>2</v>
      </c>
    </row>
    <row r="7" spans="1:67" x14ac:dyDescent="0.25">
      <c r="A7" s="24">
        <f t="shared" si="4"/>
        <v>2</v>
      </c>
      <c r="B7" s="25">
        <v>4</v>
      </c>
      <c r="C7" s="25" t="s">
        <v>72</v>
      </c>
      <c r="D7" s="67">
        <v>8649487</v>
      </c>
      <c r="E7" s="67"/>
      <c r="F7" s="25">
        <v>1360</v>
      </c>
      <c r="M7" s="27">
        <f t="shared" si="0"/>
        <v>1</v>
      </c>
      <c r="N7" s="27">
        <f t="shared" si="0"/>
        <v>1</v>
      </c>
      <c r="O7" s="27">
        <f t="shared" si="0"/>
        <v>0</v>
      </c>
      <c r="P7" s="26" t="str">
        <f t="shared" si="0"/>
        <v/>
      </c>
      <c r="Q7" s="28">
        <f>SUM(M7:P7)</f>
        <v>2</v>
      </c>
      <c r="R7" s="29">
        <f t="shared" si="5"/>
        <v>2</v>
      </c>
      <c r="S7" s="27">
        <f t="shared" si="6"/>
        <v>2</v>
      </c>
      <c r="T7" s="30"/>
      <c r="U7" s="31">
        <v>4</v>
      </c>
      <c r="V7" s="32">
        <v>1</v>
      </c>
      <c r="W7" s="33" t="str">
        <f t="shared" si="7"/>
        <v>Willeke Knottnerus *</v>
      </c>
      <c r="X7" s="34">
        <f t="shared" si="8"/>
        <v>0.5</v>
      </c>
      <c r="Y7" s="34">
        <f t="shared" si="8"/>
        <v>0.5</v>
      </c>
      <c r="Z7" s="34">
        <f t="shared" si="9"/>
        <v>1</v>
      </c>
      <c r="AA7" s="34">
        <f>VLOOKUP($V7,$AP$4:$AS$7,4,FALSE)</f>
        <v>11</v>
      </c>
      <c r="AB7" s="35">
        <f>VLOOKUP($V7,$B$4:$K$7,5,FALSE)</f>
        <v>1793</v>
      </c>
      <c r="AC7" s="30"/>
      <c r="AD7" s="36">
        <f t="shared" si="10"/>
        <v>0</v>
      </c>
      <c r="AE7" s="30">
        <f t="shared" si="11"/>
        <v>2</v>
      </c>
      <c r="AF7" s="30">
        <f>IF(AE7=$AEE$4,IF(M7="",0,M7))+IF(AE7=$AE$5,IF(N7="",0,N7))+IF(AE7=$AE$6,IF(O7="",0,O7))+IF(AE7=$AE$7,IF(P7="",0,P7))</f>
        <v>0</v>
      </c>
      <c r="AG7" s="30">
        <f t="shared" si="12"/>
        <v>2</v>
      </c>
      <c r="AH7" s="30">
        <f t="shared" si="13"/>
        <v>0</v>
      </c>
      <c r="AI7" s="30">
        <f t="shared" si="14"/>
        <v>2</v>
      </c>
      <c r="AJ7" s="30"/>
      <c r="AK7" s="30">
        <f t="shared" si="15"/>
        <v>2</v>
      </c>
      <c r="AL7" s="30">
        <f t="shared" si="16"/>
        <v>2</v>
      </c>
      <c r="AM7" s="30">
        <f t="shared" si="17"/>
        <v>10</v>
      </c>
      <c r="AN7" s="30">
        <f t="shared" si="18"/>
        <v>2</v>
      </c>
      <c r="AO7" s="30"/>
      <c r="AP7" s="37">
        <v>4</v>
      </c>
      <c r="AQ7" s="38">
        <f>SUMIF($AQ$9:$AQ$21,B7,$AW$9:$AW$21)+SUMIF($AR$9:$AR$21,B7,$AX$9:$AX$21)</f>
        <v>3</v>
      </c>
      <c r="AR7" s="39">
        <f>SUMIF($AQ$9:$AQ$21,B7,$AY$9:$AY$21)+SUMIF($AR$9:$AR$21,B7,$AZ$9:$AZ$21)</f>
        <v>0.5</v>
      </c>
      <c r="AS7" s="39">
        <f t="shared" si="19"/>
        <v>17</v>
      </c>
      <c r="AU7" s="6">
        <v>4</v>
      </c>
      <c r="AV7" s="6">
        <f t="shared" si="2"/>
        <v>1</v>
      </c>
      <c r="AW7" s="6">
        <f t="shared" si="2"/>
        <v>1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1</v>
      </c>
      <c r="BH7" s="6">
        <f t="shared" si="3"/>
        <v>2</v>
      </c>
      <c r="BI7" s="6">
        <f t="shared" si="3"/>
        <v>2</v>
      </c>
      <c r="BJ7" s="6">
        <f t="shared" si="3"/>
        <v>2</v>
      </c>
      <c r="BK7" s="6">
        <f t="shared" si="3"/>
        <v>2</v>
      </c>
      <c r="BL7" s="6">
        <f t="shared" si="3"/>
        <v>2</v>
      </c>
      <c r="BM7" s="6">
        <f t="shared" si="3"/>
        <v>2</v>
      </c>
      <c r="BN7" s="6">
        <f t="shared" si="3"/>
        <v>2</v>
      </c>
      <c r="BO7" s="6">
        <f t="shared" si="3"/>
        <v>2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36</v>
      </c>
      <c r="AQ9" s="41" t="s">
        <v>0</v>
      </c>
      <c r="AR9" s="41" t="s">
        <v>1</v>
      </c>
      <c r="AS9" s="41" t="s">
        <v>2</v>
      </c>
      <c r="AU9" s="42" t="s">
        <v>34</v>
      </c>
      <c r="AV9" s="42" t="s">
        <v>35</v>
      </c>
      <c r="AW9" s="6" t="s">
        <v>16</v>
      </c>
      <c r="AX9" s="6" t="s">
        <v>17</v>
      </c>
      <c r="AY9" s="6" t="s">
        <v>18</v>
      </c>
      <c r="AZ9" s="6" t="s">
        <v>19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Saa Albers</v>
      </c>
      <c r="D12" s="46" t="s">
        <v>5</v>
      </c>
      <c r="E12" s="66" t="str">
        <f>VLOOKUP(AR12,$B$4:$F$7,2,FALSE)</f>
        <v>Tobias de Vries</v>
      </c>
      <c r="F12" s="66"/>
      <c r="G12" s="66"/>
      <c r="H12" s="66"/>
      <c r="J12" s="66">
        <f>IF(S12="","",VLOOKUP(S12,Configuratie!$B$1:$E$10,3,FALSE))</f>
        <v>1</v>
      </c>
      <c r="K12" s="66"/>
      <c r="L12" s="47" t="s">
        <v>5</v>
      </c>
      <c r="N12" s="66">
        <f>IF(S12="","",VLOOKUP(S12,Configuratie!$B$1:$E$10,4,FALSE))</f>
        <v>0</v>
      </c>
      <c r="O12" s="66"/>
      <c r="Q12" s="6" t="str">
        <f>IF(S12="","",VLOOKUP(S12,Configuratie!$B$1:$E$10,2,FALSE))</f>
        <v>1-0</v>
      </c>
      <c r="S12" s="5">
        <v>1</v>
      </c>
      <c r="AP12" s="6">
        <v>1</v>
      </c>
      <c r="AQ12" s="6">
        <v>4</v>
      </c>
      <c r="AR12" s="6">
        <v>1</v>
      </c>
      <c r="AS12" s="6">
        <f>IF(AND(ISNUMBER(J12),ISNUMBER(N12)),IF(J12+N12=1,1,0),"")</f>
        <v>1</v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>
        <f>J12*AX12</f>
        <v>0</v>
      </c>
      <c r="AZ12" s="6">
        <f>N12*AW12</f>
        <v>0</v>
      </c>
    </row>
    <row r="13" spans="1:67" x14ac:dyDescent="0.25">
      <c r="B13" s="6">
        <v>2</v>
      </c>
      <c r="C13" s="6" t="str">
        <f>VLOOKUP(AQ13,$B$4:$F$7,2,FALSE)</f>
        <v>Imre Woest *</v>
      </c>
      <c r="D13" s="46" t="s">
        <v>5</v>
      </c>
      <c r="E13" s="66" t="str">
        <f>VLOOKUP(AR13,$B$4:$F$7,2,FALSE)</f>
        <v>Willeke Knottnerus *</v>
      </c>
      <c r="F13" s="66"/>
      <c r="G13" s="66"/>
      <c r="H13" s="66"/>
      <c r="J13" s="66">
        <f>IF(S13="","",VLOOKUP(S13,Configuratie!$B$1:$E$10,3,FALSE))</f>
        <v>0.5</v>
      </c>
      <c r="K13" s="66"/>
      <c r="L13" s="47" t="s">
        <v>5</v>
      </c>
      <c r="N13" s="66">
        <f>IF(S13="","",VLOOKUP(S13,Configuratie!$B$1:$E$10,4,FALSE))</f>
        <v>0.5</v>
      </c>
      <c r="O13" s="66"/>
      <c r="Q13" s="6" t="str">
        <f>IF(S13="","",VLOOKUP(S13,Configuratie!$B$1:$E$10,2,FALSE))</f>
        <v>½-½</v>
      </c>
      <c r="S13" s="5">
        <v>2</v>
      </c>
      <c r="AP13" s="6">
        <v>1</v>
      </c>
      <c r="AQ13" s="6">
        <v>3</v>
      </c>
      <c r="AR13" s="6">
        <v>2</v>
      </c>
      <c r="AS13" s="6">
        <f>IF(AND(ISNUMBER(J13),ISNUMBER(N13)),IF(J13+N13=1,1,0),"")</f>
        <v>1</v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>
        <f>J13*AX13</f>
        <v>0</v>
      </c>
      <c r="AZ13" s="6">
        <f>N13*AW13</f>
        <v>0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Saa Albers</v>
      </c>
      <c r="D16" s="46" t="s">
        <v>5</v>
      </c>
      <c r="E16" s="66" t="str">
        <f>VLOOKUP(AR16,$B$4:$F$7,2,FALSE)</f>
        <v>Willeke Knottnerus *</v>
      </c>
      <c r="F16" s="66"/>
      <c r="G16" s="66"/>
      <c r="H16" s="66"/>
      <c r="J16" s="66">
        <f>IF(S16="","",VLOOKUP(S16,Configuratie!$B$1:$E$10,3,FALSE))</f>
        <v>1</v>
      </c>
      <c r="K16" s="66"/>
      <c r="L16" s="47" t="s">
        <v>5</v>
      </c>
      <c r="N16" s="66">
        <f>IF(S16="","",VLOOKUP(S16,Configuratie!$B$1:$E$10,4,FALSE))</f>
        <v>0</v>
      </c>
      <c r="O16" s="66"/>
      <c r="Q16" s="6" t="str">
        <f>IF(S16="","",VLOOKUP(S16,Configuratie!$B$1:$E$10,2,FALSE))</f>
        <v>1-0</v>
      </c>
      <c r="S16" s="5">
        <v>1</v>
      </c>
      <c r="AP16" s="6">
        <v>2</v>
      </c>
      <c r="AQ16" s="6">
        <v>4</v>
      </c>
      <c r="AR16" s="6">
        <v>2</v>
      </c>
      <c r="AS16" s="6">
        <f>IF(AND(ISNUMBER(J16),ISNUMBER(N16)),IF(J16+N16=1,1,0),"")</f>
        <v>1</v>
      </c>
      <c r="AU16" s="48">
        <f>AQ16*100+AR16</f>
        <v>402</v>
      </c>
      <c r="AV16" s="48">
        <f>AR16*100+AQ16</f>
        <v>204</v>
      </c>
      <c r="AW16" s="6">
        <f>VLOOKUP(AQ16,$BF$3:$BO$7,$AP16,FALSE)</f>
        <v>1</v>
      </c>
      <c r="AX16" s="6">
        <f>VLOOKUP(AR16,$BF$3:$BO$7,$AP16,FALSE)</f>
        <v>0.5</v>
      </c>
      <c r="AY16" s="6">
        <f>J16*AX16</f>
        <v>0.5</v>
      </c>
      <c r="AZ16" s="6">
        <f>N16*AW16</f>
        <v>0</v>
      </c>
    </row>
    <row r="17" spans="2:52" x14ac:dyDescent="0.25">
      <c r="B17" s="6">
        <v>2</v>
      </c>
      <c r="C17" s="6" t="str">
        <f>VLOOKUP(AQ17,$B$4:$F$7,2,FALSE)</f>
        <v>Tobias de Vries</v>
      </c>
      <c r="D17" s="46" t="s">
        <v>5</v>
      </c>
      <c r="E17" s="66" t="str">
        <f>VLOOKUP(AR17,$B$4:$F$7,2,FALSE)</f>
        <v>Imre Woest *</v>
      </c>
      <c r="F17" s="66"/>
      <c r="G17" s="66"/>
      <c r="H17" s="66"/>
      <c r="J17" s="66">
        <f>IF(S17="","",VLOOKUP(S17,Configuratie!$B$1:$E$10,3,FALSE))</f>
        <v>0.5</v>
      </c>
      <c r="K17" s="66"/>
      <c r="L17" s="47" t="s">
        <v>5</v>
      </c>
      <c r="N17" s="66">
        <f>IF(S17="","",VLOOKUP(S17,Configuratie!$B$1:$E$10,4,FALSE))</f>
        <v>0.5</v>
      </c>
      <c r="O17" s="66"/>
      <c r="Q17" s="6" t="str">
        <f>IF(S17="","",VLOOKUP(S17,Configuratie!$B$1:$E$10,2,FALSE))</f>
        <v>½-½</v>
      </c>
      <c r="S17" s="5">
        <v>2</v>
      </c>
      <c r="AP17" s="6">
        <v>2</v>
      </c>
      <c r="AQ17" s="6">
        <v>1</v>
      </c>
      <c r="AR17" s="6">
        <v>3</v>
      </c>
      <c r="AS17" s="6">
        <f>IF(AND(ISNUMBER(J17),ISNUMBER(N17)),IF(J17+N17=1,1,0),"")</f>
        <v>1</v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0.5</v>
      </c>
      <c r="AY17" s="6">
        <f>J17*AX17</f>
        <v>0.25</v>
      </c>
      <c r="AZ17" s="6">
        <f>N17*AW17</f>
        <v>0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0</v>
      </c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Imre Woest *</v>
      </c>
      <c r="D20" s="46" t="s">
        <v>5</v>
      </c>
      <c r="E20" s="66" t="str">
        <f>VLOOKUP(AR20,$B$4:$F$7,2,FALSE)</f>
        <v>Saa Albers</v>
      </c>
      <c r="F20" s="66"/>
      <c r="G20" s="66"/>
      <c r="H20" s="66"/>
      <c r="J20" s="66">
        <f>IF(S20="","",VLOOKUP(S20,Configuratie!$B$1:$E$10,3,FALSE))</f>
        <v>1</v>
      </c>
      <c r="K20" s="66"/>
      <c r="L20" s="47" t="s">
        <v>5</v>
      </c>
      <c r="N20" s="66">
        <f>IF(S20="","",VLOOKUP(S20,Configuratie!$B$1:$E$10,4,FALSE))</f>
        <v>0</v>
      </c>
      <c r="O20" s="66"/>
      <c r="Q20" s="6" t="str">
        <f>IF(S20="","",VLOOKUP(S20,Configuratie!$B$1:$E$10,2,FALSE))</f>
        <v>1-0</v>
      </c>
      <c r="S20" s="5">
        <v>1</v>
      </c>
      <c r="AP20" s="6">
        <v>3</v>
      </c>
      <c r="AQ20" s="6">
        <v>3</v>
      </c>
      <c r="AR20" s="6">
        <v>4</v>
      </c>
      <c r="AS20" s="6">
        <f>IF(AND(ISNUMBER(J20),ISNUMBER(N20)),IF(J20+N20=1,1,0),"")</f>
        <v>1</v>
      </c>
      <c r="AU20" s="48">
        <f>AQ20*100+AR20</f>
        <v>304</v>
      </c>
      <c r="AV20" s="48">
        <f>AR20*100+AQ20</f>
        <v>403</v>
      </c>
      <c r="AW20" s="6">
        <f>VLOOKUP(AQ20,$BF$3:$BO$7,$AP20,FALSE)</f>
        <v>1</v>
      </c>
      <c r="AX20" s="6">
        <f>VLOOKUP(AR20,$BF$3:$BO$7,$AP20,FALSE)</f>
        <v>2</v>
      </c>
      <c r="AY20" s="6">
        <f>J20*AX20</f>
        <v>2</v>
      </c>
      <c r="AZ20" s="6">
        <f>N20*AW20</f>
        <v>0</v>
      </c>
    </row>
    <row r="21" spans="2:52" x14ac:dyDescent="0.25">
      <c r="B21" s="6">
        <v>2</v>
      </c>
      <c r="C21" s="6" t="str">
        <f>VLOOKUP(AQ21,$B$4:$F$7,2,FALSE)</f>
        <v>Willeke Knottnerus *</v>
      </c>
      <c r="D21" s="46" t="s">
        <v>5</v>
      </c>
      <c r="E21" s="66" t="str">
        <f>VLOOKUP(AR21,$B$4:$F$7,2,FALSE)</f>
        <v>Tobias de Vries</v>
      </c>
      <c r="F21" s="66"/>
      <c r="G21" s="66"/>
      <c r="H21" s="66"/>
      <c r="J21" s="66">
        <f>IF(S21="","",VLOOKUP(S21,Configuratie!$B$1:$E$10,3,FALSE))</f>
        <v>0</v>
      </c>
      <c r="K21" s="66"/>
      <c r="L21" s="47" t="s">
        <v>5</v>
      </c>
      <c r="N21" s="66">
        <f>IF(S21="","",VLOOKUP(S21,Configuratie!$B$1:$E$10,4,FALSE))</f>
        <v>1</v>
      </c>
      <c r="O21" s="66"/>
      <c r="Q21" s="6" t="str">
        <f>IF(S21="","",VLOOKUP(S21,Configuratie!$B$1:$E$10,2,FALSE))</f>
        <v>0-1</v>
      </c>
      <c r="S21" s="5">
        <v>0</v>
      </c>
      <c r="AP21" s="6">
        <v>3</v>
      </c>
      <c r="AQ21" s="6">
        <v>2</v>
      </c>
      <c r="AR21" s="6">
        <v>1</v>
      </c>
      <c r="AS21" s="6">
        <f>IF(AND(ISNUMBER(J21),ISNUMBER(N21)),IF(J21+N21=1,1,0),"")</f>
        <v>1</v>
      </c>
      <c r="AU21" s="48">
        <f>AQ21*100+AR21</f>
        <v>201</v>
      </c>
      <c r="AV21" s="48">
        <f>AR21*100+AQ21</f>
        <v>102</v>
      </c>
      <c r="AW21" s="6">
        <f>VLOOKUP(AQ21,$BF$3:$BO$7,$AP21,FALSE)</f>
        <v>0.5</v>
      </c>
      <c r="AX21" s="6">
        <f>VLOOKUP(AR21,$BF$3:$BO$7,$AP21,FALSE)</f>
        <v>0.5</v>
      </c>
      <c r="AY21" s="6">
        <f>J21*AX21</f>
        <v>0</v>
      </c>
      <c r="AZ21" s="6">
        <f>N21*AW21</f>
        <v>0.5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47" priority="5" stopIfTrue="1" operator="between">
      <formula>0</formula>
      <formula>1</formula>
    </cfRule>
  </conditionalFormatting>
  <conditionalFormatting sqref="S4:S7">
    <cfRule type="cellIs" dxfId="46" priority="1" operator="equal">
      <formula>3</formula>
    </cfRule>
    <cfRule type="cellIs" dxfId="45" priority="2" operator="equal">
      <formula>2</formula>
    </cfRule>
    <cfRule type="cellIs" dxfId="4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autoPageBreaks="0" fitToPage="1"/>
  </sheetPr>
  <dimension ref="A1:BP21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2" width="3.7109375" style="6" customWidth="1" collapsed="1"/>
    <col min="13" max="13" width="3.85546875" style="6" customWidth="1" collapsed="1"/>
    <col min="14" max="14" width="4.28515625" style="6" customWidth="1" collapsed="1"/>
    <col min="15" max="15" width="5.28515625" style="6" customWidth="1" collapsed="1"/>
    <col min="16" max="16" width="3.7109375" style="6" customWidth="1" collapsed="1"/>
    <col min="17" max="17" width="10.140625" style="6" customWidth="1" collapsed="1"/>
    <col min="18" max="18" width="7" style="6" customWidth="1" collapsed="1"/>
    <col min="19" max="19" width="6.7109375" style="6" customWidth="1" collapsed="1"/>
    <col min="20" max="20" width="3.7109375" style="6" customWidth="1" collapsed="1"/>
    <col min="21" max="21" width="6.7109375" style="6" customWidth="1" collapsed="1"/>
    <col min="22" max="22" width="3" style="6" hidden="1" customWidth="1" collapsed="1"/>
    <col min="23" max="23" width="27.7109375" style="6" customWidth="1" collapsed="1"/>
    <col min="24" max="24" width="6.7109375" style="6" customWidth="1" collapsed="1"/>
    <col min="25" max="25" width="6.7109375" style="6" hidden="1" customWidth="1" collapsed="1"/>
    <col min="26" max="26" width="6.7109375" style="6" customWidth="1" collapsed="1"/>
    <col min="27" max="28" width="6.7109375" style="6" hidden="1" customWidth="1" collapsed="1"/>
    <col min="29" max="29" width="3.5703125" style="6" customWidth="1" collapsed="1"/>
    <col min="30" max="30" width="8.85546875" style="6" hidden="1" customWidth="1" collapsed="1"/>
    <col min="31" max="31" width="6.140625" style="6" hidden="1" customWidth="1" collapsed="1"/>
    <col min="32" max="32" width="8.5703125" style="6" hidden="1" customWidth="1" collapsed="1"/>
    <col min="33" max="33" width="6.140625" style="6" hidden="1" customWidth="1" collapsed="1"/>
    <col min="34" max="34" width="8.5703125" style="6" hidden="1" customWidth="1" collapsed="1"/>
    <col min="35" max="36" width="6.7109375" style="6" hidden="1" customWidth="1" collapsed="1"/>
    <col min="37" max="37" width="10.42578125" style="6" hidden="1" customWidth="1" collapsed="1"/>
    <col min="38" max="42" width="6.7109375" style="6" hidden="1" customWidth="1" collapsed="1"/>
    <col min="43" max="46" width="9.140625" style="6" hidden="1" customWidth="1" collapsed="1"/>
    <col min="47" max="48" width="4.42578125" style="6" hidden="1" customWidth="1" collapsed="1"/>
    <col min="49" max="67" width="3.7109375" style="6" hidden="1" customWidth="1" collapsed="1"/>
    <col min="68" max="68" width="9.140625" style="6" hidden="1" customWidth="1" collapsed="1"/>
    <col min="69" max="85" width="9.140625" style="6" customWidth="1" collapsed="1"/>
    <col min="86" max="16384" width="9.140625" style="6" collapsed="1"/>
  </cols>
  <sheetData>
    <row r="1" spans="1:67" ht="26.25" x14ac:dyDescent="0.4">
      <c r="A1" s="24">
        <v>4</v>
      </c>
      <c r="B1" s="68" t="s">
        <v>29</v>
      </c>
      <c r="C1" s="68"/>
      <c r="D1" s="68"/>
      <c r="E1" s="68"/>
      <c r="F1" s="68"/>
      <c r="G1" s="71" t="s">
        <v>73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15"/>
      <c r="U1" s="69" t="str">
        <f>"UITSLAG " &amp; G1</f>
        <v>UITSLAG Groep C</v>
      </c>
      <c r="V1" s="70"/>
      <c r="W1" s="70"/>
      <c r="X1" s="70"/>
      <c r="Y1" s="70"/>
      <c r="Z1" s="70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25</v>
      </c>
      <c r="AR2" s="16" t="s">
        <v>24</v>
      </c>
      <c r="AS2" s="16" t="s">
        <v>26</v>
      </c>
      <c r="AV2" s="70" t="s">
        <v>20</v>
      </c>
      <c r="AW2" s="70"/>
      <c r="AX2" s="70"/>
      <c r="AY2" s="70"/>
      <c r="AZ2" s="70"/>
      <c r="BA2" s="70"/>
      <c r="BB2" s="70"/>
      <c r="BC2" s="70"/>
      <c r="BD2" s="70"/>
      <c r="BE2" s="17"/>
      <c r="BF2" s="18"/>
      <c r="BG2" s="70" t="s">
        <v>21</v>
      </c>
      <c r="BH2" s="70"/>
      <c r="BI2" s="70"/>
      <c r="BJ2" s="70"/>
      <c r="BK2" s="70"/>
      <c r="BL2" s="70"/>
      <c r="BM2" s="70"/>
      <c r="BN2" s="70"/>
      <c r="BO2" s="70"/>
    </row>
    <row r="3" spans="1:67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15</v>
      </c>
      <c r="R3" s="7" t="s">
        <v>24</v>
      </c>
      <c r="S3" s="7" t="s">
        <v>56</v>
      </c>
      <c r="T3" s="21"/>
      <c r="U3" s="7" t="s">
        <v>30</v>
      </c>
      <c r="V3" s="22" t="s">
        <v>28</v>
      </c>
      <c r="W3" s="7" t="s">
        <v>6</v>
      </c>
      <c r="X3" s="7" t="s">
        <v>27</v>
      </c>
      <c r="Y3" s="7" t="s">
        <v>22</v>
      </c>
      <c r="Z3" s="7" t="s">
        <v>24</v>
      </c>
      <c r="AA3" s="7" t="s">
        <v>31</v>
      </c>
      <c r="AB3" s="7" t="s">
        <v>32</v>
      </c>
      <c r="AC3" s="21"/>
      <c r="AD3" s="7" t="s">
        <v>47</v>
      </c>
      <c r="AE3" s="7" t="s">
        <v>48</v>
      </c>
      <c r="AF3" s="7" t="s">
        <v>49</v>
      </c>
      <c r="AG3" s="7" t="s">
        <v>50</v>
      </c>
      <c r="AH3" s="7" t="s">
        <v>51</v>
      </c>
      <c r="AI3" s="7" t="s">
        <v>52</v>
      </c>
      <c r="AJ3" s="7"/>
      <c r="AK3" s="7" t="s">
        <v>53</v>
      </c>
      <c r="AL3" s="7" t="s">
        <v>54</v>
      </c>
      <c r="AM3" s="7" t="s">
        <v>55</v>
      </c>
      <c r="AN3" s="7" t="s">
        <v>56</v>
      </c>
      <c r="AO3" s="21"/>
      <c r="AP3" s="7" t="s">
        <v>33</v>
      </c>
      <c r="AQ3" s="23" t="s">
        <v>23</v>
      </c>
      <c r="AR3" s="16" t="s">
        <v>23</v>
      </c>
      <c r="AS3" s="16" t="s">
        <v>23</v>
      </c>
      <c r="AU3" s="6" t="s">
        <v>28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28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74</v>
      </c>
      <c r="D4" s="67">
        <v>8360121</v>
      </c>
      <c r="E4" s="67"/>
      <c r="F4" s="25">
        <v>1290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>
        <f t="shared" si="0"/>
        <v>0.5</v>
      </c>
      <c r="O4" s="27">
        <f t="shared" si="0"/>
        <v>0.5</v>
      </c>
      <c r="P4" s="27">
        <f t="shared" si="0"/>
        <v>1</v>
      </c>
      <c r="Q4" s="28">
        <f>SUM(M4:P4)</f>
        <v>2</v>
      </c>
      <c r="R4" s="29">
        <f>IF(M4="",0,M4)*$Q$4+IF(N4="",0,N4)*$Q$5+IF(O4="",0,O4)*$Q$6+IF(P4="",0,P4)*$Q$7</f>
        <v>2.75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Ruben de Vries</v>
      </c>
      <c r="X4" s="34">
        <f>IF(ISNA(VLOOKUP($B4,$A$4:$S$7,17,FALSE)),0,VLOOKUP($B4,$A$4:$S$7,17,FALSE))</f>
        <v>2</v>
      </c>
      <c r="Y4" s="34">
        <f t="shared" ref="Y4" si="1">IF(ISNA(VLOOKUP($B4,$A$4:$S$7,17,FALSE)),0,VLOOKUP($B4,$A$4:$S$7,17,FALSE))</f>
        <v>2</v>
      </c>
      <c r="Z4" s="34">
        <f>IF(ISNA(VLOOKUP($B4,$A$4:$S$7,18,FALSE)),0,VLOOKUP($B4,$A$4:$S$7,18,FALSE))</f>
        <v>2.75</v>
      </c>
      <c r="AA4" s="34">
        <f>VLOOKUP($V4,$AP$4:$AS$7,4,FALSE)</f>
        <v>11.5</v>
      </c>
      <c r="AB4" s="35">
        <f>VLOOKUP($V4,$B$4:$K$7,5,FALSE)</f>
        <v>1153</v>
      </c>
      <c r="AC4" s="30"/>
      <c r="AD4" s="36">
        <f>IF(R4=$R$4,IF(M4="",0,M4))+IF(R4=$R$5,IF(N4="",0,N4))+IF(R4=$R$6,IF(O4="",0,O4))+IF(R4=$R$7,IF(P4="",0,P4))</f>
        <v>0</v>
      </c>
      <c r="AE4" s="30">
        <f>$AD$9*R4+AD4</f>
        <v>8.25</v>
      </c>
      <c r="AF4" s="30">
        <f>IF(AE4=$AEE$4,IF(M4="",0,M4))+IF(AE4=$AE$5,IF(N4="",0,N4))+IF(AE4=$AE$6,IF(O4="",0,O4))+IF(AE4=$AE$7,IF(P4="",0,P4))</f>
        <v>0</v>
      </c>
      <c r="AG4" s="30">
        <f>$AF$9*AE4+AF4</f>
        <v>8.25</v>
      </c>
      <c r="AH4" s="30">
        <f>IF(AG4=$AG$4,IF(M4="",0,M4))+IF(AG4=$AG$5,IF(N4="",0,N4))+IF(AG4=$AG$6,IF(O4="",0,O4))+IF(AG4=$AG$7,IF(O4="",0,O4))</f>
        <v>0</v>
      </c>
      <c r="AI4" s="30">
        <f>$AH$9*AG4+AJ4</f>
        <v>16.5</v>
      </c>
      <c r="AJ4" s="30"/>
      <c r="AK4" s="30">
        <f>RANK(AI4,$AI$4:$AI$7,1)-1</f>
        <v>3</v>
      </c>
      <c r="AL4" s="30">
        <f>RANK(R4,$R$4:$R$7,1)-1</f>
        <v>3</v>
      </c>
      <c r="AM4" s="30">
        <f>4*AK4+AL4</f>
        <v>15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2.5</v>
      </c>
      <c r="AR4" s="39">
        <f>SUMIF($AQ$9:$AQ$21,B4,$AY$9:$AY$21)+SUMIF($AR$9:$AR$21,B4,$AZ$9:$AZ$21)</f>
        <v>0.5</v>
      </c>
      <c r="AS4" s="39">
        <f>SUM(BG4:BO4)</f>
        <v>16.5</v>
      </c>
      <c r="AU4" s="6">
        <v>1</v>
      </c>
      <c r="AV4" s="6">
        <f t="shared" ref="AV4:BD7" si="2">SUMIFS($J$12:$J$21,$AQ$12:$AQ$21,$AU4,$AP$12:$AP$21,AV$3)+SUMIFS($N$12:$N$21,$AR$12:$AR$21,$AU4,$AP$12:$AP$21,AV$3)</f>
        <v>1</v>
      </c>
      <c r="AW4" s="6">
        <f t="shared" si="2"/>
        <v>0.5</v>
      </c>
      <c r="AX4" s="6">
        <f t="shared" si="2"/>
        <v>0.5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1</v>
      </c>
      <c r="BH4" s="6">
        <f t="shared" ref="BH4:BO7" si="3">BG4+AW4</f>
        <v>1.5</v>
      </c>
      <c r="BI4" s="6">
        <f t="shared" si="3"/>
        <v>2</v>
      </c>
      <c r="BJ4" s="6">
        <f t="shared" si="3"/>
        <v>2</v>
      </c>
      <c r="BK4" s="6">
        <f t="shared" si="3"/>
        <v>2</v>
      </c>
      <c r="BL4" s="6">
        <f t="shared" si="3"/>
        <v>2</v>
      </c>
      <c r="BM4" s="6">
        <f t="shared" si="3"/>
        <v>2</v>
      </c>
      <c r="BN4" s="6">
        <f t="shared" si="3"/>
        <v>2</v>
      </c>
      <c r="BO4" s="6">
        <f t="shared" si="3"/>
        <v>2</v>
      </c>
    </row>
    <row r="5" spans="1:67" x14ac:dyDescent="0.25">
      <c r="A5" s="24">
        <f t="shared" ref="A5:A7" si="4">S5</f>
        <v>3</v>
      </c>
      <c r="B5" s="25">
        <v>2</v>
      </c>
      <c r="C5" s="25" t="s">
        <v>75</v>
      </c>
      <c r="D5" s="67">
        <v>8572927</v>
      </c>
      <c r="E5" s="67"/>
      <c r="F5" s="25">
        <v>1290</v>
      </c>
      <c r="M5" s="27">
        <f t="shared" si="0"/>
        <v>0.5</v>
      </c>
      <c r="N5" s="26" t="str">
        <f t="shared" si="0"/>
        <v/>
      </c>
      <c r="O5" s="27">
        <f t="shared" si="0"/>
        <v>1</v>
      </c>
      <c r="P5" s="27">
        <f t="shared" si="0"/>
        <v>0</v>
      </c>
      <c r="Q5" s="28">
        <f>SUM(M5:P5)</f>
        <v>1.5</v>
      </c>
      <c r="R5" s="29">
        <f t="shared" ref="R5:R7" si="5">IF(M5="",0,M5)*$Q$4+IF(N5="",0,N5)*$Q$5+IF(O5="",0,O5)*$Q$6+IF(P5="",0,P5)*$Q$7</f>
        <v>2</v>
      </c>
      <c r="S5" s="27">
        <f t="shared" ref="S5:S8" si="6">AN5</f>
        <v>3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Jim Pronk</v>
      </c>
      <c r="X5" s="34">
        <f t="shared" ref="X5:Y7" si="8">IF(ISNA(VLOOKUP($B5,$A$4:$S$7,17,FALSE)),0,VLOOKUP($B5,$A$4:$S$7,17,FALSE))</f>
        <v>1.5</v>
      </c>
      <c r="Y5" s="34">
        <f t="shared" si="8"/>
        <v>1.5</v>
      </c>
      <c r="Z5" s="34">
        <f t="shared" ref="Z5:Z7" si="9">IF(ISNA(VLOOKUP($B5,$A$4:$S$7,18,FALSE)),0,VLOOKUP($B5,$A$4:$S$7,18,FALSE))</f>
        <v>2</v>
      </c>
      <c r="AA5" s="34">
        <f>VLOOKUP($V5,$AP$4:$AS$7,4,FALSE)</f>
        <v>7.5</v>
      </c>
      <c r="AB5" s="35">
        <f>VLOOKUP($V5,$B$4:$K$7,5,FALSE)</f>
        <v>1197</v>
      </c>
      <c r="AC5" s="30"/>
      <c r="AD5" s="36">
        <f t="shared" ref="AD5:AD7" si="10">IF(R5=$R$4,IF(M5="",0,M5))+IF(R5=$R$5,IF(N5="",0,N5))+IF(R5=$R$6,IF(O5="",0,O5))+IF(R5=$R$7,IF(P5="",0,P5))</f>
        <v>0</v>
      </c>
      <c r="AE5" s="30">
        <f t="shared" ref="AE5:AE7" si="11">$AD$9*R5+AD5</f>
        <v>6</v>
      </c>
      <c r="AF5" s="30">
        <f>IF(AE5=$AEE$4,IF(M5="",0,M5))+IF(AE5=$AE$5,IF(N5="",0,N5))+IF(AE5=$AE$6,IF(O5="",0,O5))+IF(AE5=$AE$7,IF(P5="",0,P5))</f>
        <v>0</v>
      </c>
      <c r="AG5" s="30">
        <f t="shared" ref="AG5:AG7" si="12">$AF$9*AE5+AF5</f>
        <v>6</v>
      </c>
      <c r="AH5" s="30">
        <f t="shared" ref="AH5:AH7" si="13">IF(AG5=$AG$4,IF(M5="",0,M5))+IF(AG5=$AG$5,IF(N5="",0,N5))+IF(AG5=$AG$6,IF(O5="",0,O5))+IF(AG5=$AG$7,IF(O5="",0,O5))</f>
        <v>0</v>
      </c>
      <c r="AI5" s="30">
        <f t="shared" ref="AI5:AI7" si="14">$AH$9*AG5+AJ5</f>
        <v>12</v>
      </c>
      <c r="AJ5" s="30"/>
      <c r="AK5" s="30">
        <f t="shared" ref="AK5:AK7" si="15">RANK(AI5,$AI$4:$AI$7,1)-1</f>
        <v>1</v>
      </c>
      <c r="AL5" s="30">
        <f t="shared" ref="AL5:AL7" si="16">RANK(R5,$R$4:$R$7,1)-1</f>
        <v>1</v>
      </c>
      <c r="AM5" s="30">
        <f t="shared" ref="AM5:AM7" si="17">4*AK5+AL5</f>
        <v>5</v>
      </c>
      <c r="AN5" s="30">
        <f t="shared" ref="AN5:AN7" si="18">RANK(AM5,$AM$4:$AM$7)</f>
        <v>3</v>
      </c>
      <c r="AO5" s="30"/>
      <c r="AP5" s="37">
        <v>2</v>
      </c>
      <c r="AQ5" s="38">
        <f>SUMIF($AQ$9:$AQ$21,B5,$AW$9:$AW$21)+SUMIF($AR$9:$AR$21,B5,$AX$9:$AX$21)</f>
        <v>2</v>
      </c>
      <c r="AR5" s="39">
        <f>SUMIF($AQ$9:$AQ$21,B5,$AY$9:$AY$21)+SUMIF($AR$9:$AR$21,B5,$AZ$9:$AZ$21)</f>
        <v>0.75</v>
      </c>
      <c r="AS5" s="39">
        <f t="shared" ref="AS5:AS7" si="19">SUM(BG5:BO5)</f>
        <v>12.5</v>
      </c>
      <c r="AU5" s="6">
        <v>2</v>
      </c>
      <c r="AV5" s="6">
        <f t="shared" si="2"/>
        <v>1</v>
      </c>
      <c r="AW5" s="6">
        <f t="shared" si="2"/>
        <v>0</v>
      </c>
      <c r="AX5" s="6">
        <f t="shared" si="2"/>
        <v>0.5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1</v>
      </c>
      <c r="BH5" s="6">
        <f t="shared" si="3"/>
        <v>1</v>
      </c>
      <c r="BI5" s="6">
        <f t="shared" si="3"/>
        <v>1.5</v>
      </c>
      <c r="BJ5" s="6">
        <f t="shared" si="3"/>
        <v>1.5</v>
      </c>
      <c r="BK5" s="6">
        <f t="shared" si="3"/>
        <v>1.5</v>
      </c>
      <c r="BL5" s="6">
        <f t="shared" si="3"/>
        <v>1.5</v>
      </c>
      <c r="BM5" s="6">
        <f t="shared" si="3"/>
        <v>1.5</v>
      </c>
      <c r="BN5" s="6">
        <f t="shared" si="3"/>
        <v>1.5</v>
      </c>
      <c r="BO5" s="6">
        <f t="shared" si="3"/>
        <v>1.5</v>
      </c>
    </row>
    <row r="6" spans="1:67" x14ac:dyDescent="0.25">
      <c r="A6" s="24">
        <f t="shared" si="4"/>
        <v>4</v>
      </c>
      <c r="B6" s="25">
        <v>3</v>
      </c>
      <c r="C6" s="25" t="s">
        <v>76</v>
      </c>
      <c r="D6" s="67">
        <v>8419587</v>
      </c>
      <c r="E6" s="67"/>
      <c r="F6" s="25">
        <v>1197</v>
      </c>
      <c r="M6" s="27">
        <f t="shared" si="0"/>
        <v>0.5</v>
      </c>
      <c r="N6" s="27">
        <f t="shared" si="0"/>
        <v>0</v>
      </c>
      <c r="O6" s="26" t="str">
        <f t="shared" si="0"/>
        <v/>
      </c>
      <c r="P6" s="27">
        <f t="shared" si="0"/>
        <v>0.5</v>
      </c>
      <c r="Q6" s="28">
        <f>SUM(M6:P6)</f>
        <v>1</v>
      </c>
      <c r="R6" s="29">
        <f t="shared" si="5"/>
        <v>1.75</v>
      </c>
      <c r="S6" s="27">
        <f t="shared" si="6"/>
        <v>4</v>
      </c>
      <c r="T6" s="30"/>
      <c r="U6" s="31">
        <v>3</v>
      </c>
      <c r="V6" s="32">
        <v>2</v>
      </c>
      <c r="W6" s="33" t="str">
        <f t="shared" si="7"/>
        <v>Lennart Molanus</v>
      </c>
      <c r="X6" s="34">
        <f t="shared" si="8"/>
        <v>1.5</v>
      </c>
      <c r="Y6" s="34">
        <f t="shared" si="8"/>
        <v>1.5</v>
      </c>
      <c r="Z6" s="34">
        <f t="shared" si="9"/>
        <v>2</v>
      </c>
      <c r="AA6" s="34">
        <f>VLOOKUP($V6,$AP$4:$AS$7,4,FALSE)</f>
        <v>12.5</v>
      </c>
      <c r="AB6" s="35">
        <f>VLOOKUP($V6,$B$4:$K$7,5,FALSE)</f>
        <v>1290</v>
      </c>
      <c r="AC6" s="30"/>
      <c r="AD6" s="36">
        <f t="shared" si="10"/>
        <v>0</v>
      </c>
      <c r="AE6" s="30">
        <f t="shared" si="11"/>
        <v>5.25</v>
      </c>
      <c r="AF6" s="30">
        <f>IF(AE6=$AEE$4,IF(M6="",0,M6))+IF(AE6=$AE$5,IF(N6="",0,N6))+IF(AE6=$AE$6,IF(O6="",0,O6))+IF(AE6=$AE$7,IF(P6="",0,P6))</f>
        <v>0</v>
      </c>
      <c r="AG6" s="30">
        <f t="shared" si="12"/>
        <v>5.25</v>
      </c>
      <c r="AH6" s="30">
        <f t="shared" si="13"/>
        <v>0</v>
      </c>
      <c r="AI6" s="30">
        <f t="shared" si="14"/>
        <v>10.5</v>
      </c>
      <c r="AJ6" s="30"/>
      <c r="AK6" s="30">
        <f t="shared" si="15"/>
        <v>0</v>
      </c>
      <c r="AL6" s="30">
        <f t="shared" si="16"/>
        <v>0</v>
      </c>
      <c r="AM6" s="30">
        <f t="shared" si="17"/>
        <v>0</v>
      </c>
      <c r="AN6" s="30">
        <f t="shared" si="18"/>
        <v>4</v>
      </c>
      <c r="AO6" s="30"/>
      <c r="AP6" s="37">
        <v>3</v>
      </c>
      <c r="AQ6" s="38">
        <f>SUMIF($AQ$9:$AQ$21,B6,$AW$9:$AW$21)+SUMIF($AR$9:$AR$21,B6,$AX$9:$AX$21)</f>
        <v>0.5</v>
      </c>
      <c r="AR6" s="39">
        <f>SUMIF($AQ$9:$AQ$21,B6,$AY$9:$AY$21)+SUMIF($AR$9:$AR$21,B6,$AZ$9:$AZ$21)</f>
        <v>1</v>
      </c>
      <c r="AS6" s="39">
        <f t="shared" si="19"/>
        <v>7.5</v>
      </c>
      <c r="AU6" s="6">
        <v>3</v>
      </c>
      <c r="AV6" s="6">
        <f t="shared" si="2"/>
        <v>0</v>
      </c>
      <c r="AW6" s="6">
        <f t="shared" si="2"/>
        <v>0.5</v>
      </c>
      <c r="AX6" s="6">
        <f t="shared" si="2"/>
        <v>0.5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</v>
      </c>
      <c r="BH6" s="6">
        <f t="shared" si="3"/>
        <v>0.5</v>
      </c>
      <c r="BI6" s="6">
        <f t="shared" si="3"/>
        <v>1</v>
      </c>
      <c r="BJ6" s="6">
        <f t="shared" si="3"/>
        <v>1</v>
      </c>
      <c r="BK6" s="6">
        <f t="shared" si="3"/>
        <v>1</v>
      </c>
      <c r="BL6" s="6">
        <f t="shared" si="3"/>
        <v>1</v>
      </c>
      <c r="BM6" s="6">
        <f t="shared" si="3"/>
        <v>1</v>
      </c>
      <c r="BN6" s="6">
        <f t="shared" si="3"/>
        <v>1</v>
      </c>
      <c r="BO6" s="6">
        <f t="shared" si="3"/>
        <v>1</v>
      </c>
    </row>
    <row r="7" spans="1:67" x14ac:dyDescent="0.25">
      <c r="A7" s="24">
        <f t="shared" si="4"/>
        <v>2</v>
      </c>
      <c r="B7" s="25">
        <v>4</v>
      </c>
      <c r="C7" s="25" t="s">
        <v>77</v>
      </c>
      <c r="D7" s="67">
        <v>8320444</v>
      </c>
      <c r="E7" s="67"/>
      <c r="F7" s="25">
        <v>1153</v>
      </c>
      <c r="M7" s="27">
        <f t="shared" si="0"/>
        <v>0</v>
      </c>
      <c r="N7" s="27">
        <f t="shared" si="0"/>
        <v>1</v>
      </c>
      <c r="O7" s="27">
        <f t="shared" si="0"/>
        <v>0.5</v>
      </c>
      <c r="P7" s="26" t="str">
        <f t="shared" si="0"/>
        <v/>
      </c>
      <c r="Q7" s="28">
        <f>SUM(M7:P7)</f>
        <v>1.5</v>
      </c>
      <c r="R7" s="29">
        <f t="shared" si="5"/>
        <v>2</v>
      </c>
      <c r="S7" s="27">
        <f t="shared" si="6"/>
        <v>2</v>
      </c>
      <c r="T7" s="30"/>
      <c r="U7" s="31">
        <v>4</v>
      </c>
      <c r="V7" s="32">
        <v>1</v>
      </c>
      <c r="W7" s="33" t="str">
        <f t="shared" si="7"/>
        <v>Jeffrey van Eek</v>
      </c>
      <c r="X7" s="34">
        <f t="shared" si="8"/>
        <v>1</v>
      </c>
      <c r="Y7" s="34">
        <f t="shared" si="8"/>
        <v>1</v>
      </c>
      <c r="Z7" s="34">
        <f t="shared" si="9"/>
        <v>1.75</v>
      </c>
      <c r="AA7" s="34">
        <f>VLOOKUP($V7,$AP$4:$AS$7,4,FALSE)</f>
        <v>16.5</v>
      </c>
      <c r="AB7" s="35">
        <f>VLOOKUP($V7,$B$4:$K$7,5,FALSE)</f>
        <v>1290</v>
      </c>
      <c r="AC7" s="30"/>
      <c r="AD7" s="36">
        <f t="shared" si="10"/>
        <v>1</v>
      </c>
      <c r="AE7" s="30">
        <f t="shared" si="11"/>
        <v>7</v>
      </c>
      <c r="AF7" s="30">
        <f>IF(AE7=$AEE$4,IF(M7="",0,M7))+IF(AE7=$AE$5,IF(N7="",0,N7))+IF(AE7=$AE$6,IF(O7="",0,O7))+IF(AE7=$AE$7,IF(P7="",0,P7))</f>
        <v>0</v>
      </c>
      <c r="AG7" s="30">
        <f t="shared" si="12"/>
        <v>7</v>
      </c>
      <c r="AH7" s="30">
        <f t="shared" si="13"/>
        <v>0.5</v>
      </c>
      <c r="AI7" s="30">
        <f t="shared" si="14"/>
        <v>14</v>
      </c>
      <c r="AJ7" s="30"/>
      <c r="AK7" s="30">
        <f t="shared" si="15"/>
        <v>2</v>
      </c>
      <c r="AL7" s="30">
        <f t="shared" si="16"/>
        <v>1</v>
      </c>
      <c r="AM7" s="30">
        <f t="shared" si="17"/>
        <v>9</v>
      </c>
      <c r="AN7" s="30">
        <f t="shared" si="18"/>
        <v>2</v>
      </c>
      <c r="AO7" s="30"/>
      <c r="AP7" s="37">
        <v>4</v>
      </c>
      <c r="AQ7" s="38">
        <f>SUMIF($AQ$9:$AQ$21,B7,$AW$9:$AW$21)+SUMIF($AR$9:$AR$21,B7,$AX$9:$AX$21)</f>
        <v>1</v>
      </c>
      <c r="AR7" s="39">
        <f>SUMIF($AQ$9:$AQ$21,B7,$AY$9:$AY$21)+SUMIF($AR$9:$AR$21,B7,$AZ$9:$AZ$21)</f>
        <v>1.25</v>
      </c>
      <c r="AS7" s="39">
        <f t="shared" si="19"/>
        <v>11.5</v>
      </c>
      <c r="AU7" s="6">
        <v>4</v>
      </c>
      <c r="AV7" s="6">
        <f t="shared" si="2"/>
        <v>0</v>
      </c>
      <c r="AW7" s="6">
        <f t="shared" si="2"/>
        <v>1</v>
      </c>
      <c r="AX7" s="6">
        <f t="shared" si="2"/>
        <v>0.5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0</v>
      </c>
      <c r="BH7" s="6">
        <f t="shared" si="3"/>
        <v>1</v>
      </c>
      <c r="BI7" s="6">
        <f t="shared" si="3"/>
        <v>1.5</v>
      </c>
      <c r="BJ7" s="6">
        <f t="shared" si="3"/>
        <v>1.5</v>
      </c>
      <c r="BK7" s="6">
        <f t="shared" si="3"/>
        <v>1.5</v>
      </c>
      <c r="BL7" s="6">
        <f t="shared" si="3"/>
        <v>1.5</v>
      </c>
      <c r="BM7" s="6">
        <f t="shared" si="3"/>
        <v>1.5</v>
      </c>
      <c r="BN7" s="6">
        <f t="shared" si="3"/>
        <v>1.5</v>
      </c>
      <c r="BO7" s="6">
        <f t="shared" si="3"/>
        <v>1.5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3</v>
      </c>
      <c r="AF9" s="30">
        <f>2*MAX(AF4:AF7)+1</f>
        <v>1</v>
      </c>
      <c r="AH9" s="30">
        <f>2*MAX(AH4:AH7)+1</f>
        <v>2</v>
      </c>
      <c r="AP9" s="41" t="s">
        <v>36</v>
      </c>
      <c r="AQ9" s="41" t="s">
        <v>0</v>
      </c>
      <c r="AR9" s="41" t="s">
        <v>1</v>
      </c>
      <c r="AS9" s="41" t="s">
        <v>2</v>
      </c>
      <c r="AU9" s="42" t="s">
        <v>34</v>
      </c>
      <c r="AV9" s="42" t="s">
        <v>35</v>
      </c>
      <c r="AW9" s="6" t="s">
        <v>16</v>
      </c>
      <c r="AX9" s="6" t="s">
        <v>17</v>
      </c>
      <c r="AY9" s="6" t="s">
        <v>18</v>
      </c>
      <c r="AZ9" s="6" t="s">
        <v>19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Jim Pronk</v>
      </c>
      <c r="D12" s="46" t="s">
        <v>5</v>
      </c>
      <c r="E12" s="66" t="str">
        <f>VLOOKUP(AR12,$B$4:$F$7,2,FALSE)</f>
        <v>Ruben de Vries</v>
      </c>
      <c r="F12" s="66"/>
      <c r="G12" s="66"/>
      <c r="H12" s="66"/>
      <c r="J12" s="66">
        <f>IF(S12="","",VLOOKUP(S12,Configuratie!$B$1:$E$10,3,FALSE))</f>
        <v>0</v>
      </c>
      <c r="K12" s="66"/>
      <c r="L12" s="47" t="s">
        <v>5</v>
      </c>
      <c r="N12" s="66">
        <f>IF(S12="","",VLOOKUP(S12,Configuratie!$B$1:$E$10,4,FALSE))</f>
        <v>1</v>
      </c>
      <c r="O12" s="66"/>
      <c r="Q12" s="6" t="str">
        <f>IF(S12="","",VLOOKUP(S12,Configuratie!$B$1:$E$10,2,FALSE))</f>
        <v>0-1</v>
      </c>
      <c r="S12" s="5">
        <v>0</v>
      </c>
      <c r="AP12" s="6">
        <v>1</v>
      </c>
      <c r="AQ12" s="6">
        <v>4</v>
      </c>
      <c r="AR12" s="6">
        <v>1</v>
      </c>
      <c r="AS12" s="6">
        <f>IF(AND(ISNUMBER(J12),ISNUMBER(N12)),IF(J12+N12=1,1,0),"")</f>
        <v>1</v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>
        <f>J12*AX12</f>
        <v>0</v>
      </c>
      <c r="AZ12" s="6">
        <f>N12*AW12</f>
        <v>0</v>
      </c>
    </row>
    <row r="13" spans="1:67" x14ac:dyDescent="0.25">
      <c r="B13" s="6">
        <v>2</v>
      </c>
      <c r="C13" s="6" t="str">
        <f>VLOOKUP(AQ13,$B$4:$F$7,2,FALSE)</f>
        <v>Jeffrey van Eek</v>
      </c>
      <c r="D13" s="46" t="s">
        <v>5</v>
      </c>
      <c r="E13" s="66" t="str">
        <f>VLOOKUP(AR13,$B$4:$F$7,2,FALSE)</f>
        <v>Lennart Molanus</v>
      </c>
      <c r="F13" s="66"/>
      <c r="G13" s="66"/>
      <c r="H13" s="66"/>
      <c r="J13" s="66">
        <f>IF(S13="","",VLOOKUP(S13,Configuratie!$B$1:$E$10,3,FALSE))</f>
        <v>0</v>
      </c>
      <c r="K13" s="66"/>
      <c r="L13" s="47" t="s">
        <v>5</v>
      </c>
      <c r="N13" s="66">
        <f>IF(S13="","",VLOOKUP(S13,Configuratie!$B$1:$E$10,4,FALSE))</f>
        <v>1</v>
      </c>
      <c r="O13" s="66"/>
      <c r="Q13" s="6" t="str">
        <f>IF(S13="","",VLOOKUP(S13,Configuratie!$B$1:$E$10,2,FALSE))</f>
        <v>0-1</v>
      </c>
      <c r="S13" s="5">
        <v>0</v>
      </c>
      <c r="AP13" s="6">
        <v>1</v>
      </c>
      <c r="AQ13" s="6">
        <v>3</v>
      </c>
      <c r="AR13" s="6">
        <v>2</v>
      </c>
      <c r="AS13" s="6">
        <f>IF(AND(ISNUMBER(J13),ISNUMBER(N13)),IF(J13+N13=1,1,0),"")</f>
        <v>1</v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>
        <f>J13*AX13</f>
        <v>0</v>
      </c>
      <c r="AZ13" s="6">
        <f>N13*AW13</f>
        <v>0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Jim Pronk</v>
      </c>
      <c r="D16" s="46" t="s">
        <v>5</v>
      </c>
      <c r="E16" s="66" t="str">
        <f>VLOOKUP(AR16,$B$4:$F$7,2,FALSE)</f>
        <v>Lennart Molanus</v>
      </c>
      <c r="F16" s="66"/>
      <c r="G16" s="66"/>
      <c r="H16" s="66"/>
      <c r="J16" s="66">
        <f>IF(S16="","",VLOOKUP(S16,Configuratie!$B$1:$E$10,3,FALSE))</f>
        <v>1</v>
      </c>
      <c r="K16" s="66"/>
      <c r="L16" s="47" t="s">
        <v>5</v>
      </c>
      <c r="N16" s="66">
        <f>IF(S16="","",VLOOKUP(S16,Configuratie!$B$1:$E$10,4,FALSE))</f>
        <v>0</v>
      </c>
      <c r="O16" s="66"/>
      <c r="Q16" s="6" t="str">
        <f>IF(S16="","",VLOOKUP(S16,Configuratie!$B$1:$E$10,2,FALSE))</f>
        <v>1-0</v>
      </c>
      <c r="S16" s="5">
        <v>1</v>
      </c>
      <c r="AP16" s="6">
        <v>2</v>
      </c>
      <c r="AQ16" s="6">
        <v>4</v>
      </c>
      <c r="AR16" s="6">
        <v>2</v>
      </c>
      <c r="AS16" s="6">
        <f>IF(AND(ISNUMBER(J16),ISNUMBER(N16)),IF(J16+N16=1,1,0),"")</f>
        <v>1</v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1</v>
      </c>
      <c r="AY16" s="6">
        <f>J16*AX16</f>
        <v>1</v>
      </c>
      <c r="AZ16" s="6">
        <f>N16*AW16</f>
        <v>0</v>
      </c>
    </row>
    <row r="17" spans="2:52" x14ac:dyDescent="0.25">
      <c r="B17" s="6">
        <v>2</v>
      </c>
      <c r="C17" s="6" t="str">
        <f>VLOOKUP(AQ17,$B$4:$F$7,2,FALSE)</f>
        <v>Ruben de Vries</v>
      </c>
      <c r="D17" s="46" t="s">
        <v>5</v>
      </c>
      <c r="E17" s="66" t="str">
        <f>VLOOKUP(AR17,$B$4:$F$7,2,FALSE)</f>
        <v>Jeffrey van Eek</v>
      </c>
      <c r="F17" s="66"/>
      <c r="G17" s="66"/>
      <c r="H17" s="66"/>
      <c r="J17" s="66">
        <f>IF(S17="","",VLOOKUP(S17,Configuratie!$B$1:$E$10,3,FALSE))</f>
        <v>0.5</v>
      </c>
      <c r="K17" s="66"/>
      <c r="L17" s="47" t="s">
        <v>5</v>
      </c>
      <c r="N17" s="66">
        <f>IF(S17="","",VLOOKUP(S17,Configuratie!$B$1:$E$10,4,FALSE))</f>
        <v>0.5</v>
      </c>
      <c r="O17" s="66"/>
      <c r="Q17" s="6" t="str">
        <f>IF(S17="","",VLOOKUP(S17,Configuratie!$B$1:$E$10,2,FALSE))</f>
        <v>½-½</v>
      </c>
      <c r="S17" s="5">
        <v>2</v>
      </c>
      <c r="AP17" s="6">
        <v>2</v>
      </c>
      <c r="AQ17" s="6">
        <v>1</v>
      </c>
      <c r="AR17" s="6">
        <v>3</v>
      </c>
      <c r="AS17" s="6">
        <f>IF(AND(ISNUMBER(J17),ISNUMBER(N17)),IF(J17+N17=1,1,0),"")</f>
        <v>1</v>
      </c>
      <c r="AU17" s="48">
        <f>AQ17*100+AR17</f>
        <v>103</v>
      </c>
      <c r="AV17" s="48">
        <f>AR17*100+AQ17</f>
        <v>301</v>
      </c>
      <c r="AW17" s="6">
        <f>VLOOKUP(AQ17,$BF$3:$BO$7,$AP17,FALSE)</f>
        <v>1</v>
      </c>
      <c r="AX17" s="6">
        <f>VLOOKUP(AR17,$BF$3:$BO$7,$AP17,FALSE)</f>
        <v>0</v>
      </c>
      <c r="AY17" s="6">
        <f>J17*AX17</f>
        <v>0</v>
      </c>
      <c r="AZ17" s="6">
        <f>N17*AW17</f>
        <v>0.5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0</v>
      </c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Jeffrey van Eek</v>
      </c>
      <c r="D20" s="46" t="s">
        <v>5</v>
      </c>
      <c r="E20" s="66" t="str">
        <f>VLOOKUP(AR20,$B$4:$F$7,2,FALSE)</f>
        <v>Jim Pronk</v>
      </c>
      <c r="F20" s="66"/>
      <c r="G20" s="66"/>
      <c r="H20" s="66"/>
      <c r="J20" s="66">
        <f>IF(S20="","",VLOOKUP(S20,Configuratie!$B$1:$E$10,3,FALSE))</f>
        <v>0.5</v>
      </c>
      <c r="K20" s="66"/>
      <c r="L20" s="47" t="s">
        <v>5</v>
      </c>
      <c r="N20" s="66">
        <f>IF(S20="","",VLOOKUP(S20,Configuratie!$B$1:$E$10,4,FALSE))</f>
        <v>0.5</v>
      </c>
      <c r="O20" s="66"/>
      <c r="Q20" s="6" t="str">
        <f>IF(S20="","",VLOOKUP(S20,Configuratie!$B$1:$E$10,2,FALSE))</f>
        <v>½-½</v>
      </c>
      <c r="S20" s="5">
        <v>2</v>
      </c>
      <c r="AP20" s="6">
        <v>3</v>
      </c>
      <c r="AQ20" s="6">
        <v>3</v>
      </c>
      <c r="AR20" s="6">
        <v>4</v>
      </c>
      <c r="AS20" s="6">
        <f>IF(AND(ISNUMBER(J20),ISNUMBER(N20)),IF(J20+N20=1,1,0),"")</f>
        <v>1</v>
      </c>
      <c r="AU20" s="48">
        <f>AQ20*100+AR20</f>
        <v>304</v>
      </c>
      <c r="AV20" s="48">
        <f>AR20*100+AQ20</f>
        <v>403</v>
      </c>
      <c r="AW20" s="6">
        <f>VLOOKUP(AQ20,$BF$3:$BO$7,$AP20,FALSE)</f>
        <v>0.5</v>
      </c>
      <c r="AX20" s="6">
        <f>VLOOKUP(AR20,$BF$3:$BO$7,$AP20,FALSE)</f>
        <v>1</v>
      </c>
      <c r="AY20" s="6">
        <f>J20*AX20</f>
        <v>0.5</v>
      </c>
      <c r="AZ20" s="6">
        <f>N20*AW20</f>
        <v>0.25</v>
      </c>
    </row>
    <row r="21" spans="2:52" x14ac:dyDescent="0.25">
      <c r="B21" s="6">
        <v>2</v>
      </c>
      <c r="C21" s="6" t="str">
        <f>VLOOKUP(AQ21,$B$4:$F$7,2,FALSE)</f>
        <v>Lennart Molanus</v>
      </c>
      <c r="D21" s="46" t="s">
        <v>5</v>
      </c>
      <c r="E21" s="66" t="str">
        <f>VLOOKUP(AR21,$B$4:$F$7,2,FALSE)</f>
        <v>Ruben de Vries</v>
      </c>
      <c r="F21" s="66"/>
      <c r="G21" s="66"/>
      <c r="H21" s="66"/>
      <c r="J21" s="66">
        <f>IF(S21="","",VLOOKUP(S21,Configuratie!$B$1:$E$10,3,FALSE))</f>
        <v>0.5</v>
      </c>
      <c r="K21" s="66"/>
      <c r="L21" s="47" t="s">
        <v>5</v>
      </c>
      <c r="N21" s="66">
        <f>IF(S21="","",VLOOKUP(S21,Configuratie!$B$1:$E$10,4,FALSE))</f>
        <v>0.5</v>
      </c>
      <c r="O21" s="66"/>
      <c r="Q21" s="6" t="str">
        <f>IF(S21="","",VLOOKUP(S21,Configuratie!$B$1:$E$10,2,FALSE))</f>
        <v>½-½</v>
      </c>
      <c r="S21" s="5">
        <v>2</v>
      </c>
      <c r="AP21" s="6">
        <v>3</v>
      </c>
      <c r="AQ21" s="6">
        <v>2</v>
      </c>
      <c r="AR21" s="6">
        <v>1</v>
      </c>
      <c r="AS21" s="6">
        <f>IF(AND(ISNUMBER(J21),ISNUMBER(N21)),IF(J21+N21=1,1,0),"")</f>
        <v>1</v>
      </c>
      <c r="AU21" s="48">
        <f>AQ21*100+AR21</f>
        <v>201</v>
      </c>
      <c r="AV21" s="48">
        <f>AR21*100+AQ21</f>
        <v>102</v>
      </c>
      <c r="AW21" s="6">
        <f>VLOOKUP(AQ21,$BF$3:$BO$7,$AP21,FALSE)</f>
        <v>1</v>
      </c>
      <c r="AX21" s="6">
        <f>VLOOKUP(AR21,$BF$3:$BO$7,$AP21,FALSE)</f>
        <v>1.5</v>
      </c>
      <c r="AY21" s="6">
        <f>J21*AX21</f>
        <v>0.75</v>
      </c>
      <c r="AZ21" s="6">
        <f>N21*AW21</f>
        <v>0.5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43" priority="5" stopIfTrue="1" operator="between">
      <formula>0</formula>
      <formula>1</formula>
    </cfRule>
  </conditionalFormatting>
  <conditionalFormatting sqref="S4:S7">
    <cfRule type="cellIs" dxfId="42" priority="1" operator="equal">
      <formula>3</formula>
    </cfRule>
    <cfRule type="cellIs" dxfId="41" priority="2" operator="equal">
      <formula>2</formula>
    </cfRule>
    <cfRule type="cellIs" dxfId="4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autoPageBreaks="0" fitToPage="1"/>
  </sheetPr>
  <dimension ref="A1:BP21"/>
  <sheetViews>
    <sheetView view="pageBreakPreview" zoomScaleNormal="100" zoomScaleSheetLayoutView="100" workbookViewId="0">
      <selection activeCell="S13" sqref="S13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2" width="3.7109375" style="6" customWidth="1" collapsed="1"/>
    <col min="13" max="13" width="3.85546875" style="6" customWidth="1" collapsed="1"/>
    <col min="14" max="14" width="4.28515625" style="6" customWidth="1" collapsed="1"/>
    <col min="15" max="15" width="5.28515625" style="6" customWidth="1" collapsed="1"/>
    <col min="16" max="16" width="3.7109375" style="6" customWidth="1" collapsed="1"/>
    <col min="17" max="17" width="10.140625" style="6" customWidth="1" collapsed="1"/>
    <col min="18" max="18" width="7" style="6" customWidth="1" collapsed="1"/>
    <col min="19" max="19" width="6.7109375" style="6" customWidth="1" collapsed="1"/>
    <col min="20" max="20" width="3.7109375" style="6" customWidth="1" collapsed="1"/>
    <col min="21" max="21" width="6.7109375" style="6" customWidth="1" collapsed="1"/>
    <col min="22" max="22" width="3" style="6" hidden="1" customWidth="1" collapsed="1"/>
    <col min="23" max="23" width="27.7109375" style="6" customWidth="1" collapsed="1"/>
    <col min="24" max="24" width="6.7109375" style="6" customWidth="1" collapsed="1"/>
    <col min="25" max="25" width="6.7109375" style="6" hidden="1" customWidth="1" collapsed="1"/>
    <col min="26" max="26" width="6.7109375" style="6" customWidth="1" collapsed="1"/>
    <col min="27" max="28" width="6.7109375" style="6" hidden="1" customWidth="1" collapsed="1"/>
    <col min="29" max="29" width="3.5703125" style="6" customWidth="1" collapsed="1"/>
    <col min="30" max="30" width="8.85546875" style="6" hidden="1" customWidth="1" collapsed="1"/>
    <col min="31" max="31" width="6.140625" style="6" hidden="1" customWidth="1" collapsed="1"/>
    <col min="32" max="32" width="8.5703125" style="6" hidden="1" customWidth="1" collapsed="1"/>
    <col min="33" max="33" width="6.140625" style="6" hidden="1" customWidth="1" collapsed="1"/>
    <col min="34" max="34" width="8.5703125" style="6" hidden="1" customWidth="1" collapsed="1"/>
    <col min="35" max="36" width="6.7109375" style="6" hidden="1" customWidth="1" collapsed="1"/>
    <col min="37" max="37" width="10.42578125" style="6" hidden="1" customWidth="1" collapsed="1"/>
    <col min="38" max="42" width="6.7109375" style="6" hidden="1" customWidth="1" collapsed="1"/>
    <col min="43" max="46" width="9.140625" style="6" hidden="1" customWidth="1" collapsed="1"/>
    <col min="47" max="48" width="4.42578125" style="6" hidden="1" customWidth="1" collapsed="1"/>
    <col min="49" max="67" width="3.7109375" style="6" hidden="1" customWidth="1" collapsed="1"/>
    <col min="68" max="68" width="9.140625" style="6" hidden="1" customWidth="1" collapsed="1"/>
    <col min="69" max="85" width="9.140625" style="6" customWidth="1" collapsed="1"/>
    <col min="86" max="16384" width="9.140625" style="6" collapsed="1"/>
  </cols>
  <sheetData>
    <row r="1" spans="1:67" ht="26.25" x14ac:dyDescent="0.4">
      <c r="A1" s="24">
        <v>4</v>
      </c>
      <c r="B1" s="68" t="s">
        <v>29</v>
      </c>
      <c r="C1" s="68"/>
      <c r="D1" s="68"/>
      <c r="E1" s="68"/>
      <c r="F1" s="68"/>
      <c r="G1" s="71" t="s">
        <v>78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15"/>
      <c r="U1" s="69" t="str">
        <f>"UITSLAG " &amp; G1</f>
        <v>UITSLAG Groep D</v>
      </c>
      <c r="V1" s="70"/>
      <c r="W1" s="70"/>
      <c r="X1" s="70"/>
      <c r="Y1" s="70"/>
      <c r="Z1" s="70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25</v>
      </c>
      <c r="AR2" s="16" t="s">
        <v>24</v>
      </c>
      <c r="AS2" s="16" t="s">
        <v>26</v>
      </c>
      <c r="AV2" s="70" t="s">
        <v>20</v>
      </c>
      <c r="AW2" s="70"/>
      <c r="AX2" s="70"/>
      <c r="AY2" s="70"/>
      <c r="AZ2" s="70"/>
      <c r="BA2" s="70"/>
      <c r="BB2" s="70"/>
      <c r="BC2" s="70"/>
      <c r="BD2" s="70"/>
      <c r="BE2" s="17"/>
      <c r="BF2" s="18"/>
      <c r="BG2" s="70" t="s">
        <v>21</v>
      </c>
      <c r="BH2" s="70"/>
      <c r="BI2" s="70"/>
      <c r="BJ2" s="70"/>
      <c r="BK2" s="70"/>
      <c r="BL2" s="70"/>
      <c r="BM2" s="70"/>
      <c r="BN2" s="70"/>
      <c r="BO2" s="70"/>
    </row>
    <row r="3" spans="1:67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15</v>
      </c>
      <c r="R3" s="7" t="s">
        <v>24</v>
      </c>
      <c r="S3" s="7" t="s">
        <v>56</v>
      </c>
      <c r="T3" s="21"/>
      <c r="U3" s="7" t="s">
        <v>30</v>
      </c>
      <c r="V3" s="22" t="s">
        <v>28</v>
      </c>
      <c r="W3" s="7" t="s">
        <v>6</v>
      </c>
      <c r="X3" s="7" t="s">
        <v>27</v>
      </c>
      <c r="Y3" s="7" t="s">
        <v>22</v>
      </c>
      <c r="Z3" s="7" t="s">
        <v>24</v>
      </c>
      <c r="AA3" s="7" t="s">
        <v>31</v>
      </c>
      <c r="AB3" s="7" t="s">
        <v>32</v>
      </c>
      <c r="AC3" s="21"/>
      <c r="AD3" s="7" t="s">
        <v>47</v>
      </c>
      <c r="AE3" s="7" t="s">
        <v>48</v>
      </c>
      <c r="AF3" s="7" t="s">
        <v>49</v>
      </c>
      <c r="AG3" s="7" t="s">
        <v>50</v>
      </c>
      <c r="AH3" s="7" t="s">
        <v>51</v>
      </c>
      <c r="AI3" s="7" t="s">
        <v>52</v>
      </c>
      <c r="AJ3" s="7"/>
      <c r="AK3" s="7" t="s">
        <v>53</v>
      </c>
      <c r="AL3" s="7" t="s">
        <v>54</v>
      </c>
      <c r="AM3" s="7" t="s">
        <v>55</v>
      </c>
      <c r="AN3" s="7" t="s">
        <v>56</v>
      </c>
      <c r="AO3" s="21"/>
      <c r="AP3" s="7" t="s">
        <v>33</v>
      </c>
      <c r="AQ3" s="23" t="s">
        <v>23</v>
      </c>
      <c r="AR3" s="16" t="s">
        <v>23</v>
      </c>
      <c r="AS3" s="16" t="s">
        <v>23</v>
      </c>
      <c r="AU3" s="6" t="s">
        <v>28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28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4</v>
      </c>
      <c r="B4" s="25">
        <v>1</v>
      </c>
      <c r="C4" s="25" t="s">
        <v>79</v>
      </c>
      <c r="D4" s="67">
        <v>8426165</v>
      </c>
      <c r="E4" s="67"/>
      <c r="F4" s="25">
        <v>1120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>
        <f t="shared" si="0"/>
        <v>0</v>
      </c>
      <c r="O4" s="27">
        <f t="shared" si="0"/>
        <v>1</v>
      </c>
      <c r="P4" s="27">
        <f t="shared" si="0"/>
        <v>0</v>
      </c>
      <c r="Q4" s="28">
        <f>SUM(M4:P4)</f>
        <v>1</v>
      </c>
      <c r="R4" s="29">
        <f>IF(M4="",0,M4)*$Q$4+IF(N4="",0,N4)*$Q$5+IF(O4="",0,O4)*$Q$6+IF(P4="",0,P4)*$Q$7</f>
        <v>0.5</v>
      </c>
      <c r="S4" s="27">
        <f>AN4</f>
        <v>4</v>
      </c>
      <c r="T4" s="30"/>
      <c r="U4" s="31">
        <v>1</v>
      </c>
      <c r="V4" s="32">
        <v>4</v>
      </c>
      <c r="W4" s="33" t="str">
        <f>IF(ISNA(VLOOKUP(B4,$A$4:$T$7,3,FALSE)),C4,VLOOKUP(B4,$A$4:$T$7,3,FALSE))</f>
        <v>Tim Evendijk</v>
      </c>
      <c r="X4" s="34">
        <f>IF(ISNA(VLOOKUP($B4,$A$4:$S$7,17,FALSE)),0,VLOOKUP($B4,$A$4:$S$7,17,FALSE))</f>
        <v>2.5</v>
      </c>
      <c r="Y4" s="34">
        <f t="shared" ref="Y4" si="1">IF(ISNA(VLOOKUP($B4,$A$4:$S$7,17,FALSE)),0,VLOOKUP($B4,$A$4:$S$7,17,FALSE))</f>
        <v>2.5</v>
      </c>
      <c r="Z4" s="34">
        <f>IF(ISNA(VLOOKUP($B4,$A$4:$S$7,18,FALSE)),0,VLOOKUP($B4,$A$4:$S$7,18,FALSE))</f>
        <v>2.5</v>
      </c>
      <c r="AA4" s="34">
        <f>VLOOKUP($V4,$AP$4:$AS$7,4,FALSE)</f>
        <v>16.5</v>
      </c>
      <c r="AB4" s="35">
        <f>VLOOKUP($V4,$B$4:$K$7,5,FALSE)</f>
        <v>1039</v>
      </c>
      <c r="AC4" s="30"/>
      <c r="AD4" s="36">
        <f>IF(R4=$R$4,IF(M4="",0,M4))+IF(R4=$R$5,IF(N4="",0,N4))+IF(R4=$R$6,IF(O4="",0,O4))+IF(R4=$R$7,IF(P4="",0,P4))</f>
        <v>0</v>
      </c>
      <c r="AE4" s="30">
        <f>$AD$9*R4+AD4</f>
        <v>1</v>
      </c>
      <c r="AF4" s="30">
        <f>IF(AE4=$AEE$4,IF(M4="",0,M4))+IF(AE4=$AE$5,IF(N4="",0,N4))+IF(AE4=$AE$6,IF(O4="",0,O4))+IF(AE4=$AE$7,IF(P4="",0,P4))</f>
        <v>0</v>
      </c>
      <c r="AG4" s="30">
        <f>$AF$9*AE4+AF4</f>
        <v>2</v>
      </c>
      <c r="AH4" s="30">
        <f>IF(AG4=$AG$4,IF(M4="",0,M4))+IF(AG4=$AG$5,IF(N4="",0,N4))+IF(AG4=$AG$6,IF(O4="",0,O4))+IF(AG4=$AG$7,IF(O4="",0,O4))</f>
        <v>0</v>
      </c>
      <c r="AI4" s="30">
        <f>$AH$9*AG4+AJ4</f>
        <v>6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4</v>
      </c>
      <c r="AO4" s="30"/>
      <c r="AP4" s="37">
        <v>1</v>
      </c>
      <c r="AQ4" s="38">
        <f>SUMIF($AQ$9:$AQ$21,B4,$AW$9:$AW$21)+SUMIF($AR$9:$AR$21,B4,$AX$9:$AX$21)</f>
        <v>1</v>
      </c>
      <c r="AR4" s="39">
        <f>SUMIF($AQ$9:$AQ$21,B4,$AY$9:$AY$21)+SUMIF($AR$9:$AR$21,B4,$AZ$9:$AZ$21)</f>
        <v>0</v>
      </c>
      <c r="AS4" s="39">
        <f>SUM(BG4:BO4)</f>
        <v>8</v>
      </c>
      <c r="AU4" s="6">
        <v>1</v>
      </c>
      <c r="AV4" s="6">
        <f t="shared" ref="AV4:BD7" si="2">SUMIFS($J$12:$J$21,$AQ$12:$AQ$21,$AU4,$AP$12:$AP$21,AV$3)+SUMIFS($N$12:$N$21,$AR$12:$AR$21,$AU4,$AP$12:$AP$21,AV$3)</f>
        <v>0</v>
      </c>
      <c r="AW4" s="6">
        <f t="shared" si="2"/>
        <v>1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1</v>
      </c>
      <c r="BI4" s="6">
        <f t="shared" si="3"/>
        <v>1</v>
      </c>
      <c r="BJ4" s="6">
        <f t="shared" si="3"/>
        <v>1</v>
      </c>
      <c r="BK4" s="6">
        <f t="shared" si="3"/>
        <v>1</v>
      </c>
      <c r="BL4" s="6">
        <f t="shared" si="3"/>
        <v>1</v>
      </c>
      <c r="BM4" s="6">
        <f t="shared" si="3"/>
        <v>1</v>
      </c>
      <c r="BN4" s="6">
        <f t="shared" si="3"/>
        <v>1</v>
      </c>
      <c r="BO4" s="6">
        <f t="shared" si="3"/>
        <v>1</v>
      </c>
    </row>
    <row r="5" spans="1:67" x14ac:dyDescent="0.25">
      <c r="A5" s="24">
        <f t="shared" ref="A5:A7" si="4">S5</f>
        <v>1</v>
      </c>
      <c r="B5" s="25">
        <v>2</v>
      </c>
      <c r="C5" s="25" t="s">
        <v>80</v>
      </c>
      <c r="D5" s="67">
        <v>8320279</v>
      </c>
      <c r="E5" s="67"/>
      <c r="F5" s="25">
        <v>1113</v>
      </c>
      <c r="M5" s="27">
        <f t="shared" si="0"/>
        <v>1</v>
      </c>
      <c r="N5" s="26" t="str">
        <f t="shared" si="0"/>
        <v/>
      </c>
      <c r="O5" s="27">
        <f t="shared" si="0"/>
        <v>1</v>
      </c>
      <c r="P5" s="27">
        <f t="shared" si="0"/>
        <v>0.5</v>
      </c>
      <c r="Q5" s="28">
        <f>SUM(M5:P5)</f>
        <v>2.5</v>
      </c>
      <c r="R5" s="29">
        <f t="shared" ref="R5:R7" si="5">IF(M5="",0,M5)*$Q$4+IF(N5="",0,N5)*$Q$5+IF(O5="",0,O5)*$Q$6+IF(P5="",0,P5)*$Q$7</f>
        <v>2.5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Tim Evendijk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3.5</v>
      </c>
      <c r="AB5" s="35">
        <f>VLOOKUP($V5,$B$4:$K$7,5,FALSE)</f>
        <v>1079</v>
      </c>
      <c r="AC5" s="30"/>
      <c r="AD5" s="36">
        <f t="shared" ref="AD5:AD7" si="10">IF(R5=$R$4,IF(M5="",0,M5))+IF(R5=$R$5,IF(N5="",0,N5))+IF(R5=$R$6,IF(O5="",0,O5))+IF(R5=$R$7,IF(P5="",0,P5))</f>
        <v>0.5</v>
      </c>
      <c r="AE5" s="30">
        <f t="shared" ref="AE5:AE7" si="11">$AD$9*R5+AD5</f>
        <v>5.5</v>
      </c>
      <c r="AF5" s="30">
        <f>IF(AE5=$AEE$4,IF(M5="",0,M5))+IF(AE5=$AE$5,IF(N5="",0,N5))+IF(AE5=$AE$6,IF(O5="",0,O5))+IF(AE5=$AE$7,IF(P5="",0,P5))</f>
        <v>0.5</v>
      </c>
      <c r="AG5" s="30">
        <f t="shared" ref="AG5:AG7" si="12">$AF$9*AE5+AF5</f>
        <v>11.5</v>
      </c>
      <c r="AH5" s="30">
        <f t="shared" ref="AH5:AH7" si="13">IF(AG5=$AG$4,IF(M5="",0,M5))+IF(AG5=$AG$5,IF(N5="",0,N5))+IF(AG5=$AG$6,IF(O5="",0,O5))+IF(AG5=$AG$7,IF(O5="",0,O5))</f>
        <v>1</v>
      </c>
      <c r="AI5" s="30">
        <f t="shared" ref="AI5:AI7" si="14">$AH$9*AG5+AJ5</f>
        <v>34.5</v>
      </c>
      <c r="AJ5" s="30"/>
      <c r="AK5" s="30">
        <f t="shared" ref="AK5:AK7" si="15">RANK(AI5,$AI$4:$AI$7,1)-1</f>
        <v>2</v>
      </c>
      <c r="AL5" s="30">
        <f t="shared" ref="AL5:AL7" si="16">RANK(R5,$R$4:$R$7,1)-1</f>
        <v>2</v>
      </c>
      <c r="AM5" s="30">
        <f t="shared" ref="AM5:AM7" si="17">4*AK5+AL5</f>
        <v>10</v>
      </c>
      <c r="AN5" s="30">
        <f t="shared" ref="AN5:AN7" si="18">RANK(AM5,$AM$4:$AM$7)</f>
        <v>1</v>
      </c>
      <c r="AO5" s="30"/>
      <c r="AP5" s="37">
        <v>2</v>
      </c>
      <c r="AQ5" s="38">
        <f>SUMIF($AQ$9:$AQ$21,B5,$AW$9:$AW$21)+SUMIF($AR$9:$AR$21,B5,$AX$9:$AX$21)</f>
        <v>2.5</v>
      </c>
      <c r="AR5" s="39">
        <f>SUMIF($AQ$9:$AQ$21,B5,$AY$9:$AY$21)+SUMIF($AR$9:$AR$21,B5,$AZ$9:$AZ$21)</f>
        <v>1.5</v>
      </c>
      <c r="AS5" s="39">
        <f t="shared" ref="AS5:AS7" si="19">SUM(BG5:BO5)</f>
        <v>20</v>
      </c>
      <c r="AU5" s="6">
        <v>2</v>
      </c>
      <c r="AV5" s="6">
        <f t="shared" si="2"/>
        <v>1</v>
      </c>
      <c r="AW5" s="6">
        <f t="shared" si="2"/>
        <v>0.5</v>
      </c>
      <c r="AX5" s="6">
        <f t="shared" si="2"/>
        <v>1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1</v>
      </c>
      <c r="BH5" s="6">
        <f t="shared" si="3"/>
        <v>1.5</v>
      </c>
      <c r="BI5" s="6">
        <f t="shared" si="3"/>
        <v>2.5</v>
      </c>
      <c r="BJ5" s="6">
        <f t="shared" si="3"/>
        <v>2.5</v>
      </c>
      <c r="BK5" s="6">
        <f t="shared" si="3"/>
        <v>2.5</v>
      </c>
      <c r="BL5" s="6">
        <f t="shared" si="3"/>
        <v>2.5</v>
      </c>
      <c r="BM5" s="6">
        <f t="shared" si="3"/>
        <v>2.5</v>
      </c>
      <c r="BN5" s="6">
        <f t="shared" si="3"/>
        <v>2.5</v>
      </c>
      <c r="BO5" s="6">
        <f t="shared" si="3"/>
        <v>2.5</v>
      </c>
    </row>
    <row r="6" spans="1:67" x14ac:dyDescent="0.25">
      <c r="A6" s="24">
        <f t="shared" si="4"/>
        <v>3</v>
      </c>
      <c r="B6" s="25">
        <v>3</v>
      </c>
      <c r="C6" s="25" t="s">
        <v>81</v>
      </c>
      <c r="D6" s="67">
        <v>8557714</v>
      </c>
      <c r="E6" s="67"/>
      <c r="F6" s="25">
        <v>1079</v>
      </c>
      <c r="M6" s="27">
        <f t="shared" si="0"/>
        <v>0</v>
      </c>
      <c r="N6" s="27">
        <f t="shared" si="0"/>
        <v>0</v>
      </c>
      <c r="O6" s="26" t="str">
        <f t="shared" si="0"/>
        <v/>
      </c>
      <c r="P6" s="27">
        <f t="shared" si="0"/>
        <v>0.5</v>
      </c>
      <c r="Q6" s="28">
        <f>SUM(M6:P6)</f>
        <v>0.5</v>
      </c>
      <c r="R6" s="29">
        <f t="shared" si="5"/>
        <v>1</v>
      </c>
      <c r="S6" s="27">
        <f t="shared" si="6"/>
        <v>3</v>
      </c>
      <c r="T6" s="30"/>
      <c r="U6" s="31">
        <v>3</v>
      </c>
      <c r="V6" s="32">
        <v>2</v>
      </c>
      <c r="W6" s="33" t="str">
        <f t="shared" si="7"/>
        <v>Lars Boere</v>
      </c>
      <c r="X6" s="34">
        <f t="shared" si="8"/>
        <v>0.5</v>
      </c>
      <c r="Y6" s="34">
        <f t="shared" si="8"/>
        <v>0.5</v>
      </c>
      <c r="Z6" s="34">
        <f t="shared" si="9"/>
        <v>1</v>
      </c>
      <c r="AA6" s="34">
        <f>VLOOKUP($V6,$AP$4:$AS$7,4,FALSE)</f>
        <v>20</v>
      </c>
      <c r="AB6" s="35">
        <f>VLOOKUP($V6,$B$4:$K$7,5,FALSE)</f>
        <v>1113</v>
      </c>
      <c r="AC6" s="30"/>
      <c r="AD6" s="36">
        <f t="shared" si="10"/>
        <v>0</v>
      </c>
      <c r="AE6" s="30">
        <f t="shared" si="11"/>
        <v>2</v>
      </c>
      <c r="AF6" s="30">
        <f>IF(AE6=$AEE$4,IF(M6="",0,M6))+IF(AE6=$AE$5,IF(N6="",0,N6))+IF(AE6=$AE$6,IF(O6="",0,O6))+IF(AE6=$AE$7,IF(P6="",0,P6))</f>
        <v>0</v>
      </c>
      <c r="AG6" s="30">
        <f t="shared" si="12"/>
        <v>4</v>
      </c>
      <c r="AH6" s="30">
        <f t="shared" si="13"/>
        <v>0</v>
      </c>
      <c r="AI6" s="30">
        <f t="shared" si="14"/>
        <v>12</v>
      </c>
      <c r="AJ6" s="30"/>
      <c r="AK6" s="30">
        <f t="shared" si="15"/>
        <v>1</v>
      </c>
      <c r="AL6" s="30">
        <f t="shared" si="16"/>
        <v>1</v>
      </c>
      <c r="AM6" s="30">
        <f t="shared" si="17"/>
        <v>5</v>
      </c>
      <c r="AN6" s="30">
        <f t="shared" si="18"/>
        <v>3</v>
      </c>
      <c r="AO6" s="30"/>
      <c r="AP6" s="37">
        <v>3</v>
      </c>
      <c r="AQ6" s="38">
        <f>SUMIF($AQ$9:$AQ$21,B6,$AW$9:$AW$21)+SUMIF($AR$9:$AR$21,B6,$AX$9:$AX$21)</f>
        <v>0</v>
      </c>
      <c r="AR6" s="39">
        <f>SUMIF($AQ$9:$AQ$21,B6,$AY$9:$AY$21)+SUMIF($AR$9:$AR$21,B6,$AZ$9:$AZ$21)</f>
        <v>0.75</v>
      </c>
      <c r="AS6" s="39">
        <f t="shared" si="19"/>
        <v>3.5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0.5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</v>
      </c>
      <c r="BH6" s="6">
        <f t="shared" si="3"/>
        <v>0</v>
      </c>
      <c r="BI6" s="6">
        <f t="shared" si="3"/>
        <v>0.5</v>
      </c>
      <c r="BJ6" s="6">
        <f t="shared" si="3"/>
        <v>0.5</v>
      </c>
      <c r="BK6" s="6">
        <f t="shared" si="3"/>
        <v>0.5</v>
      </c>
      <c r="BL6" s="6">
        <f t="shared" si="3"/>
        <v>0.5</v>
      </c>
      <c r="BM6" s="6">
        <f t="shared" si="3"/>
        <v>0.5</v>
      </c>
      <c r="BN6" s="6">
        <f t="shared" si="3"/>
        <v>0.5</v>
      </c>
      <c r="BO6" s="6">
        <f t="shared" si="3"/>
        <v>0.5</v>
      </c>
    </row>
    <row r="7" spans="1:67" x14ac:dyDescent="0.25">
      <c r="A7" s="24">
        <f t="shared" si="4"/>
        <v>1</v>
      </c>
      <c r="B7" s="25">
        <v>4</v>
      </c>
      <c r="C7" s="25" t="s">
        <v>82</v>
      </c>
      <c r="D7" s="67">
        <v>8496565</v>
      </c>
      <c r="E7" s="67"/>
      <c r="F7" s="25">
        <v>1039</v>
      </c>
      <c r="M7" s="27">
        <f t="shared" si="0"/>
        <v>1</v>
      </c>
      <c r="N7" s="27">
        <f t="shared" si="0"/>
        <v>0.5</v>
      </c>
      <c r="O7" s="27">
        <f t="shared" si="0"/>
        <v>0.5</v>
      </c>
      <c r="P7" s="26" t="str">
        <f t="shared" si="0"/>
        <v/>
      </c>
      <c r="Q7" s="28">
        <f>SUM(M7:P7)</f>
        <v>2</v>
      </c>
      <c r="R7" s="29">
        <f t="shared" si="5"/>
        <v>2.5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Floris van Capelleveen</v>
      </c>
      <c r="X7" s="34">
        <f t="shared" si="8"/>
        <v>1</v>
      </c>
      <c r="Y7" s="34">
        <f t="shared" si="8"/>
        <v>1</v>
      </c>
      <c r="Z7" s="34">
        <f t="shared" si="9"/>
        <v>0.5</v>
      </c>
      <c r="AA7" s="34">
        <f>VLOOKUP($V7,$AP$4:$AS$7,4,FALSE)</f>
        <v>8</v>
      </c>
      <c r="AB7" s="35">
        <f>VLOOKUP($V7,$B$4:$K$7,5,FALSE)</f>
        <v>1120</v>
      </c>
      <c r="AC7" s="30"/>
      <c r="AD7" s="36">
        <f t="shared" si="10"/>
        <v>0.5</v>
      </c>
      <c r="AE7" s="30">
        <f t="shared" si="11"/>
        <v>5.5</v>
      </c>
      <c r="AF7" s="30">
        <f>IF(AE7=$AEE$4,IF(M7="",0,M7))+IF(AE7=$AE$5,IF(N7="",0,N7))+IF(AE7=$AE$6,IF(O7="",0,O7))+IF(AE7=$AE$7,IF(P7="",0,P7))</f>
        <v>0.5</v>
      </c>
      <c r="AG7" s="30">
        <f t="shared" si="12"/>
        <v>11.5</v>
      </c>
      <c r="AH7" s="30">
        <f t="shared" si="13"/>
        <v>1</v>
      </c>
      <c r="AI7" s="30">
        <f t="shared" si="14"/>
        <v>34.5</v>
      </c>
      <c r="AJ7" s="30"/>
      <c r="AK7" s="30">
        <f t="shared" si="15"/>
        <v>2</v>
      </c>
      <c r="AL7" s="30">
        <f t="shared" si="16"/>
        <v>2</v>
      </c>
      <c r="AM7" s="30">
        <f t="shared" si="17"/>
        <v>10</v>
      </c>
      <c r="AN7" s="30">
        <f t="shared" si="18"/>
        <v>1</v>
      </c>
      <c r="AO7" s="30"/>
      <c r="AP7" s="37">
        <v>4</v>
      </c>
      <c r="AQ7" s="38">
        <f>SUMIF($AQ$9:$AQ$21,B7,$AW$9:$AW$21)+SUMIF($AR$9:$AR$21,B7,$AX$9:$AX$21)</f>
        <v>2.5</v>
      </c>
      <c r="AR7" s="39">
        <f>SUMIF($AQ$9:$AQ$21,B7,$AY$9:$AY$21)+SUMIF($AR$9:$AR$21,B7,$AZ$9:$AZ$21)</f>
        <v>0.5</v>
      </c>
      <c r="AS7" s="39">
        <f t="shared" si="19"/>
        <v>16.5</v>
      </c>
      <c r="AU7" s="6">
        <v>4</v>
      </c>
      <c r="AV7" s="6">
        <f t="shared" si="2"/>
        <v>1</v>
      </c>
      <c r="AW7" s="6">
        <f t="shared" si="2"/>
        <v>0.5</v>
      </c>
      <c r="AX7" s="6">
        <f t="shared" si="2"/>
        <v>0.5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1</v>
      </c>
      <c r="BH7" s="6">
        <f t="shared" si="3"/>
        <v>1.5</v>
      </c>
      <c r="BI7" s="6">
        <f t="shared" si="3"/>
        <v>2</v>
      </c>
      <c r="BJ7" s="6">
        <f t="shared" si="3"/>
        <v>2</v>
      </c>
      <c r="BK7" s="6">
        <f t="shared" si="3"/>
        <v>2</v>
      </c>
      <c r="BL7" s="6">
        <f t="shared" si="3"/>
        <v>2</v>
      </c>
      <c r="BM7" s="6">
        <f t="shared" si="3"/>
        <v>2</v>
      </c>
      <c r="BN7" s="6">
        <f t="shared" si="3"/>
        <v>2</v>
      </c>
      <c r="BO7" s="6">
        <f t="shared" si="3"/>
        <v>2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2</v>
      </c>
      <c r="AF9" s="30">
        <f>2*MAX(AF4:AF7)+1</f>
        <v>2</v>
      </c>
      <c r="AH9" s="30">
        <f>2*MAX(AH4:AH7)+1</f>
        <v>3</v>
      </c>
      <c r="AP9" s="41" t="s">
        <v>36</v>
      </c>
      <c r="AQ9" s="41" t="s">
        <v>0</v>
      </c>
      <c r="AR9" s="41" t="s">
        <v>1</v>
      </c>
      <c r="AS9" s="41" t="s">
        <v>2</v>
      </c>
      <c r="AU9" s="42" t="s">
        <v>34</v>
      </c>
      <c r="AV9" s="42" t="s">
        <v>35</v>
      </c>
      <c r="AW9" s="6" t="s">
        <v>16</v>
      </c>
      <c r="AX9" s="6" t="s">
        <v>17</v>
      </c>
      <c r="AY9" s="6" t="s">
        <v>18</v>
      </c>
      <c r="AZ9" s="6" t="s">
        <v>19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Marnix van Tol</v>
      </c>
      <c r="D12" s="46" t="s">
        <v>5</v>
      </c>
      <c r="E12" s="66" t="str">
        <f>VLOOKUP(AR12,$B$4:$F$7,2,FALSE)</f>
        <v>Floris van Capelleveen</v>
      </c>
      <c r="F12" s="66"/>
      <c r="G12" s="66"/>
      <c r="H12" s="66"/>
      <c r="J12" s="66">
        <f>IF(S12="","",VLOOKUP(S12,Configuratie!$B$1:$E$10,3,FALSE))</f>
        <v>1</v>
      </c>
      <c r="K12" s="66"/>
      <c r="L12" s="47" t="s">
        <v>5</v>
      </c>
      <c r="N12" s="66">
        <f>IF(S12="","",VLOOKUP(S12,Configuratie!$B$1:$E$10,4,FALSE))</f>
        <v>0</v>
      </c>
      <c r="O12" s="66"/>
      <c r="Q12" s="6" t="str">
        <f>IF(S12="","",VLOOKUP(S12,Configuratie!$B$1:$E$10,2,FALSE))</f>
        <v>1-0</v>
      </c>
      <c r="S12" s="5">
        <v>1</v>
      </c>
      <c r="AP12" s="6">
        <v>1</v>
      </c>
      <c r="AQ12" s="6">
        <v>4</v>
      </c>
      <c r="AR12" s="6">
        <v>1</v>
      </c>
      <c r="AS12" s="6">
        <f>IF(AND(ISNUMBER(J12),ISNUMBER(N12)),IF(J12+N12=1,1,0),"")</f>
        <v>1</v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>
        <f>J12*AX12</f>
        <v>0</v>
      </c>
      <c r="AZ12" s="6">
        <f>N12*AW12</f>
        <v>0</v>
      </c>
    </row>
    <row r="13" spans="1:67" x14ac:dyDescent="0.25">
      <c r="B13" s="6">
        <v>2</v>
      </c>
      <c r="C13" s="6" t="str">
        <f>VLOOKUP(AQ13,$B$4:$F$7,2,FALSE)</f>
        <v>Lars Boere</v>
      </c>
      <c r="D13" s="46" t="s">
        <v>5</v>
      </c>
      <c r="E13" s="66" t="str">
        <f>VLOOKUP(AR13,$B$4:$F$7,2,FALSE)</f>
        <v>Tim Evendijk</v>
      </c>
      <c r="F13" s="66"/>
      <c r="G13" s="66"/>
      <c r="H13" s="66"/>
      <c r="J13" s="66">
        <f>IF(S13="","",VLOOKUP(S13,Configuratie!$B$1:$E$10,3,FALSE))</f>
        <v>0</v>
      </c>
      <c r="K13" s="66"/>
      <c r="L13" s="47" t="s">
        <v>5</v>
      </c>
      <c r="N13" s="66">
        <f>IF(S13="","",VLOOKUP(S13,Configuratie!$B$1:$E$10,4,FALSE))</f>
        <v>1</v>
      </c>
      <c r="O13" s="66"/>
      <c r="Q13" s="6" t="str">
        <f>IF(S13="","",VLOOKUP(S13,Configuratie!$B$1:$E$10,2,FALSE))</f>
        <v>0-1</v>
      </c>
      <c r="S13" s="5">
        <v>0</v>
      </c>
      <c r="AP13" s="6">
        <v>1</v>
      </c>
      <c r="AQ13" s="6">
        <v>3</v>
      </c>
      <c r="AR13" s="6">
        <v>2</v>
      </c>
      <c r="AS13" s="6">
        <f>IF(AND(ISNUMBER(J13),ISNUMBER(N13)),IF(J13+N13=1,1,0),"")</f>
        <v>1</v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>
        <f>J13*AX13</f>
        <v>0</v>
      </c>
      <c r="AZ13" s="6">
        <f>N13*AW13</f>
        <v>0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Marnix van Tol</v>
      </c>
      <c r="D16" s="46" t="s">
        <v>5</v>
      </c>
      <c r="E16" s="66" t="str">
        <f>VLOOKUP(AR16,$B$4:$F$7,2,FALSE)</f>
        <v>Tim Evendijk</v>
      </c>
      <c r="F16" s="66"/>
      <c r="G16" s="66"/>
      <c r="H16" s="66"/>
      <c r="J16" s="66">
        <f>IF(S16="","",VLOOKUP(S16,Configuratie!$B$1:$E$10,3,FALSE))</f>
        <v>0.5</v>
      </c>
      <c r="K16" s="66"/>
      <c r="L16" s="47" t="s">
        <v>5</v>
      </c>
      <c r="N16" s="66">
        <f>IF(S16="","",VLOOKUP(S16,Configuratie!$B$1:$E$10,4,FALSE))</f>
        <v>0.5</v>
      </c>
      <c r="O16" s="66"/>
      <c r="Q16" s="6" t="str">
        <f>IF(S16="","",VLOOKUP(S16,Configuratie!$B$1:$E$10,2,FALSE))</f>
        <v>½-½</v>
      </c>
      <c r="S16" s="5">
        <v>2</v>
      </c>
      <c r="AP16" s="6">
        <v>2</v>
      </c>
      <c r="AQ16" s="6">
        <v>4</v>
      </c>
      <c r="AR16" s="6">
        <v>2</v>
      </c>
      <c r="AS16" s="6">
        <f>IF(AND(ISNUMBER(J16),ISNUMBER(N16)),IF(J16+N16=1,1,0),"")</f>
        <v>1</v>
      </c>
      <c r="AU16" s="48">
        <f>AQ16*100+AR16</f>
        <v>402</v>
      </c>
      <c r="AV16" s="48">
        <f>AR16*100+AQ16</f>
        <v>204</v>
      </c>
      <c r="AW16" s="6">
        <f>VLOOKUP(AQ16,$BF$3:$BO$7,$AP16,FALSE)</f>
        <v>1</v>
      </c>
      <c r="AX16" s="6">
        <f>VLOOKUP(AR16,$BF$3:$BO$7,$AP16,FALSE)</f>
        <v>1</v>
      </c>
      <c r="AY16" s="6">
        <f>J16*AX16</f>
        <v>0.5</v>
      </c>
      <c r="AZ16" s="6">
        <f>N16*AW16</f>
        <v>0.5</v>
      </c>
    </row>
    <row r="17" spans="2:52" x14ac:dyDescent="0.25">
      <c r="B17" s="6">
        <v>2</v>
      </c>
      <c r="C17" s="6" t="str">
        <f>VLOOKUP(AQ17,$B$4:$F$7,2,FALSE)</f>
        <v>Floris van Capelleveen</v>
      </c>
      <c r="D17" s="46" t="s">
        <v>5</v>
      </c>
      <c r="E17" s="66" t="str">
        <f>VLOOKUP(AR17,$B$4:$F$7,2,FALSE)</f>
        <v>Lars Boere</v>
      </c>
      <c r="F17" s="66"/>
      <c r="G17" s="66"/>
      <c r="H17" s="66"/>
      <c r="J17" s="66">
        <f>IF(S17="","",VLOOKUP(S17,Configuratie!$B$1:$E$10,3,FALSE))</f>
        <v>1</v>
      </c>
      <c r="K17" s="66"/>
      <c r="L17" s="47" t="s">
        <v>5</v>
      </c>
      <c r="N17" s="66">
        <f>IF(S17="","",VLOOKUP(S17,Configuratie!$B$1:$E$10,4,FALSE))</f>
        <v>0</v>
      </c>
      <c r="O17" s="66"/>
      <c r="Q17" s="6" t="str">
        <f>IF(S17="","",VLOOKUP(S17,Configuratie!$B$1:$E$10,2,FALSE))</f>
        <v>1-0</v>
      </c>
      <c r="S17" s="5">
        <v>1</v>
      </c>
      <c r="AP17" s="6">
        <v>2</v>
      </c>
      <c r="AQ17" s="6">
        <v>1</v>
      </c>
      <c r="AR17" s="6">
        <v>3</v>
      </c>
      <c r="AS17" s="6">
        <f>IF(AND(ISNUMBER(J17),ISNUMBER(N17)),IF(J17+N17=1,1,0),"")</f>
        <v>1</v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>
        <f>J17*AX17</f>
        <v>0</v>
      </c>
      <c r="AZ17" s="6">
        <f>N17*AW17</f>
        <v>0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0</v>
      </c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Lars Boere</v>
      </c>
      <c r="D20" s="46" t="s">
        <v>5</v>
      </c>
      <c r="E20" s="66" t="str">
        <f>VLOOKUP(AR20,$B$4:$F$7,2,FALSE)</f>
        <v>Marnix van Tol</v>
      </c>
      <c r="F20" s="66"/>
      <c r="G20" s="66"/>
      <c r="H20" s="66"/>
      <c r="J20" s="66">
        <f>IF(S20="","",VLOOKUP(S20,Configuratie!$B$1:$E$10,3,FALSE))</f>
        <v>0.5</v>
      </c>
      <c r="K20" s="66"/>
      <c r="L20" s="47" t="s">
        <v>5</v>
      </c>
      <c r="N20" s="66">
        <f>IF(S20="","",VLOOKUP(S20,Configuratie!$B$1:$E$10,4,FALSE))</f>
        <v>0.5</v>
      </c>
      <c r="O20" s="66"/>
      <c r="Q20" s="6" t="str">
        <f>IF(S20="","",VLOOKUP(S20,Configuratie!$B$1:$E$10,2,FALSE))</f>
        <v>½-½</v>
      </c>
      <c r="S20" s="5">
        <v>2</v>
      </c>
      <c r="AP20" s="6">
        <v>3</v>
      </c>
      <c r="AQ20" s="6">
        <v>3</v>
      </c>
      <c r="AR20" s="6">
        <v>4</v>
      </c>
      <c r="AS20" s="6">
        <f>IF(AND(ISNUMBER(J20),ISNUMBER(N20)),IF(J20+N20=1,1,0),"")</f>
        <v>1</v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1.5</v>
      </c>
      <c r="AY20" s="6">
        <f>J20*AX20</f>
        <v>0.75</v>
      </c>
      <c r="AZ20" s="6">
        <f>N20*AW20</f>
        <v>0</v>
      </c>
    </row>
    <row r="21" spans="2:52" x14ac:dyDescent="0.25">
      <c r="B21" s="6">
        <v>2</v>
      </c>
      <c r="C21" s="6" t="str">
        <f>VLOOKUP(AQ21,$B$4:$F$7,2,FALSE)</f>
        <v>Tim Evendijk</v>
      </c>
      <c r="D21" s="46" t="s">
        <v>5</v>
      </c>
      <c r="E21" s="66" t="str">
        <f>VLOOKUP(AR21,$B$4:$F$7,2,FALSE)</f>
        <v>Floris van Capelleveen</v>
      </c>
      <c r="F21" s="66"/>
      <c r="G21" s="66"/>
      <c r="H21" s="66"/>
      <c r="J21" s="66">
        <f>IF(S21="","",VLOOKUP(S21,Configuratie!$B$1:$E$10,3,FALSE))</f>
        <v>1</v>
      </c>
      <c r="K21" s="66"/>
      <c r="L21" s="47" t="s">
        <v>5</v>
      </c>
      <c r="N21" s="66">
        <f>IF(S21="","",VLOOKUP(S21,Configuratie!$B$1:$E$10,4,FALSE))</f>
        <v>0</v>
      </c>
      <c r="O21" s="66"/>
      <c r="Q21" s="6" t="str">
        <f>IF(S21="","",VLOOKUP(S21,Configuratie!$B$1:$E$10,2,FALSE))</f>
        <v>1-0</v>
      </c>
      <c r="S21" s="5">
        <v>1</v>
      </c>
      <c r="AP21" s="6">
        <v>3</v>
      </c>
      <c r="AQ21" s="6">
        <v>2</v>
      </c>
      <c r="AR21" s="6">
        <v>1</v>
      </c>
      <c r="AS21" s="6">
        <f>IF(AND(ISNUMBER(J21),ISNUMBER(N21)),IF(J21+N21=1,1,0),"")</f>
        <v>1</v>
      </c>
      <c r="AU21" s="48">
        <f>AQ21*100+AR21</f>
        <v>201</v>
      </c>
      <c r="AV21" s="48">
        <f>AR21*100+AQ21</f>
        <v>102</v>
      </c>
      <c r="AW21" s="6">
        <f>VLOOKUP(AQ21,$BF$3:$BO$7,$AP21,FALSE)</f>
        <v>1.5</v>
      </c>
      <c r="AX21" s="6">
        <f>VLOOKUP(AR21,$BF$3:$BO$7,$AP21,FALSE)</f>
        <v>1</v>
      </c>
      <c r="AY21" s="6">
        <f>J21*AX21</f>
        <v>1</v>
      </c>
      <c r="AZ21" s="6">
        <f>N21*AW21</f>
        <v>0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9" priority="5" stopIfTrue="1" operator="between">
      <formula>0</formula>
      <formula>1</formula>
    </cfRule>
  </conditionalFormatting>
  <conditionalFormatting sqref="S4:S7">
    <cfRule type="cellIs" dxfId="38" priority="1" operator="equal">
      <formula>3</formula>
    </cfRule>
    <cfRule type="cellIs" dxfId="37" priority="2" operator="equal">
      <formula>2</formula>
    </cfRule>
    <cfRule type="cellIs" dxfId="36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 fitToPage="1"/>
  </sheetPr>
  <dimension ref="A1:BT54"/>
  <sheetViews>
    <sheetView view="pageBreakPreview" zoomScaleNormal="100" zoomScaleSheetLayoutView="100" workbookViewId="0">
      <selection activeCell="T15" sqref="T15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4" width="3.7109375" style="6" customWidth="1" collapsed="1"/>
    <col min="15" max="17" width="3.7109375" style="6" hidden="1" customWidth="1" collapsed="1"/>
    <col min="18" max="20" width="10.42578125" style="6" customWidth="1" collapsed="1"/>
    <col min="21" max="21" width="3.7109375" style="6" customWidth="1" collapsed="1"/>
    <col min="22" max="22" width="6.7109375" style="6" customWidth="1" collapsed="1"/>
    <col min="23" max="23" width="3" style="6" hidden="1" customWidth="1" collapsed="1"/>
    <col min="24" max="24" width="27.7109375" style="6" customWidth="1" collapsed="1"/>
    <col min="25" max="25" width="6.7109375" style="6" customWidth="1" collapsed="1"/>
    <col min="26" max="26" width="6.7109375" style="6" hidden="1" customWidth="1" collapsed="1"/>
    <col min="27" max="27" width="6.7109375" style="6" customWidth="1" collapsed="1"/>
    <col min="28" max="29" width="6.7109375" style="6" hidden="1" customWidth="1" collapsed="1"/>
    <col min="30" max="30" width="6.7109375" style="6" customWidth="1" collapsed="1"/>
    <col min="31" max="31" width="8.570312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6.7109375" style="6" hidden="1" customWidth="1" collapsed="1"/>
    <col min="35" max="35" width="8.5703125" style="6" hidden="1" customWidth="1" collapsed="1"/>
    <col min="36" max="37" width="6.7109375" style="6" hidden="1" customWidth="1" collapsed="1"/>
    <col min="38" max="38" width="8.5703125" style="6" hidden="1" customWidth="1" collapsed="1"/>
    <col min="39" max="46" width="6.7109375" style="6" hidden="1" customWidth="1" collapsed="1"/>
    <col min="47" max="50" width="9.140625" style="6" hidden="1" customWidth="1" collapsed="1"/>
    <col min="51" max="52" width="4.42578125" style="6" hidden="1" customWidth="1" collapsed="1"/>
    <col min="53" max="71" width="3.7109375" style="6" hidden="1" customWidth="1" collapsed="1"/>
    <col min="72" max="72" width="9.140625" style="6" hidden="1" customWidth="1" collapsed="1"/>
    <col min="73" max="74" width="9.140625" style="6" customWidth="1" collapsed="1"/>
    <col min="75" max="16384" width="9.140625" style="6" collapsed="1"/>
  </cols>
  <sheetData>
    <row r="1" spans="1:71" ht="26.25" x14ac:dyDescent="0.4">
      <c r="A1" s="24">
        <v>6</v>
      </c>
      <c r="B1" s="68" t="s">
        <v>29</v>
      </c>
      <c r="C1" s="68"/>
      <c r="D1" s="68"/>
      <c r="E1" s="68"/>
      <c r="F1" s="68"/>
      <c r="G1" s="71" t="s">
        <v>83</v>
      </c>
      <c r="H1" s="71"/>
      <c r="I1" s="66"/>
      <c r="J1" s="66"/>
      <c r="K1" s="66"/>
      <c r="L1" s="66"/>
      <c r="M1" s="66"/>
      <c r="N1" s="66"/>
      <c r="O1" s="66"/>
      <c r="P1" s="66"/>
      <c r="Q1" s="66"/>
      <c r="R1" s="66"/>
      <c r="S1" s="47"/>
      <c r="T1" s="47"/>
      <c r="U1" s="15"/>
      <c r="V1" s="69" t="str">
        <f>"UITSLAG "&amp; G1</f>
        <v>UITSLAG Groep E</v>
      </c>
      <c r="W1" s="70"/>
      <c r="X1" s="70"/>
      <c r="Y1" s="70"/>
      <c r="Z1" s="70"/>
      <c r="AA1" s="70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25</v>
      </c>
      <c r="AV2" s="16" t="s">
        <v>24</v>
      </c>
      <c r="AW2" s="16" t="s">
        <v>26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17"/>
      <c r="BJ2" s="18"/>
      <c r="BK2" s="70" t="s">
        <v>21</v>
      </c>
      <c r="BL2" s="70"/>
      <c r="BM2" s="70"/>
      <c r="BN2" s="70"/>
      <c r="BO2" s="70"/>
      <c r="BP2" s="70"/>
      <c r="BQ2" s="70"/>
      <c r="BR2" s="70"/>
      <c r="BS2" s="70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5"/>
      <c r="O3" s="76"/>
      <c r="P3" s="49"/>
      <c r="Q3" s="50"/>
      <c r="R3" s="7" t="s">
        <v>15</v>
      </c>
      <c r="S3" s="7" t="s">
        <v>24</v>
      </c>
      <c r="T3" s="7" t="s">
        <v>56</v>
      </c>
      <c r="U3" s="21"/>
      <c r="V3" s="7" t="s">
        <v>30</v>
      </c>
      <c r="W3" s="22" t="s">
        <v>28</v>
      </c>
      <c r="X3" s="7" t="s">
        <v>6</v>
      </c>
      <c r="Y3" s="7" t="s">
        <v>27</v>
      </c>
      <c r="Z3" s="7" t="s">
        <v>22</v>
      </c>
      <c r="AA3" s="7" t="s">
        <v>24</v>
      </c>
      <c r="AB3" s="7" t="s">
        <v>31</v>
      </c>
      <c r="AC3" s="7" t="s">
        <v>32</v>
      </c>
      <c r="AD3" s="13"/>
      <c r="AE3" s="7" t="s">
        <v>47</v>
      </c>
      <c r="AF3" s="7" t="s">
        <v>48</v>
      </c>
      <c r="AG3" s="7" t="s">
        <v>49</v>
      </c>
      <c r="AH3" s="7" t="s">
        <v>50</v>
      </c>
      <c r="AI3" s="7" t="s">
        <v>51</v>
      </c>
      <c r="AJ3" s="7" t="s">
        <v>52</v>
      </c>
      <c r="AK3" s="7"/>
      <c r="AL3" s="7" t="s">
        <v>53</v>
      </c>
      <c r="AM3" s="7" t="s">
        <v>54</v>
      </c>
      <c r="AN3" s="7" t="s">
        <v>55</v>
      </c>
      <c r="AO3" s="7" t="s">
        <v>56</v>
      </c>
      <c r="AP3" s="13"/>
      <c r="AQ3" s="13"/>
      <c r="AR3" s="13"/>
      <c r="AS3" s="21"/>
      <c r="AT3" s="7" t="s">
        <v>33</v>
      </c>
      <c r="AU3" s="23" t="s">
        <v>23</v>
      </c>
      <c r="AV3" s="16" t="s">
        <v>23</v>
      </c>
      <c r="AW3" s="16" t="s">
        <v>23</v>
      </c>
      <c r="AY3" s="6" t="s">
        <v>28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28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84</v>
      </c>
      <c r="D4" s="67">
        <v>8461915</v>
      </c>
      <c r="E4" s="67"/>
      <c r="F4" s="25">
        <v>1032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>
        <f t="shared" si="0"/>
        <v>1</v>
      </c>
      <c r="J4" s="27">
        <f t="shared" si="0"/>
        <v>1</v>
      </c>
      <c r="K4" s="27">
        <f t="shared" si="0"/>
        <v>1</v>
      </c>
      <c r="L4" s="27">
        <f t="shared" si="0"/>
        <v>1</v>
      </c>
      <c r="M4" s="27">
        <f t="shared" si="0"/>
        <v>1</v>
      </c>
      <c r="N4" s="73"/>
      <c r="O4" s="74"/>
      <c r="P4" s="52"/>
      <c r="Q4" s="53"/>
      <c r="R4" s="8">
        <f t="shared" ref="R4:R9" si="1">SUM(H4:Q4)</f>
        <v>5</v>
      </c>
      <c r="S4" s="8">
        <f>IF(H4="",0,H4)*$R$4+IF(I4="",0,I4)*$R$5+IF(J4="",0,J4)*$R$6+IF(K4="",0,K4)*$R$7+IF(L4="",0,L4)*$R$8+IF(M4="",0,M4)*$R$9</f>
        <v>10</v>
      </c>
      <c r="T4" s="54">
        <f>AO4</f>
        <v>1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Joab Weseman</v>
      </c>
      <c r="Y4" s="34">
        <f t="shared" ref="Y4:Y9" si="3">IF(ISNA(VLOOKUP(B4,$A$4:$S$11,18,FALSE)),0,VLOOKUP(B4,$A$4:$S$11,18,FALSE))</f>
        <v>5</v>
      </c>
      <c r="Z4" s="34">
        <f t="shared" ref="Z4:Z9" si="4">VLOOKUP($W4,$AT$4:$AW$9,2,FALSE)</f>
        <v>6</v>
      </c>
      <c r="AA4" s="55">
        <f t="shared" ref="AA4:AA9" si="5">IF(ISNA(VLOOKUP(B4,$A$4:$S$11,19,FALSE)),0,VLOOKUP(B4,$A$4:$S$11,19,FALSE))</f>
        <v>10</v>
      </c>
      <c r="AB4" s="34">
        <f t="shared" ref="AB4:AB9" si="6">VLOOKUP($W4,$AT$4:$AW$9,4,FALSE)</f>
        <v>23.5</v>
      </c>
      <c r="AC4" s="35">
        <f t="shared" ref="AC4:AC9" si="7">VLOOKUP($W4,$B$4:$R$9,5,FALSE)</f>
        <v>846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15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15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15</v>
      </c>
      <c r="AK4" s="56"/>
      <c r="AL4" s="56">
        <f>RANK(AJ4,$AJ$4:$AJ$9,1)-1</f>
        <v>5</v>
      </c>
      <c r="AM4" s="56">
        <f>RANK(S4,$S$4:$S$9,1)-1</f>
        <v>5</v>
      </c>
      <c r="AN4" s="56">
        <f>6*AL4+AM4</f>
        <v>35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10</v>
      </c>
      <c r="AV4" s="39">
        <f t="shared" ref="AV4:AV9" si="9">SUMIF($AU$11:$AU$36,B4,$BC$11:$BC$36)+SUMIF($AV$11:$AV$36,B4,$BD$11:$BD$36)</f>
        <v>4</v>
      </c>
      <c r="AW4" s="39">
        <f>SUM(BK4:BS4)</f>
        <v>35</v>
      </c>
      <c r="AY4" s="6">
        <v>1</v>
      </c>
      <c r="AZ4" s="6">
        <f t="shared" ref="AZ4:BH9" si="10">SUMIFS($J$14:$J$36,$AU$14:$AU$36,$AY4,$AT$14:$AT$36,AZ$3)+SUMIFS($M$14:$M$36,$AV$14:$AV$36,$AY4,$AT$14:$AT$36,AZ$3)</f>
        <v>1</v>
      </c>
      <c r="BA4" s="6">
        <f t="shared" si="10"/>
        <v>1</v>
      </c>
      <c r="BB4" s="6">
        <f t="shared" si="10"/>
        <v>1</v>
      </c>
      <c r="BC4" s="6">
        <f t="shared" si="10"/>
        <v>1</v>
      </c>
      <c r="BD4" s="6">
        <f t="shared" si="10"/>
        <v>1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1</v>
      </c>
      <c r="BL4" s="6">
        <f t="shared" ref="BL4:BS9" si="11">BK4+BA4</f>
        <v>2</v>
      </c>
      <c r="BM4" s="6">
        <f t="shared" si="11"/>
        <v>3</v>
      </c>
      <c r="BN4" s="6">
        <f t="shared" si="11"/>
        <v>4</v>
      </c>
      <c r="BO4" s="6">
        <f t="shared" si="11"/>
        <v>5</v>
      </c>
      <c r="BP4" s="6">
        <f t="shared" si="11"/>
        <v>5</v>
      </c>
      <c r="BQ4" s="6">
        <f t="shared" si="11"/>
        <v>5</v>
      </c>
      <c r="BR4" s="6">
        <f t="shared" si="11"/>
        <v>5</v>
      </c>
      <c r="BS4" s="6">
        <f t="shared" si="11"/>
        <v>5</v>
      </c>
    </row>
    <row r="5" spans="1:71" x14ac:dyDescent="0.25">
      <c r="A5" s="51">
        <f t="shared" ref="A5:A9" si="12">T5</f>
        <v>5</v>
      </c>
      <c r="B5" s="25">
        <v>2</v>
      </c>
      <c r="C5" s="25" t="s">
        <v>85</v>
      </c>
      <c r="D5" s="67">
        <v>8553358</v>
      </c>
      <c r="E5" s="67"/>
      <c r="F5" s="25">
        <v>1019</v>
      </c>
      <c r="H5" s="27">
        <f t="shared" si="0"/>
        <v>0</v>
      </c>
      <c r="I5" s="26" t="str">
        <f t="shared" si="0"/>
        <v/>
      </c>
      <c r="J5" s="27">
        <f t="shared" si="0"/>
        <v>1</v>
      </c>
      <c r="K5" s="27">
        <f t="shared" si="0"/>
        <v>0.5</v>
      </c>
      <c r="L5" s="27">
        <f t="shared" si="0"/>
        <v>0</v>
      </c>
      <c r="M5" s="27">
        <f t="shared" si="0"/>
        <v>0</v>
      </c>
      <c r="N5" s="73"/>
      <c r="O5" s="74"/>
      <c r="P5" s="52"/>
      <c r="Q5" s="53"/>
      <c r="R5" s="8">
        <f t="shared" si="1"/>
        <v>1.5</v>
      </c>
      <c r="S5" s="8">
        <f t="shared" ref="S5:S9" si="13">IF(H5="",0,H5)*$R$4+IF(I5="",0,I5)*$R$5+IF(J5="",0,J5)*$R$6+IF(K5="",0,K5)*$R$7+IF(L5="",0,L5)*$R$8+IF(M5="",0,M5)*$R$9</f>
        <v>2.5</v>
      </c>
      <c r="T5" s="54">
        <f t="shared" ref="T5:T9" si="14">AO5</f>
        <v>5</v>
      </c>
      <c r="U5" s="30"/>
      <c r="V5" s="31">
        <v>2</v>
      </c>
      <c r="W5" s="32">
        <v>5</v>
      </c>
      <c r="X5" s="33" t="str">
        <f t="shared" si="2"/>
        <v>Wouter Wieggers</v>
      </c>
      <c r="Y5" s="34">
        <f t="shared" si="3"/>
        <v>3.5</v>
      </c>
      <c r="Z5" s="34">
        <f t="shared" si="4"/>
        <v>5</v>
      </c>
      <c r="AA5" s="55">
        <f t="shared" si="5"/>
        <v>6</v>
      </c>
      <c r="AB5" s="34">
        <f t="shared" si="6"/>
        <v>15</v>
      </c>
      <c r="AC5" s="35">
        <f t="shared" si="7"/>
        <v>860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4.5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4.5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4.5</v>
      </c>
      <c r="AK5" s="56"/>
      <c r="AL5" s="56">
        <f t="shared" ref="AL5:AL9" si="21">RANK(AJ5,$AJ$4:$AJ$9,1)-1</f>
        <v>1</v>
      </c>
      <c r="AM5" s="56">
        <f t="shared" ref="AM5:AM9" si="22">RANK(S5,$S$4:$S$9,1)-1</f>
        <v>0</v>
      </c>
      <c r="AN5" s="56">
        <f t="shared" ref="AN5:AN9" si="23">6*AL5+AM5</f>
        <v>6</v>
      </c>
      <c r="AO5" s="56">
        <f t="shared" ref="AO5:AO9" si="24">RANK(AN5,$AN$4:$AN$9)</f>
        <v>5</v>
      </c>
      <c r="AP5" s="56"/>
      <c r="AQ5" s="56"/>
      <c r="AR5" s="56"/>
      <c r="AS5" s="30"/>
      <c r="AT5" s="37">
        <v>2</v>
      </c>
      <c r="AU5" s="38">
        <f t="shared" si="8"/>
        <v>3.5</v>
      </c>
      <c r="AV5" s="39">
        <f t="shared" si="9"/>
        <v>1</v>
      </c>
      <c r="AW5" s="39">
        <f t="shared" ref="AW5:AW9" si="25">SUM(BK5:BS5)</f>
        <v>11</v>
      </c>
      <c r="AY5" s="6">
        <v>2</v>
      </c>
      <c r="AZ5" s="6">
        <f t="shared" si="10"/>
        <v>0</v>
      </c>
      <c r="BA5" s="6">
        <f t="shared" si="10"/>
        <v>0.5</v>
      </c>
      <c r="BB5" s="6">
        <f t="shared" si="10"/>
        <v>1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0.5</v>
      </c>
      <c r="BM5" s="6">
        <f t="shared" si="11"/>
        <v>1.5</v>
      </c>
      <c r="BN5" s="6">
        <f t="shared" si="11"/>
        <v>1.5</v>
      </c>
      <c r="BO5" s="6">
        <f t="shared" si="11"/>
        <v>1.5</v>
      </c>
      <c r="BP5" s="6">
        <f t="shared" si="11"/>
        <v>1.5</v>
      </c>
      <c r="BQ5" s="6">
        <f t="shared" si="11"/>
        <v>1.5</v>
      </c>
      <c r="BR5" s="6">
        <f t="shared" si="11"/>
        <v>1.5</v>
      </c>
      <c r="BS5" s="6">
        <f t="shared" si="11"/>
        <v>1.5</v>
      </c>
    </row>
    <row r="6" spans="1:71" x14ac:dyDescent="0.25">
      <c r="A6" s="51">
        <f t="shared" si="12"/>
        <v>3</v>
      </c>
      <c r="B6" s="25">
        <v>3</v>
      </c>
      <c r="C6" s="25" t="s">
        <v>86</v>
      </c>
      <c r="D6" s="67">
        <v>8593552</v>
      </c>
      <c r="E6" s="67"/>
      <c r="F6" s="25">
        <v>972</v>
      </c>
      <c r="H6" s="27">
        <f t="shared" si="0"/>
        <v>0</v>
      </c>
      <c r="I6" s="27">
        <f t="shared" si="0"/>
        <v>0</v>
      </c>
      <c r="J6" s="26" t="str">
        <f t="shared" si="0"/>
        <v/>
      </c>
      <c r="K6" s="27">
        <f t="shared" si="0"/>
        <v>1</v>
      </c>
      <c r="L6" s="27">
        <f t="shared" si="0"/>
        <v>1</v>
      </c>
      <c r="M6" s="27">
        <f t="shared" si="0"/>
        <v>0</v>
      </c>
      <c r="N6" s="73"/>
      <c r="O6" s="74"/>
      <c r="P6" s="52"/>
      <c r="Q6" s="53"/>
      <c r="R6" s="8">
        <f t="shared" si="1"/>
        <v>2</v>
      </c>
      <c r="S6" s="8">
        <f t="shared" si="13"/>
        <v>3</v>
      </c>
      <c r="T6" s="54">
        <f t="shared" si="14"/>
        <v>3</v>
      </c>
      <c r="U6" s="30"/>
      <c r="V6" s="31">
        <v>3</v>
      </c>
      <c r="W6" s="32">
        <v>4</v>
      </c>
      <c r="X6" s="33" t="str">
        <f t="shared" si="2"/>
        <v>Julian van Meegen</v>
      </c>
      <c r="Y6" s="34">
        <f t="shared" si="3"/>
        <v>2</v>
      </c>
      <c r="Z6" s="34">
        <f t="shared" si="4"/>
        <v>1.5</v>
      </c>
      <c r="AA6" s="55">
        <f t="shared" si="5"/>
        <v>3</v>
      </c>
      <c r="AB6" s="34">
        <f t="shared" si="6"/>
        <v>6.5</v>
      </c>
      <c r="AC6" s="35">
        <f t="shared" si="7"/>
        <v>871</v>
      </c>
      <c r="AD6" s="56"/>
      <c r="AE6" s="7">
        <f t="shared" si="15"/>
        <v>1</v>
      </c>
      <c r="AF6" s="7">
        <f t="shared" si="16"/>
        <v>7</v>
      </c>
      <c r="AG6" s="7">
        <f t="shared" si="17"/>
        <v>0</v>
      </c>
      <c r="AH6" s="7">
        <f t="shared" si="18"/>
        <v>7</v>
      </c>
      <c r="AI6" s="7">
        <f t="shared" si="19"/>
        <v>0</v>
      </c>
      <c r="AJ6" s="7">
        <f t="shared" si="20"/>
        <v>7</v>
      </c>
      <c r="AK6" s="56"/>
      <c r="AL6" s="56">
        <f t="shared" si="21"/>
        <v>3</v>
      </c>
      <c r="AM6" s="56">
        <f t="shared" si="22"/>
        <v>3</v>
      </c>
      <c r="AN6" s="56">
        <f t="shared" si="23"/>
        <v>21</v>
      </c>
      <c r="AO6" s="56">
        <f t="shared" si="24"/>
        <v>3</v>
      </c>
      <c r="AP6" s="56"/>
      <c r="AQ6" s="56"/>
      <c r="AR6" s="56"/>
      <c r="AS6" s="30"/>
      <c r="AT6" s="37">
        <v>3</v>
      </c>
      <c r="AU6" s="38">
        <f t="shared" si="8"/>
        <v>4</v>
      </c>
      <c r="AV6" s="39">
        <f t="shared" si="9"/>
        <v>2</v>
      </c>
      <c r="AW6" s="39">
        <f t="shared" si="25"/>
        <v>14</v>
      </c>
      <c r="AY6" s="6">
        <v>3</v>
      </c>
      <c r="AZ6" s="6">
        <f t="shared" si="10"/>
        <v>1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1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1</v>
      </c>
      <c r="BL6" s="6">
        <f t="shared" si="11"/>
        <v>1</v>
      </c>
      <c r="BM6" s="6">
        <f t="shared" si="11"/>
        <v>1</v>
      </c>
      <c r="BN6" s="6">
        <f t="shared" si="11"/>
        <v>1</v>
      </c>
      <c r="BO6" s="6">
        <f t="shared" si="11"/>
        <v>2</v>
      </c>
      <c r="BP6" s="6">
        <f t="shared" si="11"/>
        <v>2</v>
      </c>
      <c r="BQ6" s="6">
        <f t="shared" si="11"/>
        <v>2</v>
      </c>
      <c r="BR6" s="6">
        <f t="shared" si="11"/>
        <v>2</v>
      </c>
      <c r="BS6" s="6">
        <f t="shared" si="11"/>
        <v>2</v>
      </c>
    </row>
    <row r="7" spans="1:71" x14ac:dyDescent="0.25">
      <c r="A7" s="51">
        <f t="shared" si="12"/>
        <v>6</v>
      </c>
      <c r="B7" s="25">
        <v>4</v>
      </c>
      <c r="C7" s="25" t="s">
        <v>87</v>
      </c>
      <c r="D7" s="67">
        <v>8418256</v>
      </c>
      <c r="E7" s="67"/>
      <c r="F7" s="25">
        <v>871</v>
      </c>
      <c r="H7" s="27">
        <f t="shared" si="0"/>
        <v>0</v>
      </c>
      <c r="I7" s="27">
        <f t="shared" si="0"/>
        <v>0.5</v>
      </c>
      <c r="J7" s="27">
        <f t="shared" si="0"/>
        <v>0</v>
      </c>
      <c r="K7" s="26" t="str">
        <f t="shared" si="0"/>
        <v/>
      </c>
      <c r="L7" s="27">
        <f t="shared" si="0"/>
        <v>0</v>
      </c>
      <c r="M7" s="27">
        <f t="shared" si="0"/>
        <v>0.5</v>
      </c>
      <c r="N7" s="73"/>
      <c r="O7" s="74"/>
      <c r="P7" s="52"/>
      <c r="Q7" s="53"/>
      <c r="R7" s="8">
        <f t="shared" si="1"/>
        <v>1</v>
      </c>
      <c r="S7" s="8">
        <f t="shared" si="13"/>
        <v>2.5</v>
      </c>
      <c r="T7" s="54">
        <f t="shared" si="14"/>
        <v>6</v>
      </c>
      <c r="U7" s="30"/>
      <c r="V7" s="31">
        <v>4</v>
      </c>
      <c r="W7" s="32">
        <v>3</v>
      </c>
      <c r="X7" s="33" t="str">
        <f t="shared" si="2"/>
        <v>Hilbert Buijs</v>
      </c>
      <c r="Y7" s="34">
        <f t="shared" si="3"/>
        <v>2</v>
      </c>
      <c r="Z7" s="34">
        <f t="shared" si="4"/>
        <v>4</v>
      </c>
      <c r="AA7" s="55">
        <f t="shared" si="5"/>
        <v>2.5</v>
      </c>
      <c r="AB7" s="34">
        <f t="shared" si="6"/>
        <v>14</v>
      </c>
      <c r="AC7" s="35">
        <f t="shared" si="7"/>
        <v>972</v>
      </c>
      <c r="AD7" s="56"/>
      <c r="AE7" s="7">
        <f t="shared" si="15"/>
        <v>0</v>
      </c>
      <c r="AF7" s="7">
        <f t="shared" si="16"/>
        <v>3</v>
      </c>
      <c r="AG7" s="7">
        <f t="shared" si="17"/>
        <v>0</v>
      </c>
      <c r="AH7" s="7">
        <f t="shared" si="18"/>
        <v>3</v>
      </c>
      <c r="AI7" s="7">
        <f t="shared" si="19"/>
        <v>0</v>
      </c>
      <c r="AJ7" s="7">
        <f t="shared" si="20"/>
        <v>3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6</v>
      </c>
      <c r="AP7" s="56"/>
      <c r="AQ7" s="56"/>
      <c r="AR7" s="56"/>
      <c r="AS7" s="30"/>
      <c r="AT7" s="37">
        <v>4</v>
      </c>
      <c r="AU7" s="38">
        <f t="shared" si="8"/>
        <v>1.5</v>
      </c>
      <c r="AV7" s="39">
        <f t="shared" si="9"/>
        <v>1.5</v>
      </c>
      <c r="AW7" s="39">
        <f t="shared" si="25"/>
        <v>6.5</v>
      </c>
      <c r="AY7" s="6">
        <v>4</v>
      </c>
      <c r="AZ7" s="6">
        <f t="shared" si="10"/>
        <v>0</v>
      </c>
      <c r="BA7" s="6">
        <f t="shared" si="10"/>
        <v>0.5</v>
      </c>
      <c r="BB7" s="6">
        <f t="shared" si="10"/>
        <v>0</v>
      </c>
      <c r="BC7" s="6">
        <f t="shared" si="10"/>
        <v>0</v>
      </c>
      <c r="BD7" s="6">
        <f t="shared" si="10"/>
        <v>0.5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0.5</v>
      </c>
      <c r="BM7" s="6">
        <f t="shared" si="11"/>
        <v>0.5</v>
      </c>
      <c r="BN7" s="6">
        <f t="shared" si="11"/>
        <v>0.5</v>
      </c>
      <c r="BO7" s="6">
        <f t="shared" si="11"/>
        <v>1</v>
      </c>
      <c r="BP7" s="6">
        <f t="shared" si="11"/>
        <v>1</v>
      </c>
      <c r="BQ7" s="6">
        <f t="shared" si="11"/>
        <v>1</v>
      </c>
      <c r="BR7" s="6">
        <f t="shared" si="11"/>
        <v>1</v>
      </c>
      <c r="BS7" s="6">
        <f t="shared" si="11"/>
        <v>1</v>
      </c>
    </row>
    <row r="8" spans="1:71" x14ac:dyDescent="0.25">
      <c r="A8" s="51">
        <f t="shared" si="12"/>
        <v>4</v>
      </c>
      <c r="B8" s="25">
        <v>5</v>
      </c>
      <c r="C8" s="25" t="s">
        <v>88</v>
      </c>
      <c r="D8" s="67">
        <v>8605718</v>
      </c>
      <c r="E8" s="67"/>
      <c r="F8" s="25">
        <v>860</v>
      </c>
      <c r="H8" s="27">
        <f t="shared" si="0"/>
        <v>0</v>
      </c>
      <c r="I8" s="27">
        <f t="shared" si="0"/>
        <v>1</v>
      </c>
      <c r="J8" s="27">
        <f t="shared" si="0"/>
        <v>0</v>
      </c>
      <c r="K8" s="27">
        <f t="shared" si="0"/>
        <v>1</v>
      </c>
      <c r="L8" s="26" t="str">
        <f t="shared" si="0"/>
        <v/>
      </c>
      <c r="M8" s="27">
        <f t="shared" si="0"/>
        <v>0</v>
      </c>
      <c r="N8" s="73"/>
      <c r="O8" s="74"/>
      <c r="P8" s="52"/>
      <c r="Q8" s="53"/>
      <c r="R8" s="8">
        <f t="shared" si="1"/>
        <v>2</v>
      </c>
      <c r="S8" s="8">
        <f t="shared" si="13"/>
        <v>2.5</v>
      </c>
      <c r="T8" s="54">
        <f t="shared" si="14"/>
        <v>4</v>
      </c>
      <c r="U8" s="30"/>
      <c r="V8" s="31">
        <v>5</v>
      </c>
      <c r="W8" s="32">
        <v>2</v>
      </c>
      <c r="X8" s="33" t="str">
        <f t="shared" si="2"/>
        <v>Florian Molanus</v>
      </c>
      <c r="Y8" s="34">
        <f t="shared" si="3"/>
        <v>1.5</v>
      </c>
      <c r="Z8" s="34">
        <f t="shared" si="4"/>
        <v>3.5</v>
      </c>
      <c r="AA8" s="55">
        <f t="shared" si="5"/>
        <v>2.5</v>
      </c>
      <c r="AB8" s="34">
        <f t="shared" si="6"/>
        <v>11</v>
      </c>
      <c r="AC8" s="35">
        <f t="shared" si="7"/>
        <v>1019</v>
      </c>
      <c r="AD8" s="56"/>
      <c r="AE8" s="7">
        <f t="shared" si="15"/>
        <v>0</v>
      </c>
      <c r="AF8" s="7">
        <f t="shared" si="16"/>
        <v>6</v>
      </c>
      <c r="AG8" s="7">
        <f t="shared" si="17"/>
        <v>0</v>
      </c>
      <c r="AH8" s="7">
        <f t="shared" si="18"/>
        <v>6</v>
      </c>
      <c r="AI8" s="7">
        <f t="shared" si="19"/>
        <v>0</v>
      </c>
      <c r="AJ8" s="7">
        <f t="shared" si="20"/>
        <v>6</v>
      </c>
      <c r="AK8" s="56"/>
      <c r="AL8" s="56">
        <f t="shared" si="21"/>
        <v>2</v>
      </c>
      <c r="AM8" s="56">
        <f t="shared" si="22"/>
        <v>0</v>
      </c>
      <c r="AN8" s="56">
        <f t="shared" si="23"/>
        <v>12</v>
      </c>
      <c r="AO8" s="56">
        <f t="shared" si="24"/>
        <v>4</v>
      </c>
      <c r="AP8" s="56"/>
      <c r="AQ8" s="56"/>
      <c r="AR8" s="56"/>
      <c r="AS8" s="30"/>
      <c r="AT8" s="37">
        <v>5</v>
      </c>
      <c r="AU8" s="38">
        <f t="shared" si="8"/>
        <v>5</v>
      </c>
      <c r="AV8" s="39">
        <f t="shared" si="9"/>
        <v>0.5</v>
      </c>
      <c r="AW8" s="39">
        <f t="shared" si="25"/>
        <v>15</v>
      </c>
      <c r="AY8" s="6">
        <v>5</v>
      </c>
      <c r="AZ8" s="6">
        <f t="shared" si="10"/>
        <v>1</v>
      </c>
      <c r="BA8" s="6">
        <f t="shared" si="10"/>
        <v>0</v>
      </c>
      <c r="BB8" s="6">
        <f t="shared" si="10"/>
        <v>0</v>
      </c>
      <c r="BC8" s="6">
        <f t="shared" si="10"/>
        <v>1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1</v>
      </c>
      <c r="BL8" s="6">
        <f t="shared" si="11"/>
        <v>1</v>
      </c>
      <c r="BM8" s="6">
        <f t="shared" si="11"/>
        <v>1</v>
      </c>
      <c r="BN8" s="6">
        <f t="shared" si="11"/>
        <v>2</v>
      </c>
      <c r="BO8" s="6">
        <f t="shared" si="11"/>
        <v>2</v>
      </c>
      <c r="BP8" s="6">
        <f t="shared" si="11"/>
        <v>2</v>
      </c>
      <c r="BQ8" s="6">
        <f t="shared" si="11"/>
        <v>2</v>
      </c>
      <c r="BR8" s="6">
        <f t="shared" si="11"/>
        <v>2</v>
      </c>
      <c r="BS8" s="6">
        <f t="shared" si="11"/>
        <v>2</v>
      </c>
    </row>
    <row r="9" spans="1:71" x14ac:dyDescent="0.25">
      <c r="A9" s="51">
        <f t="shared" si="12"/>
        <v>2</v>
      </c>
      <c r="B9" s="25">
        <v>6</v>
      </c>
      <c r="C9" s="25" t="s">
        <v>89</v>
      </c>
      <c r="D9" s="67">
        <v>8621800</v>
      </c>
      <c r="E9" s="67"/>
      <c r="F9" s="25">
        <v>846</v>
      </c>
      <c r="H9" s="27">
        <f t="shared" si="0"/>
        <v>0</v>
      </c>
      <c r="I9" s="27">
        <f t="shared" si="0"/>
        <v>1</v>
      </c>
      <c r="J9" s="27">
        <f t="shared" si="0"/>
        <v>1</v>
      </c>
      <c r="K9" s="27">
        <f t="shared" si="0"/>
        <v>0.5</v>
      </c>
      <c r="L9" s="27">
        <f t="shared" si="0"/>
        <v>1</v>
      </c>
      <c r="M9" s="26" t="str">
        <f t="shared" si="0"/>
        <v/>
      </c>
      <c r="N9" s="73"/>
      <c r="O9" s="74"/>
      <c r="P9" s="52"/>
      <c r="Q9" s="53"/>
      <c r="R9" s="8">
        <f t="shared" si="1"/>
        <v>3.5</v>
      </c>
      <c r="S9" s="8">
        <f t="shared" si="13"/>
        <v>6</v>
      </c>
      <c r="T9" s="54">
        <f t="shared" si="14"/>
        <v>2</v>
      </c>
      <c r="U9" s="30"/>
      <c r="V9" s="31">
        <v>6</v>
      </c>
      <c r="W9" s="32">
        <v>1</v>
      </c>
      <c r="X9" s="33" t="str">
        <f t="shared" si="2"/>
        <v>Marjon Landsbergen *</v>
      </c>
      <c r="Y9" s="34">
        <f t="shared" si="3"/>
        <v>1</v>
      </c>
      <c r="Z9" s="34">
        <f t="shared" si="4"/>
        <v>10</v>
      </c>
      <c r="AA9" s="55">
        <f t="shared" si="5"/>
        <v>2.5</v>
      </c>
      <c r="AB9" s="34">
        <f t="shared" si="6"/>
        <v>35</v>
      </c>
      <c r="AC9" s="35">
        <f t="shared" si="7"/>
        <v>1032</v>
      </c>
      <c r="AD9" s="56"/>
      <c r="AE9" s="7">
        <f t="shared" si="15"/>
        <v>0</v>
      </c>
      <c r="AF9" s="7">
        <f t="shared" si="16"/>
        <v>10.5</v>
      </c>
      <c r="AG9" s="7">
        <f t="shared" si="17"/>
        <v>0</v>
      </c>
      <c r="AH9" s="7">
        <f t="shared" si="18"/>
        <v>10.5</v>
      </c>
      <c r="AI9" s="7">
        <f t="shared" si="19"/>
        <v>0</v>
      </c>
      <c r="AJ9" s="7">
        <f t="shared" si="20"/>
        <v>10.5</v>
      </c>
      <c r="AK9" s="56"/>
      <c r="AL9" s="56">
        <f t="shared" si="21"/>
        <v>4</v>
      </c>
      <c r="AM9" s="56">
        <f t="shared" si="22"/>
        <v>4</v>
      </c>
      <c r="AN9" s="56">
        <f t="shared" si="23"/>
        <v>28</v>
      </c>
      <c r="AO9" s="56">
        <f t="shared" si="24"/>
        <v>2</v>
      </c>
      <c r="AP9" s="56"/>
      <c r="AQ9" s="56"/>
      <c r="AR9" s="56"/>
      <c r="AS9" s="30"/>
      <c r="AT9" s="37">
        <v>6</v>
      </c>
      <c r="AU9" s="38">
        <f t="shared" si="8"/>
        <v>6</v>
      </c>
      <c r="AV9" s="39">
        <f t="shared" si="9"/>
        <v>3.75</v>
      </c>
      <c r="AW9" s="39">
        <f t="shared" si="25"/>
        <v>23.5</v>
      </c>
      <c r="AY9" s="6">
        <v>6</v>
      </c>
      <c r="AZ9" s="6">
        <f t="shared" si="10"/>
        <v>0</v>
      </c>
      <c r="BA9" s="6">
        <f t="shared" si="10"/>
        <v>1</v>
      </c>
      <c r="BB9" s="6">
        <f t="shared" si="10"/>
        <v>1</v>
      </c>
      <c r="BC9" s="6">
        <f t="shared" si="10"/>
        <v>1</v>
      </c>
      <c r="BD9" s="6">
        <f t="shared" si="10"/>
        <v>0.5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1</v>
      </c>
      <c r="BM9" s="6">
        <f t="shared" si="11"/>
        <v>2</v>
      </c>
      <c r="BN9" s="6">
        <f t="shared" si="11"/>
        <v>3</v>
      </c>
      <c r="BO9" s="6">
        <f t="shared" si="11"/>
        <v>3.5</v>
      </c>
      <c r="BP9" s="6">
        <f t="shared" si="11"/>
        <v>3.5</v>
      </c>
      <c r="BQ9" s="6">
        <f t="shared" si="11"/>
        <v>3.5</v>
      </c>
      <c r="BR9" s="6">
        <f t="shared" si="11"/>
        <v>3.5</v>
      </c>
      <c r="BS9" s="6">
        <f t="shared" si="11"/>
        <v>3.5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3</v>
      </c>
      <c r="AG11" s="57">
        <f>2*MAX(AG4:AG9)+1</f>
        <v>1</v>
      </c>
      <c r="AI11" s="57">
        <f>2*MAX(AI4:AI9)+1</f>
        <v>1</v>
      </c>
      <c r="AT11" s="41" t="s">
        <v>36</v>
      </c>
      <c r="AU11" s="41" t="s">
        <v>0</v>
      </c>
      <c r="AV11" s="41" t="s">
        <v>1</v>
      </c>
      <c r="AW11" s="41" t="s">
        <v>2</v>
      </c>
      <c r="AY11" s="42" t="s">
        <v>34</v>
      </c>
      <c r="AZ11" s="42" t="s">
        <v>35</v>
      </c>
      <c r="BA11" s="6" t="s">
        <v>16</v>
      </c>
      <c r="BB11" s="6" t="s">
        <v>17</v>
      </c>
      <c r="BC11" s="6" t="s">
        <v>18</v>
      </c>
      <c r="BD11" s="6" t="s">
        <v>19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Wouter Wieggers</v>
      </c>
      <c r="D14" s="46" t="s">
        <v>5</v>
      </c>
      <c r="E14" s="66" t="str">
        <f>VLOOKUP(AV14,$B$4:$F$9,2,FALSE)</f>
        <v>Joab Weseman</v>
      </c>
      <c r="F14" s="66"/>
      <c r="G14" s="66"/>
      <c r="H14" s="66"/>
      <c r="J14" s="66">
        <f>IF(T14="","",VLOOKUP(T14,Configuratie!$B$1:$E$10,3,FALSE))</f>
        <v>0</v>
      </c>
      <c r="K14" s="66"/>
      <c r="L14" s="6" t="s">
        <v>5</v>
      </c>
      <c r="M14" s="66">
        <f>IF(T14="","",VLOOKUP(T14,Configuratie!$B$1:$E$10,4,FALSE))</f>
        <v>1</v>
      </c>
      <c r="N14" s="66"/>
      <c r="R14" s="6" t="str">
        <f>IF(T14="","",VLOOKUP(T14,Configuratie!$B$1:$E$10,2,FALSE))</f>
        <v>0-1</v>
      </c>
      <c r="T14" s="5">
        <v>0</v>
      </c>
      <c r="AI14" s="7"/>
      <c r="AT14" s="6">
        <v>1</v>
      </c>
      <c r="AU14" s="6">
        <v>6</v>
      </c>
      <c r="AV14" s="6">
        <v>1</v>
      </c>
      <c r="AW14" s="6">
        <f>IF(AND(ISNUMBER(J14),ISNUMBER(M14)),IF(J14+M14=1,1,0),"")</f>
        <v>1</v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>
        <f>J14*BB14</f>
        <v>0</v>
      </c>
      <c r="BD14" s="6">
        <f>M14*BA14</f>
        <v>0</v>
      </c>
    </row>
    <row r="15" spans="1:71" x14ac:dyDescent="0.25">
      <c r="B15" s="6">
        <v>2</v>
      </c>
      <c r="C15" s="6" t="str">
        <f>VLOOKUP(AU15,$B$4:$F$9,2,FALSE)</f>
        <v>Hilbert Buijs</v>
      </c>
      <c r="D15" s="46" t="s">
        <v>5</v>
      </c>
      <c r="E15" s="66" t="str">
        <f>VLOOKUP(AV15,$B$4:$F$9,2,FALSE)</f>
        <v>Florian Molanus</v>
      </c>
      <c r="F15" s="66"/>
      <c r="G15" s="66"/>
      <c r="H15" s="66"/>
      <c r="J15" s="66">
        <f>IF(T15="","",VLOOKUP(T15,Configuratie!$B$1:$E$10,3,FALSE))</f>
        <v>1</v>
      </c>
      <c r="K15" s="66"/>
      <c r="L15" s="6" t="s">
        <v>5</v>
      </c>
      <c r="M15" s="66">
        <f>IF(T15="","",VLOOKUP(T15,Configuratie!$B$1:$E$10,4,FALSE))</f>
        <v>0</v>
      </c>
      <c r="N15" s="66"/>
      <c r="R15" s="6" t="str">
        <f>IF(T15="","",VLOOKUP(T15,Configuratie!$B$1:$E$10,2,FALSE))</f>
        <v>1-0</v>
      </c>
      <c r="T15" s="5">
        <v>1</v>
      </c>
      <c r="AI15" s="56"/>
      <c r="AT15" s="6">
        <v>1</v>
      </c>
      <c r="AU15" s="6">
        <v>5</v>
      </c>
      <c r="AV15" s="6">
        <v>2</v>
      </c>
      <c r="AW15" s="6">
        <f t="shared" ref="AW15:AW16" si="28">IF(AND(ISNUMBER(J15),ISNUMBER(M15)),IF(J15+M15=1,1,0),"")</f>
        <v>1</v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>
        <f>J15*BB15</f>
        <v>0</v>
      </c>
      <c r="BD15" s="6">
        <f>M15*BA15</f>
        <v>0</v>
      </c>
    </row>
    <row r="16" spans="1:71" x14ac:dyDescent="0.25">
      <c r="B16" s="6">
        <v>3</v>
      </c>
      <c r="C16" s="6" t="str">
        <f>VLOOKUP(AU16,$B$4:$F$9,2,FALSE)</f>
        <v>Marjon Landsbergen *</v>
      </c>
      <c r="D16" s="46" t="s">
        <v>5</v>
      </c>
      <c r="E16" s="66" t="str">
        <f>VLOOKUP(AV16,$B$4:$F$9,2,FALSE)</f>
        <v>Julian van Meegen</v>
      </c>
      <c r="F16" s="66"/>
      <c r="G16" s="66"/>
      <c r="H16" s="66"/>
      <c r="J16" s="66">
        <f>IF(T16="","",VLOOKUP(T16,Configuratie!$B$1:$E$10,3,FALSE))</f>
        <v>0</v>
      </c>
      <c r="K16" s="66"/>
      <c r="L16" s="6" t="s">
        <v>5</v>
      </c>
      <c r="M16" s="66">
        <f>IF(T16="","",VLOOKUP(T16,Configuratie!$B$1:$E$10,4,FALSE))</f>
        <v>1</v>
      </c>
      <c r="N16" s="66"/>
      <c r="R16" s="6" t="str">
        <f>IF(T16="","",VLOOKUP(T16,Configuratie!$B$1:$E$10,2,FALSE))</f>
        <v>0-1</v>
      </c>
      <c r="T16" s="5">
        <v>0</v>
      </c>
      <c r="AI16" s="56"/>
      <c r="AT16" s="6">
        <v>1</v>
      </c>
      <c r="AU16" s="6">
        <v>4</v>
      </c>
      <c r="AV16" s="6">
        <v>3</v>
      </c>
      <c r="AW16" s="6">
        <f t="shared" si="28"/>
        <v>1</v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>
        <f>J16*BB16</f>
        <v>0</v>
      </c>
      <c r="BD16" s="6">
        <f>M16*BA16</f>
        <v>0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Wouter Wieggers</v>
      </c>
      <c r="D19" s="46" t="s">
        <v>5</v>
      </c>
      <c r="E19" s="66" t="str">
        <f>VLOOKUP(AV19,$B$4:$F$9,2,FALSE)</f>
        <v>Julian van Meegen</v>
      </c>
      <c r="F19" s="66"/>
      <c r="G19" s="66"/>
      <c r="H19" s="66"/>
      <c r="J19" s="66">
        <f>IF(T19="","",VLOOKUP(T19,Configuratie!$B$1:$E$10,3,FALSE))</f>
        <v>1</v>
      </c>
      <c r="K19" s="66"/>
      <c r="L19" s="6" t="s">
        <v>5</v>
      </c>
      <c r="M19" s="66">
        <f>IF(T19="","",VLOOKUP(T19,Configuratie!$B$1:$E$10,4,FALSE))</f>
        <v>0</v>
      </c>
      <c r="N19" s="66"/>
      <c r="R19" s="6" t="str">
        <f>IF(T19="","",VLOOKUP(T19,Configuratie!$B$1:$E$10,2,FALSE))</f>
        <v>1-0</v>
      </c>
      <c r="T19" s="5">
        <v>1</v>
      </c>
      <c r="AI19" s="56"/>
      <c r="AT19" s="6">
        <v>2</v>
      </c>
      <c r="AU19" s="6">
        <v>6</v>
      </c>
      <c r="AV19" s="6">
        <v>3</v>
      </c>
      <c r="AW19" s="6">
        <f>IF(AND(ISNUMBER(J19),ISNUMBER(M19)),IF(J19+M19=1,1,0),"")</f>
        <v>1</v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1</v>
      </c>
      <c r="BC19" s="6">
        <f>J19*BB19</f>
        <v>1</v>
      </c>
      <c r="BD19" s="6">
        <f>M19*BA19</f>
        <v>0</v>
      </c>
    </row>
    <row r="20" spans="2:56" x14ac:dyDescent="0.25">
      <c r="B20" s="6">
        <v>2</v>
      </c>
      <c r="C20" s="6" t="str">
        <f>VLOOKUP(AU20,$B$4:$F$9,2,FALSE)</f>
        <v>Florian Molanus</v>
      </c>
      <c r="D20" s="46" t="s">
        <v>5</v>
      </c>
      <c r="E20" s="66" t="str">
        <f>VLOOKUP(AV20,$B$4:$F$9,2,FALSE)</f>
        <v>Marjon Landsbergen *</v>
      </c>
      <c r="F20" s="66"/>
      <c r="G20" s="66"/>
      <c r="H20" s="66"/>
      <c r="J20" s="66">
        <f>IF(T20="","",VLOOKUP(T20,Configuratie!$B$1:$E$10,3,FALSE))</f>
        <v>0.5</v>
      </c>
      <c r="K20" s="66"/>
      <c r="L20" s="6" t="s">
        <v>5</v>
      </c>
      <c r="M20" s="66">
        <f>IF(T20="","",VLOOKUP(T20,Configuratie!$B$1:$E$10,4,FALSE))</f>
        <v>0.5</v>
      </c>
      <c r="N20" s="66"/>
      <c r="R20" s="6" t="str">
        <f>IF(T20="","",VLOOKUP(T20,Configuratie!$B$1:$E$10,2,FALSE))</f>
        <v>½-½</v>
      </c>
      <c r="T20" s="5">
        <v>2</v>
      </c>
      <c r="AT20" s="6">
        <v>2</v>
      </c>
      <c r="AU20" s="6">
        <v>2</v>
      </c>
      <c r="AV20" s="6">
        <v>4</v>
      </c>
      <c r="AW20" s="6">
        <f t="shared" ref="AW20:AW21" si="30">IF(AND(ISNUMBER(J20),ISNUMBER(M20)),IF(J20+M20=1,1,0),"")</f>
        <v>1</v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>
        <f>J20*BB20</f>
        <v>0</v>
      </c>
      <c r="BD20" s="6">
        <f>M20*BA20</f>
        <v>0</v>
      </c>
    </row>
    <row r="21" spans="2:56" x14ac:dyDescent="0.25">
      <c r="B21" s="6">
        <v>3</v>
      </c>
      <c r="C21" s="6" t="str">
        <f>VLOOKUP(AU21,$B$4:$F$9,2,FALSE)</f>
        <v>Joab Weseman</v>
      </c>
      <c r="D21" s="46" t="s">
        <v>5</v>
      </c>
      <c r="E21" s="66" t="str">
        <f>VLOOKUP(AV21,$B$4:$F$9,2,FALSE)</f>
        <v>Hilbert Buijs</v>
      </c>
      <c r="F21" s="66"/>
      <c r="G21" s="66"/>
      <c r="H21" s="66"/>
      <c r="J21" s="66">
        <f>IF(T21="","",VLOOKUP(T21,Configuratie!$B$1:$E$10,3,FALSE))</f>
        <v>1</v>
      </c>
      <c r="K21" s="66"/>
      <c r="L21" s="6" t="s">
        <v>5</v>
      </c>
      <c r="M21" s="66">
        <f>IF(T21="","",VLOOKUP(T21,Configuratie!$B$1:$E$10,4,FALSE))</f>
        <v>0</v>
      </c>
      <c r="N21" s="66"/>
      <c r="R21" s="6" t="str">
        <f>IF(T21="","",VLOOKUP(T21,Configuratie!$B$1:$E$10,2,FALSE))</f>
        <v>1-0</v>
      </c>
      <c r="T21" s="5">
        <v>1</v>
      </c>
      <c r="AT21" s="6">
        <v>2</v>
      </c>
      <c r="AU21" s="6">
        <v>1</v>
      </c>
      <c r="AV21" s="6">
        <v>5</v>
      </c>
      <c r="AW21" s="6">
        <f t="shared" si="30"/>
        <v>1</v>
      </c>
      <c r="AY21" s="48">
        <f>AU21*100+AV21</f>
        <v>105</v>
      </c>
      <c r="AZ21" s="48">
        <f>AV21*100+AU21</f>
        <v>501</v>
      </c>
      <c r="BA21" s="6">
        <f t="shared" si="29"/>
        <v>1</v>
      </c>
      <c r="BB21" s="6">
        <f t="shared" si="29"/>
        <v>1</v>
      </c>
      <c r="BC21" s="6">
        <f>J21*BB21</f>
        <v>1</v>
      </c>
      <c r="BD21" s="6">
        <f>M21*BA21</f>
        <v>0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Hilbert Buijs</v>
      </c>
      <c r="D24" s="46" t="s">
        <v>5</v>
      </c>
      <c r="E24" s="66" t="str">
        <f>VLOOKUP(AV24,$B$4:$F$9,2,FALSE)</f>
        <v>Wouter Wieggers</v>
      </c>
      <c r="F24" s="66"/>
      <c r="G24" s="66"/>
      <c r="H24" s="66"/>
      <c r="J24" s="66">
        <f>IF(T24="","",VLOOKUP(T24,Configuratie!$B$1:$E$10,3,FALSE))</f>
        <v>0</v>
      </c>
      <c r="K24" s="66"/>
      <c r="L24" s="6" t="s">
        <v>5</v>
      </c>
      <c r="M24" s="66">
        <f>IF(T24="","",VLOOKUP(T24,Configuratie!$B$1:$E$10,4,FALSE))</f>
        <v>1</v>
      </c>
      <c r="N24" s="66"/>
      <c r="R24" s="6" t="str">
        <f>IF(T24="","",VLOOKUP(T24,Configuratie!$B$1:$E$10,2,FALSE))</f>
        <v>0-1</v>
      </c>
      <c r="T24" s="5">
        <v>0</v>
      </c>
      <c r="AT24" s="6">
        <v>3</v>
      </c>
      <c r="AU24" s="6">
        <v>5</v>
      </c>
      <c r="AV24" s="6">
        <v>6</v>
      </c>
      <c r="AW24" s="6">
        <f>IF(AND(ISNUMBER(J24),ISNUMBER(M24)),IF(J24+M24=1,1,0),"")</f>
        <v>1</v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1</v>
      </c>
      <c r="BB24" s="6">
        <f t="shared" si="31"/>
        <v>1</v>
      </c>
      <c r="BC24" s="6">
        <f>J24*BB24</f>
        <v>0</v>
      </c>
      <c r="BD24" s="6">
        <f>M24*BA24</f>
        <v>1</v>
      </c>
    </row>
    <row r="25" spans="2:56" x14ac:dyDescent="0.25">
      <c r="B25" s="6">
        <v>2</v>
      </c>
      <c r="C25" s="6" t="str">
        <f>VLOOKUP(AU25,$B$4:$F$9,2,FALSE)</f>
        <v>Marjon Landsbergen *</v>
      </c>
      <c r="D25" s="46" t="s">
        <v>5</v>
      </c>
      <c r="E25" s="66" t="str">
        <f>VLOOKUP(AV25,$B$4:$F$9,2,FALSE)</f>
        <v>Joab Weseman</v>
      </c>
      <c r="F25" s="66"/>
      <c r="G25" s="66"/>
      <c r="H25" s="66"/>
      <c r="J25" s="66">
        <f>IF(T25="","",VLOOKUP(T25,Configuratie!$B$1:$E$10,3,FALSE))</f>
        <v>0</v>
      </c>
      <c r="K25" s="66"/>
      <c r="L25" s="6" t="s">
        <v>5</v>
      </c>
      <c r="M25" s="66">
        <f>IF(T25="","",VLOOKUP(T25,Configuratie!$B$1:$E$10,4,FALSE))</f>
        <v>1</v>
      </c>
      <c r="N25" s="66"/>
      <c r="R25" s="6" t="str">
        <f>IF(T25="","",VLOOKUP(T25,Configuratie!$B$1:$E$10,2,FALSE))</f>
        <v>0-1</v>
      </c>
      <c r="T25" s="5">
        <v>0</v>
      </c>
      <c r="AT25" s="6">
        <v>3</v>
      </c>
      <c r="AU25" s="6">
        <v>4</v>
      </c>
      <c r="AV25" s="6">
        <v>1</v>
      </c>
      <c r="AW25" s="6">
        <f t="shared" ref="AW25:AW26" si="32">IF(AND(ISNUMBER(J25),ISNUMBER(M25)),IF(J25+M25=1,1,0),"")</f>
        <v>1</v>
      </c>
      <c r="AY25" s="48">
        <f>AU25*100+AV25</f>
        <v>401</v>
      </c>
      <c r="AZ25" s="48">
        <f>AV25*100+AU25</f>
        <v>104</v>
      </c>
      <c r="BA25" s="6">
        <f t="shared" si="31"/>
        <v>0.5</v>
      </c>
      <c r="BB25" s="6">
        <f t="shared" si="31"/>
        <v>2</v>
      </c>
      <c r="BC25" s="6">
        <f>J25*BB25</f>
        <v>0</v>
      </c>
      <c r="BD25" s="6">
        <f>M25*BA25</f>
        <v>0.5</v>
      </c>
    </row>
    <row r="26" spans="2:56" x14ac:dyDescent="0.25">
      <c r="B26" s="6">
        <v>3</v>
      </c>
      <c r="C26" s="6" t="str">
        <f>VLOOKUP(AU26,$B$4:$F$9,2,FALSE)</f>
        <v>Julian van Meegen</v>
      </c>
      <c r="D26" s="46" t="s">
        <v>5</v>
      </c>
      <c r="E26" s="66" t="str">
        <f>VLOOKUP(AV26,$B$4:$F$9,2,FALSE)</f>
        <v>Florian Molanus</v>
      </c>
      <c r="F26" s="66"/>
      <c r="G26" s="66"/>
      <c r="H26" s="66"/>
      <c r="J26" s="66">
        <f>IF(T26="","",VLOOKUP(T26,Configuratie!$B$1:$E$10,3,FALSE))</f>
        <v>0</v>
      </c>
      <c r="K26" s="66"/>
      <c r="L26" s="6" t="s">
        <v>5</v>
      </c>
      <c r="M26" s="66">
        <f>IF(T26="","",VLOOKUP(T26,Configuratie!$B$1:$E$10,4,FALSE))</f>
        <v>1</v>
      </c>
      <c r="N26" s="66"/>
      <c r="R26" s="6" t="str">
        <f>IF(T26="","",VLOOKUP(T26,Configuratie!$B$1:$E$10,2,FALSE))</f>
        <v>0-1</v>
      </c>
      <c r="T26" s="5">
        <v>0</v>
      </c>
      <c r="AT26" s="6">
        <v>3</v>
      </c>
      <c r="AU26" s="6">
        <v>3</v>
      </c>
      <c r="AV26" s="6">
        <v>2</v>
      </c>
      <c r="AW26" s="6">
        <f t="shared" si="32"/>
        <v>1</v>
      </c>
      <c r="AY26" s="48">
        <f>AU26*100+AV26</f>
        <v>302</v>
      </c>
      <c r="AZ26" s="48">
        <f>AV26*100+AU26</f>
        <v>203</v>
      </c>
      <c r="BA26" s="6">
        <f t="shared" si="31"/>
        <v>1</v>
      </c>
      <c r="BB26" s="6">
        <f t="shared" si="31"/>
        <v>0.5</v>
      </c>
      <c r="BC26" s="6">
        <f>J26*BB26</f>
        <v>0</v>
      </c>
      <c r="BD26" s="6">
        <f>M26*BA26</f>
        <v>1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Wouter Wieggers</v>
      </c>
      <c r="D29" s="46" t="s">
        <v>5</v>
      </c>
      <c r="E29" s="66" t="str">
        <f>VLOOKUP(AV29,$B$4:$F$9,2,FALSE)</f>
        <v>Florian Molanus</v>
      </c>
      <c r="F29" s="66"/>
      <c r="G29" s="66"/>
      <c r="H29" s="66"/>
      <c r="J29" s="66">
        <f>IF(T29="","",VLOOKUP(T29,Configuratie!$B$1:$E$10,3,FALSE))</f>
        <v>1</v>
      </c>
      <c r="K29" s="66"/>
      <c r="L29" s="6" t="s">
        <v>5</v>
      </c>
      <c r="M29" s="66">
        <f>IF(T29="","",VLOOKUP(T29,Configuratie!$B$1:$E$10,4,FALSE))</f>
        <v>0</v>
      </c>
      <c r="N29" s="66"/>
      <c r="R29" s="6" t="str">
        <f>IF(T29="","",VLOOKUP(T29,Configuratie!$B$1:$E$10,2,FALSE))</f>
        <v>1-0</v>
      </c>
      <c r="T29" s="5">
        <v>1</v>
      </c>
      <c r="AT29" s="6">
        <v>4</v>
      </c>
      <c r="AU29" s="6">
        <v>6</v>
      </c>
      <c r="AV29" s="6">
        <v>2</v>
      </c>
      <c r="AW29" s="6">
        <f>IF(AND(ISNUMBER(J29),ISNUMBER(M29)),IF(J29+M29=1,1,0),"")</f>
        <v>1</v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2</v>
      </c>
      <c r="BB29" s="6">
        <f t="shared" si="33"/>
        <v>1.5</v>
      </c>
      <c r="BC29" s="6">
        <f>J29*BB29</f>
        <v>1.5</v>
      </c>
      <c r="BD29" s="6">
        <f>M29*BA29</f>
        <v>0</v>
      </c>
    </row>
    <row r="30" spans="2:56" x14ac:dyDescent="0.25">
      <c r="B30" s="6">
        <v>2</v>
      </c>
      <c r="C30" s="6" t="str">
        <f>VLOOKUP(AU30,$B$4:$F$9,2,FALSE)</f>
        <v>Joab Weseman</v>
      </c>
      <c r="D30" s="46" t="s">
        <v>5</v>
      </c>
      <c r="E30" s="66" t="str">
        <f>VLOOKUP(AV30,$B$4:$F$9,2,FALSE)</f>
        <v>Julian van Meegen</v>
      </c>
      <c r="F30" s="66"/>
      <c r="G30" s="66"/>
      <c r="H30" s="66"/>
      <c r="J30" s="66">
        <f>IF(T30="","",VLOOKUP(T30,Configuratie!$B$1:$E$10,3,FALSE))</f>
        <v>1</v>
      </c>
      <c r="K30" s="66"/>
      <c r="L30" s="6" t="s">
        <v>5</v>
      </c>
      <c r="M30" s="66">
        <f>IF(T30="","",VLOOKUP(T30,Configuratie!$B$1:$E$10,4,FALSE))</f>
        <v>0</v>
      </c>
      <c r="N30" s="66"/>
      <c r="R30" s="6" t="str">
        <f>IF(T30="","",VLOOKUP(T30,Configuratie!$B$1:$E$10,2,FALSE))</f>
        <v>1-0</v>
      </c>
      <c r="T30" s="5">
        <v>1</v>
      </c>
      <c r="AT30" s="6">
        <v>4</v>
      </c>
      <c r="AU30" s="6">
        <v>1</v>
      </c>
      <c r="AV30" s="6">
        <v>3</v>
      </c>
      <c r="AW30" s="6">
        <f t="shared" ref="AW30:AW31" si="34">IF(AND(ISNUMBER(J30),ISNUMBER(M30)),IF(J30+M30=1,1,0),"")</f>
        <v>1</v>
      </c>
      <c r="AY30" s="48">
        <f>AU30*100+AV30</f>
        <v>103</v>
      </c>
      <c r="AZ30" s="48">
        <f>AV30*100+AU30</f>
        <v>301</v>
      </c>
      <c r="BA30" s="6">
        <f t="shared" si="33"/>
        <v>3</v>
      </c>
      <c r="BB30" s="6">
        <f t="shared" si="33"/>
        <v>1</v>
      </c>
      <c r="BC30" s="6">
        <f>J30*BB30</f>
        <v>1</v>
      </c>
      <c r="BD30" s="6">
        <f>M30*BA30</f>
        <v>0</v>
      </c>
    </row>
    <row r="31" spans="2:56" x14ac:dyDescent="0.25">
      <c r="B31" s="6">
        <v>3</v>
      </c>
      <c r="C31" s="6" t="str">
        <f>VLOOKUP(AU31,$B$4:$F$9,2,FALSE)</f>
        <v>Hilbert Buijs</v>
      </c>
      <c r="D31" s="46" t="s">
        <v>5</v>
      </c>
      <c r="E31" s="66" t="str">
        <f>VLOOKUP(AV31,$B$4:$F$9,2,FALSE)</f>
        <v>Marjon Landsbergen *</v>
      </c>
      <c r="F31" s="66"/>
      <c r="G31" s="66"/>
      <c r="H31" s="66"/>
      <c r="J31" s="66">
        <f>IF(T31="","",VLOOKUP(T31,Configuratie!$B$1:$E$10,3,FALSE))</f>
        <v>1</v>
      </c>
      <c r="K31" s="66"/>
      <c r="L31" s="6" t="s">
        <v>5</v>
      </c>
      <c r="M31" s="66">
        <f>IF(T31="","",VLOOKUP(T31,Configuratie!$B$1:$E$10,4,FALSE))</f>
        <v>0</v>
      </c>
      <c r="N31" s="66"/>
      <c r="R31" s="6" t="str">
        <f>IF(T31="","",VLOOKUP(T31,Configuratie!$B$1:$E$10,2,FALSE))</f>
        <v>1-0</v>
      </c>
      <c r="T31" s="5">
        <v>1</v>
      </c>
      <c r="AT31" s="6">
        <v>4</v>
      </c>
      <c r="AU31" s="6">
        <v>5</v>
      </c>
      <c r="AV31" s="6">
        <v>4</v>
      </c>
      <c r="AW31" s="6">
        <f t="shared" si="34"/>
        <v>1</v>
      </c>
      <c r="AY31" s="48">
        <f>AU31*100+AV31</f>
        <v>504</v>
      </c>
      <c r="AZ31" s="48">
        <f>AV31*100+AU31</f>
        <v>405</v>
      </c>
      <c r="BA31" s="6">
        <f t="shared" si="33"/>
        <v>1</v>
      </c>
      <c r="BB31" s="6">
        <f t="shared" si="33"/>
        <v>0.5</v>
      </c>
      <c r="BC31" s="6">
        <f>J31*BB31</f>
        <v>0.5</v>
      </c>
      <c r="BD31" s="6">
        <f>M31*BA31</f>
        <v>0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Marjon Landsbergen *</v>
      </c>
      <c r="D34" s="46" t="s">
        <v>5</v>
      </c>
      <c r="E34" s="66" t="str">
        <f>VLOOKUP(AV34,$B$4:$F$9,2,FALSE)</f>
        <v>Wouter Wieggers</v>
      </c>
      <c r="F34" s="66"/>
      <c r="G34" s="66"/>
      <c r="H34" s="66"/>
      <c r="J34" s="66">
        <f>IF(T34="","",VLOOKUP(T34,Configuratie!$B$1:$E$10,3,FALSE))</f>
        <v>0.5</v>
      </c>
      <c r="K34" s="66"/>
      <c r="L34" s="6" t="s">
        <v>5</v>
      </c>
      <c r="M34" s="66">
        <f>IF(T34="","",VLOOKUP(T34,Configuratie!$B$1:$E$10,4,FALSE))</f>
        <v>0.5</v>
      </c>
      <c r="N34" s="66"/>
      <c r="R34" s="6" t="str">
        <f>IF(T34="","",VLOOKUP(T34,Configuratie!$B$1:$E$10,2,FALSE))</f>
        <v>½-½</v>
      </c>
      <c r="T34" s="5">
        <v>2</v>
      </c>
      <c r="AT34" s="6">
        <v>5</v>
      </c>
      <c r="AU34" s="6">
        <v>4</v>
      </c>
      <c r="AV34" s="6">
        <v>6</v>
      </c>
      <c r="AW34" s="6">
        <f>IF(AND(ISNUMBER(J34),ISNUMBER(M34)),IF(J34+M34=1,1,0),"")</f>
        <v>1</v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0.5</v>
      </c>
      <c r="BB34" s="6">
        <f t="shared" si="35"/>
        <v>3</v>
      </c>
      <c r="BC34" s="6">
        <f>J34*BB34</f>
        <v>1.5</v>
      </c>
      <c r="BD34" s="6">
        <f>M34*BA34</f>
        <v>0.25</v>
      </c>
    </row>
    <row r="35" spans="2:56" x14ac:dyDescent="0.25">
      <c r="B35" s="6">
        <v>2</v>
      </c>
      <c r="C35" s="6" t="str">
        <f>VLOOKUP(AU35,$B$4:$F$9,2,FALSE)</f>
        <v>Hilbert Buijs</v>
      </c>
      <c r="D35" s="46" t="s">
        <v>5</v>
      </c>
      <c r="E35" s="66" t="str">
        <f>VLOOKUP(AV35,$B$4:$F$9,2,FALSE)</f>
        <v>Julian van Meegen</v>
      </c>
      <c r="F35" s="66"/>
      <c r="G35" s="66"/>
      <c r="H35" s="66"/>
      <c r="J35" s="66">
        <f>IF(T35="","",VLOOKUP(T35,Configuratie!$B$1:$E$10,3,FALSE))</f>
        <v>0</v>
      </c>
      <c r="K35" s="66"/>
      <c r="L35" s="6" t="s">
        <v>5</v>
      </c>
      <c r="M35" s="66">
        <f>IF(T35="","",VLOOKUP(T35,Configuratie!$B$1:$E$10,4,FALSE))</f>
        <v>1</v>
      </c>
      <c r="N35" s="66"/>
      <c r="R35" s="6" t="str">
        <f>IF(T35="","",VLOOKUP(T35,Configuratie!$B$1:$E$10,2,FALSE))</f>
        <v>0-1</v>
      </c>
      <c r="T35" s="5">
        <v>0</v>
      </c>
      <c r="AT35" s="6">
        <v>5</v>
      </c>
      <c r="AU35" s="6">
        <v>5</v>
      </c>
      <c r="AV35" s="6">
        <v>3</v>
      </c>
      <c r="AW35" s="6">
        <f t="shared" ref="AW35:AW36" si="36">IF(AND(ISNUMBER(J35),ISNUMBER(M35)),IF(J35+M35=1,1,0),"")</f>
        <v>1</v>
      </c>
      <c r="AY35" s="48">
        <f>AU35*100+AV35</f>
        <v>503</v>
      </c>
      <c r="AZ35" s="48">
        <f>AV35*100+AU35</f>
        <v>305</v>
      </c>
      <c r="BA35" s="6">
        <f t="shared" si="35"/>
        <v>2</v>
      </c>
      <c r="BB35" s="6">
        <f t="shared" si="35"/>
        <v>1</v>
      </c>
      <c r="BC35" s="6">
        <f>J35*BB35</f>
        <v>0</v>
      </c>
      <c r="BD35" s="6">
        <f>M35*BA35</f>
        <v>2</v>
      </c>
    </row>
    <row r="36" spans="2:56" x14ac:dyDescent="0.25">
      <c r="B36" s="6">
        <v>3</v>
      </c>
      <c r="C36" s="6" t="str">
        <f>VLOOKUP(AU36,$B$4:$F$9,2,FALSE)</f>
        <v>Florian Molanus</v>
      </c>
      <c r="D36" s="46" t="s">
        <v>5</v>
      </c>
      <c r="E36" s="66" t="str">
        <f>VLOOKUP(AV36,$B$4:$F$9,2,FALSE)</f>
        <v>Joab Weseman</v>
      </c>
      <c r="F36" s="66"/>
      <c r="G36" s="66"/>
      <c r="H36" s="66"/>
      <c r="J36" s="66">
        <f>IF(T36="","",VLOOKUP(T36,Configuratie!$B$1:$E$10,3,FALSE))</f>
        <v>0</v>
      </c>
      <c r="K36" s="66"/>
      <c r="L36" s="6" t="s">
        <v>5</v>
      </c>
      <c r="M36" s="66">
        <f>IF(T36="","",VLOOKUP(T36,Configuratie!$B$1:$E$10,4,FALSE))</f>
        <v>1</v>
      </c>
      <c r="N36" s="66"/>
      <c r="R36" s="6" t="str">
        <f>IF(T36="","",VLOOKUP(T36,Configuratie!$B$1:$E$10,2,FALSE))</f>
        <v>0-1</v>
      </c>
      <c r="T36" s="5">
        <v>0</v>
      </c>
      <c r="AT36" s="6">
        <v>5</v>
      </c>
      <c r="AU36" s="6">
        <v>2</v>
      </c>
      <c r="AV36" s="6">
        <v>1</v>
      </c>
      <c r="AW36" s="6">
        <f t="shared" si="36"/>
        <v>1</v>
      </c>
      <c r="AY36" s="48">
        <f>AU36*100+AV36</f>
        <v>201</v>
      </c>
      <c r="AZ36" s="48">
        <f>AV36*100+AU36</f>
        <v>102</v>
      </c>
      <c r="BA36" s="6">
        <f t="shared" si="35"/>
        <v>1.5</v>
      </c>
      <c r="BB36" s="6">
        <f t="shared" si="35"/>
        <v>4</v>
      </c>
      <c r="BC36" s="6">
        <f>J36*BB36</f>
        <v>0</v>
      </c>
      <c r="BD36" s="6">
        <f>M36*BA36</f>
        <v>1.5</v>
      </c>
    </row>
    <row r="52" spans="13:14" x14ac:dyDescent="0.25">
      <c r="M52" s="66"/>
      <c r="N52" s="66"/>
    </row>
    <row r="53" spans="13:14" x14ac:dyDescent="0.25">
      <c r="M53" s="66"/>
      <c r="N53" s="66"/>
    </row>
    <row r="54" spans="13:14" x14ac:dyDescent="0.25">
      <c r="M54" s="66"/>
      <c r="N54" s="66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35" priority="4" stopIfTrue="1" operator="between">
      <formula>0</formula>
      <formula>1</formula>
    </cfRule>
  </conditionalFormatting>
  <conditionalFormatting sqref="T4:T9">
    <cfRule type="cellIs" dxfId="34" priority="1" operator="equal">
      <formula>3</formula>
    </cfRule>
    <cfRule type="cellIs" dxfId="33" priority="2" operator="equal">
      <formula>2</formula>
    </cfRule>
    <cfRule type="cellIs" dxfId="32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 fitToPage="1"/>
  </sheetPr>
  <dimension ref="A1:BT54"/>
  <sheetViews>
    <sheetView tabSelected="1" view="pageBreakPreview" topLeftCell="A8" zoomScaleNormal="100" zoomScaleSheetLayoutView="100" workbookViewId="0">
      <selection activeCell="T15" sqref="T15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4" width="3.7109375" style="6" customWidth="1" collapsed="1"/>
    <col min="15" max="17" width="3.7109375" style="6" hidden="1" customWidth="1" collapsed="1"/>
    <col min="18" max="20" width="10.42578125" style="6" customWidth="1" collapsed="1"/>
    <col min="21" max="21" width="3.7109375" style="6" customWidth="1" collapsed="1"/>
    <col min="22" max="22" width="6.7109375" style="6" customWidth="1" collapsed="1"/>
    <col min="23" max="23" width="3" style="6" hidden="1" customWidth="1" collapsed="1"/>
    <col min="24" max="24" width="27.7109375" style="6" customWidth="1" collapsed="1"/>
    <col min="25" max="25" width="6.7109375" style="6" customWidth="1" collapsed="1"/>
    <col min="26" max="26" width="6.7109375" style="6" hidden="1" customWidth="1" collapsed="1"/>
    <col min="27" max="27" width="6.7109375" style="6" customWidth="1" collapsed="1"/>
    <col min="28" max="29" width="6.7109375" style="6" hidden="1" customWidth="1" collapsed="1"/>
    <col min="30" max="30" width="6.7109375" style="6" customWidth="1" collapsed="1"/>
    <col min="31" max="31" width="8.570312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6.7109375" style="6" hidden="1" customWidth="1" collapsed="1"/>
    <col min="35" max="35" width="8.5703125" style="6" hidden="1" customWidth="1" collapsed="1"/>
    <col min="36" max="37" width="6.7109375" style="6" hidden="1" customWidth="1" collapsed="1"/>
    <col min="38" max="38" width="8.5703125" style="6" hidden="1" customWidth="1" collapsed="1"/>
    <col min="39" max="46" width="6.7109375" style="6" hidden="1" customWidth="1" collapsed="1"/>
    <col min="47" max="50" width="9.140625" style="6" hidden="1" customWidth="1" collapsed="1"/>
    <col min="51" max="52" width="4.42578125" style="6" hidden="1" customWidth="1" collapsed="1"/>
    <col min="53" max="71" width="3.7109375" style="6" hidden="1" customWidth="1" collapsed="1"/>
    <col min="72" max="72" width="9.140625" style="6" hidden="1" customWidth="1" collapsed="1"/>
    <col min="73" max="74" width="9.140625" style="6" customWidth="1" collapsed="1"/>
    <col min="75" max="16384" width="9.140625" style="6" collapsed="1"/>
  </cols>
  <sheetData>
    <row r="1" spans="1:71" ht="26.25" x14ac:dyDescent="0.4">
      <c r="A1" s="24">
        <v>6</v>
      </c>
      <c r="B1" s="68" t="s">
        <v>29</v>
      </c>
      <c r="C1" s="68"/>
      <c r="D1" s="68"/>
      <c r="E1" s="68"/>
      <c r="F1" s="68"/>
      <c r="G1" s="71" t="s">
        <v>90</v>
      </c>
      <c r="H1" s="71"/>
      <c r="I1" s="66"/>
      <c r="J1" s="66"/>
      <c r="K1" s="66"/>
      <c r="L1" s="66"/>
      <c r="M1" s="66"/>
      <c r="N1" s="66"/>
      <c r="O1" s="66"/>
      <c r="P1" s="66"/>
      <c r="Q1" s="66"/>
      <c r="R1" s="66"/>
      <c r="S1" s="47"/>
      <c r="T1" s="47"/>
      <c r="U1" s="15"/>
      <c r="V1" s="69" t="str">
        <f>"UITSLAG "&amp; G1</f>
        <v>UITSLAG Groep F</v>
      </c>
      <c r="W1" s="70"/>
      <c r="X1" s="70"/>
      <c r="Y1" s="70"/>
      <c r="Z1" s="70"/>
      <c r="AA1" s="70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25</v>
      </c>
      <c r="AV2" s="16" t="s">
        <v>24</v>
      </c>
      <c r="AW2" s="16" t="s">
        <v>26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17"/>
      <c r="BJ2" s="18"/>
      <c r="BK2" s="70" t="s">
        <v>21</v>
      </c>
      <c r="BL2" s="70"/>
      <c r="BM2" s="70"/>
      <c r="BN2" s="70"/>
      <c r="BO2" s="70"/>
      <c r="BP2" s="70"/>
      <c r="BQ2" s="70"/>
      <c r="BR2" s="70"/>
      <c r="BS2" s="70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5"/>
      <c r="O3" s="76"/>
      <c r="P3" s="49"/>
      <c r="Q3" s="50"/>
      <c r="R3" s="7" t="s">
        <v>15</v>
      </c>
      <c r="S3" s="7" t="s">
        <v>24</v>
      </c>
      <c r="T3" s="7" t="s">
        <v>56</v>
      </c>
      <c r="U3" s="21"/>
      <c r="V3" s="7" t="s">
        <v>30</v>
      </c>
      <c r="W3" s="22" t="s">
        <v>28</v>
      </c>
      <c r="X3" s="7" t="s">
        <v>6</v>
      </c>
      <c r="Y3" s="7" t="s">
        <v>27</v>
      </c>
      <c r="Z3" s="7" t="s">
        <v>22</v>
      </c>
      <c r="AA3" s="7" t="s">
        <v>24</v>
      </c>
      <c r="AB3" s="7" t="s">
        <v>31</v>
      </c>
      <c r="AC3" s="7" t="s">
        <v>32</v>
      </c>
      <c r="AD3" s="13"/>
      <c r="AE3" s="7" t="s">
        <v>47</v>
      </c>
      <c r="AF3" s="7" t="s">
        <v>48</v>
      </c>
      <c r="AG3" s="7" t="s">
        <v>49</v>
      </c>
      <c r="AH3" s="7" t="s">
        <v>50</v>
      </c>
      <c r="AI3" s="7" t="s">
        <v>51</v>
      </c>
      <c r="AJ3" s="7" t="s">
        <v>52</v>
      </c>
      <c r="AK3" s="7"/>
      <c r="AL3" s="7" t="s">
        <v>53</v>
      </c>
      <c r="AM3" s="7" t="s">
        <v>54</v>
      </c>
      <c r="AN3" s="7" t="s">
        <v>55</v>
      </c>
      <c r="AO3" s="7" t="s">
        <v>56</v>
      </c>
      <c r="AP3" s="13"/>
      <c r="AQ3" s="13"/>
      <c r="AR3" s="13"/>
      <c r="AS3" s="21"/>
      <c r="AT3" s="7" t="s">
        <v>33</v>
      </c>
      <c r="AU3" s="23" t="s">
        <v>23</v>
      </c>
      <c r="AV3" s="16" t="s">
        <v>23</v>
      </c>
      <c r="AW3" s="16" t="s">
        <v>23</v>
      </c>
      <c r="AY3" s="6" t="s">
        <v>28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28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5</v>
      </c>
      <c r="B4" s="25">
        <v>1</v>
      </c>
      <c r="C4" s="25" t="s">
        <v>91</v>
      </c>
      <c r="D4" s="67">
        <v>8559870</v>
      </c>
      <c r="E4" s="67"/>
      <c r="F4" s="25">
        <v>767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>
        <f t="shared" si="0"/>
        <v>1</v>
      </c>
      <c r="J4" s="27">
        <f t="shared" si="0"/>
        <v>1</v>
      </c>
      <c r="K4" s="27">
        <f t="shared" si="0"/>
        <v>0</v>
      </c>
      <c r="L4" s="27">
        <f t="shared" si="0"/>
        <v>0</v>
      </c>
      <c r="M4" s="27">
        <f t="shared" si="0"/>
        <v>0</v>
      </c>
      <c r="N4" s="73"/>
      <c r="O4" s="74"/>
      <c r="P4" s="52"/>
      <c r="Q4" s="53"/>
      <c r="R4" s="8">
        <f t="shared" ref="R4:R9" si="1">SUM(H4:Q4)</f>
        <v>2</v>
      </c>
      <c r="S4" s="8">
        <f>IF(H4="",0,H4)*$R$4+IF(I4="",0,I4)*$R$5+IF(J4="",0,J4)*$R$6+IF(K4="",0,K4)*$R$7+IF(L4="",0,L4)*$R$8+IF(M4="",0,M4)*$R$9</f>
        <v>4</v>
      </c>
      <c r="T4" s="54">
        <f>AO4</f>
        <v>5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Fadi el Kasah</v>
      </c>
      <c r="Y4" s="34">
        <f t="shared" ref="Y4:Y9" si="3">IF(ISNA(VLOOKUP(B4,$A$4:$S$11,18,FALSE)),0,VLOOKUP(B4,$A$4:$S$11,18,FALSE))</f>
        <v>3.5</v>
      </c>
      <c r="Z4" s="34">
        <f t="shared" ref="Z4:Z9" si="4">VLOOKUP($W4,$AT$4:$AW$9,2,FALSE)</f>
        <v>5</v>
      </c>
      <c r="AA4" s="55">
        <f t="shared" ref="AA4:AA9" si="5">IF(ISNA(VLOOKUP(B4,$A$4:$S$11,19,FALSE)),0,VLOOKUP(B4,$A$4:$S$11,19,FALSE))</f>
        <v>7.25</v>
      </c>
      <c r="AB4" s="34">
        <f t="shared" ref="AB4:AB9" si="6">VLOOKUP($W4,$AT$4:$AW$9,4,FALSE)</f>
        <v>17.5</v>
      </c>
      <c r="AC4" s="35">
        <f t="shared" ref="AC4:AC9" si="7">VLOOKUP($W4,$B$4:$R$9,5,FALSE)</f>
        <v>-1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6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6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6</v>
      </c>
      <c r="AK4" s="56"/>
      <c r="AL4" s="56">
        <f>RANK(AJ4,$AJ$4:$AJ$9,1)-1</f>
        <v>1</v>
      </c>
      <c r="AM4" s="56">
        <f>RANK(S4,$S$4:$S$9,1)-1</f>
        <v>1</v>
      </c>
      <c r="AN4" s="56">
        <f>6*AL4+AM4</f>
        <v>7</v>
      </c>
      <c r="AO4" s="56">
        <f>RANK(AN4,$AN$4:$AN$9)</f>
        <v>5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1</v>
      </c>
      <c r="AV4" s="39">
        <f t="shared" ref="AV4:AV9" si="9">SUMIF($AU$11:$AU$36,B4,$BC$11:$BC$36)+SUMIF($AV$11:$AV$36,B4,$BD$11:$BD$36)</f>
        <v>3</v>
      </c>
      <c r="AW4" s="39">
        <f>SUM(BK4:BS4)</f>
        <v>11</v>
      </c>
      <c r="AY4" s="6">
        <v>1</v>
      </c>
      <c r="AZ4" s="6">
        <f t="shared" ref="AZ4:BH9" si="10">SUMIFS($J$14:$J$36,$AU$14:$AU$36,$AY4,$AT$14:$AT$36,AZ$3)+SUMIFS($M$14:$M$36,$AV$14:$AV$36,$AY4,$AT$14:$AT$36,AZ$3)</f>
        <v>0</v>
      </c>
      <c r="BA4" s="6">
        <f t="shared" si="10"/>
        <v>0</v>
      </c>
      <c r="BB4" s="6">
        <f t="shared" si="10"/>
        <v>0</v>
      </c>
      <c r="BC4" s="6">
        <f t="shared" si="10"/>
        <v>1</v>
      </c>
      <c r="BD4" s="6">
        <f t="shared" si="10"/>
        <v>1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</v>
      </c>
      <c r="BN4" s="6">
        <f t="shared" si="11"/>
        <v>1</v>
      </c>
      <c r="BO4" s="6">
        <f t="shared" si="11"/>
        <v>2</v>
      </c>
      <c r="BP4" s="6">
        <f t="shared" si="11"/>
        <v>2</v>
      </c>
      <c r="BQ4" s="6">
        <f t="shared" si="11"/>
        <v>2</v>
      </c>
      <c r="BR4" s="6">
        <f t="shared" si="11"/>
        <v>2</v>
      </c>
      <c r="BS4" s="6">
        <f t="shared" si="11"/>
        <v>2</v>
      </c>
    </row>
    <row r="5" spans="1:71" x14ac:dyDescent="0.25">
      <c r="A5" s="51">
        <f t="shared" ref="A5:A9" si="12">T5</f>
        <v>6</v>
      </c>
      <c r="B5" s="25">
        <v>2</v>
      </c>
      <c r="C5" s="25" t="s">
        <v>92</v>
      </c>
      <c r="D5" s="67">
        <v>8522019</v>
      </c>
      <c r="E5" s="67"/>
      <c r="F5" s="25">
        <v>702</v>
      </c>
      <c r="H5" s="27">
        <f t="shared" si="0"/>
        <v>0</v>
      </c>
      <c r="I5" s="26" t="str">
        <f t="shared" si="0"/>
        <v/>
      </c>
      <c r="J5" s="27">
        <f t="shared" si="0"/>
        <v>0</v>
      </c>
      <c r="K5" s="27">
        <f t="shared" si="0"/>
        <v>0</v>
      </c>
      <c r="L5" s="27">
        <f t="shared" si="0"/>
        <v>0</v>
      </c>
      <c r="M5" s="27">
        <f t="shared" si="0"/>
        <v>1</v>
      </c>
      <c r="N5" s="73"/>
      <c r="O5" s="74"/>
      <c r="P5" s="52"/>
      <c r="Q5" s="53"/>
      <c r="R5" s="8">
        <f t="shared" si="1"/>
        <v>1</v>
      </c>
      <c r="S5" s="8">
        <f t="shared" ref="S5:S9" si="13">IF(H5="",0,H5)*$R$4+IF(I5="",0,I5)*$R$5+IF(J5="",0,J5)*$R$6+IF(K5="",0,K5)*$R$7+IF(L5="",0,L5)*$R$8+IF(M5="",0,M5)*$R$9</f>
        <v>2.5</v>
      </c>
      <c r="T5" s="54">
        <f t="shared" ref="T5:T9" si="14">AO5</f>
        <v>6</v>
      </c>
      <c r="U5" s="30"/>
      <c r="V5" s="31">
        <v>2</v>
      </c>
      <c r="W5" s="32">
        <v>5</v>
      </c>
      <c r="X5" s="33" t="str">
        <f t="shared" si="2"/>
        <v>Aristides Buntara</v>
      </c>
      <c r="Y5" s="34">
        <f t="shared" si="3"/>
        <v>3</v>
      </c>
      <c r="Z5" s="34">
        <f t="shared" si="4"/>
        <v>9</v>
      </c>
      <c r="AA5" s="55">
        <f t="shared" si="5"/>
        <v>6</v>
      </c>
      <c r="AB5" s="34">
        <f t="shared" si="6"/>
        <v>26.5</v>
      </c>
      <c r="AC5" s="35">
        <f t="shared" si="7"/>
        <v>657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3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3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3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6</v>
      </c>
      <c r="AP5" s="56"/>
      <c r="AQ5" s="56"/>
      <c r="AR5" s="56"/>
      <c r="AS5" s="30"/>
      <c r="AT5" s="37">
        <v>2</v>
      </c>
      <c r="AU5" s="38">
        <f t="shared" si="8"/>
        <v>1</v>
      </c>
      <c r="AV5" s="39">
        <f t="shared" si="9"/>
        <v>1.5</v>
      </c>
      <c r="AW5" s="39">
        <f t="shared" ref="AW5:AW9" si="25">SUM(BK5:BS5)</f>
        <v>6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1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1</v>
      </c>
      <c r="BO5" s="6">
        <f t="shared" si="11"/>
        <v>1</v>
      </c>
      <c r="BP5" s="6">
        <f t="shared" si="11"/>
        <v>1</v>
      </c>
      <c r="BQ5" s="6">
        <f t="shared" si="11"/>
        <v>1</v>
      </c>
      <c r="BR5" s="6">
        <f t="shared" si="11"/>
        <v>1</v>
      </c>
      <c r="BS5" s="6">
        <f t="shared" si="11"/>
        <v>1</v>
      </c>
    </row>
    <row r="6" spans="1:71" x14ac:dyDescent="0.25">
      <c r="A6" s="51">
        <f t="shared" si="12"/>
        <v>3</v>
      </c>
      <c r="B6" s="25">
        <v>3</v>
      </c>
      <c r="C6" s="25" t="s">
        <v>93</v>
      </c>
      <c r="D6" s="67">
        <v>8605938</v>
      </c>
      <c r="E6" s="67"/>
      <c r="F6" s="25">
        <v>680</v>
      </c>
      <c r="H6" s="27">
        <f t="shared" si="0"/>
        <v>0</v>
      </c>
      <c r="I6" s="27">
        <f t="shared" si="0"/>
        <v>1</v>
      </c>
      <c r="J6" s="26" t="str">
        <f t="shared" si="0"/>
        <v/>
      </c>
      <c r="K6" s="27">
        <f t="shared" si="0"/>
        <v>0</v>
      </c>
      <c r="L6" s="27">
        <f t="shared" si="0"/>
        <v>1</v>
      </c>
      <c r="M6" s="27">
        <f t="shared" si="0"/>
        <v>1</v>
      </c>
      <c r="N6" s="73"/>
      <c r="O6" s="74"/>
      <c r="P6" s="52"/>
      <c r="Q6" s="53"/>
      <c r="R6" s="8">
        <f t="shared" si="1"/>
        <v>3</v>
      </c>
      <c r="S6" s="8">
        <f t="shared" si="13"/>
        <v>7</v>
      </c>
      <c r="T6" s="54">
        <f t="shared" si="14"/>
        <v>3</v>
      </c>
      <c r="U6" s="30"/>
      <c r="V6" s="31">
        <v>3</v>
      </c>
      <c r="W6" s="32">
        <v>4</v>
      </c>
      <c r="X6" s="33" t="str">
        <f t="shared" si="2"/>
        <v>Bart van Enckevort</v>
      </c>
      <c r="Y6" s="34">
        <f t="shared" si="3"/>
        <v>3</v>
      </c>
      <c r="Z6" s="34">
        <f t="shared" si="4"/>
        <v>9</v>
      </c>
      <c r="AA6" s="55">
        <f t="shared" si="5"/>
        <v>7</v>
      </c>
      <c r="AB6" s="34">
        <f t="shared" si="6"/>
        <v>24</v>
      </c>
      <c r="AC6" s="35">
        <f t="shared" si="7"/>
        <v>668</v>
      </c>
      <c r="AD6" s="56"/>
      <c r="AE6" s="7">
        <f t="shared" si="15"/>
        <v>0</v>
      </c>
      <c r="AF6" s="7">
        <f t="shared" si="16"/>
        <v>9</v>
      </c>
      <c r="AG6" s="7">
        <f t="shared" si="17"/>
        <v>0</v>
      </c>
      <c r="AH6" s="7">
        <f t="shared" si="18"/>
        <v>9</v>
      </c>
      <c r="AI6" s="7">
        <f t="shared" si="19"/>
        <v>0</v>
      </c>
      <c r="AJ6" s="7">
        <f t="shared" si="20"/>
        <v>9</v>
      </c>
      <c r="AK6" s="56"/>
      <c r="AL6" s="56">
        <f t="shared" si="21"/>
        <v>3</v>
      </c>
      <c r="AM6" s="56">
        <f t="shared" si="22"/>
        <v>4</v>
      </c>
      <c r="AN6" s="56">
        <f t="shared" si="23"/>
        <v>22</v>
      </c>
      <c r="AO6" s="56">
        <f t="shared" si="24"/>
        <v>3</v>
      </c>
      <c r="AP6" s="56"/>
      <c r="AQ6" s="56"/>
      <c r="AR6" s="56"/>
      <c r="AS6" s="30"/>
      <c r="AT6" s="37">
        <v>3</v>
      </c>
      <c r="AU6" s="38">
        <f t="shared" si="8"/>
        <v>5</v>
      </c>
      <c r="AV6" s="39">
        <f t="shared" si="9"/>
        <v>4.5</v>
      </c>
      <c r="AW6" s="39">
        <f t="shared" si="25"/>
        <v>20</v>
      </c>
      <c r="AY6" s="6">
        <v>3</v>
      </c>
      <c r="AZ6" s="6">
        <f t="shared" si="10"/>
        <v>0</v>
      </c>
      <c r="BA6" s="6">
        <f t="shared" si="10"/>
        <v>1</v>
      </c>
      <c r="BB6" s="6">
        <f t="shared" si="10"/>
        <v>1</v>
      </c>
      <c r="BC6" s="6">
        <f t="shared" si="10"/>
        <v>0</v>
      </c>
      <c r="BD6" s="6">
        <f t="shared" si="10"/>
        <v>1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1</v>
      </c>
      <c r="BM6" s="6">
        <f t="shared" si="11"/>
        <v>2</v>
      </c>
      <c r="BN6" s="6">
        <f t="shared" si="11"/>
        <v>2</v>
      </c>
      <c r="BO6" s="6">
        <f t="shared" si="11"/>
        <v>3</v>
      </c>
      <c r="BP6" s="6">
        <f t="shared" si="11"/>
        <v>3</v>
      </c>
      <c r="BQ6" s="6">
        <f t="shared" si="11"/>
        <v>3</v>
      </c>
      <c r="BR6" s="6">
        <f t="shared" si="11"/>
        <v>3</v>
      </c>
      <c r="BS6" s="6">
        <f t="shared" si="11"/>
        <v>3</v>
      </c>
    </row>
    <row r="7" spans="1:71" x14ac:dyDescent="0.25">
      <c r="A7" s="51">
        <f t="shared" si="12"/>
        <v>2</v>
      </c>
      <c r="B7" s="25">
        <v>4</v>
      </c>
      <c r="C7" s="25" t="s">
        <v>94</v>
      </c>
      <c r="D7" s="67">
        <v>8705785</v>
      </c>
      <c r="E7" s="67"/>
      <c r="F7" s="25">
        <v>668</v>
      </c>
      <c r="H7" s="27">
        <f t="shared" si="0"/>
        <v>1</v>
      </c>
      <c r="I7" s="27">
        <f t="shared" si="0"/>
        <v>1</v>
      </c>
      <c r="J7" s="27">
        <f t="shared" si="0"/>
        <v>1</v>
      </c>
      <c r="K7" s="26" t="str">
        <f t="shared" si="0"/>
        <v/>
      </c>
      <c r="L7" s="27">
        <f t="shared" si="0"/>
        <v>0</v>
      </c>
      <c r="M7" s="27">
        <f t="shared" si="0"/>
        <v>0</v>
      </c>
      <c r="N7" s="73"/>
      <c r="O7" s="74"/>
      <c r="P7" s="52"/>
      <c r="Q7" s="53"/>
      <c r="R7" s="8">
        <f t="shared" si="1"/>
        <v>3</v>
      </c>
      <c r="S7" s="8">
        <f t="shared" si="13"/>
        <v>6</v>
      </c>
      <c r="T7" s="54">
        <f t="shared" si="14"/>
        <v>2</v>
      </c>
      <c r="U7" s="30"/>
      <c r="V7" s="31">
        <v>4</v>
      </c>
      <c r="W7" s="32">
        <v>3</v>
      </c>
      <c r="X7" s="33" t="str">
        <f t="shared" si="2"/>
        <v>Bye</v>
      </c>
      <c r="Y7" s="34">
        <f t="shared" si="3"/>
        <v>2.5</v>
      </c>
      <c r="Z7" s="34">
        <f t="shared" si="4"/>
        <v>5</v>
      </c>
      <c r="AA7" s="55">
        <f t="shared" si="5"/>
        <v>6.75</v>
      </c>
      <c r="AB7" s="34">
        <f t="shared" si="6"/>
        <v>20</v>
      </c>
      <c r="AC7" s="35">
        <f t="shared" si="7"/>
        <v>680</v>
      </c>
      <c r="AD7" s="56"/>
      <c r="AE7" s="7">
        <f t="shared" si="15"/>
        <v>1</v>
      </c>
      <c r="AF7" s="7">
        <f t="shared" si="16"/>
        <v>10</v>
      </c>
      <c r="AG7" s="7">
        <f t="shared" si="17"/>
        <v>0</v>
      </c>
      <c r="AH7" s="7">
        <f t="shared" si="18"/>
        <v>10</v>
      </c>
      <c r="AI7" s="7">
        <f t="shared" si="19"/>
        <v>0</v>
      </c>
      <c r="AJ7" s="7">
        <f t="shared" si="20"/>
        <v>10</v>
      </c>
      <c r="AK7" s="56"/>
      <c r="AL7" s="56">
        <f t="shared" si="21"/>
        <v>4</v>
      </c>
      <c r="AM7" s="56">
        <f t="shared" si="22"/>
        <v>2</v>
      </c>
      <c r="AN7" s="56">
        <f t="shared" si="23"/>
        <v>26</v>
      </c>
      <c r="AO7" s="56">
        <f t="shared" si="24"/>
        <v>2</v>
      </c>
      <c r="AP7" s="56"/>
      <c r="AQ7" s="56"/>
      <c r="AR7" s="56"/>
      <c r="AS7" s="30"/>
      <c r="AT7" s="37">
        <v>4</v>
      </c>
      <c r="AU7" s="38">
        <f t="shared" si="8"/>
        <v>9</v>
      </c>
      <c r="AV7" s="39">
        <f t="shared" si="9"/>
        <v>0</v>
      </c>
      <c r="AW7" s="39">
        <f t="shared" si="25"/>
        <v>24</v>
      </c>
      <c r="AY7" s="6">
        <v>4</v>
      </c>
      <c r="AZ7" s="6">
        <f t="shared" si="10"/>
        <v>1</v>
      </c>
      <c r="BA7" s="6">
        <f t="shared" si="10"/>
        <v>1</v>
      </c>
      <c r="BB7" s="6">
        <f t="shared" si="10"/>
        <v>1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1</v>
      </c>
      <c r="BL7" s="6">
        <f t="shared" si="11"/>
        <v>2</v>
      </c>
      <c r="BM7" s="6">
        <f t="shared" si="11"/>
        <v>3</v>
      </c>
      <c r="BN7" s="6">
        <f t="shared" si="11"/>
        <v>3</v>
      </c>
      <c r="BO7" s="6">
        <f t="shared" si="11"/>
        <v>3</v>
      </c>
      <c r="BP7" s="6">
        <f t="shared" si="11"/>
        <v>3</v>
      </c>
      <c r="BQ7" s="6">
        <f t="shared" si="11"/>
        <v>3</v>
      </c>
      <c r="BR7" s="6">
        <f t="shared" si="11"/>
        <v>3</v>
      </c>
      <c r="BS7" s="6">
        <f t="shared" si="11"/>
        <v>3</v>
      </c>
    </row>
    <row r="8" spans="1:71" x14ac:dyDescent="0.25">
      <c r="A8" s="51">
        <f t="shared" si="12"/>
        <v>1</v>
      </c>
      <c r="B8" s="25">
        <v>5</v>
      </c>
      <c r="C8" s="25" t="s">
        <v>95</v>
      </c>
      <c r="D8" s="67">
        <v>8574324</v>
      </c>
      <c r="E8" s="67"/>
      <c r="F8" s="25">
        <v>657</v>
      </c>
      <c r="H8" s="27">
        <f t="shared" si="0"/>
        <v>1</v>
      </c>
      <c r="I8" s="27">
        <f t="shared" si="0"/>
        <v>1</v>
      </c>
      <c r="J8" s="27">
        <f t="shared" si="0"/>
        <v>0</v>
      </c>
      <c r="K8" s="27">
        <f t="shared" si="0"/>
        <v>1</v>
      </c>
      <c r="L8" s="26" t="str">
        <f t="shared" si="0"/>
        <v/>
      </c>
      <c r="M8" s="27">
        <f t="shared" si="0"/>
        <v>0.5</v>
      </c>
      <c r="N8" s="73"/>
      <c r="O8" s="74"/>
      <c r="P8" s="52"/>
      <c r="Q8" s="53"/>
      <c r="R8" s="8">
        <f t="shared" si="1"/>
        <v>3.5</v>
      </c>
      <c r="S8" s="8">
        <f t="shared" si="13"/>
        <v>7.25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Jian van de Pol</v>
      </c>
      <c r="Y8" s="34">
        <f t="shared" si="3"/>
        <v>2</v>
      </c>
      <c r="Z8" s="34">
        <f t="shared" si="4"/>
        <v>1</v>
      </c>
      <c r="AA8" s="55">
        <f t="shared" si="5"/>
        <v>4</v>
      </c>
      <c r="AB8" s="34">
        <f t="shared" si="6"/>
        <v>6</v>
      </c>
      <c r="AC8" s="35">
        <f t="shared" si="7"/>
        <v>702</v>
      </c>
      <c r="AD8" s="56"/>
      <c r="AE8" s="7">
        <f t="shared" si="15"/>
        <v>0</v>
      </c>
      <c r="AF8" s="7">
        <f t="shared" si="16"/>
        <v>10.5</v>
      </c>
      <c r="AG8" s="7">
        <f t="shared" si="17"/>
        <v>0</v>
      </c>
      <c r="AH8" s="7">
        <f t="shared" si="18"/>
        <v>10.5</v>
      </c>
      <c r="AI8" s="7">
        <f t="shared" si="19"/>
        <v>0</v>
      </c>
      <c r="AJ8" s="7">
        <f t="shared" si="20"/>
        <v>10.5</v>
      </c>
      <c r="AK8" s="56"/>
      <c r="AL8" s="56">
        <f t="shared" si="21"/>
        <v>5</v>
      </c>
      <c r="AM8" s="56">
        <f t="shared" si="22"/>
        <v>5</v>
      </c>
      <c r="AN8" s="56">
        <f t="shared" si="23"/>
        <v>35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9</v>
      </c>
      <c r="AV8" s="39">
        <f t="shared" si="9"/>
        <v>3.5</v>
      </c>
      <c r="AW8" s="39">
        <f t="shared" si="25"/>
        <v>26.5</v>
      </c>
      <c r="AY8" s="6">
        <v>5</v>
      </c>
      <c r="AZ8" s="6">
        <f t="shared" si="10"/>
        <v>1</v>
      </c>
      <c r="BA8" s="6">
        <f t="shared" si="10"/>
        <v>1</v>
      </c>
      <c r="BB8" s="6">
        <f t="shared" si="10"/>
        <v>0.5</v>
      </c>
      <c r="BC8" s="6">
        <f t="shared" si="10"/>
        <v>1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1</v>
      </c>
      <c r="BL8" s="6">
        <f t="shared" si="11"/>
        <v>2</v>
      </c>
      <c r="BM8" s="6">
        <f t="shared" si="11"/>
        <v>2.5</v>
      </c>
      <c r="BN8" s="6">
        <f t="shared" si="11"/>
        <v>3.5</v>
      </c>
      <c r="BO8" s="6">
        <f t="shared" si="11"/>
        <v>3.5</v>
      </c>
      <c r="BP8" s="6">
        <f t="shared" si="11"/>
        <v>3.5</v>
      </c>
      <c r="BQ8" s="6">
        <f t="shared" si="11"/>
        <v>3.5</v>
      </c>
      <c r="BR8" s="6">
        <f t="shared" si="11"/>
        <v>3.5</v>
      </c>
      <c r="BS8" s="6">
        <f t="shared" si="11"/>
        <v>3.5</v>
      </c>
    </row>
    <row r="9" spans="1:71" x14ac:dyDescent="0.25">
      <c r="A9" s="51">
        <f t="shared" si="12"/>
        <v>4</v>
      </c>
      <c r="B9" s="25">
        <v>6</v>
      </c>
      <c r="C9" s="25" t="s">
        <v>96</v>
      </c>
      <c r="D9" s="67">
        <v>0</v>
      </c>
      <c r="E9" s="67"/>
      <c r="F9" s="25">
        <v>-1</v>
      </c>
      <c r="H9" s="27">
        <f t="shared" si="0"/>
        <v>1</v>
      </c>
      <c r="I9" s="27">
        <f t="shared" si="0"/>
        <v>0</v>
      </c>
      <c r="J9" s="27">
        <f t="shared" si="0"/>
        <v>0</v>
      </c>
      <c r="K9" s="27">
        <f t="shared" si="0"/>
        <v>1</v>
      </c>
      <c r="L9" s="27">
        <f t="shared" si="0"/>
        <v>0.5</v>
      </c>
      <c r="M9" s="26" t="str">
        <f t="shared" si="0"/>
        <v/>
      </c>
      <c r="N9" s="73"/>
      <c r="O9" s="74"/>
      <c r="P9" s="52"/>
      <c r="Q9" s="53"/>
      <c r="R9" s="8">
        <f t="shared" si="1"/>
        <v>2.5</v>
      </c>
      <c r="S9" s="8">
        <f t="shared" si="13"/>
        <v>6.75</v>
      </c>
      <c r="T9" s="54">
        <f t="shared" si="14"/>
        <v>4</v>
      </c>
      <c r="U9" s="30"/>
      <c r="V9" s="31">
        <v>6</v>
      </c>
      <c r="W9" s="32">
        <v>1</v>
      </c>
      <c r="X9" s="33" t="str">
        <f t="shared" si="2"/>
        <v>Ivan Engelen</v>
      </c>
      <c r="Y9" s="34">
        <f t="shared" si="3"/>
        <v>1</v>
      </c>
      <c r="Z9" s="34">
        <f t="shared" si="4"/>
        <v>1</v>
      </c>
      <c r="AA9" s="55">
        <f t="shared" si="5"/>
        <v>2.5</v>
      </c>
      <c r="AB9" s="34">
        <f t="shared" si="6"/>
        <v>11</v>
      </c>
      <c r="AC9" s="35">
        <f t="shared" si="7"/>
        <v>767</v>
      </c>
      <c r="AD9" s="56"/>
      <c r="AE9" s="7">
        <f t="shared" si="15"/>
        <v>0</v>
      </c>
      <c r="AF9" s="7">
        <f t="shared" si="16"/>
        <v>7.5</v>
      </c>
      <c r="AG9" s="7">
        <f t="shared" si="17"/>
        <v>0</v>
      </c>
      <c r="AH9" s="7">
        <f t="shared" si="18"/>
        <v>7.5</v>
      </c>
      <c r="AI9" s="7">
        <f t="shared" si="19"/>
        <v>0</v>
      </c>
      <c r="AJ9" s="7">
        <f t="shared" si="20"/>
        <v>7.5</v>
      </c>
      <c r="AK9" s="56"/>
      <c r="AL9" s="56">
        <f t="shared" si="21"/>
        <v>2</v>
      </c>
      <c r="AM9" s="56">
        <f t="shared" si="22"/>
        <v>3</v>
      </c>
      <c r="AN9" s="56">
        <f t="shared" si="23"/>
        <v>15</v>
      </c>
      <c r="AO9" s="56">
        <f t="shared" si="24"/>
        <v>4</v>
      </c>
      <c r="AP9" s="56"/>
      <c r="AQ9" s="56"/>
      <c r="AR9" s="56"/>
      <c r="AS9" s="30"/>
      <c r="AT9" s="37">
        <v>6</v>
      </c>
      <c r="AU9" s="38">
        <f t="shared" si="8"/>
        <v>5</v>
      </c>
      <c r="AV9" s="39">
        <f t="shared" si="9"/>
        <v>4</v>
      </c>
      <c r="AW9" s="39">
        <f t="shared" si="25"/>
        <v>17.5</v>
      </c>
      <c r="AY9" s="6">
        <v>6</v>
      </c>
      <c r="AZ9" s="6">
        <f t="shared" si="10"/>
        <v>1</v>
      </c>
      <c r="BA9" s="6">
        <f t="shared" si="10"/>
        <v>0</v>
      </c>
      <c r="BB9" s="6">
        <f t="shared" si="10"/>
        <v>0.5</v>
      </c>
      <c r="BC9" s="6">
        <f t="shared" si="10"/>
        <v>0</v>
      </c>
      <c r="BD9" s="6">
        <f t="shared" si="10"/>
        <v>1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1</v>
      </c>
      <c r="BL9" s="6">
        <f t="shared" si="11"/>
        <v>1</v>
      </c>
      <c r="BM9" s="6">
        <f t="shared" si="11"/>
        <v>1.5</v>
      </c>
      <c r="BN9" s="6">
        <f t="shared" si="11"/>
        <v>1.5</v>
      </c>
      <c r="BO9" s="6">
        <f t="shared" si="11"/>
        <v>2.5</v>
      </c>
      <c r="BP9" s="6">
        <f t="shared" si="11"/>
        <v>2.5</v>
      </c>
      <c r="BQ9" s="6">
        <f t="shared" si="11"/>
        <v>2.5</v>
      </c>
      <c r="BR9" s="6">
        <f t="shared" si="11"/>
        <v>2.5</v>
      </c>
      <c r="BS9" s="6">
        <f t="shared" si="11"/>
        <v>2.5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3</v>
      </c>
      <c r="AG11" s="57">
        <f>2*MAX(AG4:AG9)+1</f>
        <v>1</v>
      </c>
      <c r="AI11" s="57">
        <f>2*MAX(AI4:AI9)+1</f>
        <v>1</v>
      </c>
      <c r="AT11" s="41" t="s">
        <v>36</v>
      </c>
      <c r="AU11" s="41" t="s">
        <v>0</v>
      </c>
      <c r="AV11" s="41" t="s">
        <v>1</v>
      </c>
      <c r="AW11" s="41" t="s">
        <v>2</v>
      </c>
      <c r="AY11" s="42" t="s">
        <v>34</v>
      </c>
      <c r="AZ11" s="42" t="s">
        <v>35</v>
      </c>
      <c r="BA11" s="6" t="s">
        <v>16</v>
      </c>
      <c r="BB11" s="6" t="s">
        <v>17</v>
      </c>
      <c r="BC11" s="6" t="s">
        <v>18</v>
      </c>
      <c r="BD11" s="6" t="s">
        <v>19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Bye</v>
      </c>
      <c r="D14" s="46" t="s">
        <v>5</v>
      </c>
      <c r="E14" s="66" t="str">
        <f>VLOOKUP(AV14,$B$4:$F$9,2,FALSE)</f>
        <v>Jian van de Pol</v>
      </c>
      <c r="F14" s="66"/>
      <c r="G14" s="66"/>
      <c r="H14" s="66"/>
      <c r="J14" s="66">
        <f>IF(T14="","",VLOOKUP(T14,Configuratie!$B$1:$E$10,3,FALSE))</f>
        <v>1</v>
      </c>
      <c r="K14" s="66"/>
      <c r="L14" s="6" t="s">
        <v>5</v>
      </c>
      <c r="M14" s="66">
        <f>IF(T14="","",VLOOKUP(T14,Configuratie!$B$1:$E$10,4,FALSE))</f>
        <v>0</v>
      </c>
      <c r="N14" s="66"/>
      <c r="R14" s="6" t="str">
        <f>IF(T14="","",VLOOKUP(T14,Configuratie!$B$1:$E$10,2,FALSE))</f>
        <v>1-0</v>
      </c>
      <c r="T14" s="5">
        <v>1</v>
      </c>
      <c r="AI14" s="7"/>
      <c r="AT14" s="6">
        <v>1</v>
      </c>
      <c r="AU14" s="6">
        <v>6</v>
      </c>
      <c r="AV14" s="6">
        <v>1</v>
      </c>
      <c r="AW14" s="6">
        <f>IF(AND(ISNUMBER(J14),ISNUMBER(M14)),IF(J14+M14=1,1,0),"")</f>
        <v>1</v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>
        <f>J14*BB14</f>
        <v>0</v>
      </c>
      <c r="BD14" s="6">
        <f>M14*BA14</f>
        <v>0</v>
      </c>
    </row>
    <row r="15" spans="1:71" x14ac:dyDescent="0.25">
      <c r="B15" s="6">
        <v>2</v>
      </c>
      <c r="C15" s="6" t="str">
        <f>VLOOKUP(AU15,$B$4:$F$9,2,FALSE)</f>
        <v>Fadi el Kasah</v>
      </c>
      <c r="D15" s="46" t="s">
        <v>5</v>
      </c>
      <c r="E15" s="66" t="str">
        <f>VLOOKUP(AV15,$B$4:$F$9,2,FALSE)</f>
        <v>Ivan Engelen</v>
      </c>
      <c r="F15" s="66"/>
      <c r="G15" s="66"/>
      <c r="H15" s="66"/>
      <c r="J15" s="66">
        <f>IF(T15="","",VLOOKUP(T15,Configuratie!$B$1:$E$10,3,FALSE))</f>
        <v>1</v>
      </c>
      <c r="K15" s="66"/>
      <c r="L15" s="6" t="s">
        <v>5</v>
      </c>
      <c r="M15" s="66">
        <f>IF(T15="","",VLOOKUP(T15,Configuratie!$B$1:$E$10,4,FALSE))</f>
        <v>0</v>
      </c>
      <c r="N15" s="66"/>
      <c r="R15" s="6" t="str">
        <f>IF(T15="","",VLOOKUP(T15,Configuratie!$B$1:$E$10,2,FALSE))</f>
        <v>1-0</v>
      </c>
      <c r="T15" s="5">
        <v>1</v>
      </c>
      <c r="AI15" s="56"/>
      <c r="AT15" s="6">
        <v>1</v>
      </c>
      <c r="AU15" s="6">
        <v>5</v>
      </c>
      <c r="AV15" s="6">
        <v>2</v>
      </c>
      <c r="AW15" s="6">
        <f t="shared" ref="AW15:AW16" si="28">IF(AND(ISNUMBER(J15),ISNUMBER(M15)),IF(J15+M15=1,1,0),"")</f>
        <v>1</v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>
        <f>J15*BB15</f>
        <v>0</v>
      </c>
      <c r="BD15" s="6">
        <f>M15*BA15</f>
        <v>0</v>
      </c>
    </row>
    <row r="16" spans="1:71" x14ac:dyDescent="0.25">
      <c r="B16" s="6">
        <v>3</v>
      </c>
      <c r="C16" s="6" t="str">
        <f>VLOOKUP(AU16,$B$4:$F$9,2,FALSE)</f>
        <v>Aristides Buntara</v>
      </c>
      <c r="D16" s="46" t="s">
        <v>5</v>
      </c>
      <c r="E16" s="66" t="str">
        <f>VLOOKUP(AV16,$B$4:$F$9,2,FALSE)</f>
        <v>Bart van Enckevort</v>
      </c>
      <c r="F16" s="66"/>
      <c r="G16" s="66"/>
      <c r="H16" s="66"/>
      <c r="J16" s="66">
        <f>IF(T16="","",VLOOKUP(T16,Configuratie!$B$1:$E$10,3,FALSE))</f>
        <v>1</v>
      </c>
      <c r="K16" s="66"/>
      <c r="L16" s="6" t="s">
        <v>5</v>
      </c>
      <c r="M16" s="66">
        <f>IF(T16="","",VLOOKUP(T16,Configuratie!$B$1:$E$10,4,FALSE))</f>
        <v>0</v>
      </c>
      <c r="N16" s="66"/>
      <c r="R16" s="6" t="str">
        <f>IF(T16="","",VLOOKUP(T16,Configuratie!$B$1:$E$10,2,FALSE))</f>
        <v>1-0</v>
      </c>
      <c r="T16" s="5">
        <v>1</v>
      </c>
      <c r="AI16" s="56"/>
      <c r="AT16" s="6">
        <v>1</v>
      </c>
      <c r="AU16" s="6">
        <v>4</v>
      </c>
      <c r="AV16" s="6">
        <v>3</v>
      </c>
      <c r="AW16" s="6">
        <f t="shared" si="28"/>
        <v>1</v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>
        <f>J16*BB16</f>
        <v>0</v>
      </c>
      <c r="BD16" s="6">
        <f>M16*BA16</f>
        <v>0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Bye</v>
      </c>
      <c r="D19" s="46" t="s">
        <v>5</v>
      </c>
      <c r="E19" s="66" t="str">
        <f>VLOOKUP(AV19,$B$4:$F$9,2,FALSE)</f>
        <v>Bart van Enckevort</v>
      </c>
      <c r="F19" s="66"/>
      <c r="G19" s="66"/>
      <c r="H19" s="66"/>
      <c r="J19" s="66">
        <f>IF(T19="","",VLOOKUP(T19,Configuratie!$B$1:$E$10,3,FALSE))</f>
        <v>0</v>
      </c>
      <c r="K19" s="66"/>
      <c r="L19" s="6" t="s">
        <v>5</v>
      </c>
      <c r="M19" s="66">
        <f>IF(T19="","",VLOOKUP(T19,Configuratie!$B$1:$E$10,4,FALSE))</f>
        <v>1</v>
      </c>
      <c r="N19" s="66"/>
      <c r="R19" s="6" t="str">
        <f>IF(T19="","",VLOOKUP(T19,Configuratie!$B$1:$E$10,2,FALSE))</f>
        <v>0-1</v>
      </c>
      <c r="T19" s="5">
        <v>0</v>
      </c>
      <c r="AI19" s="56"/>
      <c r="AT19" s="6">
        <v>2</v>
      </c>
      <c r="AU19" s="6">
        <v>6</v>
      </c>
      <c r="AV19" s="6">
        <v>3</v>
      </c>
      <c r="AW19" s="6">
        <f>IF(AND(ISNUMBER(J19),ISNUMBER(M19)),IF(J19+M19=1,1,0),"")</f>
        <v>1</v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1</v>
      </c>
      <c r="BB19" s="6">
        <f t="shared" si="29"/>
        <v>0</v>
      </c>
      <c r="BC19" s="6">
        <f>J19*BB19</f>
        <v>0</v>
      </c>
      <c r="BD19" s="6">
        <f>M19*BA19</f>
        <v>1</v>
      </c>
    </row>
    <row r="20" spans="2:56" x14ac:dyDescent="0.25">
      <c r="B20" s="6">
        <v>2</v>
      </c>
      <c r="C20" s="6" t="str">
        <f>VLOOKUP(AU20,$B$4:$F$9,2,FALSE)</f>
        <v>Ivan Engelen</v>
      </c>
      <c r="D20" s="46" t="s">
        <v>5</v>
      </c>
      <c r="E20" s="66" t="str">
        <f>VLOOKUP(AV20,$B$4:$F$9,2,FALSE)</f>
        <v>Aristides Buntara</v>
      </c>
      <c r="F20" s="66"/>
      <c r="G20" s="66"/>
      <c r="H20" s="66"/>
      <c r="J20" s="66">
        <f>IF(T20="","",VLOOKUP(T20,Configuratie!$B$1:$E$10,3,FALSE))</f>
        <v>0</v>
      </c>
      <c r="K20" s="66"/>
      <c r="L20" s="6" t="s">
        <v>5</v>
      </c>
      <c r="M20" s="66">
        <f>IF(T20="","",VLOOKUP(T20,Configuratie!$B$1:$E$10,4,FALSE))</f>
        <v>1</v>
      </c>
      <c r="N20" s="66"/>
      <c r="R20" s="6" t="str">
        <f>IF(T20="","",VLOOKUP(T20,Configuratie!$B$1:$E$10,2,FALSE))</f>
        <v>0-1</v>
      </c>
      <c r="T20" s="5">
        <v>0</v>
      </c>
      <c r="AT20" s="6">
        <v>2</v>
      </c>
      <c r="AU20" s="6">
        <v>2</v>
      </c>
      <c r="AV20" s="6">
        <v>4</v>
      </c>
      <c r="AW20" s="6">
        <f t="shared" ref="AW20:AW21" si="30">IF(AND(ISNUMBER(J20),ISNUMBER(M20)),IF(J20+M20=1,1,0),"")</f>
        <v>1</v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1</v>
      </c>
      <c r="BC20" s="6">
        <f>J20*BB20</f>
        <v>0</v>
      </c>
      <c r="BD20" s="6">
        <f>M20*BA20</f>
        <v>0</v>
      </c>
    </row>
    <row r="21" spans="2:56" x14ac:dyDescent="0.25">
      <c r="B21" s="6">
        <v>3</v>
      </c>
      <c r="C21" s="6" t="str">
        <f>VLOOKUP(AU21,$B$4:$F$9,2,FALSE)</f>
        <v>Jian van de Pol</v>
      </c>
      <c r="D21" s="46" t="s">
        <v>5</v>
      </c>
      <c r="E21" s="66" t="str">
        <f>VLOOKUP(AV21,$B$4:$F$9,2,FALSE)</f>
        <v>Fadi el Kasah</v>
      </c>
      <c r="F21" s="66"/>
      <c r="G21" s="66"/>
      <c r="H21" s="66"/>
      <c r="J21" s="66">
        <f>IF(T21="","",VLOOKUP(T21,Configuratie!$B$1:$E$10,3,FALSE))</f>
        <v>0</v>
      </c>
      <c r="K21" s="66"/>
      <c r="L21" s="6" t="s">
        <v>5</v>
      </c>
      <c r="M21" s="66">
        <f>IF(T21="","",VLOOKUP(T21,Configuratie!$B$1:$E$10,4,FALSE))</f>
        <v>1</v>
      </c>
      <c r="N21" s="66"/>
      <c r="R21" s="6" t="str">
        <f>IF(T21="","",VLOOKUP(T21,Configuratie!$B$1:$E$10,2,FALSE))</f>
        <v>0-1</v>
      </c>
      <c r="T21" s="5">
        <v>0</v>
      </c>
      <c r="AT21" s="6">
        <v>2</v>
      </c>
      <c r="AU21" s="6">
        <v>1</v>
      </c>
      <c r="AV21" s="6">
        <v>5</v>
      </c>
      <c r="AW21" s="6">
        <f t="shared" si="30"/>
        <v>1</v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1</v>
      </c>
      <c r="BC21" s="6">
        <f>J21*BB21</f>
        <v>0</v>
      </c>
      <c r="BD21" s="6">
        <f>M21*BA21</f>
        <v>0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Fadi el Kasah</v>
      </c>
      <c r="D24" s="46" t="s">
        <v>5</v>
      </c>
      <c r="E24" s="66" t="str">
        <f>VLOOKUP(AV24,$B$4:$F$9,2,FALSE)</f>
        <v>Bye</v>
      </c>
      <c r="F24" s="66"/>
      <c r="G24" s="66"/>
      <c r="H24" s="66"/>
      <c r="J24" s="66">
        <f>IF(T24="","",VLOOKUP(T24,Configuratie!$B$1:$E$10,3,FALSE))</f>
        <v>0.5</v>
      </c>
      <c r="K24" s="66"/>
      <c r="L24" s="6" t="s">
        <v>5</v>
      </c>
      <c r="M24" s="66">
        <f>IF(T24="","",VLOOKUP(T24,Configuratie!$B$1:$E$10,4,FALSE))</f>
        <v>0.5</v>
      </c>
      <c r="N24" s="66"/>
      <c r="R24" s="6" t="str">
        <f>IF(T24="","",VLOOKUP(T24,Configuratie!$B$1:$E$10,2,FALSE))</f>
        <v>½-½</v>
      </c>
      <c r="T24" s="5">
        <v>2</v>
      </c>
      <c r="AT24" s="6">
        <v>3</v>
      </c>
      <c r="AU24" s="6">
        <v>5</v>
      </c>
      <c r="AV24" s="6">
        <v>6</v>
      </c>
      <c r="AW24" s="6">
        <f>IF(AND(ISNUMBER(J24),ISNUMBER(M24)),IF(J24+M24=1,1,0),"")</f>
        <v>1</v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2</v>
      </c>
      <c r="BB24" s="6">
        <f t="shared" si="31"/>
        <v>1</v>
      </c>
      <c r="BC24" s="6">
        <f>J24*BB24</f>
        <v>0.5</v>
      </c>
      <c r="BD24" s="6">
        <f>M24*BA24</f>
        <v>1</v>
      </c>
    </row>
    <row r="25" spans="2:56" x14ac:dyDescent="0.25">
      <c r="B25" s="6">
        <v>2</v>
      </c>
      <c r="C25" s="6" t="str">
        <f>VLOOKUP(AU25,$B$4:$F$9,2,FALSE)</f>
        <v>Aristides Buntara</v>
      </c>
      <c r="D25" s="46" t="s">
        <v>5</v>
      </c>
      <c r="E25" s="66" t="str">
        <f>VLOOKUP(AV25,$B$4:$F$9,2,FALSE)</f>
        <v>Jian van de Pol</v>
      </c>
      <c r="F25" s="66"/>
      <c r="G25" s="66"/>
      <c r="H25" s="66"/>
      <c r="J25" s="66">
        <f>IF(T25="","",VLOOKUP(T25,Configuratie!$B$1:$E$10,3,FALSE))</f>
        <v>1</v>
      </c>
      <c r="K25" s="66"/>
      <c r="L25" s="6" t="s">
        <v>5</v>
      </c>
      <c r="M25" s="66">
        <f>IF(T25="","",VLOOKUP(T25,Configuratie!$B$1:$E$10,4,FALSE))</f>
        <v>0</v>
      </c>
      <c r="N25" s="66"/>
      <c r="R25" s="6" t="str">
        <f>IF(T25="","",VLOOKUP(T25,Configuratie!$B$1:$E$10,2,FALSE))</f>
        <v>1-0</v>
      </c>
      <c r="T25" s="5">
        <v>1</v>
      </c>
      <c r="AT25" s="6">
        <v>3</v>
      </c>
      <c r="AU25" s="6">
        <v>4</v>
      </c>
      <c r="AV25" s="6">
        <v>1</v>
      </c>
      <c r="AW25" s="6">
        <f t="shared" ref="AW25:AW26" si="32">IF(AND(ISNUMBER(J25),ISNUMBER(M25)),IF(J25+M25=1,1,0),"")</f>
        <v>1</v>
      </c>
      <c r="AY25" s="48">
        <f>AU25*100+AV25</f>
        <v>401</v>
      </c>
      <c r="AZ25" s="48">
        <f>AV25*100+AU25</f>
        <v>104</v>
      </c>
      <c r="BA25" s="6">
        <f t="shared" si="31"/>
        <v>2</v>
      </c>
      <c r="BB25" s="6">
        <f t="shared" si="31"/>
        <v>0</v>
      </c>
      <c r="BC25" s="6">
        <f>J25*BB25</f>
        <v>0</v>
      </c>
      <c r="BD25" s="6">
        <f>M25*BA25</f>
        <v>0</v>
      </c>
    </row>
    <row r="26" spans="2:56" x14ac:dyDescent="0.25">
      <c r="B26" s="6">
        <v>3</v>
      </c>
      <c r="C26" s="6" t="str">
        <f>VLOOKUP(AU26,$B$4:$F$9,2,FALSE)</f>
        <v>Bart van Enckevort</v>
      </c>
      <c r="D26" s="46" t="s">
        <v>5</v>
      </c>
      <c r="E26" s="66" t="str">
        <f>VLOOKUP(AV26,$B$4:$F$9,2,FALSE)</f>
        <v>Ivan Engelen</v>
      </c>
      <c r="F26" s="66"/>
      <c r="G26" s="66"/>
      <c r="H26" s="66"/>
      <c r="J26" s="66">
        <f>IF(T26="","",VLOOKUP(T26,Configuratie!$B$1:$E$10,3,FALSE))</f>
        <v>1</v>
      </c>
      <c r="K26" s="66"/>
      <c r="L26" s="6" t="s">
        <v>5</v>
      </c>
      <c r="M26" s="66">
        <f>IF(T26="","",VLOOKUP(T26,Configuratie!$B$1:$E$10,4,FALSE))</f>
        <v>0</v>
      </c>
      <c r="N26" s="66"/>
      <c r="R26" s="6" t="str">
        <f>IF(T26="","",VLOOKUP(T26,Configuratie!$B$1:$E$10,2,FALSE))</f>
        <v>1-0</v>
      </c>
      <c r="T26" s="5">
        <v>1</v>
      </c>
      <c r="AT26" s="6">
        <v>3</v>
      </c>
      <c r="AU26" s="6">
        <v>3</v>
      </c>
      <c r="AV26" s="6">
        <v>2</v>
      </c>
      <c r="AW26" s="6">
        <f t="shared" si="32"/>
        <v>1</v>
      </c>
      <c r="AY26" s="48">
        <f>AU26*100+AV26</f>
        <v>302</v>
      </c>
      <c r="AZ26" s="48">
        <f>AV26*100+AU26</f>
        <v>203</v>
      </c>
      <c r="BA26" s="6">
        <f t="shared" si="31"/>
        <v>1</v>
      </c>
      <c r="BB26" s="6">
        <f t="shared" si="31"/>
        <v>0</v>
      </c>
      <c r="BC26" s="6">
        <f>J26*BB26</f>
        <v>0</v>
      </c>
      <c r="BD26" s="6">
        <f>M26*BA26</f>
        <v>0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Bye</v>
      </c>
      <c r="D29" s="46" t="s">
        <v>5</v>
      </c>
      <c r="E29" s="66" t="str">
        <f>VLOOKUP(AV29,$B$4:$F$9,2,FALSE)</f>
        <v>Ivan Engelen</v>
      </c>
      <c r="F29" s="66"/>
      <c r="G29" s="66"/>
      <c r="H29" s="66"/>
      <c r="J29" s="66">
        <f>IF(T29="","",VLOOKUP(T29,Configuratie!$B$1:$E$10,3,FALSE))</f>
        <v>0</v>
      </c>
      <c r="K29" s="66"/>
      <c r="L29" s="6" t="s">
        <v>5</v>
      </c>
      <c r="M29" s="66">
        <f>IF(T29="","",VLOOKUP(T29,Configuratie!$B$1:$E$10,4,FALSE))</f>
        <v>1</v>
      </c>
      <c r="N29" s="66"/>
      <c r="R29" s="6" t="str">
        <f>IF(T29="","",VLOOKUP(T29,Configuratie!$B$1:$E$10,2,FALSE))</f>
        <v>0-1</v>
      </c>
      <c r="T29" s="5">
        <v>0</v>
      </c>
      <c r="AT29" s="6">
        <v>4</v>
      </c>
      <c r="AU29" s="6">
        <v>6</v>
      </c>
      <c r="AV29" s="6">
        <v>2</v>
      </c>
      <c r="AW29" s="6">
        <f>IF(AND(ISNUMBER(J29),ISNUMBER(M29)),IF(J29+M29=1,1,0),"")</f>
        <v>1</v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1.5</v>
      </c>
      <c r="BB29" s="6">
        <f t="shared" si="33"/>
        <v>0</v>
      </c>
      <c r="BC29" s="6">
        <f>J29*BB29</f>
        <v>0</v>
      </c>
      <c r="BD29" s="6">
        <f>M29*BA29</f>
        <v>1.5</v>
      </c>
    </row>
    <row r="30" spans="2:56" x14ac:dyDescent="0.25">
      <c r="B30" s="6">
        <v>2</v>
      </c>
      <c r="C30" s="6" t="str">
        <f>VLOOKUP(AU30,$B$4:$F$9,2,FALSE)</f>
        <v>Jian van de Pol</v>
      </c>
      <c r="D30" s="46" t="s">
        <v>5</v>
      </c>
      <c r="E30" s="66" t="str">
        <f>VLOOKUP(AV30,$B$4:$F$9,2,FALSE)</f>
        <v>Bart van Enckevort</v>
      </c>
      <c r="F30" s="66"/>
      <c r="G30" s="66"/>
      <c r="H30" s="66"/>
      <c r="J30" s="66">
        <f>IF(T30="","",VLOOKUP(T30,Configuratie!$B$1:$E$10,3,FALSE))</f>
        <v>1</v>
      </c>
      <c r="K30" s="66"/>
      <c r="L30" s="6" t="s">
        <v>5</v>
      </c>
      <c r="M30" s="66">
        <f>IF(T30="","",VLOOKUP(T30,Configuratie!$B$1:$E$10,4,FALSE))</f>
        <v>0</v>
      </c>
      <c r="N30" s="66"/>
      <c r="R30" s="6" t="str">
        <f>IF(T30="","",VLOOKUP(T30,Configuratie!$B$1:$E$10,2,FALSE))</f>
        <v>1-0</v>
      </c>
      <c r="T30" s="5">
        <v>1</v>
      </c>
      <c r="AT30" s="6">
        <v>4</v>
      </c>
      <c r="AU30" s="6">
        <v>1</v>
      </c>
      <c r="AV30" s="6">
        <v>3</v>
      </c>
      <c r="AW30" s="6">
        <f t="shared" ref="AW30:AW31" si="34">IF(AND(ISNUMBER(J30),ISNUMBER(M30)),IF(J30+M30=1,1,0),"")</f>
        <v>1</v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2</v>
      </c>
      <c r="BC30" s="6">
        <f>J30*BB30</f>
        <v>2</v>
      </c>
      <c r="BD30" s="6">
        <f>M30*BA30</f>
        <v>0</v>
      </c>
    </row>
    <row r="31" spans="2:56" x14ac:dyDescent="0.25">
      <c r="B31" s="6">
        <v>3</v>
      </c>
      <c r="C31" s="6" t="str">
        <f>VLOOKUP(AU31,$B$4:$F$9,2,FALSE)</f>
        <v>Fadi el Kasah</v>
      </c>
      <c r="D31" s="46" t="s">
        <v>5</v>
      </c>
      <c r="E31" s="66" t="str">
        <f>VLOOKUP(AV31,$B$4:$F$9,2,FALSE)</f>
        <v>Aristides Buntara</v>
      </c>
      <c r="F31" s="66"/>
      <c r="G31" s="66"/>
      <c r="H31" s="66"/>
      <c r="J31" s="66">
        <f>IF(T31="","",VLOOKUP(T31,Configuratie!$B$1:$E$10,3,FALSE))</f>
        <v>1</v>
      </c>
      <c r="K31" s="66"/>
      <c r="L31" s="6" t="s">
        <v>5</v>
      </c>
      <c r="M31" s="66">
        <f>IF(T31="","",VLOOKUP(T31,Configuratie!$B$1:$E$10,4,FALSE))</f>
        <v>0</v>
      </c>
      <c r="N31" s="66"/>
      <c r="R31" s="6" t="str">
        <f>IF(T31="","",VLOOKUP(T31,Configuratie!$B$1:$E$10,2,FALSE))</f>
        <v>1-0</v>
      </c>
      <c r="T31" s="5">
        <v>1</v>
      </c>
      <c r="AT31" s="6">
        <v>4</v>
      </c>
      <c r="AU31" s="6">
        <v>5</v>
      </c>
      <c r="AV31" s="6">
        <v>4</v>
      </c>
      <c r="AW31" s="6">
        <f t="shared" si="34"/>
        <v>1</v>
      </c>
      <c r="AY31" s="48">
        <f>AU31*100+AV31</f>
        <v>504</v>
      </c>
      <c r="AZ31" s="48">
        <f>AV31*100+AU31</f>
        <v>405</v>
      </c>
      <c r="BA31" s="6">
        <f t="shared" si="33"/>
        <v>2.5</v>
      </c>
      <c r="BB31" s="6">
        <f t="shared" si="33"/>
        <v>3</v>
      </c>
      <c r="BC31" s="6">
        <f>J31*BB31</f>
        <v>3</v>
      </c>
      <c r="BD31" s="6">
        <f>M31*BA31</f>
        <v>0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Aristides Buntara</v>
      </c>
      <c r="D34" s="46" t="s">
        <v>5</v>
      </c>
      <c r="E34" s="66" t="str">
        <f>VLOOKUP(AV34,$B$4:$F$9,2,FALSE)</f>
        <v>Bye</v>
      </c>
      <c r="F34" s="66"/>
      <c r="G34" s="66"/>
      <c r="H34" s="66"/>
      <c r="J34" s="66">
        <f>IF(T34="","",VLOOKUP(T34,Configuratie!$B$1:$E$10,3,FALSE))</f>
        <v>0</v>
      </c>
      <c r="K34" s="66"/>
      <c r="L34" s="6" t="s">
        <v>5</v>
      </c>
      <c r="M34" s="66">
        <f>IF(T34="","",VLOOKUP(T34,Configuratie!$B$1:$E$10,4,FALSE))</f>
        <v>1</v>
      </c>
      <c r="N34" s="66"/>
      <c r="R34" s="6" t="str">
        <f>IF(T34="","",VLOOKUP(T34,Configuratie!$B$1:$E$10,2,FALSE))</f>
        <v>0-1</v>
      </c>
      <c r="T34" s="5">
        <v>0</v>
      </c>
      <c r="AT34" s="6">
        <v>5</v>
      </c>
      <c r="AU34" s="6">
        <v>4</v>
      </c>
      <c r="AV34" s="6">
        <v>6</v>
      </c>
      <c r="AW34" s="6">
        <f>IF(AND(ISNUMBER(J34),ISNUMBER(M34)),IF(J34+M34=1,1,0),"")</f>
        <v>1</v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3</v>
      </c>
      <c r="BB34" s="6">
        <f t="shared" si="35"/>
        <v>1.5</v>
      </c>
      <c r="BC34" s="6">
        <f>J34*BB34</f>
        <v>0</v>
      </c>
      <c r="BD34" s="6">
        <f>M34*BA34</f>
        <v>3</v>
      </c>
    </row>
    <row r="35" spans="2:56" x14ac:dyDescent="0.25">
      <c r="B35" s="6">
        <v>2</v>
      </c>
      <c r="C35" s="6" t="str">
        <f>VLOOKUP(AU35,$B$4:$F$9,2,FALSE)</f>
        <v>Fadi el Kasah</v>
      </c>
      <c r="D35" s="46" t="s">
        <v>5</v>
      </c>
      <c r="E35" s="66" t="str">
        <f>VLOOKUP(AV35,$B$4:$F$9,2,FALSE)</f>
        <v>Bart van Enckevort</v>
      </c>
      <c r="F35" s="66"/>
      <c r="G35" s="66"/>
      <c r="H35" s="66"/>
      <c r="J35" s="66">
        <f>IF(T35="","",VLOOKUP(T35,Configuratie!$B$1:$E$10,3,FALSE))</f>
        <v>0</v>
      </c>
      <c r="K35" s="66"/>
      <c r="L35" s="6" t="s">
        <v>5</v>
      </c>
      <c r="M35" s="66">
        <f>IF(T35="","",VLOOKUP(T35,Configuratie!$B$1:$E$10,4,FALSE))</f>
        <v>1</v>
      </c>
      <c r="N35" s="66"/>
      <c r="R35" s="6" t="str">
        <f>IF(T35="","",VLOOKUP(T35,Configuratie!$B$1:$E$10,2,FALSE))</f>
        <v>0-1</v>
      </c>
      <c r="T35" s="5">
        <v>0</v>
      </c>
      <c r="AT35" s="6">
        <v>5</v>
      </c>
      <c r="AU35" s="6">
        <v>5</v>
      </c>
      <c r="AV35" s="6">
        <v>3</v>
      </c>
      <c r="AW35" s="6">
        <f t="shared" ref="AW35:AW36" si="36">IF(AND(ISNUMBER(J35),ISNUMBER(M35)),IF(J35+M35=1,1,0),"")</f>
        <v>1</v>
      </c>
      <c r="AY35" s="48">
        <f>AU35*100+AV35</f>
        <v>503</v>
      </c>
      <c r="AZ35" s="48">
        <f>AV35*100+AU35</f>
        <v>305</v>
      </c>
      <c r="BA35" s="6">
        <f t="shared" si="35"/>
        <v>3.5</v>
      </c>
      <c r="BB35" s="6">
        <f t="shared" si="35"/>
        <v>2</v>
      </c>
      <c r="BC35" s="6">
        <f>J35*BB35</f>
        <v>0</v>
      </c>
      <c r="BD35" s="6">
        <f>M35*BA35</f>
        <v>3.5</v>
      </c>
    </row>
    <row r="36" spans="2:56" x14ac:dyDescent="0.25">
      <c r="B36" s="6">
        <v>3</v>
      </c>
      <c r="C36" s="6" t="str">
        <f>VLOOKUP(AU36,$B$4:$F$9,2,FALSE)</f>
        <v>Ivan Engelen</v>
      </c>
      <c r="D36" s="46" t="s">
        <v>5</v>
      </c>
      <c r="E36" s="66" t="str">
        <f>VLOOKUP(AV36,$B$4:$F$9,2,FALSE)</f>
        <v>Jian van de Pol</v>
      </c>
      <c r="F36" s="66"/>
      <c r="G36" s="66"/>
      <c r="H36" s="66"/>
      <c r="J36" s="66">
        <f>IF(T36="","",VLOOKUP(T36,Configuratie!$B$1:$E$10,3,FALSE))</f>
        <v>0</v>
      </c>
      <c r="K36" s="66"/>
      <c r="L36" s="6" t="s">
        <v>5</v>
      </c>
      <c r="M36" s="66">
        <f>IF(T36="","",VLOOKUP(T36,Configuratie!$B$1:$E$10,4,FALSE))</f>
        <v>1</v>
      </c>
      <c r="N36" s="66"/>
      <c r="R36" s="6" t="str">
        <f>IF(T36="","",VLOOKUP(T36,Configuratie!$B$1:$E$10,2,FALSE))</f>
        <v>0-1</v>
      </c>
      <c r="T36" s="5">
        <v>0</v>
      </c>
      <c r="AT36" s="6">
        <v>5</v>
      </c>
      <c r="AU36" s="6">
        <v>2</v>
      </c>
      <c r="AV36" s="6">
        <v>1</v>
      </c>
      <c r="AW36" s="6">
        <f t="shared" si="36"/>
        <v>1</v>
      </c>
      <c r="AY36" s="48">
        <f>AU36*100+AV36</f>
        <v>201</v>
      </c>
      <c r="AZ36" s="48">
        <f>AV36*100+AU36</f>
        <v>102</v>
      </c>
      <c r="BA36" s="6">
        <f t="shared" si="35"/>
        <v>1</v>
      </c>
      <c r="BB36" s="6">
        <f t="shared" si="35"/>
        <v>1</v>
      </c>
      <c r="BC36" s="6">
        <f>J36*BB36</f>
        <v>0</v>
      </c>
      <c r="BD36" s="6">
        <f>M36*BA36</f>
        <v>1</v>
      </c>
    </row>
    <row r="52" spans="13:14" x14ac:dyDescent="0.25">
      <c r="M52" s="66"/>
      <c r="N52" s="66"/>
    </row>
    <row r="53" spans="13:14" x14ac:dyDescent="0.25">
      <c r="M53" s="66"/>
      <c r="N53" s="66"/>
    </row>
    <row r="54" spans="13:14" x14ac:dyDescent="0.25">
      <c r="M54" s="66"/>
      <c r="N54" s="66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31" priority="4" stopIfTrue="1" operator="between">
      <formula>0</formula>
      <formula>1</formula>
    </cfRule>
  </conditionalFormatting>
  <conditionalFormatting sqref="T4:T9">
    <cfRule type="cellIs" dxfId="30" priority="1" operator="equal">
      <formula>3</formula>
    </cfRule>
    <cfRule type="cellIs" dxfId="29" priority="2" operator="equal">
      <formula>2</formula>
    </cfRule>
    <cfRule type="cellIs" dxfId="28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 fitToPage="1"/>
  </sheetPr>
  <dimension ref="A1:BT54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4" width="3.7109375" style="6" customWidth="1" collapsed="1"/>
    <col min="15" max="17" width="3.7109375" style="6" hidden="1" customWidth="1" collapsed="1"/>
    <col min="18" max="20" width="10.42578125" style="6" customWidth="1" collapsed="1"/>
    <col min="21" max="21" width="3.7109375" style="6" customWidth="1" collapsed="1"/>
    <col min="22" max="22" width="6.7109375" style="6" customWidth="1" collapsed="1"/>
    <col min="23" max="23" width="3" style="6" hidden="1" customWidth="1" collapsed="1"/>
    <col min="24" max="24" width="27.7109375" style="6" customWidth="1" collapsed="1"/>
    <col min="25" max="25" width="6.7109375" style="6" customWidth="1" collapsed="1"/>
    <col min="26" max="26" width="6.7109375" style="6" hidden="1" customWidth="1" collapsed="1"/>
    <col min="27" max="27" width="6.7109375" style="6" customWidth="1" collapsed="1"/>
    <col min="28" max="29" width="6.7109375" style="6" hidden="1" customWidth="1" collapsed="1"/>
    <col min="30" max="30" width="6.7109375" style="6" customWidth="1" collapsed="1"/>
    <col min="31" max="31" width="8.570312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6.7109375" style="6" hidden="1" customWidth="1" collapsed="1"/>
    <col min="35" max="35" width="8.5703125" style="6" hidden="1" customWidth="1" collapsed="1"/>
    <col min="36" max="37" width="6.7109375" style="6" hidden="1" customWidth="1" collapsed="1"/>
    <col min="38" max="38" width="8.5703125" style="6" hidden="1" customWidth="1" collapsed="1"/>
    <col min="39" max="46" width="6.7109375" style="6" hidden="1" customWidth="1" collapsed="1"/>
    <col min="47" max="50" width="9.140625" style="6" hidden="1" customWidth="1" collapsed="1"/>
    <col min="51" max="52" width="4.42578125" style="6" hidden="1" customWidth="1" collapsed="1"/>
    <col min="53" max="71" width="3.7109375" style="6" hidden="1" customWidth="1" collapsed="1"/>
    <col min="72" max="72" width="9.140625" style="6" hidden="1" customWidth="1" collapsed="1"/>
    <col min="73" max="74" width="9.140625" style="6" customWidth="1" collapsed="1"/>
    <col min="75" max="16384" width="9.140625" style="6" collapsed="1"/>
  </cols>
  <sheetData>
    <row r="1" spans="1:71" ht="26.25" x14ac:dyDescent="0.4">
      <c r="A1" s="24">
        <v>6</v>
      </c>
      <c r="B1" s="68" t="s">
        <v>29</v>
      </c>
      <c r="C1" s="68"/>
      <c r="D1" s="68"/>
      <c r="E1" s="68"/>
      <c r="F1" s="68"/>
      <c r="G1" s="71" t="s">
        <v>97</v>
      </c>
      <c r="H1" s="71"/>
      <c r="I1" s="66"/>
      <c r="J1" s="66"/>
      <c r="K1" s="66"/>
      <c r="L1" s="66"/>
      <c r="M1" s="66"/>
      <c r="N1" s="66"/>
      <c r="O1" s="66"/>
      <c r="P1" s="66"/>
      <c r="Q1" s="66"/>
      <c r="R1" s="66"/>
      <c r="S1" s="47"/>
      <c r="T1" s="47"/>
      <c r="U1" s="15"/>
      <c r="V1" s="69" t="str">
        <f>"UITSLAG "&amp; G1</f>
        <v>UITSLAG Groep G</v>
      </c>
      <c r="W1" s="70"/>
      <c r="X1" s="70"/>
      <c r="Y1" s="70"/>
      <c r="Z1" s="70"/>
      <c r="AA1" s="70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25</v>
      </c>
      <c r="AV2" s="16" t="s">
        <v>24</v>
      </c>
      <c r="AW2" s="16" t="s">
        <v>26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17"/>
      <c r="BJ2" s="18"/>
      <c r="BK2" s="70" t="s">
        <v>21</v>
      </c>
      <c r="BL2" s="70"/>
      <c r="BM2" s="70"/>
      <c r="BN2" s="70"/>
      <c r="BO2" s="70"/>
      <c r="BP2" s="70"/>
      <c r="BQ2" s="70"/>
      <c r="BR2" s="70"/>
      <c r="BS2" s="70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5"/>
      <c r="O3" s="76"/>
      <c r="P3" s="49"/>
      <c r="Q3" s="50"/>
      <c r="R3" s="7" t="s">
        <v>15</v>
      </c>
      <c r="S3" s="7" t="s">
        <v>24</v>
      </c>
      <c r="T3" s="7" t="s">
        <v>56</v>
      </c>
      <c r="U3" s="21"/>
      <c r="V3" s="7" t="s">
        <v>30</v>
      </c>
      <c r="W3" s="22" t="s">
        <v>28</v>
      </c>
      <c r="X3" s="7" t="s">
        <v>6</v>
      </c>
      <c r="Y3" s="7" t="s">
        <v>27</v>
      </c>
      <c r="Z3" s="7" t="s">
        <v>22</v>
      </c>
      <c r="AA3" s="7" t="s">
        <v>24</v>
      </c>
      <c r="AB3" s="7" t="s">
        <v>31</v>
      </c>
      <c r="AC3" s="7" t="s">
        <v>32</v>
      </c>
      <c r="AD3" s="13"/>
      <c r="AE3" s="7" t="s">
        <v>47</v>
      </c>
      <c r="AF3" s="7" t="s">
        <v>48</v>
      </c>
      <c r="AG3" s="7" t="s">
        <v>49</v>
      </c>
      <c r="AH3" s="7" t="s">
        <v>50</v>
      </c>
      <c r="AI3" s="7" t="s">
        <v>51</v>
      </c>
      <c r="AJ3" s="7" t="s">
        <v>52</v>
      </c>
      <c r="AK3" s="7"/>
      <c r="AL3" s="7" t="s">
        <v>53</v>
      </c>
      <c r="AM3" s="7" t="s">
        <v>54</v>
      </c>
      <c r="AN3" s="7" t="s">
        <v>55</v>
      </c>
      <c r="AO3" s="7" t="s">
        <v>56</v>
      </c>
      <c r="AP3" s="13"/>
      <c r="AQ3" s="13"/>
      <c r="AR3" s="13"/>
      <c r="AS3" s="21"/>
      <c r="AT3" s="7" t="s">
        <v>33</v>
      </c>
      <c r="AU3" s="23" t="s">
        <v>23</v>
      </c>
      <c r="AV3" s="16" t="s">
        <v>23</v>
      </c>
      <c r="AW3" s="16" t="s">
        <v>23</v>
      </c>
      <c r="AY3" s="6" t="s">
        <v>28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28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4</v>
      </c>
      <c r="B4" s="25">
        <v>1</v>
      </c>
      <c r="C4" s="25" t="s">
        <v>98</v>
      </c>
      <c r="D4" s="67">
        <v>8526507</v>
      </c>
      <c r="E4" s="67"/>
      <c r="F4" s="25">
        <v>622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>
        <f t="shared" si="0"/>
        <v>0.5</v>
      </c>
      <c r="J4" s="27">
        <f t="shared" si="0"/>
        <v>1</v>
      </c>
      <c r="K4" s="27">
        <f t="shared" si="0"/>
        <v>0.5</v>
      </c>
      <c r="L4" s="27">
        <f t="shared" si="0"/>
        <v>0</v>
      </c>
      <c r="M4" s="27">
        <f t="shared" si="0"/>
        <v>0</v>
      </c>
      <c r="N4" s="73"/>
      <c r="O4" s="74"/>
      <c r="P4" s="52"/>
      <c r="Q4" s="53"/>
      <c r="R4" s="8">
        <f t="shared" ref="R4:R9" si="1">SUM(H4:Q4)</f>
        <v>2</v>
      </c>
      <c r="S4" s="8">
        <f>IF(H4="",0,H4)*$R$4+IF(I4="",0,I4)*$R$5+IF(J4="",0,J4)*$R$6+IF(K4="",0,K4)*$R$7+IF(L4="",0,L4)*$R$8+IF(M4="",0,M4)*$R$9</f>
        <v>4</v>
      </c>
      <c r="T4" s="54">
        <f>AO4</f>
        <v>4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Noraly Luitjes *</v>
      </c>
      <c r="Y4" s="34">
        <f t="shared" ref="Y4:Y9" si="3">IF(ISNA(VLOOKUP(B4,$A$4:$S$11,18,FALSE)),0,VLOOKUP(B4,$A$4:$S$11,18,FALSE))</f>
        <v>4</v>
      </c>
      <c r="Z4" s="34">
        <f t="shared" ref="Z4:Z9" si="4">VLOOKUP($W4,$AT$4:$AW$9,2,FALSE)</f>
        <v>6.5</v>
      </c>
      <c r="AA4" s="55">
        <f t="shared" ref="AA4:AA9" si="5">IF(ISNA(VLOOKUP(B4,$A$4:$S$11,19,FALSE)),0,VLOOKUP(B4,$A$4:$S$11,19,FALSE))</f>
        <v>8.25</v>
      </c>
      <c r="AB4" s="34">
        <f t="shared" ref="AB4:AB9" si="6">VLOOKUP($W4,$AT$4:$AW$9,4,FALSE)</f>
        <v>21.5</v>
      </c>
      <c r="AC4" s="35">
        <f t="shared" ref="AC4:AC9" si="7">VLOOKUP($W4,$B$4:$R$9,5,FALSE)</f>
        <v>480</v>
      </c>
      <c r="AD4" s="56"/>
      <c r="AE4" s="7">
        <f>IF(R4=$R$4,IF(H4="",0,H4))+IF(R4=$R$5,IF(I4="",0,I4))+IF(R4=$R$6,IF(J4="",0,J4))+IF(R4=$R$7,IF(K4="",0,K4))+IF(R4=$R$8,IF(L4="",0,L4))+IF(R4=$R$9,IF(M4="",0,M4))</f>
        <v>1</v>
      </c>
      <c r="AF4" s="7">
        <f>$AE$11*R4+AE4</f>
        <v>7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7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7</v>
      </c>
      <c r="AK4" s="56"/>
      <c r="AL4" s="56">
        <f>RANK(AJ4,$AJ$4:$AJ$9,1)-1</f>
        <v>2</v>
      </c>
      <c r="AM4" s="56">
        <f>RANK(S4,$S$4:$S$9,1)-1</f>
        <v>1</v>
      </c>
      <c r="AN4" s="56">
        <f>6*AL4+AM4</f>
        <v>13</v>
      </c>
      <c r="AO4" s="56">
        <f>RANK(AN4,$AN$4:$AN$9)</f>
        <v>4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2</v>
      </c>
      <c r="AV4" s="39">
        <f t="shared" ref="AV4:AV9" si="9">SUMIF($AU$11:$AU$36,B4,$BC$11:$BC$36)+SUMIF($AV$11:$AV$36,B4,$BD$11:$BD$36)</f>
        <v>2.5</v>
      </c>
      <c r="AW4" s="39">
        <f>SUM(BK4:BS4)</f>
        <v>12</v>
      </c>
      <c r="AY4" s="6">
        <v>1</v>
      </c>
      <c r="AZ4" s="6">
        <f t="shared" ref="AZ4:BH9" si="10">SUMIFS($J$14:$J$36,$AU$14:$AU$36,$AY4,$AT$14:$AT$36,AZ$3)+SUMIFS($M$14:$M$36,$AV$14:$AV$36,$AY4,$AT$14:$AT$36,AZ$3)</f>
        <v>0</v>
      </c>
      <c r="BA4" s="6">
        <f t="shared" si="10"/>
        <v>0</v>
      </c>
      <c r="BB4" s="6">
        <f t="shared" si="10"/>
        <v>0.5</v>
      </c>
      <c r="BC4" s="6">
        <f t="shared" si="10"/>
        <v>1</v>
      </c>
      <c r="BD4" s="6">
        <f t="shared" si="10"/>
        <v>0.5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0.5</v>
      </c>
      <c r="BN4" s="6">
        <f t="shared" si="11"/>
        <v>1.5</v>
      </c>
      <c r="BO4" s="6">
        <f t="shared" si="11"/>
        <v>2</v>
      </c>
      <c r="BP4" s="6">
        <f t="shared" si="11"/>
        <v>2</v>
      </c>
      <c r="BQ4" s="6">
        <f t="shared" si="11"/>
        <v>2</v>
      </c>
      <c r="BR4" s="6">
        <f t="shared" si="11"/>
        <v>2</v>
      </c>
      <c r="BS4" s="6">
        <f t="shared" si="11"/>
        <v>2</v>
      </c>
    </row>
    <row r="5" spans="1:71" x14ac:dyDescent="0.25">
      <c r="A5" s="51">
        <f t="shared" ref="A5:A9" si="12">T5</f>
        <v>6</v>
      </c>
      <c r="B5" s="25">
        <v>2</v>
      </c>
      <c r="C5" s="25" t="s">
        <v>99</v>
      </c>
      <c r="D5" s="67">
        <v>8670772</v>
      </c>
      <c r="E5" s="67"/>
      <c r="F5" s="25">
        <v>600</v>
      </c>
      <c r="H5" s="27">
        <f t="shared" si="0"/>
        <v>0.5</v>
      </c>
      <c r="I5" s="26" t="str">
        <f t="shared" si="0"/>
        <v/>
      </c>
      <c r="J5" s="27">
        <f t="shared" si="0"/>
        <v>0</v>
      </c>
      <c r="K5" s="27">
        <f t="shared" si="0"/>
        <v>0</v>
      </c>
      <c r="L5" s="27">
        <f t="shared" si="0"/>
        <v>0</v>
      </c>
      <c r="M5" s="27">
        <f t="shared" si="0"/>
        <v>0</v>
      </c>
      <c r="N5" s="73"/>
      <c r="O5" s="74"/>
      <c r="P5" s="52"/>
      <c r="Q5" s="53"/>
      <c r="R5" s="8">
        <f t="shared" si="1"/>
        <v>0.5</v>
      </c>
      <c r="S5" s="8">
        <f t="shared" ref="S5:S9" si="13">IF(H5="",0,H5)*$R$4+IF(I5="",0,I5)*$R$5+IF(J5="",0,J5)*$R$6+IF(K5="",0,K5)*$R$7+IF(L5="",0,L5)*$R$8+IF(M5="",0,M5)*$R$9</f>
        <v>1</v>
      </c>
      <c r="T5" s="54">
        <f t="shared" ref="T5:T9" si="14">AO5</f>
        <v>6</v>
      </c>
      <c r="U5" s="30"/>
      <c r="V5" s="31">
        <v>2</v>
      </c>
      <c r="W5" s="32">
        <v>5</v>
      </c>
      <c r="X5" s="33" t="str">
        <f t="shared" si="2"/>
        <v>Reijn Aarts</v>
      </c>
      <c r="Y5" s="34">
        <f t="shared" si="3"/>
        <v>3.5</v>
      </c>
      <c r="Z5" s="34">
        <f t="shared" si="4"/>
        <v>9.5</v>
      </c>
      <c r="AA5" s="55">
        <f t="shared" si="5"/>
        <v>7</v>
      </c>
      <c r="AB5" s="34">
        <f t="shared" si="6"/>
        <v>29.5</v>
      </c>
      <c r="AC5" s="35">
        <f t="shared" si="7"/>
        <v>531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1.5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1.5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1.5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6</v>
      </c>
      <c r="AP5" s="56"/>
      <c r="AQ5" s="56"/>
      <c r="AR5" s="56"/>
      <c r="AS5" s="30"/>
      <c r="AT5" s="37">
        <v>2</v>
      </c>
      <c r="AU5" s="38">
        <f t="shared" si="8"/>
        <v>0</v>
      </c>
      <c r="AV5" s="39">
        <f t="shared" si="9"/>
        <v>0.75</v>
      </c>
      <c r="AW5" s="39">
        <f t="shared" ref="AW5:AW9" si="25">SUM(BK5:BS5)</f>
        <v>2.5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0.5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0.5</v>
      </c>
      <c r="BP5" s="6">
        <f t="shared" si="11"/>
        <v>0.5</v>
      </c>
      <c r="BQ5" s="6">
        <f t="shared" si="11"/>
        <v>0.5</v>
      </c>
      <c r="BR5" s="6">
        <f t="shared" si="11"/>
        <v>0.5</v>
      </c>
      <c r="BS5" s="6">
        <f t="shared" si="11"/>
        <v>0.5</v>
      </c>
    </row>
    <row r="6" spans="1:71" x14ac:dyDescent="0.25">
      <c r="A6" s="51">
        <f t="shared" si="12"/>
        <v>5</v>
      </c>
      <c r="B6" s="25">
        <v>3</v>
      </c>
      <c r="C6" s="25" t="s">
        <v>100</v>
      </c>
      <c r="D6" s="67">
        <v>8524087</v>
      </c>
      <c r="E6" s="67"/>
      <c r="F6" s="25">
        <v>577</v>
      </c>
      <c r="H6" s="27">
        <f t="shared" si="0"/>
        <v>0</v>
      </c>
      <c r="I6" s="27">
        <f t="shared" si="0"/>
        <v>1</v>
      </c>
      <c r="J6" s="26" t="str">
        <f t="shared" si="0"/>
        <v/>
      </c>
      <c r="K6" s="27">
        <f t="shared" si="0"/>
        <v>0</v>
      </c>
      <c r="L6" s="27">
        <f t="shared" si="0"/>
        <v>0.5</v>
      </c>
      <c r="M6" s="27">
        <f t="shared" si="0"/>
        <v>0.5</v>
      </c>
      <c r="N6" s="73"/>
      <c r="O6" s="74"/>
      <c r="P6" s="52"/>
      <c r="Q6" s="53"/>
      <c r="R6" s="8">
        <f t="shared" si="1"/>
        <v>2</v>
      </c>
      <c r="S6" s="8">
        <f t="shared" si="13"/>
        <v>4</v>
      </c>
      <c r="T6" s="54">
        <f t="shared" si="14"/>
        <v>5</v>
      </c>
      <c r="U6" s="30"/>
      <c r="V6" s="31">
        <v>3</v>
      </c>
      <c r="W6" s="32">
        <v>4</v>
      </c>
      <c r="X6" s="33" t="str">
        <f t="shared" si="2"/>
        <v>Mees van Essen</v>
      </c>
      <c r="Y6" s="34">
        <f t="shared" si="3"/>
        <v>3</v>
      </c>
      <c r="Z6" s="34">
        <f t="shared" si="4"/>
        <v>8.5</v>
      </c>
      <c r="AA6" s="55">
        <f t="shared" si="5"/>
        <v>5.25</v>
      </c>
      <c r="AB6" s="34">
        <f t="shared" si="6"/>
        <v>26</v>
      </c>
      <c r="AC6" s="35">
        <f t="shared" si="7"/>
        <v>533</v>
      </c>
      <c r="AD6" s="56"/>
      <c r="AE6" s="7">
        <f t="shared" si="15"/>
        <v>0</v>
      </c>
      <c r="AF6" s="7">
        <f t="shared" si="16"/>
        <v>6</v>
      </c>
      <c r="AG6" s="7">
        <f t="shared" si="17"/>
        <v>0</v>
      </c>
      <c r="AH6" s="7">
        <f t="shared" si="18"/>
        <v>6</v>
      </c>
      <c r="AI6" s="7">
        <f t="shared" si="19"/>
        <v>0</v>
      </c>
      <c r="AJ6" s="7">
        <f t="shared" si="20"/>
        <v>6</v>
      </c>
      <c r="AK6" s="56"/>
      <c r="AL6" s="56">
        <f t="shared" si="21"/>
        <v>1</v>
      </c>
      <c r="AM6" s="56">
        <f t="shared" si="22"/>
        <v>1</v>
      </c>
      <c r="AN6" s="56">
        <f t="shared" si="23"/>
        <v>7</v>
      </c>
      <c r="AO6" s="56">
        <f t="shared" si="24"/>
        <v>5</v>
      </c>
      <c r="AP6" s="56"/>
      <c r="AQ6" s="56"/>
      <c r="AR6" s="56"/>
      <c r="AS6" s="30"/>
      <c r="AT6" s="37">
        <v>3</v>
      </c>
      <c r="AU6" s="38">
        <f t="shared" si="8"/>
        <v>3.5</v>
      </c>
      <c r="AV6" s="39">
        <f t="shared" si="9"/>
        <v>2.25</v>
      </c>
      <c r="AW6" s="39">
        <f t="shared" si="25"/>
        <v>13.5</v>
      </c>
      <c r="AY6" s="6">
        <v>3</v>
      </c>
      <c r="AZ6" s="6">
        <f t="shared" si="10"/>
        <v>0</v>
      </c>
      <c r="BA6" s="6">
        <f t="shared" si="10"/>
        <v>0.5</v>
      </c>
      <c r="BB6" s="6">
        <f t="shared" si="10"/>
        <v>1</v>
      </c>
      <c r="BC6" s="6">
        <f t="shared" si="10"/>
        <v>0</v>
      </c>
      <c r="BD6" s="6">
        <f t="shared" si="10"/>
        <v>0.5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0.5</v>
      </c>
      <c r="BM6" s="6">
        <f t="shared" si="11"/>
        <v>1.5</v>
      </c>
      <c r="BN6" s="6">
        <f t="shared" si="11"/>
        <v>1.5</v>
      </c>
      <c r="BO6" s="6">
        <f t="shared" si="11"/>
        <v>2</v>
      </c>
      <c r="BP6" s="6">
        <f t="shared" si="11"/>
        <v>2</v>
      </c>
      <c r="BQ6" s="6">
        <f t="shared" si="11"/>
        <v>2</v>
      </c>
      <c r="BR6" s="6">
        <f t="shared" si="11"/>
        <v>2</v>
      </c>
      <c r="BS6" s="6">
        <f t="shared" si="11"/>
        <v>2</v>
      </c>
    </row>
    <row r="7" spans="1:71" x14ac:dyDescent="0.25">
      <c r="A7" s="51">
        <f t="shared" si="12"/>
        <v>2</v>
      </c>
      <c r="B7" s="25">
        <v>4</v>
      </c>
      <c r="C7" s="25" t="s">
        <v>101</v>
      </c>
      <c r="D7" s="67">
        <v>8669551</v>
      </c>
      <c r="E7" s="67"/>
      <c r="F7" s="25">
        <v>533</v>
      </c>
      <c r="H7" s="27">
        <f t="shared" si="0"/>
        <v>0.5</v>
      </c>
      <c r="I7" s="27">
        <f t="shared" si="0"/>
        <v>1</v>
      </c>
      <c r="J7" s="27">
        <f t="shared" si="0"/>
        <v>1</v>
      </c>
      <c r="K7" s="26" t="str">
        <f t="shared" si="0"/>
        <v/>
      </c>
      <c r="L7" s="27">
        <f t="shared" si="0"/>
        <v>0.5</v>
      </c>
      <c r="M7" s="27">
        <f t="shared" si="0"/>
        <v>0.5</v>
      </c>
      <c r="N7" s="73"/>
      <c r="O7" s="74"/>
      <c r="P7" s="52"/>
      <c r="Q7" s="53"/>
      <c r="R7" s="8">
        <f t="shared" si="1"/>
        <v>3.5</v>
      </c>
      <c r="S7" s="8">
        <f t="shared" si="13"/>
        <v>7</v>
      </c>
      <c r="T7" s="54">
        <f t="shared" si="14"/>
        <v>2</v>
      </c>
      <c r="U7" s="30"/>
      <c r="V7" s="31">
        <v>4</v>
      </c>
      <c r="W7" s="32">
        <v>3</v>
      </c>
      <c r="X7" s="33" t="str">
        <f t="shared" si="2"/>
        <v>Rutger van den Berg</v>
      </c>
      <c r="Y7" s="34">
        <f t="shared" si="3"/>
        <v>2</v>
      </c>
      <c r="Z7" s="34">
        <f t="shared" si="4"/>
        <v>3.5</v>
      </c>
      <c r="AA7" s="55">
        <f t="shared" si="5"/>
        <v>4</v>
      </c>
      <c r="AB7" s="34">
        <f t="shared" si="6"/>
        <v>13.5</v>
      </c>
      <c r="AC7" s="35">
        <f t="shared" si="7"/>
        <v>577</v>
      </c>
      <c r="AD7" s="56"/>
      <c r="AE7" s="7">
        <f t="shared" si="15"/>
        <v>0</v>
      </c>
      <c r="AF7" s="7">
        <f t="shared" si="16"/>
        <v>10.5</v>
      </c>
      <c r="AG7" s="7">
        <f t="shared" si="17"/>
        <v>0</v>
      </c>
      <c r="AH7" s="7">
        <f t="shared" si="18"/>
        <v>10.5</v>
      </c>
      <c r="AI7" s="7">
        <f t="shared" si="19"/>
        <v>0</v>
      </c>
      <c r="AJ7" s="7">
        <f t="shared" si="20"/>
        <v>10.5</v>
      </c>
      <c r="AK7" s="56"/>
      <c r="AL7" s="56">
        <f t="shared" si="21"/>
        <v>4</v>
      </c>
      <c r="AM7" s="56">
        <f t="shared" si="22"/>
        <v>4</v>
      </c>
      <c r="AN7" s="56">
        <f t="shared" si="23"/>
        <v>28</v>
      </c>
      <c r="AO7" s="56">
        <f t="shared" si="24"/>
        <v>2</v>
      </c>
      <c r="AP7" s="56"/>
      <c r="AQ7" s="56"/>
      <c r="AR7" s="56"/>
      <c r="AS7" s="30"/>
      <c r="AT7" s="37">
        <v>4</v>
      </c>
      <c r="AU7" s="38">
        <f t="shared" si="8"/>
        <v>8.5</v>
      </c>
      <c r="AV7" s="39">
        <f t="shared" si="9"/>
        <v>2.75</v>
      </c>
      <c r="AW7" s="39">
        <f t="shared" si="25"/>
        <v>26</v>
      </c>
      <c r="AY7" s="6">
        <v>4</v>
      </c>
      <c r="AZ7" s="6">
        <f t="shared" si="10"/>
        <v>1</v>
      </c>
      <c r="BA7" s="6">
        <f t="shared" si="10"/>
        <v>1</v>
      </c>
      <c r="BB7" s="6">
        <f t="shared" si="10"/>
        <v>0.5</v>
      </c>
      <c r="BC7" s="6">
        <f t="shared" si="10"/>
        <v>0.5</v>
      </c>
      <c r="BD7" s="6">
        <f t="shared" si="10"/>
        <v>0.5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1</v>
      </c>
      <c r="BL7" s="6">
        <f t="shared" si="11"/>
        <v>2</v>
      </c>
      <c r="BM7" s="6">
        <f t="shared" si="11"/>
        <v>2.5</v>
      </c>
      <c r="BN7" s="6">
        <f t="shared" si="11"/>
        <v>3</v>
      </c>
      <c r="BO7" s="6">
        <f t="shared" si="11"/>
        <v>3.5</v>
      </c>
      <c r="BP7" s="6">
        <f t="shared" si="11"/>
        <v>3.5</v>
      </c>
      <c r="BQ7" s="6">
        <f t="shared" si="11"/>
        <v>3.5</v>
      </c>
      <c r="BR7" s="6">
        <f t="shared" si="11"/>
        <v>3.5</v>
      </c>
      <c r="BS7" s="6">
        <f t="shared" si="11"/>
        <v>3.5</v>
      </c>
    </row>
    <row r="8" spans="1:71" x14ac:dyDescent="0.25">
      <c r="A8" s="51">
        <f t="shared" si="12"/>
        <v>1</v>
      </c>
      <c r="B8" s="25">
        <v>5</v>
      </c>
      <c r="C8" s="25" t="s">
        <v>102</v>
      </c>
      <c r="D8" s="67">
        <v>8486654</v>
      </c>
      <c r="E8" s="67"/>
      <c r="F8" s="25">
        <v>531</v>
      </c>
      <c r="H8" s="27">
        <f t="shared" si="0"/>
        <v>1</v>
      </c>
      <c r="I8" s="27">
        <f t="shared" si="0"/>
        <v>1</v>
      </c>
      <c r="J8" s="27">
        <f t="shared" si="0"/>
        <v>0.5</v>
      </c>
      <c r="K8" s="27">
        <f t="shared" si="0"/>
        <v>0.5</v>
      </c>
      <c r="L8" s="26" t="str">
        <f t="shared" si="0"/>
        <v/>
      </c>
      <c r="M8" s="27">
        <f t="shared" si="0"/>
        <v>1</v>
      </c>
      <c r="N8" s="73"/>
      <c r="O8" s="74"/>
      <c r="P8" s="52"/>
      <c r="Q8" s="53"/>
      <c r="R8" s="8">
        <f t="shared" si="1"/>
        <v>4</v>
      </c>
      <c r="S8" s="8">
        <f t="shared" si="13"/>
        <v>8.25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Maikel Simon</v>
      </c>
      <c r="Y8" s="34">
        <f t="shared" si="3"/>
        <v>2</v>
      </c>
      <c r="Z8" s="34">
        <f t="shared" si="4"/>
        <v>0</v>
      </c>
      <c r="AA8" s="55">
        <f t="shared" si="5"/>
        <v>4</v>
      </c>
      <c r="AB8" s="34">
        <f t="shared" si="6"/>
        <v>2.5</v>
      </c>
      <c r="AC8" s="35">
        <f t="shared" si="7"/>
        <v>600</v>
      </c>
      <c r="AD8" s="56"/>
      <c r="AE8" s="7">
        <f t="shared" si="15"/>
        <v>0</v>
      </c>
      <c r="AF8" s="7">
        <f t="shared" si="16"/>
        <v>12</v>
      </c>
      <c r="AG8" s="7">
        <f t="shared" si="17"/>
        <v>0</v>
      </c>
      <c r="AH8" s="7">
        <f t="shared" si="18"/>
        <v>12</v>
      </c>
      <c r="AI8" s="7">
        <f t="shared" si="19"/>
        <v>0</v>
      </c>
      <c r="AJ8" s="7">
        <f t="shared" si="20"/>
        <v>12</v>
      </c>
      <c r="AK8" s="56"/>
      <c r="AL8" s="56">
        <f t="shared" si="21"/>
        <v>5</v>
      </c>
      <c r="AM8" s="56">
        <f t="shared" si="22"/>
        <v>5</v>
      </c>
      <c r="AN8" s="56">
        <f t="shared" si="23"/>
        <v>35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9.5</v>
      </c>
      <c r="AV8" s="39">
        <f t="shared" si="9"/>
        <v>3.5</v>
      </c>
      <c r="AW8" s="39">
        <f t="shared" si="25"/>
        <v>29.5</v>
      </c>
      <c r="AY8" s="6">
        <v>5</v>
      </c>
      <c r="AZ8" s="6">
        <f t="shared" si="10"/>
        <v>1</v>
      </c>
      <c r="BA8" s="6">
        <f t="shared" si="10"/>
        <v>1</v>
      </c>
      <c r="BB8" s="6">
        <f t="shared" si="10"/>
        <v>1</v>
      </c>
      <c r="BC8" s="6">
        <f t="shared" si="10"/>
        <v>0.5</v>
      </c>
      <c r="BD8" s="6">
        <f t="shared" si="10"/>
        <v>0.5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1</v>
      </c>
      <c r="BL8" s="6">
        <f t="shared" si="11"/>
        <v>2</v>
      </c>
      <c r="BM8" s="6">
        <f t="shared" si="11"/>
        <v>3</v>
      </c>
      <c r="BN8" s="6">
        <f t="shared" si="11"/>
        <v>3.5</v>
      </c>
      <c r="BO8" s="6">
        <f t="shared" si="11"/>
        <v>4</v>
      </c>
      <c r="BP8" s="6">
        <f t="shared" si="11"/>
        <v>4</v>
      </c>
      <c r="BQ8" s="6">
        <f t="shared" si="11"/>
        <v>4</v>
      </c>
      <c r="BR8" s="6">
        <f t="shared" si="11"/>
        <v>4</v>
      </c>
      <c r="BS8" s="6">
        <f t="shared" si="11"/>
        <v>4</v>
      </c>
    </row>
    <row r="9" spans="1:71" x14ac:dyDescent="0.25">
      <c r="A9" s="51">
        <f t="shared" si="12"/>
        <v>3</v>
      </c>
      <c r="B9" s="25">
        <v>6</v>
      </c>
      <c r="C9" s="25" t="s">
        <v>103</v>
      </c>
      <c r="D9" s="67">
        <v>8672312</v>
      </c>
      <c r="E9" s="67"/>
      <c r="F9" s="25">
        <v>480</v>
      </c>
      <c r="H9" s="27">
        <f t="shared" si="0"/>
        <v>1</v>
      </c>
      <c r="I9" s="27">
        <f t="shared" si="0"/>
        <v>1</v>
      </c>
      <c r="J9" s="27">
        <f t="shared" si="0"/>
        <v>0.5</v>
      </c>
      <c r="K9" s="27">
        <f t="shared" si="0"/>
        <v>0.5</v>
      </c>
      <c r="L9" s="27">
        <f t="shared" si="0"/>
        <v>0</v>
      </c>
      <c r="M9" s="26" t="str">
        <f t="shared" si="0"/>
        <v/>
      </c>
      <c r="N9" s="73"/>
      <c r="O9" s="74"/>
      <c r="P9" s="52"/>
      <c r="Q9" s="53"/>
      <c r="R9" s="8">
        <f t="shared" si="1"/>
        <v>3</v>
      </c>
      <c r="S9" s="8">
        <f t="shared" si="13"/>
        <v>5.25</v>
      </c>
      <c r="T9" s="54">
        <f t="shared" si="14"/>
        <v>3</v>
      </c>
      <c r="U9" s="30"/>
      <c r="V9" s="31">
        <v>6</v>
      </c>
      <c r="W9" s="32">
        <v>1</v>
      </c>
      <c r="X9" s="33" t="str">
        <f t="shared" si="2"/>
        <v>Vigo Stam</v>
      </c>
      <c r="Y9" s="34">
        <f t="shared" si="3"/>
        <v>0.5</v>
      </c>
      <c r="Z9" s="34">
        <f t="shared" si="4"/>
        <v>2</v>
      </c>
      <c r="AA9" s="55">
        <f t="shared" si="5"/>
        <v>1</v>
      </c>
      <c r="AB9" s="34">
        <f t="shared" si="6"/>
        <v>12</v>
      </c>
      <c r="AC9" s="35">
        <f t="shared" si="7"/>
        <v>622</v>
      </c>
      <c r="AD9" s="56"/>
      <c r="AE9" s="7">
        <f t="shared" si="15"/>
        <v>0</v>
      </c>
      <c r="AF9" s="7">
        <f t="shared" si="16"/>
        <v>9</v>
      </c>
      <c r="AG9" s="7">
        <f t="shared" si="17"/>
        <v>0</v>
      </c>
      <c r="AH9" s="7">
        <f t="shared" si="18"/>
        <v>9</v>
      </c>
      <c r="AI9" s="7">
        <f t="shared" si="19"/>
        <v>0</v>
      </c>
      <c r="AJ9" s="7">
        <f t="shared" si="20"/>
        <v>9</v>
      </c>
      <c r="AK9" s="56"/>
      <c r="AL9" s="56">
        <f t="shared" si="21"/>
        <v>3</v>
      </c>
      <c r="AM9" s="56">
        <f t="shared" si="22"/>
        <v>3</v>
      </c>
      <c r="AN9" s="56">
        <f t="shared" si="23"/>
        <v>21</v>
      </c>
      <c r="AO9" s="56">
        <f t="shared" si="24"/>
        <v>3</v>
      </c>
      <c r="AP9" s="56"/>
      <c r="AQ9" s="56"/>
      <c r="AR9" s="56"/>
      <c r="AS9" s="30"/>
      <c r="AT9" s="37">
        <v>6</v>
      </c>
      <c r="AU9" s="38">
        <f t="shared" si="8"/>
        <v>6.5</v>
      </c>
      <c r="AV9" s="39">
        <f t="shared" si="9"/>
        <v>1.5</v>
      </c>
      <c r="AW9" s="39">
        <f t="shared" si="25"/>
        <v>21.5</v>
      </c>
      <c r="AY9" s="6">
        <v>6</v>
      </c>
      <c r="AZ9" s="6">
        <f t="shared" si="10"/>
        <v>1</v>
      </c>
      <c r="BA9" s="6">
        <f t="shared" si="10"/>
        <v>0.5</v>
      </c>
      <c r="BB9" s="6">
        <f t="shared" si="10"/>
        <v>0</v>
      </c>
      <c r="BC9" s="6">
        <f t="shared" si="10"/>
        <v>1</v>
      </c>
      <c r="BD9" s="6">
        <f t="shared" si="10"/>
        <v>0.5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1</v>
      </c>
      <c r="BL9" s="6">
        <f t="shared" si="11"/>
        <v>1.5</v>
      </c>
      <c r="BM9" s="6">
        <f t="shared" si="11"/>
        <v>1.5</v>
      </c>
      <c r="BN9" s="6">
        <f t="shared" si="11"/>
        <v>2.5</v>
      </c>
      <c r="BO9" s="6">
        <f t="shared" si="11"/>
        <v>3</v>
      </c>
      <c r="BP9" s="6">
        <f t="shared" si="11"/>
        <v>3</v>
      </c>
      <c r="BQ9" s="6">
        <f t="shared" si="11"/>
        <v>3</v>
      </c>
      <c r="BR9" s="6">
        <f t="shared" si="11"/>
        <v>3</v>
      </c>
      <c r="BS9" s="6">
        <f t="shared" si="11"/>
        <v>3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3</v>
      </c>
      <c r="AG11" s="57">
        <f>2*MAX(AG4:AG9)+1</f>
        <v>1</v>
      </c>
      <c r="AI11" s="57">
        <f>2*MAX(AI4:AI9)+1</f>
        <v>1</v>
      </c>
      <c r="AT11" s="41" t="s">
        <v>36</v>
      </c>
      <c r="AU11" s="41" t="s">
        <v>0</v>
      </c>
      <c r="AV11" s="41" t="s">
        <v>1</v>
      </c>
      <c r="AW11" s="41" t="s">
        <v>2</v>
      </c>
      <c r="AY11" s="42" t="s">
        <v>34</v>
      </c>
      <c r="AZ11" s="42" t="s">
        <v>35</v>
      </c>
      <c r="BA11" s="6" t="s">
        <v>16</v>
      </c>
      <c r="BB11" s="6" t="s">
        <v>17</v>
      </c>
      <c r="BC11" s="6" t="s">
        <v>18</v>
      </c>
      <c r="BD11" s="6" t="s">
        <v>19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Mees van Essen</v>
      </c>
      <c r="D14" s="46" t="s">
        <v>5</v>
      </c>
      <c r="E14" s="66" t="str">
        <f>VLOOKUP(AV14,$B$4:$F$9,2,FALSE)</f>
        <v>Rutger van den Berg</v>
      </c>
      <c r="F14" s="66"/>
      <c r="G14" s="66"/>
      <c r="H14" s="66"/>
      <c r="J14" s="66">
        <f>IF(T14="","",VLOOKUP(T14,Configuratie!$B$1:$E$10,3,FALSE))</f>
        <v>1</v>
      </c>
      <c r="K14" s="66"/>
      <c r="L14" s="6" t="s">
        <v>5</v>
      </c>
      <c r="M14" s="66">
        <f>IF(T14="","",VLOOKUP(T14,Configuratie!$B$1:$E$10,4,FALSE))</f>
        <v>0</v>
      </c>
      <c r="N14" s="66"/>
      <c r="R14" s="6" t="str">
        <f>IF(T14="","",VLOOKUP(T14,Configuratie!$B$1:$E$10,2,FALSE))</f>
        <v>1-0</v>
      </c>
      <c r="T14" s="5">
        <v>1</v>
      </c>
      <c r="AI14" s="7"/>
      <c r="AT14" s="6">
        <v>1</v>
      </c>
      <c r="AU14" s="6">
        <v>6</v>
      </c>
      <c r="AV14" s="6">
        <v>1</v>
      </c>
      <c r="AW14" s="6">
        <f>IF(AND(ISNUMBER(J14),ISNUMBER(M14)),IF(J14+M14=1,1,0),"")</f>
        <v>1</v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>
        <f>J14*BB14</f>
        <v>0</v>
      </c>
      <c r="BD14" s="6">
        <f>M14*BA14</f>
        <v>0</v>
      </c>
    </row>
    <row r="15" spans="1:71" x14ac:dyDescent="0.25">
      <c r="B15" s="6">
        <v>2</v>
      </c>
      <c r="C15" s="6" t="str">
        <f>VLOOKUP(AU15,$B$4:$F$9,2,FALSE)</f>
        <v>Noraly Luitjes *</v>
      </c>
      <c r="D15" s="46" t="s">
        <v>5</v>
      </c>
      <c r="E15" s="66" t="str">
        <f>VLOOKUP(AV15,$B$4:$F$9,2,FALSE)</f>
        <v>Vigo Stam</v>
      </c>
      <c r="F15" s="66"/>
      <c r="G15" s="66"/>
      <c r="H15" s="66"/>
      <c r="J15" s="66">
        <f>IF(T15="","",VLOOKUP(T15,Configuratie!$B$1:$E$10,3,FALSE))</f>
        <v>1</v>
      </c>
      <c r="K15" s="66"/>
      <c r="L15" s="6" t="s">
        <v>5</v>
      </c>
      <c r="M15" s="66">
        <f>IF(T15="","",VLOOKUP(T15,Configuratie!$B$1:$E$10,4,FALSE))</f>
        <v>0</v>
      </c>
      <c r="N15" s="66"/>
      <c r="R15" s="6" t="str">
        <f>IF(T15="","",VLOOKUP(T15,Configuratie!$B$1:$E$10,2,FALSE))</f>
        <v>1-0</v>
      </c>
      <c r="T15" s="5">
        <v>1</v>
      </c>
      <c r="AI15" s="56"/>
      <c r="AT15" s="6">
        <v>1</v>
      </c>
      <c r="AU15" s="6">
        <v>5</v>
      </c>
      <c r="AV15" s="6">
        <v>2</v>
      </c>
      <c r="AW15" s="6">
        <f t="shared" ref="AW15:AW16" si="28">IF(AND(ISNUMBER(J15),ISNUMBER(M15)),IF(J15+M15=1,1,0),"")</f>
        <v>1</v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>
        <f>J15*BB15</f>
        <v>0</v>
      </c>
      <c r="BD15" s="6">
        <f>M15*BA15</f>
        <v>0</v>
      </c>
    </row>
    <row r="16" spans="1:71" x14ac:dyDescent="0.25">
      <c r="B16" s="6">
        <v>3</v>
      </c>
      <c r="C16" s="6" t="str">
        <f>VLOOKUP(AU16,$B$4:$F$9,2,FALSE)</f>
        <v>Reijn Aarts</v>
      </c>
      <c r="D16" s="46" t="s">
        <v>5</v>
      </c>
      <c r="E16" s="66" t="str">
        <f>VLOOKUP(AV16,$B$4:$F$9,2,FALSE)</f>
        <v>Maikel Simon</v>
      </c>
      <c r="F16" s="66"/>
      <c r="G16" s="66"/>
      <c r="H16" s="66"/>
      <c r="J16" s="66">
        <f>IF(T16="","",VLOOKUP(T16,Configuratie!$B$1:$E$10,3,FALSE))</f>
        <v>1</v>
      </c>
      <c r="K16" s="66"/>
      <c r="L16" s="6" t="s">
        <v>5</v>
      </c>
      <c r="M16" s="66">
        <f>IF(T16="","",VLOOKUP(T16,Configuratie!$B$1:$E$10,4,FALSE))</f>
        <v>0</v>
      </c>
      <c r="N16" s="66"/>
      <c r="R16" s="6" t="str">
        <f>IF(T16="","",VLOOKUP(T16,Configuratie!$B$1:$E$10,2,FALSE))</f>
        <v>1-0</v>
      </c>
      <c r="T16" s="5">
        <v>1</v>
      </c>
      <c r="AI16" s="56"/>
      <c r="AT16" s="6">
        <v>1</v>
      </c>
      <c r="AU16" s="6">
        <v>4</v>
      </c>
      <c r="AV16" s="6">
        <v>3</v>
      </c>
      <c r="AW16" s="6">
        <f t="shared" si="28"/>
        <v>1</v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>
        <f>J16*BB16</f>
        <v>0</v>
      </c>
      <c r="BD16" s="6">
        <f>M16*BA16</f>
        <v>0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Mees van Essen</v>
      </c>
      <c r="D19" s="46" t="s">
        <v>5</v>
      </c>
      <c r="E19" s="66" t="str">
        <f>VLOOKUP(AV19,$B$4:$F$9,2,FALSE)</f>
        <v>Maikel Simon</v>
      </c>
      <c r="F19" s="66"/>
      <c r="G19" s="66"/>
      <c r="H19" s="66"/>
      <c r="J19" s="66">
        <f>IF(T19="","",VLOOKUP(T19,Configuratie!$B$1:$E$10,3,FALSE))</f>
        <v>0.5</v>
      </c>
      <c r="K19" s="66"/>
      <c r="L19" s="6" t="s">
        <v>5</v>
      </c>
      <c r="M19" s="66">
        <f>IF(T19="","",VLOOKUP(T19,Configuratie!$B$1:$E$10,4,FALSE))</f>
        <v>0.5</v>
      </c>
      <c r="N19" s="66"/>
      <c r="R19" s="6" t="str">
        <f>IF(T19="","",VLOOKUP(T19,Configuratie!$B$1:$E$10,2,FALSE))</f>
        <v>½-½</v>
      </c>
      <c r="T19" s="5">
        <v>2</v>
      </c>
      <c r="AI19" s="56"/>
      <c r="AT19" s="6">
        <v>2</v>
      </c>
      <c r="AU19" s="6">
        <v>6</v>
      </c>
      <c r="AV19" s="6">
        <v>3</v>
      </c>
      <c r="AW19" s="6">
        <f>IF(AND(ISNUMBER(J19),ISNUMBER(M19)),IF(J19+M19=1,1,0),"")</f>
        <v>1</v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1</v>
      </c>
      <c r="BB19" s="6">
        <f t="shared" si="29"/>
        <v>0</v>
      </c>
      <c r="BC19" s="6">
        <f>J19*BB19</f>
        <v>0</v>
      </c>
      <c r="BD19" s="6">
        <f>M19*BA19</f>
        <v>0.5</v>
      </c>
    </row>
    <row r="20" spans="2:56" x14ac:dyDescent="0.25">
      <c r="B20" s="6">
        <v>2</v>
      </c>
      <c r="C20" s="6" t="str">
        <f>VLOOKUP(AU20,$B$4:$F$9,2,FALSE)</f>
        <v>Vigo Stam</v>
      </c>
      <c r="D20" s="46" t="s">
        <v>5</v>
      </c>
      <c r="E20" s="66" t="str">
        <f>VLOOKUP(AV20,$B$4:$F$9,2,FALSE)</f>
        <v>Reijn Aarts</v>
      </c>
      <c r="F20" s="66"/>
      <c r="G20" s="66"/>
      <c r="H20" s="66"/>
      <c r="J20" s="66">
        <f>IF(T20="","",VLOOKUP(T20,Configuratie!$B$1:$E$10,3,FALSE))</f>
        <v>0</v>
      </c>
      <c r="K20" s="66"/>
      <c r="L20" s="6" t="s">
        <v>5</v>
      </c>
      <c r="M20" s="66">
        <f>IF(T20="","",VLOOKUP(T20,Configuratie!$B$1:$E$10,4,FALSE))</f>
        <v>1</v>
      </c>
      <c r="N20" s="66"/>
      <c r="R20" s="6" t="str">
        <f>IF(T20="","",VLOOKUP(T20,Configuratie!$B$1:$E$10,2,FALSE))</f>
        <v>0-1</v>
      </c>
      <c r="T20" s="5">
        <v>0</v>
      </c>
      <c r="AT20" s="6">
        <v>2</v>
      </c>
      <c r="AU20" s="6">
        <v>2</v>
      </c>
      <c r="AV20" s="6">
        <v>4</v>
      </c>
      <c r="AW20" s="6">
        <f t="shared" ref="AW20:AW21" si="30">IF(AND(ISNUMBER(J20),ISNUMBER(M20)),IF(J20+M20=1,1,0),"")</f>
        <v>1</v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1</v>
      </c>
      <c r="BC20" s="6">
        <f>J20*BB20</f>
        <v>0</v>
      </c>
      <c r="BD20" s="6">
        <f>M20*BA20</f>
        <v>0</v>
      </c>
    </row>
    <row r="21" spans="2:56" x14ac:dyDescent="0.25">
      <c r="B21" s="6">
        <v>3</v>
      </c>
      <c r="C21" s="6" t="str">
        <f>VLOOKUP(AU21,$B$4:$F$9,2,FALSE)</f>
        <v>Rutger van den Berg</v>
      </c>
      <c r="D21" s="46" t="s">
        <v>5</v>
      </c>
      <c r="E21" s="66" t="str">
        <f>VLOOKUP(AV21,$B$4:$F$9,2,FALSE)</f>
        <v>Noraly Luitjes *</v>
      </c>
      <c r="F21" s="66"/>
      <c r="G21" s="66"/>
      <c r="H21" s="66"/>
      <c r="J21" s="66">
        <f>IF(T21="","",VLOOKUP(T21,Configuratie!$B$1:$E$10,3,FALSE))</f>
        <v>0</v>
      </c>
      <c r="K21" s="66"/>
      <c r="L21" s="6" t="s">
        <v>5</v>
      </c>
      <c r="M21" s="66">
        <f>IF(T21="","",VLOOKUP(T21,Configuratie!$B$1:$E$10,4,FALSE))</f>
        <v>1</v>
      </c>
      <c r="N21" s="66"/>
      <c r="R21" s="6" t="str">
        <f>IF(T21="","",VLOOKUP(T21,Configuratie!$B$1:$E$10,2,FALSE))</f>
        <v>0-1</v>
      </c>
      <c r="T21" s="5">
        <v>0</v>
      </c>
      <c r="AT21" s="6">
        <v>2</v>
      </c>
      <c r="AU21" s="6">
        <v>1</v>
      </c>
      <c r="AV21" s="6">
        <v>5</v>
      </c>
      <c r="AW21" s="6">
        <f t="shared" si="30"/>
        <v>1</v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1</v>
      </c>
      <c r="BC21" s="6">
        <f>J21*BB21</f>
        <v>0</v>
      </c>
      <c r="BD21" s="6">
        <f>M21*BA21</f>
        <v>0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Noraly Luitjes *</v>
      </c>
      <c r="D24" s="46" t="s">
        <v>5</v>
      </c>
      <c r="E24" s="66" t="str">
        <f>VLOOKUP(AV24,$B$4:$F$9,2,FALSE)</f>
        <v>Mees van Essen</v>
      </c>
      <c r="F24" s="66"/>
      <c r="G24" s="66"/>
      <c r="H24" s="66"/>
      <c r="J24" s="66">
        <f>IF(T24="","",VLOOKUP(T24,Configuratie!$B$1:$E$10,3,FALSE))</f>
        <v>1</v>
      </c>
      <c r="K24" s="66"/>
      <c r="L24" s="6" t="s">
        <v>5</v>
      </c>
      <c r="M24" s="66">
        <f>IF(T24="","",VLOOKUP(T24,Configuratie!$B$1:$E$10,4,FALSE))</f>
        <v>0</v>
      </c>
      <c r="N24" s="66"/>
      <c r="R24" s="6" t="str">
        <f>IF(T24="","",VLOOKUP(T24,Configuratie!$B$1:$E$10,2,FALSE))</f>
        <v>1-0</v>
      </c>
      <c r="T24" s="5">
        <v>1</v>
      </c>
      <c r="AT24" s="6">
        <v>3</v>
      </c>
      <c r="AU24" s="6">
        <v>5</v>
      </c>
      <c r="AV24" s="6">
        <v>6</v>
      </c>
      <c r="AW24" s="6">
        <f>IF(AND(ISNUMBER(J24),ISNUMBER(M24)),IF(J24+M24=1,1,0),"")</f>
        <v>1</v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2</v>
      </c>
      <c r="BB24" s="6">
        <f t="shared" si="31"/>
        <v>1.5</v>
      </c>
      <c r="BC24" s="6">
        <f>J24*BB24</f>
        <v>1.5</v>
      </c>
      <c r="BD24" s="6">
        <f>M24*BA24</f>
        <v>0</v>
      </c>
    </row>
    <row r="25" spans="2:56" x14ac:dyDescent="0.25">
      <c r="B25" s="6">
        <v>2</v>
      </c>
      <c r="C25" s="6" t="str">
        <f>VLOOKUP(AU25,$B$4:$F$9,2,FALSE)</f>
        <v>Reijn Aarts</v>
      </c>
      <c r="D25" s="46" t="s">
        <v>5</v>
      </c>
      <c r="E25" s="66" t="str">
        <f>VLOOKUP(AV25,$B$4:$F$9,2,FALSE)</f>
        <v>Rutger van den Berg</v>
      </c>
      <c r="F25" s="66"/>
      <c r="G25" s="66"/>
      <c r="H25" s="66"/>
      <c r="J25" s="66">
        <f>IF(T25="","",VLOOKUP(T25,Configuratie!$B$1:$E$10,3,FALSE))</f>
        <v>0.5</v>
      </c>
      <c r="K25" s="66"/>
      <c r="L25" s="6" t="s">
        <v>5</v>
      </c>
      <c r="M25" s="66">
        <f>IF(T25="","",VLOOKUP(T25,Configuratie!$B$1:$E$10,4,FALSE))</f>
        <v>0.5</v>
      </c>
      <c r="N25" s="66"/>
      <c r="R25" s="6" t="str">
        <f>IF(T25="","",VLOOKUP(T25,Configuratie!$B$1:$E$10,2,FALSE))</f>
        <v>½-½</v>
      </c>
      <c r="T25" s="5">
        <v>2</v>
      </c>
      <c r="AT25" s="6">
        <v>3</v>
      </c>
      <c r="AU25" s="6">
        <v>4</v>
      </c>
      <c r="AV25" s="6">
        <v>1</v>
      </c>
      <c r="AW25" s="6">
        <f t="shared" ref="AW25:AW26" si="32">IF(AND(ISNUMBER(J25),ISNUMBER(M25)),IF(J25+M25=1,1,0),"")</f>
        <v>1</v>
      </c>
      <c r="AY25" s="48">
        <f>AU25*100+AV25</f>
        <v>401</v>
      </c>
      <c r="AZ25" s="48">
        <f>AV25*100+AU25</f>
        <v>104</v>
      </c>
      <c r="BA25" s="6">
        <f t="shared" si="31"/>
        <v>2</v>
      </c>
      <c r="BB25" s="6">
        <f t="shared" si="31"/>
        <v>0</v>
      </c>
      <c r="BC25" s="6">
        <f>J25*BB25</f>
        <v>0</v>
      </c>
      <c r="BD25" s="6">
        <f>M25*BA25</f>
        <v>1</v>
      </c>
    </row>
    <row r="26" spans="2:56" x14ac:dyDescent="0.25">
      <c r="B26" s="6">
        <v>3</v>
      </c>
      <c r="C26" s="6" t="str">
        <f>VLOOKUP(AU26,$B$4:$F$9,2,FALSE)</f>
        <v>Maikel Simon</v>
      </c>
      <c r="D26" s="46" t="s">
        <v>5</v>
      </c>
      <c r="E26" s="66" t="str">
        <f>VLOOKUP(AV26,$B$4:$F$9,2,FALSE)</f>
        <v>Vigo Stam</v>
      </c>
      <c r="F26" s="66"/>
      <c r="G26" s="66"/>
      <c r="H26" s="66"/>
      <c r="J26" s="66">
        <f>IF(T26="","",VLOOKUP(T26,Configuratie!$B$1:$E$10,3,FALSE))</f>
        <v>1</v>
      </c>
      <c r="K26" s="66"/>
      <c r="L26" s="6" t="s">
        <v>5</v>
      </c>
      <c r="M26" s="66">
        <f>IF(T26="","",VLOOKUP(T26,Configuratie!$B$1:$E$10,4,FALSE))</f>
        <v>0</v>
      </c>
      <c r="N26" s="66"/>
      <c r="R26" s="6" t="str">
        <f>IF(T26="","",VLOOKUP(T26,Configuratie!$B$1:$E$10,2,FALSE))</f>
        <v>1-0</v>
      </c>
      <c r="T26" s="5">
        <v>1</v>
      </c>
      <c r="AT26" s="6">
        <v>3</v>
      </c>
      <c r="AU26" s="6">
        <v>3</v>
      </c>
      <c r="AV26" s="6">
        <v>2</v>
      </c>
      <c r="AW26" s="6">
        <f t="shared" si="32"/>
        <v>1</v>
      </c>
      <c r="AY26" s="48">
        <f>AU26*100+AV26</f>
        <v>302</v>
      </c>
      <c r="AZ26" s="48">
        <f>AV26*100+AU26</f>
        <v>203</v>
      </c>
      <c r="BA26" s="6">
        <f t="shared" si="31"/>
        <v>0.5</v>
      </c>
      <c r="BB26" s="6">
        <f t="shared" si="31"/>
        <v>0</v>
      </c>
      <c r="BC26" s="6">
        <f>J26*BB26</f>
        <v>0</v>
      </c>
      <c r="BD26" s="6">
        <f>M26*BA26</f>
        <v>0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Mees van Essen</v>
      </c>
      <c r="D29" s="46" t="s">
        <v>5</v>
      </c>
      <c r="E29" s="66" t="str">
        <f>VLOOKUP(AV29,$B$4:$F$9,2,FALSE)</f>
        <v>Vigo Stam</v>
      </c>
      <c r="F29" s="66"/>
      <c r="G29" s="66"/>
      <c r="H29" s="66"/>
      <c r="J29" s="66">
        <f>IF(T29="","",VLOOKUP(T29,Configuratie!$B$1:$E$10,3,FALSE))</f>
        <v>1</v>
      </c>
      <c r="K29" s="66"/>
      <c r="L29" s="6" t="s">
        <v>5</v>
      </c>
      <c r="M29" s="66">
        <f>IF(T29="","",VLOOKUP(T29,Configuratie!$B$1:$E$10,4,FALSE))</f>
        <v>0</v>
      </c>
      <c r="N29" s="66"/>
      <c r="R29" s="6" t="str">
        <f>IF(T29="","",VLOOKUP(T29,Configuratie!$B$1:$E$10,2,FALSE))</f>
        <v>1-0</v>
      </c>
      <c r="T29" s="5">
        <v>1</v>
      </c>
      <c r="AT29" s="6">
        <v>4</v>
      </c>
      <c r="AU29" s="6">
        <v>6</v>
      </c>
      <c r="AV29" s="6">
        <v>2</v>
      </c>
      <c r="AW29" s="6">
        <f>IF(AND(ISNUMBER(J29),ISNUMBER(M29)),IF(J29+M29=1,1,0),"")</f>
        <v>1</v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1.5</v>
      </c>
      <c r="BB29" s="6">
        <f t="shared" si="33"/>
        <v>0</v>
      </c>
      <c r="BC29" s="6">
        <f>J29*BB29</f>
        <v>0</v>
      </c>
      <c r="BD29" s="6">
        <f>M29*BA29</f>
        <v>0</v>
      </c>
    </row>
    <row r="30" spans="2:56" x14ac:dyDescent="0.25">
      <c r="B30" s="6">
        <v>2</v>
      </c>
      <c r="C30" s="6" t="str">
        <f>VLOOKUP(AU30,$B$4:$F$9,2,FALSE)</f>
        <v>Rutger van den Berg</v>
      </c>
      <c r="D30" s="46" t="s">
        <v>5</v>
      </c>
      <c r="E30" s="66" t="str">
        <f>VLOOKUP(AV30,$B$4:$F$9,2,FALSE)</f>
        <v>Maikel Simon</v>
      </c>
      <c r="F30" s="66"/>
      <c r="G30" s="66"/>
      <c r="H30" s="66"/>
      <c r="J30" s="66">
        <f>IF(T30="","",VLOOKUP(T30,Configuratie!$B$1:$E$10,3,FALSE))</f>
        <v>1</v>
      </c>
      <c r="K30" s="66"/>
      <c r="L30" s="6" t="s">
        <v>5</v>
      </c>
      <c r="M30" s="66">
        <f>IF(T30="","",VLOOKUP(T30,Configuratie!$B$1:$E$10,4,FALSE))</f>
        <v>0</v>
      </c>
      <c r="N30" s="66"/>
      <c r="R30" s="6" t="str">
        <f>IF(T30="","",VLOOKUP(T30,Configuratie!$B$1:$E$10,2,FALSE))</f>
        <v>1-0</v>
      </c>
      <c r="T30" s="5">
        <v>1</v>
      </c>
      <c r="AT30" s="6">
        <v>4</v>
      </c>
      <c r="AU30" s="6">
        <v>1</v>
      </c>
      <c r="AV30" s="6">
        <v>3</v>
      </c>
      <c r="AW30" s="6">
        <f t="shared" ref="AW30:AW31" si="34">IF(AND(ISNUMBER(J30),ISNUMBER(M30)),IF(J30+M30=1,1,0),"")</f>
        <v>1</v>
      </c>
      <c r="AY30" s="48">
        <f>AU30*100+AV30</f>
        <v>103</v>
      </c>
      <c r="AZ30" s="48">
        <f>AV30*100+AU30</f>
        <v>301</v>
      </c>
      <c r="BA30" s="6">
        <f t="shared" si="33"/>
        <v>0.5</v>
      </c>
      <c r="BB30" s="6">
        <f t="shared" si="33"/>
        <v>1.5</v>
      </c>
      <c r="BC30" s="6">
        <f>J30*BB30</f>
        <v>1.5</v>
      </c>
      <c r="BD30" s="6">
        <f>M30*BA30</f>
        <v>0</v>
      </c>
    </row>
    <row r="31" spans="2:56" x14ac:dyDescent="0.25">
      <c r="B31" s="6">
        <v>3</v>
      </c>
      <c r="C31" s="6" t="str">
        <f>VLOOKUP(AU31,$B$4:$F$9,2,FALSE)</f>
        <v>Noraly Luitjes *</v>
      </c>
      <c r="D31" s="46" t="s">
        <v>5</v>
      </c>
      <c r="E31" s="66" t="str">
        <f>VLOOKUP(AV31,$B$4:$F$9,2,FALSE)</f>
        <v>Reijn Aarts</v>
      </c>
      <c r="F31" s="66"/>
      <c r="G31" s="66"/>
      <c r="H31" s="66"/>
      <c r="J31" s="66">
        <f>IF(T31="","",VLOOKUP(T31,Configuratie!$B$1:$E$10,3,FALSE))</f>
        <v>0.5</v>
      </c>
      <c r="K31" s="66"/>
      <c r="L31" s="6" t="s">
        <v>5</v>
      </c>
      <c r="M31" s="66">
        <f>IF(T31="","",VLOOKUP(T31,Configuratie!$B$1:$E$10,4,FALSE))</f>
        <v>0.5</v>
      </c>
      <c r="N31" s="66"/>
      <c r="R31" s="6" t="str">
        <f>IF(T31="","",VLOOKUP(T31,Configuratie!$B$1:$E$10,2,FALSE))</f>
        <v>½-½</v>
      </c>
      <c r="T31" s="5">
        <v>2</v>
      </c>
      <c r="AT31" s="6">
        <v>4</v>
      </c>
      <c r="AU31" s="6">
        <v>5</v>
      </c>
      <c r="AV31" s="6">
        <v>4</v>
      </c>
      <c r="AW31" s="6">
        <f t="shared" si="34"/>
        <v>1</v>
      </c>
      <c r="AY31" s="48">
        <f>AU31*100+AV31</f>
        <v>504</v>
      </c>
      <c r="AZ31" s="48">
        <f>AV31*100+AU31</f>
        <v>405</v>
      </c>
      <c r="BA31" s="6">
        <f t="shared" si="33"/>
        <v>3</v>
      </c>
      <c r="BB31" s="6">
        <f t="shared" si="33"/>
        <v>2.5</v>
      </c>
      <c r="BC31" s="6">
        <f>J31*BB31</f>
        <v>1.25</v>
      </c>
      <c r="BD31" s="6">
        <f>M31*BA31</f>
        <v>1.5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Reijn Aarts</v>
      </c>
      <c r="D34" s="46" t="s">
        <v>5</v>
      </c>
      <c r="E34" s="66" t="str">
        <f>VLOOKUP(AV34,$B$4:$F$9,2,FALSE)</f>
        <v>Mees van Essen</v>
      </c>
      <c r="F34" s="66"/>
      <c r="G34" s="66"/>
      <c r="H34" s="66"/>
      <c r="J34" s="66">
        <f>IF(T34="","",VLOOKUP(T34,Configuratie!$B$1:$E$10,3,FALSE))</f>
        <v>0.5</v>
      </c>
      <c r="K34" s="66"/>
      <c r="L34" s="6" t="s">
        <v>5</v>
      </c>
      <c r="M34" s="66">
        <f>IF(T34="","",VLOOKUP(T34,Configuratie!$B$1:$E$10,4,FALSE))</f>
        <v>0.5</v>
      </c>
      <c r="N34" s="66"/>
      <c r="R34" s="6" t="str">
        <f>IF(T34="","",VLOOKUP(T34,Configuratie!$B$1:$E$10,2,FALSE))</f>
        <v>½-½</v>
      </c>
      <c r="T34" s="5">
        <v>2</v>
      </c>
      <c r="AT34" s="6">
        <v>5</v>
      </c>
      <c r="AU34" s="6">
        <v>4</v>
      </c>
      <c r="AV34" s="6">
        <v>6</v>
      </c>
      <c r="AW34" s="6">
        <f>IF(AND(ISNUMBER(J34),ISNUMBER(M34)),IF(J34+M34=1,1,0),"")</f>
        <v>1</v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3</v>
      </c>
      <c r="BB34" s="6">
        <f t="shared" si="35"/>
        <v>2.5</v>
      </c>
      <c r="BC34" s="6">
        <f>J34*BB34</f>
        <v>1.25</v>
      </c>
      <c r="BD34" s="6">
        <f>M34*BA34</f>
        <v>1.5</v>
      </c>
    </row>
    <row r="35" spans="2:56" x14ac:dyDescent="0.25">
      <c r="B35" s="6">
        <v>2</v>
      </c>
      <c r="C35" s="6" t="str">
        <f>VLOOKUP(AU35,$B$4:$F$9,2,FALSE)</f>
        <v>Noraly Luitjes *</v>
      </c>
      <c r="D35" s="46" t="s">
        <v>5</v>
      </c>
      <c r="E35" s="66" t="str">
        <f>VLOOKUP(AV35,$B$4:$F$9,2,FALSE)</f>
        <v>Maikel Simon</v>
      </c>
      <c r="F35" s="66"/>
      <c r="G35" s="66"/>
      <c r="H35" s="66"/>
      <c r="J35" s="66">
        <f>IF(T35="","",VLOOKUP(T35,Configuratie!$B$1:$E$10,3,FALSE))</f>
        <v>0.5</v>
      </c>
      <c r="K35" s="66"/>
      <c r="L35" s="6" t="s">
        <v>5</v>
      </c>
      <c r="M35" s="66">
        <f>IF(T35="","",VLOOKUP(T35,Configuratie!$B$1:$E$10,4,FALSE))</f>
        <v>0.5</v>
      </c>
      <c r="N35" s="66"/>
      <c r="R35" s="6" t="str">
        <f>IF(T35="","",VLOOKUP(T35,Configuratie!$B$1:$E$10,2,FALSE))</f>
        <v>½-½</v>
      </c>
      <c r="T35" s="5">
        <v>2</v>
      </c>
      <c r="AT35" s="6">
        <v>5</v>
      </c>
      <c r="AU35" s="6">
        <v>5</v>
      </c>
      <c r="AV35" s="6">
        <v>3</v>
      </c>
      <c r="AW35" s="6">
        <f t="shared" ref="AW35:AW36" si="36">IF(AND(ISNUMBER(J35),ISNUMBER(M35)),IF(J35+M35=1,1,0),"")</f>
        <v>1</v>
      </c>
      <c r="AY35" s="48">
        <f>AU35*100+AV35</f>
        <v>503</v>
      </c>
      <c r="AZ35" s="48">
        <f>AV35*100+AU35</f>
        <v>305</v>
      </c>
      <c r="BA35" s="6">
        <f t="shared" si="35"/>
        <v>3.5</v>
      </c>
      <c r="BB35" s="6">
        <f t="shared" si="35"/>
        <v>1.5</v>
      </c>
      <c r="BC35" s="6">
        <f>J35*BB35</f>
        <v>0.75</v>
      </c>
      <c r="BD35" s="6">
        <f>M35*BA35</f>
        <v>1.75</v>
      </c>
    </row>
    <row r="36" spans="2:56" x14ac:dyDescent="0.25">
      <c r="B36" s="6">
        <v>3</v>
      </c>
      <c r="C36" s="6" t="str">
        <f>VLOOKUP(AU36,$B$4:$F$9,2,FALSE)</f>
        <v>Vigo Stam</v>
      </c>
      <c r="D36" s="46" t="s">
        <v>5</v>
      </c>
      <c r="E36" s="66" t="str">
        <f>VLOOKUP(AV36,$B$4:$F$9,2,FALSE)</f>
        <v>Rutger van den Berg</v>
      </c>
      <c r="F36" s="66"/>
      <c r="G36" s="66"/>
      <c r="H36" s="66"/>
      <c r="J36" s="66">
        <f>IF(T36="","",VLOOKUP(T36,Configuratie!$B$1:$E$10,3,FALSE))</f>
        <v>0.5</v>
      </c>
      <c r="K36" s="66"/>
      <c r="L36" s="6" t="s">
        <v>5</v>
      </c>
      <c r="M36" s="66">
        <f>IF(T36="","",VLOOKUP(T36,Configuratie!$B$1:$E$10,4,FALSE))</f>
        <v>0.5</v>
      </c>
      <c r="N36" s="66"/>
      <c r="R36" s="6" t="str">
        <f>IF(T36="","",VLOOKUP(T36,Configuratie!$B$1:$E$10,2,FALSE))</f>
        <v>½-½</v>
      </c>
      <c r="T36" s="5">
        <v>2</v>
      </c>
      <c r="AT36" s="6">
        <v>5</v>
      </c>
      <c r="AU36" s="6">
        <v>2</v>
      </c>
      <c r="AV36" s="6">
        <v>1</v>
      </c>
      <c r="AW36" s="6">
        <f t="shared" si="36"/>
        <v>1</v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1.5</v>
      </c>
      <c r="BC36" s="6">
        <f>J36*BB36</f>
        <v>0.75</v>
      </c>
      <c r="BD36" s="6">
        <f>M36*BA36</f>
        <v>0</v>
      </c>
    </row>
    <row r="52" spans="13:14" x14ac:dyDescent="0.25">
      <c r="M52" s="66"/>
      <c r="N52" s="66"/>
    </row>
    <row r="53" spans="13:14" x14ac:dyDescent="0.25">
      <c r="M53" s="66"/>
      <c r="N53" s="66"/>
    </row>
    <row r="54" spans="13:14" x14ac:dyDescent="0.25">
      <c r="M54" s="66"/>
      <c r="N54" s="66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27" priority="4" stopIfTrue="1" operator="between">
      <formula>0</formula>
      <formula>1</formula>
    </cfRule>
  </conditionalFormatting>
  <conditionalFormatting sqref="T4:T9">
    <cfRule type="cellIs" dxfId="26" priority="1" operator="equal">
      <formula>3</formula>
    </cfRule>
    <cfRule type="cellIs" dxfId="25" priority="2" operator="equal">
      <formula>2</formula>
    </cfRule>
    <cfRule type="cellIs" dxfId="2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 fitToPage="1"/>
  </sheetPr>
  <dimension ref="A1:BT54"/>
  <sheetViews>
    <sheetView view="pageBreakPreview" topLeftCell="A8" zoomScaleNormal="100" zoomScaleSheetLayoutView="100" workbookViewId="0">
      <selection activeCell="T15" sqref="T15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4" width="3.7109375" style="6" customWidth="1" collapsed="1"/>
    <col min="15" max="17" width="3.7109375" style="6" hidden="1" customWidth="1" collapsed="1"/>
    <col min="18" max="20" width="10.42578125" style="6" customWidth="1" collapsed="1"/>
    <col min="21" max="21" width="3.7109375" style="6" customWidth="1" collapsed="1"/>
    <col min="22" max="22" width="6.7109375" style="6" customWidth="1" collapsed="1"/>
    <col min="23" max="23" width="3" style="6" hidden="1" customWidth="1" collapsed="1"/>
    <col min="24" max="24" width="27.7109375" style="6" customWidth="1" collapsed="1"/>
    <col min="25" max="25" width="6.7109375" style="6" customWidth="1" collapsed="1"/>
    <col min="26" max="26" width="6.7109375" style="6" hidden="1" customWidth="1" collapsed="1"/>
    <col min="27" max="27" width="6.7109375" style="6" customWidth="1" collapsed="1"/>
    <col min="28" max="29" width="6.7109375" style="6" hidden="1" customWidth="1" collapsed="1"/>
    <col min="30" max="30" width="6.7109375" style="6" customWidth="1" collapsed="1"/>
    <col min="31" max="31" width="8.570312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6.7109375" style="6" hidden="1" customWidth="1" collapsed="1"/>
    <col min="35" max="35" width="8.5703125" style="6" hidden="1" customWidth="1" collapsed="1"/>
    <col min="36" max="37" width="6.7109375" style="6" hidden="1" customWidth="1" collapsed="1"/>
    <col min="38" max="38" width="8.5703125" style="6" hidden="1" customWidth="1" collapsed="1"/>
    <col min="39" max="46" width="6.7109375" style="6" hidden="1" customWidth="1" collapsed="1"/>
    <col min="47" max="50" width="9.140625" style="6" hidden="1" customWidth="1" collapsed="1"/>
    <col min="51" max="52" width="4.42578125" style="6" hidden="1" customWidth="1" collapsed="1"/>
    <col min="53" max="71" width="3.7109375" style="6" hidden="1" customWidth="1" collapsed="1"/>
    <col min="72" max="72" width="9.140625" style="6" hidden="1" customWidth="1" collapsed="1"/>
    <col min="73" max="74" width="9.140625" style="6" customWidth="1" collapsed="1"/>
    <col min="75" max="16384" width="9.140625" style="6" collapsed="1"/>
  </cols>
  <sheetData>
    <row r="1" spans="1:71" ht="26.25" x14ac:dyDescent="0.4">
      <c r="A1" s="24">
        <v>6</v>
      </c>
      <c r="B1" s="68" t="s">
        <v>29</v>
      </c>
      <c r="C1" s="68"/>
      <c r="D1" s="68"/>
      <c r="E1" s="68"/>
      <c r="F1" s="68"/>
      <c r="G1" s="71" t="s">
        <v>104</v>
      </c>
      <c r="H1" s="71"/>
      <c r="I1" s="66"/>
      <c r="J1" s="66"/>
      <c r="K1" s="66"/>
      <c r="L1" s="66"/>
      <c r="M1" s="66"/>
      <c r="N1" s="66"/>
      <c r="O1" s="66"/>
      <c r="P1" s="66"/>
      <c r="Q1" s="66"/>
      <c r="R1" s="66"/>
      <c r="S1" s="47"/>
      <c r="T1" s="47"/>
      <c r="U1" s="15"/>
      <c r="V1" s="69" t="str">
        <f>"UITSLAG "&amp; G1</f>
        <v>UITSLAG Groep H</v>
      </c>
      <c r="W1" s="70"/>
      <c r="X1" s="70"/>
      <c r="Y1" s="70"/>
      <c r="Z1" s="70"/>
      <c r="AA1" s="70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25</v>
      </c>
      <c r="AV2" s="16" t="s">
        <v>24</v>
      </c>
      <c r="AW2" s="16" t="s">
        <v>26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17"/>
      <c r="BJ2" s="18"/>
      <c r="BK2" s="70" t="s">
        <v>21</v>
      </c>
      <c r="BL2" s="70"/>
      <c r="BM2" s="70"/>
      <c r="BN2" s="70"/>
      <c r="BO2" s="70"/>
      <c r="BP2" s="70"/>
      <c r="BQ2" s="70"/>
      <c r="BR2" s="70"/>
      <c r="BS2" s="70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5"/>
      <c r="O3" s="76"/>
      <c r="P3" s="49"/>
      <c r="Q3" s="50"/>
      <c r="R3" s="7" t="s">
        <v>15</v>
      </c>
      <c r="S3" s="7" t="s">
        <v>24</v>
      </c>
      <c r="T3" s="7" t="s">
        <v>56</v>
      </c>
      <c r="U3" s="21"/>
      <c r="V3" s="7" t="s">
        <v>30</v>
      </c>
      <c r="W3" s="22" t="s">
        <v>28</v>
      </c>
      <c r="X3" s="7" t="s">
        <v>6</v>
      </c>
      <c r="Y3" s="7" t="s">
        <v>27</v>
      </c>
      <c r="Z3" s="7" t="s">
        <v>22</v>
      </c>
      <c r="AA3" s="7" t="s">
        <v>24</v>
      </c>
      <c r="AB3" s="7" t="s">
        <v>31</v>
      </c>
      <c r="AC3" s="7" t="s">
        <v>32</v>
      </c>
      <c r="AD3" s="13"/>
      <c r="AE3" s="7" t="s">
        <v>47</v>
      </c>
      <c r="AF3" s="7" t="s">
        <v>48</v>
      </c>
      <c r="AG3" s="7" t="s">
        <v>49</v>
      </c>
      <c r="AH3" s="7" t="s">
        <v>50</v>
      </c>
      <c r="AI3" s="7" t="s">
        <v>51</v>
      </c>
      <c r="AJ3" s="7" t="s">
        <v>52</v>
      </c>
      <c r="AK3" s="7"/>
      <c r="AL3" s="7" t="s">
        <v>53</v>
      </c>
      <c r="AM3" s="7" t="s">
        <v>54</v>
      </c>
      <c r="AN3" s="7" t="s">
        <v>55</v>
      </c>
      <c r="AO3" s="7" t="s">
        <v>56</v>
      </c>
      <c r="AP3" s="13"/>
      <c r="AQ3" s="13"/>
      <c r="AR3" s="13"/>
      <c r="AS3" s="21"/>
      <c r="AT3" s="7" t="s">
        <v>33</v>
      </c>
      <c r="AU3" s="23" t="s">
        <v>23</v>
      </c>
      <c r="AV3" s="16" t="s">
        <v>23</v>
      </c>
      <c r="AW3" s="16" t="s">
        <v>23</v>
      </c>
      <c r="AY3" s="6" t="s">
        <v>28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28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3</v>
      </c>
      <c r="B4" s="25">
        <v>1</v>
      </c>
      <c r="C4" s="25" t="s">
        <v>105</v>
      </c>
      <c r="D4" s="67">
        <v>8663182</v>
      </c>
      <c r="E4" s="67"/>
      <c r="F4" s="25">
        <v>470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>
        <f t="shared" si="0"/>
        <v>1</v>
      </c>
      <c r="J4" s="27">
        <f t="shared" si="0"/>
        <v>1</v>
      </c>
      <c r="K4" s="27">
        <f t="shared" si="0"/>
        <v>0</v>
      </c>
      <c r="L4" s="27">
        <f t="shared" si="0"/>
        <v>0.5</v>
      </c>
      <c r="M4" s="27">
        <f t="shared" si="0"/>
        <v>0</v>
      </c>
      <c r="N4" s="73"/>
      <c r="O4" s="74"/>
      <c r="P4" s="52"/>
      <c r="Q4" s="53"/>
      <c r="R4" s="8">
        <f t="shared" ref="R4:R9" si="1">SUM(H4:Q4)</f>
        <v>2.5</v>
      </c>
      <c r="S4" s="8">
        <f>IF(H4="",0,H4)*$R$4+IF(I4="",0,I4)*$R$5+IF(J4="",0,J4)*$R$6+IF(K4="",0,K4)*$R$7+IF(L4="",0,L4)*$R$8+IF(M4="",0,M4)*$R$9</f>
        <v>5.5</v>
      </c>
      <c r="T4" s="54">
        <f>AO4</f>
        <v>3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Boaz Wierper</v>
      </c>
      <c r="Y4" s="34">
        <f t="shared" ref="Y4:Y9" si="3">IF(ISNA(VLOOKUP(B4,$A$4:$S$11,18,FALSE)),0,VLOOKUP(B4,$A$4:$S$11,18,FALSE))</f>
        <v>4</v>
      </c>
      <c r="Z4" s="34">
        <f t="shared" ref="Z4:Z9" si="4">VLOOKUP($W4,$AT$4:$AW$9,2,FALSE)</f>
        <v>5</v>
      </c>
      <c r="AA4" s="55">
        <f t="shared" ref="AA4:AA9" si="5">IF(ISNA(VLOOKUP(B4,$A$4:$S$11,19,FALSE)),0,VLOOKUP(B4,$A$4:$S$11,19,FALSE))</f>
        <v>8.25</v>
      </c>
      <c r="AB4" s="34">
        <f t="shared" ref="AB4:AB9" si="6">VLOOKUP($W4,$AT$4:$AW$9,4,FALSE)</f>
        <v>15</v>
      </c>
      <c r="AC4" s="35">
        <f t="shared" ref="AC4:AC9" si="7">VLOOKUP($W4,$B$4:$R$9,5,FALSE)</f>
        <v>369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7.5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7.5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7.5</v>
      </c>
      <c r="AK4" s="56"/>
      <c r="AL4" s="56">
        <f>RANK(AJ4,$AJ$4:$AJ$9,1)-1</f>
        <v>3</v>
      </c>
      <c r="AM4" s="56">
        <f>RANK(S4,$S$4:$S$9,1)-1</f>
        <v>3</v>
      </c>
      <c r="AN4" s="56">
        <f>6*AL4+AM4</f>
        <v>21</v>
      </c>
      <c r="AO4" s="56">
        <f>RANK(AN4,$AN$4:$AN$9)</f>
        <v>3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2.5</v>
      </c>
      <c r="AV4" s="39">
        <f t="shared" ref="AV4:AV9" si="9">SUMIF($AU$11:$AU$36,B4,$BC$11:$BC$36)+SUMIF($AV$11:$AV$36,B4,$BD$11:$BD$36)</f>
        <v>4</v>
      </c>
      <c r="AW4" s="39">
        <f>SUM(BK4:BS4)</f>
        <v>15</v>
      </c>
      <c r="AY4" s="6">
        <v>1</v>
      </c>
      <c r="AZ4" s="6">
        <f t="shared" ref="AZ4:BH9" si="10">SUMIFS($J$14:$J$36,$AU$14:$AU$36,$AY4,$AT$14:$AT$36,AZ$3)+SUMIFS($M$14:$M$36,$AV$14:$AV$36,$AY4,$AT$14:$AT$36,AZ$3)</f>
        <v>0</v>
      </c>
      <c r="BA4" s="6">
        <f t="shared" si="10"/>
        <v>0.5</v>
      </c>
      <c r="BB4" s="6">
        <f t="shared" si="10"/>
        <v>0</v>
      </c>
      <c r="BC4" s="6">
        <f t="shared" si="10"/>
        <v>1</v>
      </c>
      <c r="BD4" s="6">
        <f t="shared" si="10"/>
        <v>1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0.5</v>
      </c>
      <c r="BM4" s="6">
        <f t="shared" si="11"/>
        <v>0.5</v>
      </c>
      <c r="BN4" s="6">
        <f t="shared" si="11"/>
        <v>1.5</v>
      </c>
      <c r="BO4" s="6">
        <f t="shared" si="11"/>
        <v>2.5</v>
      </c>
      <c r="BP4" s="6">
        <f t="shared" si="11"/>
        <v>2.5</v>
      </c>
      <c r="BQ4" s="6">
        <f t="shared" si="11"/>
        <v>2.5</v>
      </c>
      <c r="BR4" s="6">
        <f t="shared" si="11"/>
        <v>2.5</v>
      </c>
      <c r="BS4" s="6">
        <f t="shared" si="11"/>
        <v>2.5</v>
      </c>
    </row>
    <row r="5" spans="1:71" x14ac:dyDescent="0.25">
      <c r="A5" s="51">
        <f t="shared" ref="A5:A9" si="12">T5</f>
        <v>6</v>
      </c>
      <c r="B5" s="25">
        <v>2</v>
      </c>
      <c r="C5" s="25" t="s">
        <v>106</v>
      </c>
      <c r="D5" s="67">
        <v>8657242</v>
      </c>
      <c r="E5" s="67"/>
      <c r="F5" s="25">
        <v>456</v>
      </c>
      <c r="H5" s="27">
        <f t="shared" si="0"/>
        <v>0</v>
      </c>
      <c r="I5" s="26" t="str">
        <f t="shared" si="0"/>
        <v/>
      </c>
      <c r="J5" s="27">
        <f t="shared" si="0"/>
        <v>0.5</v>
      </c>
      <c r="K5" s="27">
        <f t="shared" si="0"/>
        <v>1</v>
      </c>
      <c r="L5" s="27">
        <f t="shared" si="0"/>
        <v>0</v>
      </c>
      <c r="M5" s="27">
        <f t="shared" si="0"/>
        <v>0</v>
      </c>
      <c r="N5" s="73"/>
      <c r="O5" s="74"/>
      <c r="P5" s="52"/>
      <c r="Q5" s="53"/>
      <c r="R5" s="8">
        <f t="shared" si="1"/>
        <v>1.5</v>
      </c>
      <c r="S5" s="8">
        <f t="shared" ref="S5:S9" si="13">IF(H5="",0,H5)*$R$4+IF(I5="",0,I5)*$R$5+IF(J5="",0,J5)*$R$6+IF(K5="",0,K5)*$R$7+IF(L5="",0,L5)*$R$8+IF(M5="",0,M5)*$R$9</f>
        <v>4</v>
      </c>
      <c r="T5" s="54">
        <f t="shared" ref="T5:T9" si="14">AO5</f>
        <v>6</v>
      </c>
      <c r="U5" s="30"/>
      <c r="V5" s="31">
        <v>2</v>
      </c>
      <c r="W5" s="32">
        <v>5</v>
      </c>
      <c r="X5" s="33" t="str">
        <f t="shared" si="2"/>
        <v>Chao Daniels</v>
      </c>
      <c r="Y5" s="34">
        <f t="shared" si="3"/>
        <v>3</v>
      </c>
      <c r="Z5" s="34">
        <f t="shared" si="4"/>
        <v>8</v>
      </c>
      <c r="AA5" s="55">
        <f t="shared" si="5"/>
        <v>7.5</v>
      </c>
      <c r="AB5" s="34">
        <f t="shared" si="6"/>
        <v>28</v>
      </c>
      <c r="AC5" s="35">
        <f t="shared" si="7"/>
        <v>420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4.5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4.5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4.5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6</v>
      </c>
      <c r="AP5" s="56"/>
      <c r="AQ5" s="56"/>
      <c r="AR5" s="56"/>
      <c r="AS5" s="30"/>
      <c r="AT5" s="37">
        <v>2</v>
      </c>
      <c r="AU5" s="38">
        <f t="shared" si="8"/>
        <v>4</v>
      </c>
      <c r="AV5" s="39">
        <f t="shared" si="9"/>
        <v>1.25</v>
      </c>
      <c r="AW5" s="39">
        <f t="shared" ref="AW5:AW9" si="25">SUM(BK5:BS5)</f>
        <v>11.5</v>
      </c>
      <c r="AY5" s="6">
        <v>2</v>
      </c>
      <c r="AZ5" s="6">
        <f t="shared" si="10"/>
        <v>0</v>
      </c>
      <c r="BA5" s="6">
        <f t="shared" si="10"/>
        <v>1</v>
      </c>
      <c r="BB5" s="6">
        <f t="shared" si="10"/>
        <v>0.5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1</v>
      </c>
      <c r="BM5" s="6">
        <f t="shared" si="11"/>
        <v>1.5</v>
      </c>
      <c r="BN5" s="6">
        <f t="shared" si="11"/>
        <v>1.5</v>
      </c>
      <c r="BO5" s="6">
        <f t="shared" si="11"/>
        <v>1.5</v>
      </c>
      <c r="BP5" s="6">
        <f t="shared" si="11"/>
        <v>1.5</v>
      </c>
      <c r="BQ5" s="6">
        <f t="shared" si="11"/>
        <v>1.5</v>
      </c>
      <c r="BR5" s="6">
        <f t="shared" si="11"/>
        <v>1.5</v>
      </c>
      <c r="BS5" s="6">
        <f t="shared" si="11"/>
        <v>1.5</v>
      </c>
    </row>
    <row r="6" spans="1:71" x14ac:dyDescent="0.25">
      <c r="A6" s="51">
        <f t="shared" si="12"/>
        <v>4</v>
      </c>
      <c r="B6" s="25">
        <v>3</v>
      </c>
      <c r="C6" s="25" t="s">
        <v>107</v>
      </c>
      <c r="D6" s="67">
        <v>8615860</v>
      </c>
      <c r="E6" s="67"/>
      <c r="F6" s="25">
        <v>447</v>
      </c>
      <c r="H6" s="27">
        <f t="shared" si="0"/>
        <v>0</v>
      </c>
      <c r="I6" s="27">
        <f t="shared" si="0"/>
        <v>0.5</v>
      </c>
      <c r="J6" s="26" t="str">
        <f t="shared" si="0"/>
        <v/>
      </c>
      <c r="K6" s="27">
        <f t="shared" si="0"/>
        <v>0.5</v>
      </c>
      <c r="L6" s="27">
        <f t="shared" si="0"/>
        <v>0</v>
      </c>
      <c r="M6" s="27">
        <f t="shared" si="0"/>
        <v>1</v>
      </c>
      <c r="N6" s="73"/>
      <c r="O6" s="74"/>
      <c r="P6" s="52"/>
      <c r="Q6" s="53"/>
      <c r="R6" s="8">
        <f t="shared" si="1"/>
        <v>2</v>
      </c>
      <c r="S6" s="8">
        <f t="shared" si="13"/>
        <v>4.25</v>
      </c>
      <c r="T6" s="54">
        <f t="shared" si="14"/>
        <v>4</v>
      </c>
      <c r="U6" s="30"/>
      <c r="V6" s="31">
        <v>3</v>
      </c>
      <c r="W6" s="32">
        <v>4</v>
      </c>
      <c r="X6" s="33" t="str">
        <f t="shared" si="2"/>
        <v>Erik Smouter</v>
      </c>
      <c r="Y6" s="34">
        <f t="shared" si="3"/>
        <v>2.5</v>
      </c>
      <c r="Z6" s="34">
        <f t="shared" si="4"/>
        <v>4.5</v>
      </c>
      <c r="AA6" s="55">
        <f t="shared" si="5"/>
        <v>5.5</v>
      </c>
      <c r="AB6" s="34">
        <f t="shared" si="6"/>
        <v>19.5</v>
      </c>
      <c r="AC6" s="35">
        <f t="shared" si="7"/>
        <v>444</v>
      </c>
      <c r="AD6" s="56"/>
      <c r="AE6" s="7">
        <f t="shared" si="15"/>
        <v>1</v>
      </c>
      <c r="AF6" s="7">
        <f t="shared" si="16"/>
        <v>7</v>
      </c>
      <c r="AG6" s="7">
        <f t="shared" si="17"/>
        <v>0</v>
      </c>
      <c r="AH6" s="7">
        <f t="shared" si="18"/>
        <v>7</v>
      </c>
      <c r="AI6" s="7">
        <f t="shared" si="19"/>
        <v>0</v>
      </c>
      <c r="AJ6" s="7">
        <f t="shared" si="20"/>
        <v>7</v>
      </c>
      <c r="AK6" s="56"/>
      <c r="AL6" s="56">
        <f t="shared" si="21"/>
        <v>2</v>
      </c>
      <c r="AM6" s="56">
        <f t="shared" si="22"/>
        <v>2</v>
      </c>
      <c r="AN6" s="56">
        <f t="shared" si="23"/>
        <v>14</v>
      </c>
      <c r="AO6" s="56">
        <f t="shared" si="24"/>
        <v>4</v>
      </c>
      <c r="AP6" s="56"/>
      <c r="AQ6" s="56"/>
      <c r="AR6" s="56"/>
      <c r="AS6" s="30"/>
      <c r="AT6" s="37">
        <v>3</v>
      </c>
      <c r="AU6" s="38">
        <f t="shared" si="8"/>
        <v>6</v>
      </c>
      <c r="AV6" s="39">
        <f t="shared" si="9"/>
        <v>1.5</v>
      </c>
      <c r="AW6" s="39">
        <f t="shared" si="25"/>
        <v>16</v>
      </c>
      <c r="AY6" s="6">
        <v>3</v>
      </c>
      <c r="AZ6" s="6">
        <f t="shared" si="10"/>
        <v>0.5</v>
      </c>
      <c r="BA6" s="6">
        <f t="shared" si="10"/>
        <v>1</v>
      </c>
      <c r="BB6" s="6">
        <f t="shared" si="10"/>
        <v>0.5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0.5</v>
      </c>
      <c r="BL6" s="6">
        <f t="shared" si="11"/>
        <v>1.5</v>
      </c>
      <c r="BM6" s="6">
        <f t="shared" si="11"/>
        <v>2</v>
      </c>
      <c r="BN6" s="6">
        <f t="shared" si="11"/>
        <v>2</v>
      </c>
      <c r="BO6" s="6">
        <f t="shared" si="11"/>
        <v>2</v>
      </c>
      <c r="BP6" s="6">
        <f t="shared" si="11"/>
        <v>2</v>
      </c>
      <c r="BQ6" s="6">
        <f t="shared" si="11"/>
        <v>2</v>
      </c>
      <c r="BR6" s="6">
        <f t="shared" si="11"/>
        <v>2</v>
      </c>
      <c r="BS6" s="6">
        <f t="shared" si="11"/>
        <v>2</v>
      </c>
    </row>
    <row r="7" spans="1:71" x14ac:dyDescent="0.25">
      <c r="A7" s="51">
        <f t="shared" si="12"/>
        <v>2</v>
      </c>
      <c r="B7" s="25">
        <v>4</v>
      </c>
      <c r="C7" s="25" t="s">
        <v>108</v>
      </c>
      <c r="D7" s="67">
        <v>8531149</v>
      </c>
      <c r="E7" s="67"/>
      <c r="F7" s="25">
        <v>444</v>
      </c>
      <c r="H7" s="27">
        <f t="shared" si="0"/>
        <v>1</v>
      </c>
      <c r="I7" s="27">
        <f t="shared" si="0"/>
        <v>0</v>
      </c>
      <c r="J7" s="27">
        <f t="shared" si="0"/>
        <v>0.5</v>
      </c>
      <c r="K7" s="26" t="str">
        <f t="shared" si="0"/>
        <v/>
      </c>
      <c r="L7" s="27">
        <f t="shared" si="0"/>
        <v>0.5</v>
      </c>
      <c r="M7" s="27">
        <f t="shared" si="0"/>
        <v>1</v>
      </c>
      <c r="N7" s="73"/>
      <c r="O7" s="74"/>
      <c r="P7" s="52"/>
      <c r="Q7" s="53"/>
      <c r="R7" s="8">
        <f t="shared" si="1"/>
        <v>3</v>
      </c>
      <c r="S7" s="8">
        <f t="shared" si="13"/>
        <v>7.5</v>
      </c>
      <c r="T7" s="54">
        <f t="shared" si="14"/>
        <v>2</v>
      </c>
      <c r="U7" s="30"/>
      <c r="V7" s="31">
        <v>4</v>
      </c>
      <c r="W7" s="32">
        <v>3</v>
      </c>
      <c r="X7" s="33" t="str">
        <f t="shared" si="2"/>
        <v>Fidel Issa</v>
      </c>
      <c r="Y7" s="34">
        <f t="shared" si="3"/>
        <v>2</v>
      </c>
      <c r="Z7" s="34">
        <f t="shared" si="4"/>
        <v>6</v>
      </c>
      <c r="AA7" s="55">
        <f t="shared" si="5"/>
        <v>4.25</v>
      </c>
      <c r="AB7" s="34">
        <f t="shared" si="6"/>
        <v>16</v>
      </c>
      <c r="AC7" s="35">
        <f t="shared" si="7"/>
        <v>447</v>
      </c>
      <c r="AD7" s="56"/>
      <c r="AE7" s="7">
        <f t="shared" si="15"/>
        <v>0</v>
      </c>
      <c r="AF7" s="7">
        <f t="shared" si="16"/>
        <v>9</v>
      </c>
      <c r="AG7" s="7">
        <f t="shared" si="17"/>
        <v>0</v>
      </c>
      <c r="AH7" s="7">
        <f t="shared" si="18"/>
        <v>9</v>
      </c>
      <c r="AI7" s="7">
        <f t="shared" si="19"/>
        <v>0</v>
      </c>
      <c r="AJ7" s="7">
        <f t="shared" si="20"/>
        <v>9</v>
      </c>
      <c r="AK7" s="56"/>
      <c r="AL7" s="56">
        <f t="shared" si="21"/>
        <v>4</v>
      </c>
      <c r="AM7" s="56">
        <f t="shared" si="22"/>
        <v>4</v>
      </c>
      <c r="AN7" s="56">
        <f t="shared" si="23"/>
        <v>28</v>
      </c>
      <c r="AO7" s="56">
        <f t="shared" si="24"/>
        <v>2</v>
      </c>
      <c r="AP7" s="56"/>
      <c r="AQ7" s="56"/>
      <c r="AR7" s="56"/>
      <c r="AS7" s="30"/>
      <c r="AT7" s="37">
        <v>4</v>
      </c>
      <c r="AU7" s="38">
        <f t="shared" si="8"/>
        <v>4.5</v>
      </c>
      <c r="AV7" s="39">
        <f t="shared" si="9"/>
        <v>3.75</v>
      </c>
      <c r="AW7" s="39">
        <f t="shared" si="25"/>
        <v>19.5</v>
      </c>
      <c r="AY7" s="6">
        <v>4</v>
      </c>
      <c r="AZ7" s="6">
        <f t="shared" si="10"/>
        <v>0.5</v>
      </c>
      <c r="BA7" s="6">
        <f t="shared" si="10"/>
        <v>0</v>
      </c>
      <c r="BB7" s="6">
        <f t="shared" si="10"/>
        <v>1</v>
      </c>
      <c r="BC7" s="6">
        <f t="shared" si="10"/>
        <v>0.5</v>
      </c>
      <c r="BD7" s="6">
        <f t="shared" si="10"/>
        <v>1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0.5</v>
      </c>
      <c r="BL7" s="6">
        <f t="shared" si="11"/>
        <v>0.5</v>
      </c>
      <c r="BM7" s="6">
        <f t="shared" si="11"/>
        <v>1.5</v>
      </c>
      <c r="BN7" s="6">
        <f t="shared" si="11"/>
        <v>2</v>
      </c>
      <c r="BO7" s="6">
        <f t="shared" si="11"/>
        <v>3</v>
      </c>
      <c r="BP7" s="6">
        <f t="shared" si="11"/>
        <v>3</v>
      </c>
      <c r="BQ7" s="6">
        <f t="shared" si="11"/>
        <v>3</v>
      </c>
      <c r="BR7" s="6">
        <f t="shared" si="11"/>
        <v>3</v>
      </c>
      <c r="BS7" s="6">
        <f t="shared" si="11"/>
        <v>3</v>
      </c>
    </row>
    <row r="8" spans="1:71" x14ac:dyDescent="0.25">
      <c r="A8" s="51">
        <f t="shared" si="12"/>
        <v>1</v>
      </c>
      <c r="B8" s="25">
        <v>5</v>
      </c>
      <c r="C8" s="25" t="s">
        <v>109</v>
      </c>
      <c r="D8" s="67">
        <v>8664777</v>
      </c>
      <c r="E8" s="67"/>
      <c r="F8" s="25">
        <v>420</v>
      </c>
      <c r="H8" s="27">
        <f t="shared" si="0"/>
        <v>0.5</v>
      </c>
      <c r="I8" s="27">
        <f t="shared" si="0"/>
        <v>1</v>
      </c>
      <c r="J8" s="27">
        <f t="shared" si="0"/>
        <v>1</v>
      </c>
      <c r="K8" s="27">
        <f t="shared" si="0"/>
        <v>0.5</v>
      </c>
      <c r="L8" s="26" t="str">
        <f t="shared" si="0"/>
        <v/>
      </c>
      <c r="M8" s="27">
        <f t="shared" si="0"/>
        <v>1</v>
      </c>
      <c r="N8" s="73"/>
      <c r="O8" s="74"/>
      <c r="P8" s="52"/>
      <c r="Q8" s="53"/>
      <c r="R8" s="8">
        <f t="shared" si="1"/>
        <v>4</v>
      </c>
      <c r="S8" s="8">
        <f t="shared" si="13"/>
        <v>8.25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Floris Ros</v>
      </c>
      <c r="Y8" s="34">
        <f t="shared" si="3"/>
        <v>2</v>
      </c>
      <c r="Z8" s="34">
        <f t="shared" si="4"/>
        <v>4</v>
      </c>
      <c r="AA8" s="55">
        <f t="shared" si="5"/>
        <v>4</v>
      </c>
      <c r="AB8" s="34">
        <f t="shared" si="6"/>
        <v>11.5</v>
      </c>
      <c r="AC8" s="35">
        <f t="shared" si="7"/>
        <v>456</v>
      </c>
      <c r="AD8" s="56"/>
      <c r="AE8" s="7">
        <f t="shared" si="15"/>
        <v>0</v>
      </c>
      <c r="AF8" s="7">
        <f t="shared" si="16"/>
        <v>12</v>
      </c>
      <c r="AG8" s="7">
        <f t="shared" si="17"/>
        <v>0</v>
      </c>
      <c r="AH8" s="7">
        <f t="shared" si="18"/>
        <v>12</v>
      </c>
      <c r="AI8" s="7">
        <f t="shared" si="19"/>
        <v>0</v>
      </c>
      <c r="AJ8" s="7">
        <f t="shared" si="20"/>
        <v>12</v>
      </c>
      <c r="AK8" s="56"/>
      <c r="AL8" s="56">
        <f t="shared" si="21"/>
        <v>5</v>
      </c>
      <c r="AM8" s="56">
        <f t="shared" si="22"/>
        <v>5</v>
      </c>
      <c r="AN8" s="56">
        <f t="shared" si="23"/>
        <v>35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8</v>
      </c>
      <c r="AV8" s="39">
        <f t="shared" si="9"/>
        <v>3.75</v>
      </c>
      <c r="AW8" s="39">
        <f t="shared" si="25"/>
        <v>28</v>
      </c>
      <c r="AY8" s="6">
        <v>5</v>
      </c>
      <c r="AZ8" s="6">
        <f t="shared" si="10"/>
        <v>1</v>
      </c>
      <c r="BA8" s="6">
        <f t="shared" si="10"/>
        <v>0.5</v>
      </c>
      <c r="BB8" s="6">
        <f t="shared" si="10"/>
        <v>1</v>
      </c>
      <c r="BC8" s="6">
        <f t="shared" si="10"/>
        <v>0.5</v>
      </c>
      <c r="BD8" s="6">
        <f t="shared" si="10"/>
        <v>1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1</v>
      </c>
      <c r="BL8" s="6">
        <f t="shared" si="11"/>
        <v>1.5</v>
      </c>
      <c r="BM8" s="6">
        <f t="shared" si="11"/>
        <v>2.5</v>
      </c>
      <c r="BN8" s="6">
        <f t="shared" si="11"/>
        <v>3</v>
      </c>
      <c r="BO8" s="6">
        <f t="shared" si="11"/>
        <v>4</v>
      </c>
      <c r="BP8" s="6">
        <f t="shared" si="11"/>
        <v>4</v>
      </c>
      <c r="BQ8" s="6">
        <f t="shared" si="11"/>
        <v>4</v>
      </c>
      <c r="BR8" s="6">
        <f t="shared" si="11"/>
        <v>4</v>
      </c>
      <c r="BS8" s="6">
        <f t="shared" si="11"/>
        <v>4</v>
      </c>
    </row>
    <row r="9" spans="1:71" x14ac:dyDescent="0.25">
      <c r="A9" s="51">
        <f t="shared" si="12"/>
        <v>5</v>
      </c>
      <c r="B9" s="25">
        <v>6</v>
      </c>
      <c r="C9" s="25" t="s">
        <v>110</v>
      </c>
      <c r="D9" s="67">
        <v>8492803</v>
      </c>
      <c r="E9" s="67"/>
      <c r="F9" s="25">
        <v>369</v>
      </c>
      <c r="H9" s="27">
        <f t="shared" si="0"/>
        <v>1</v>
      </c>
      <c r="I9" s="27">
        <f t="shared" si="0"/>
        <v>1</v>
      </c>
      <c r="J9" s="27">
        <f t="shared" si="0"/>
        <v>0</v>
      </c>
      <c r="K9" s="27">
        <f t="shared" si="0"/>
        <v>0</v>
      </c>
      <c r="L9" s="27">
        <f t="shared" si="0"/>
        <v>0</v>
      </c>
      <c r="M9" s="26" t="str">
        <f t="shared" si="0"/>
        <v/>
      </c>
      <c r="N9" s="73"/>
      <c r="O9" s="74"/>
      <c r="P9" s="52"/>
      <c r="Q9" s="53"/>
      <c r="R9" s="8">
        <f t="shared" si="1"/>
        <v>2</v>
      </c>
      <c r="S9" s="8">
        <f t="shared" si="13"/>
        <v>4</v>
      </c>
      <c r="T9" s="54">
        <f t="shared" si="14"/>
        <v>5</v>
      </c>
      <c r="U9" s="30"/>
      <c r="V9" s="31">
        <v>6</v>
      </c>
      <c r="W9" s="32">
        <v>1</v>
      </c>
      <c r="X9" s="33" t="str">
        <f t="shared" si="2"/>
        <v>Aaron Lamers</v>
      </c>
      <c r="Y9" s="34">
        <f t="shared" si="3"/>
        <v>1.5</v>
      </c>
      <c r="Z9" s="34">
        <f t="shared" si="4"/>
        <v>2.5</v>
      </c>
      <c r="AA9" s="55">
        <f t="shared" si="5"/>
        <v>4</v>
      </c>
      <c r="AB9" s="34">
        <f t="shared" si="6"/>
        <v>15</v>
      </c>
      <c r="AC9" s="35">
        <f t="shared" si="7"/>
        <v>470</v>
      </c>
      <c r="AD9" s="56"/>
      <c r="AE9" s="7">
        <f t="shared" si="15"/>
        <v>0</v>
      </c>
      <c r="AF9" s="7">
        <f t="shared" si="16"/>
        <v>6</v>
      </c>
      <c r="AG9" s="7">
        <f t="shared" si="17"/>
        <v>0</v>
      </c>
      <c r="AH9" s="7">
        <f t="shared" si="18"/>
        <v>6</v>
      </c>
      <c r="AI9" s="7">
        <f t="shared" si="19"/>
        <v>0</v>
      </c>
      <c r="AJ9" s="7">
        <f t="shared" si="20"/>
        <v>6</v>
      </c>
      <c r="AK9" s="56"/>
      <c r="AL9" s="56">
        <f t="shared" si="21"/>
        <v>1</v>
      </c>
      <c r="AM9" s="56">
        <f t="shared" si="22"/>
        <v>0</v>
      </c>
      <c r="AN9" s="56">
        <f t="shared" si="23"/>
        <v>6</v>
      </c>
      <c r="AO9" s="56">
        <f t="shared" si="24"/>
        <v>5</v>
      </c>
      <c r="AP9" s="56"/>
      <c r="AQ9" s="56"/>
      <c r="AR9" s="56"/>
      <c r="AS9" s="30"/>
      <c r="AT9" s="37">
        <v>6</v>
      </c>
      <c r="AU9" s="38">
        <f t="shared" si="8"/>
        <v>5</v>
      </c>
      <c r="AV9" s="39">
        <f t="shared" si="9"/>
        <v>1.5</v>
      </c>
      <c r="AW9" s="39">
        <f t="shared" si="25"/>
        <v>15</v>
      </c>
      <c r="AY9" s="6">
        <v>6</v>
      </c>
      <c r="AZ9" s="6">
        <f t="shared" si="10"/>
        <v>1</v>
      </c>
      <c r="BA9" s="6">
        <f t="shared" si="10"/>
        <v>0</v>
      </c>
      <c r="BB9" s="6">
        <f t="shared" si="10"/>
        <v>0</v>
      </c>
      <c r="BC9" s="6">
        <f t="shared" si="10"/>
        <v>1</v>
      </c>
      <c r="BD9" s="6">
        <f t="shared" si="10"/>
        <v>0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1</v>
      </c>
      <c r="BL9" s="6">
        <f t="shared" si="11"/>
        <v>1</v>
      </c>
      <c r="BM9" s="6">
        <f t="shared" si="11"/>
        <v>1</v>
      </c>
      <c r="BN9" s="6">
        <f t="shared" si="11"/>
        <v>2</v>
      </c>
      <c r="BO9" s="6">
        <f t="shared" si="11"/>
        <v>2</v>
      </c>
      <c r="BP9" s="6">
        <f t="shared" si="11"/>
        <v>2</v>
      </c>
      <c r="BQ9" s="6">
        <f t="shared" si="11"/>
        <v>2</v>
      </c>
      <c r="BR9" s="6">
        <f t="shared" si="11"/>
        <v>2</v>
      </c>
      <c r="BS9" s="6">
        <f t="shared" si="11"/>
        <v>2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3</v>
      </c>
      <c r="AG11" s="57">
        <f>2*MAX(AG4:AG9)+1</f>
        <v>1</v>
      </c>
      <c r="AI11" s="57">
        <f>2*MAX(AI4:AI9)+1</f>
        <v>1</v>
      </c>
      <c r="AT11" s="41" t="s">
        <v>36</v>
      </c>
      <c r="AU11" s="41" t="s">
        <v>0</v>
      </c>
      <c r="AV11" s="41" t="s">
        <v>1</v>
      </c>
      <c r="AW11" s="41" t="s">
        <v>2</v>
      </c>
      <c r="AY11" s="42" t="s">
        <v>34</v>
      </c>
      <c r="AZ11" s="42" t="s">
        <v>35</v>
      </c>
      <c r="BA11" s="6" t="s">
        <v>16</v>
      </c>
      <c r="BB11" s="6" t="s">
        <v>17</v>
      </c>
      <c r="BC11" s="6" t="s">
        <v>18</v>
      </c>
      <c r="BD11" s="6" t="s">
        <v>19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Floris Ros</v>
      </c>
      <c r="D14" s="46" t="s">
        <v>5</v>
      </c>
      <c r="E14" s="66" t="str">
        <f>VLOOKUP(AV14,$B$4:$F$9,2,FALSE)</f>
        <v>Erik Smouter</v>
      </c>
      <c r="F14" s="66"/>
      <c r="G14" s="66"/>
      <c r="H14" s="66"/>
      <c r="J14" s="66">
        <f>IF(T14="","",VLOOKUP(T14,Configuratie!$B$1:$E$10,3,FALSE))</f>
        <v>1</v>
      </c>
      <c r="K14" s="66"/>
      <c r="L14" s="6" t="s">
        <v>5</v>
      </c>
      <c r="M14" s="66">
        <f>IF(T14="","",VLOOKUP(T14,Configuratie!$B$1:$E$10,4,FALSE))</f>
        <v>0</v>
      </c>
      <c r="N14" s="66"/>
      <c r="R14" s="6" t="str">
        <f>IF(T14="","",VLOOKUP(T14,Configuratie!$B$1:$E$10,2,FALSE))</f>
        <v>1-0</v>
      </c>
      <c r="T14" s="5">
        <v>1</v>
      </c>
      <c r="AI14" s="7"/>
      <c r="AT14" s="6">
        <v>1</v>
      </c>
      <c r="AU14" s="6">
        <v>6</v>
      </c>
      <c r="AV14" s="6">
        <v>1</v>
      </c>
      <c r="AW14" s="6">
        <f>IF(AND(ISNUMBER(J14),ISNUMBER(M14)),IF(J14+M14=1,1,0),"")</f>
        <v>1</v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>
        <f>J14*BB14</f>
        <v>0</v>
      </c>
      <c r="BD14" s="6">
        <f>M14*BA14</f>
        <v>0</v>
      </c>
    </row>
    <row r="15" spans="1:71" x14ac:dyDescent="0.25">
      <c r="B15" s="6">
        <v>2</v>
      </c>
      <c r="C15" s="6" t="str">
        <f>VLOOKUP(AU15,$B$4:$F$9,2,FALSE)</f>
        <v>Boaz Wierper</v>
      </c>
      <c r="D15" s="46" t="s">
        <v>5</v>
      </c>
      <c r="E15" s="66" t="str">
        <f>VLOOKUP(AV15,$B$4:$F$9,2,FALSE)</f>
        <v>Aaron Lamers</v>
      </c>
      <c r="F15" s="66"/>
      <c r="G15" s="66"/>
      <c r="H15" s="66"/>
      <c r="J15" s="66">
        <f>IF(T15="","",VLOOKUP(T15,Configuratie!$B$1:$E$10,3,FALSE))</f>
        <v>1</v>
      </c>
      <c r="K15" s="66"/>
      <c r="L15" s="6" t="s">
        <v>5</v>
      </c>
      <c r="M15" s="66">
        <f>IF(T15="","",VLOOKUP(T15,Configuratie!$B$1:$E$10,4,FALSE))</f>
        <v>0</v>
      </c>
      <c r="N15" s="66"/>
      <c r="R15" s="6" t="str">
        <f>IF(T15="","",VLOOKUP(T15,Configuratie!$B$1:$E$10,2,FALSE))</f>
        <v>1-0</v>
      </c>
      <c r="T15" s="5">
        <v>1</v>
      </c>
      <c r="AI15" s="56"/>
      <c r="AT15" s="6">
        <v>1</v>
      </c>
      <c r="AU15" s="6">
        <v>5</v>
      </c>
      <c r="AV15" s="6">
        <v>2</v>
      </c>
      <c r="AW15" s="6">
        <f t="shared" ref="AW15:AW16" si="28">IF(AND(ISNUMBER(J15),ISNUMBER(M15)),IF(J15+M15=1,1,0),"")</f>
        <v>1</v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>
        <f>J15*BB15</f>
        <v>0</v>
      </c>
      <c r="BD15" s="6">
        <f>M15*BA15</f>
        <v>0</v>
      </c>
    </row>
    <row r="16" spans="1:71" x14ac:dyDescent="0.25">
      <c r="B16" s="6">
        <v>3</v>
      </c>
      <c r="C16" s="6" t="str">
        <f>VLOOKUP(AU16,$B$4:$F$9,2,FALSE)</f>
        <v>Chao Daniels</v>
      </c>
      <c r="D16" s="46" t="s">
        <v>5</v>
      </c>
      <c r="E16" s="66" t="str">
        <f>VLOOKUP(AV16,$B$4:$F$9,2,FALSE)</f>
        <v>Fidel Issa</v>
      </c>
      <c r="F16" s="66"/>
      <c r="G16" s="66"/>
      <c r="H16" s="66"/>
      <c r="J16" s="66">
        <f>IF(T16="","",VLOOKUP(T16,Configuratie!$B$1:$E$10,3,FALSE))</f>
        <v>0.5</v>
      </c>
      <c r="K16" s="66"/>
      <c r="L16" s="6" t="s">
        <v>5</v>
      </c>
      <c r="M16" s="66">
        <f>IF(T16="","",VLOOKUP(T16,Configuratie!$B$1:$E$10,4,FALSE))</f>
        <v>0.5</v>
      </c>
      <c r="N16" s="66"/>
      <c r="R16" s="6" t="str">
        <f>IF(T16="","",VLOOKUP(T16,Configuratie!$B$1:$E$10,2,FALSE))</f>
        <v>½-½</v>
      </c>
      <c r="T16" s="5">
        <v>2</v>
      </c>
      <c r="AI16" s="56"/>
      <c r="AT16" s="6">
        <v>1</v>
      </c>
      <c r="AU16" s="6">
        <v>4</v>
      </c>
      <c r="AV16" s="6">
        <v>3</v>
      </c>
      <c r="AW16" s="6">
        <f t="shared" si="28"/>
        <v>1</v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>
        <f>J16*BB16</f>
        <v>0</v>
      </c>
      <c r="BD16" s="6">
        <f>M16*BA16</f>
        <v>0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Floris Ros</v>
      </c>
      <c r="D19" s="46" t="s">
        <v>5</v>
      </c>
      <c r="E19" s="66" t="str">
        <f>VLOOKUP(AV19,$B$4:$F$9,2,FALSE)</f>
        <v>Fidel Issa</v>
      </c>
      <c r="F19" s="66"/>
      <c r="G19" s="66"/>
      <c r="H19" s="66"/>
      <c r="J19" s="66">
        <f>IF(T19="","",VLOOKUP(T19,Configuratie!$B$1:$E$10,3,FALSE))</f>
        <v>0</v>
      </c>
      <c r="K19" s="66"/>
      <c r="L19" s="6" t="s">
        <v>5</v>
      </c>
      <c r="M19" s="66">
        <f>IF(T19="","",VLOOKUP(T19,Configuratie!$B$1:$E$10,4,FALSE))</f>
        <v>1</v>
      </c>
      <c r="N19" s="66"/>
      <c r="R19" s="6" t="str">
        <f>IF(T19="","",VLOOKUP(T19,Configuratie!$B$1:$E$10,2,FALSE))</f>
        <v>0-1</v>
      </c>
      <c r="T19" s="5">
        <v>0</v>
      </c>
      <c r="AI19" s="56"/>
      <c r="AT19" s="6">
        <v>2</v>
      </c>
      <c r="AU19" s="6">
        <v>6</v>
      </c>
      <c r="AV19" s="6">
        <v>3</v>
      </c>
      <c r="AW19" s="6">
        <f>IF(AND(ISNUMBER(J19),ISNUMBER(M19)),IF(J19+M19=1,1,0),"")</f>
        <v>1</v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1</v>
      </c>
      <c r="BB19" s="6">
        <f t="shared" si="29"/>
        <v>0.5</v>
      </c>
      <c r="BC19" s="6">
        <f>J19*BB19</f>
        <v>0</v>
      </c>
      <c r="BD19" s="6">
        <f>M19*BA19</f>
        <v>1</v>
      </c>
    </row>
    <row r="20" spans="2:56" x14ac:dyDescent="0.25">
      <c r="B20" s="6">
        <v>2</v>
      </c>
      <c r="C20" s="6" t="str">
        <f>VLOOKUP(AU20,$B$4:$F$9,2,FALSE)</f>
        <v>Aaron Lamers</v>
      </c>
      <c r="D20" s="46" t="s">
        <v>5</v>
      </c>
      <c r="E20" s="66" t="str">
        <f>VLOOKUP(AV20,$B$4:$F$9,2,FALSE)</f>
        <v>Chao Daniels</v>
      </c>
      <c r="F20" s="66"/>
      <c r="G20" s="66"/>
      <c r="H20" s="66"/>
      <c r="J20" s="66">
        <f>IF(T20="","",VLOOKUP(T20,Configuratie!$B$1:$E$10,3,FALSE))</f>
        <v>1</v>
      </c>
      <c r="K20" s="66"/>
      <c r="L20" s="6" t="s">
        <v>5</v>
      </c>
      <c r="M20" s="66">
        <f>IF(T20="","",VLOOKUP(T20,Configuratie!$B$1:$E$10,4,FALSE))</f>
        <v>0</v>
      </c>
      <c r="N20" s="66"/>
      <c r="R20" s="6" t="str">
        <f>IF(T20="","",VLOOKUP(T20,Configuratie!$B$1:$E$10,2,FALSE))</f>
        <v>1-0</v>
      </c>
      <c r="T20" s="5">
        <v>1</v>
      </c>
      <c r="AT20" s="6">
        <v>2</v>
      </c>
      <c r="AU20" s="6">
        <v>2</v>
      </c>
      <c r="AV20" s="6">
        <v>4</v>
      </c>
      <c r="AW20" s="6">
        <f t="shared" ref="AW20:AW21" si="30">IF(AND(ISNUMBER(J20),ISNUMBER(M20)),IF(J20+M20=1,1,0),"")</f>
        <v>1</v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0.5</v>
      </c>
      <c r="BC20" s="6">
        <f>J20*BB20</f>
        <v>0.5</v>
      </c>
      <c r="BD20" s="6">
        <f>M20*BA20</f>
        <v>0</v>
      </c>
    </row>
    <row r="21" spans="2:56" x14ac:dyDescent="0.25">
      <c r="B21" s="6">
        <v>3</v>
      </c>
      <c r="C21" s="6" t="str">
        <f>VLOOKUP(AU21,$B$4:$F$9,2,FALSE)</f>
        <v>Erik Smouter</v>
      </c>
      <c r="D21" s="46" t="s">
        <v>5</v>
      </c>
      <c r="E21" s="66" t="str">
        <f>VLOOKUP(AV21,$B$4:$F$9,2,FALSE)</f>
        <v>Boaz Wierper</v>
      </c>
      <c r="F21" s="66"/>
      <c r="G21" s="66"/>
      <c r="H21" s="66"/>
      <c r="J21" s="66">
        <f>IF(T21="","",VLOOKUP(T21,Configuratie!$B$1:$E$10,3,FALSE))</f>
        <v>0.5</v>
      </c>
      <c r="K21" s="66"/>
      <c r="L21" s="6" t="s">
        <v>5</v>
      </c>
      <c r="M21" s="66">
        <f>IF(T21="","",VLOOKUP(T21,Configuratie!$B$1:$E$10,4,FALSE))</f>
        <v>0.5</v>
      </c>
      <c r="N21" s="66"/>
      <c r="R21" s="6" t="str">
        <f>IF(T21="","",VLOOKUP(T21,Configuratie!$B$1:$E$10,2,FALSE))</f>
        <v>½-½</v>
      </c>
      <c r="T21" s="5">
        <v>2</v>
      </c>
      <c r="AT21" s="6">
        <v>2</v>
      </c>
      <c r="AU21" s="6">
        <v>1</v>
      </c>
      <c r="AV21" s="6">
        <v>5</v>
      </c>
      <c r="AW21" s="6">
        <f t="shared" si="30"/>
        <v>1</v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1</v>
      </c>
      <c r="BC21" s="6">
        <f>J21*BB21</f>
        <v>0.5</v>
      </c>
      <c r="BD21" s="6">
        <f>M21*BA21</f>
        <v>0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Boaz Wierper</v>
      </c>
      <c r="D24" s="46" t="s">
        <v>5</v>
      </c>
      <c r="E24" s="66" t="str">
        <f>VLOOKUP(AV24,$B$4:$F$9,2,FALSE)</f>
        <v>Floris Ros</v>
      </c>
      <c r="F24" s="66"/>
      <c r="G24" s="66"/>
      <c r="H24" s="66"/>
      <c r="J24" s="66">
        <f>IF(T24="","",VLOOKUP(T24,Configuratie!$B$1:$E$10,3,FALSE))</f>
        <v>1</v>
      </c>
      <c r="K24" s="66"/>
      <c r="L24" s="6" t="s">
        <v>5</v>
      </c>
      <c r="M24" s="66">
        <f>IF(T24="","",VLOOKUP(T24,Configuratie!$B$1:$E$10,4,FALSE))</f>
        <v>0</v>
      </c>
      <c r="N24" s="66"/>
      <c r="R24" s="6" t="str">
        <f>IF(T24="","",VLOOKUP(T24,Configuratie!$B$1:$E$10,2,FALSE))</f>
        <v>1-0</v>
      </c>
      <c r="T24" s="5">
        <v>1</v>
      </c>
      <c r="AT24" s="6">
        <v>3</v>
      </c>
      <c r="AU24" s="6">
        <v>5</v>
      </c>
      <c r="AV24" s="6">
        <v>6</v>
      </c>
      <c r="AW24" s="6">
        <f>IF(AND(ISNUMBER(J24),ISNUMBER(M24)),IF(J24+M24=1,1,0),"")</f>
        <v>1</v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1.5</v>
      </c>
      <c r="BB24" s="6">
        <f t="shared" si="31"/>
        <v>1</v>
      </c>
      <c r="BC24" s="6">
        <f>J24*BB24</f>
        <v>1</v>
      </c>
      <c r="BD24" s="6">
        <f>M24*BA24</f>
        <v>0</v>
      </c>
    </row>
    <row r="25" spans="2:56" x14ac:dyDescent="0.25">
      <c r="B25" s="6">
        <v>2</v>
      </c>
      <c r="C25" s="6" t="str">
        <f>VLOOKUP(AU25,$B$4:$F$9,2,FALSE)</f>
        <v>Chao Daniels</v>
      </c>
      <c r="D25" s="46" t="s">
        <v>5</v>
      </c>
      <c r="E25" s="66" t="str">
        <f>VLOOKUP(AV25,$B$4:$F$9,2,FALSE)</f>
        <v>Erik Smouter</v>
      </c>
      <c r="F25" s="66"/>
      <c r="G25" s="66"/>
      <c r="H25" s="66"/>
      <c r="J25" s="66">
        <f>IF(T25="","",VLOOKUP(T25,Configuratie!$B$1:$E$10,3,FALSE))</f>
        <v>1</v>
      </c>
      <c r="K25" s="66"/>
      <c r="L25" s="6" t="s">
        <v>5</v>
      </c>
      <c r="M25" s="66">
        <f>IF(T25="","",VLOOKUP(T25,Configuratie!$B$1:$E$10,4,FALSE))</f>
        <v>0</v>
      </c>
      <c r="N25" s="66"/>
      <c r="R25" s="6" t="str">
        <f>IF(T25="","",VLOOKUP(T25,Configuratie!$B$1:$E$10,2,FALSE))</f>
        <v>1-0</v>
      </c>
      <c r="T25" s="5">
        <v>1</v>
      </c>
      <c r="AT25" s="6">
        <v>3</v>
      </c>
      <c r="AU25" s="6">
        <v>4</v>
      </c>
      <c r="AV25" s="6">
        <v>1</v>
      </c>
      <c r="AW25" s="6">
        <f t="shared" ref="AW25:AW26" si="32">IF(AND(ISNUMBER(J25),ISNUMBER(M25)),IF(J25+M25=1,1,0),"")</f>
        <v>1</v>
      </c>
      <c r="AY25" s="48">
        <f>AU25*100+AV25</f>
        <v>401</v>
      </c>
      <c r="AZ25" s="48">
        <f>AV25*100+AU25</f>
        <v>104</v>
      </c>
      <c r="BA25" s="6">
        <f t="shared" si="31"/>
        <v>0.5</v>
      </c>
      <c r="BB25" s="6">
        <f t="shared" si="31"/>
        <v>0.5</v>
      </c>
      <c r="BC25" s="6">
        <f>J25*BB25</f>
        <v>0.5</v>
      </c>
      <c r="BD25" s="6">
        <f>M25*BA25</f>
        <v>0</v>
      </c>
    </row>
    <row r="26" spans="2:56" x14ac:dyDescent="0.25">
      <c r="B26" s="6">
        <v>3</v>
      </c>
      <c r="C26" s="6" t="str">
        <f>VLOOKUP(AU26,$B$4:$F$9,2,FALSE)</f>
        <v>Fidel Issa</v>
      </c>
      <c r="D26" s="46" t="s">
        <v>5</v>
      </c>
      <c r="E26" s="66" t="str">
        <f>VLOOKUP(AV26,$B$4:$F$9,2,FALSE)</f>
        <v>Aaron Lamers</v>
      </c>
      <c r="F26" s="66"/>
      <c r="G26" s="66"/>
      <c r="H26" s="66"/>
      <c r="J26" s="66">
        <f>IF(T26="","",VLOOKUP(T26,Configuratie!$B$1:$E$10,3,FALSE))</f>
        <v>0.5</v>
      </c>
      <c r="K26" s="66"/>
      <c r="L26" s="6" t="s">
        <v>5</v>
      </c>
      <c r="M26" s="66">
        <f>IF(T26="","",VLOOKUP(T26,Configuratie!$B$1:$E$10,4,FALSE))</f>
        <v>0.5</v>
      </c>
      <c r="N26" s="66"/>
      <c r="R26" s="6" t="str">
        <f>IF(T26="","",VLOOKUP(T26,Configuratie!$B$1:$E$10,2,FALSE))</f>
        <v>½-½</v>
      </c>
      <c r="T26" s="5">
        <v>2</v>
      </c>
      <c r="AT26" s="6">
        <v>3</v>
      </c>
      <c r="AU26" s="6">
        <v>3</v>
      </c>
      <c r="AV26" s="6">
        <v>2</v>
      </c>
      <c r="AW26" s="6">
        <f t="shared" si="32"/>
        <v>1</v>
      </c>
      <c r="AY26" s="48">
        <f>AU26*100+AV26</f>
        <v>302</v>
      </c>
      <c r="AZ26" s="48">
        <f>AV26*100+AU26</f>
        <v>203</v>
      </c>
      <c r="BA26" s="6">
        <f t="shared" si="31"/>
        <v>1.5</v>
      </c>
      <c r="BB26" s="6">
        <f t="shared" si="31"/>
        <v>1</v>
      </c>
      <c r="BC26" s="6">
        <f>J26*BB26</f>
        <v>0.5</v>
      </c>
      <c r="BD26" s="6">
        <f>M26*BA26</f>
        <v>0.75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Floris Ros</v>
      </c>
      <c r="D29" s="46" t="s">
        <v>5</v>
      </c>
      <c r="E29" s="66" t="str">
        <f>VLOOKUP(AV29,$B$4:$F$9,2,FALSE)</f>
        <v>Aaron Lamers</v>
      </c>
      <c r="F29" s="66"/>
      <c r="G29" s="66"/>
      <c r="H29" s="66"/>
      <c r="J29" s="66">
        <f>IF(T29="","",VLOOKUP(T29,Configuratie!$B$1:$E$10,3,FALSE))</f>
        <v>1</v>
      </c>
      <c r="K29" s="66"/>
      <c r="L29" s="6" t="s">
        <v>5</v>
      </c>
      <c r="M29" s="66">
        <f>IF(T29="","",VLOOKUP(T29,Configuratie!$B$1:$E$10,4,FALSE))</f>
        <v>0</v>
      </c>
      <c r="N29" s="66"/>
      <c r="R29" s="6" t="str">
        <f>IF(T29="","",VLOOKUP(T29,Configuratie!$B$1:$E$10,2,FALSE))</f>
        <v>1-0</v>
      </c>
      <c r="T29" s="5">
        <v>1</v>
      </c>
      <c r="AT29" s="6">
        <v>4</v>
      </c>
      <c r="AU29" s="6">
        <v>6</v>
      </c>
      <c r="AV29" s="6">
        <v>2</v>
      </c>
      <c r="AW29" s="6">
        <f>IF(AND(ISNUMBER(J29),ISNUMBER(M29)),IF(J29+M29=1,1,0),"")</f>
        <v>1</v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1</v>
      </c>
      <c r="BB29" s="6">
        <f t="shared" si="33"/>
        <v>1.5</v>
      </c>
      <c r="BC29" s="6">
        <f>J29*BB29</f>
        <v>1.5</v>
      </c>
      <c r="BD29" s="6">
        <f>M29*BA29</f>
        <v>0</v>
      </c>
    </row>
    <row r="30" spans="2:56" x14ac:dyDescent="0.25">
      <c r="B30" s="6">
        <v>2</v>
      </c>
      <c r="C30" s="6" t="str">
        <f>VLOOKUP(AU30,$B$4:$F$9,2,FALSE)</f>
        <v>Erik Smouter</v>
      </c>
      <c r="D30" s="46" t="s">
        <v>5</v>
      </c>
      <c r="E30" s="66" t="str">
        <f>VLOOKUP(AV30,$B$4:$F$9,2,FALSE)</f>
        <v>Fidel Issa</v>
      </c>
      <c r="F30" s="66"/>
      <c r="G30" s="66"/>
      <c r="H30" s="66"/>
      <c r="J30" s="66">
        <f>IF(T30="","",VLOOKUP(T30,Configuratie!$B$1:$E$10,3,FALSE))</f>
        <v>1</v>
      </c>
      <c r="K30" s="66"/>
      <c r="L30" s="6" t="s">
        <v>5</v>
      </c>
      <c r="M30" s="66">
        <f>IF(T30="","",VLOOKUP(T30,Configuratie!$B$1:$E$10,4,FALSE))</f>
        <v>0</v>
      </c>
      <c r="N30" s="66"/>
      <c r="R30" s="6" t="str">
        <f>IF(T30="","",VLOOKUP(T30,Configuratie!$B$1:$E$10,2,FALSE))</f>
        <v>1-0</v>
      </c>
      <c r="T30" s="5">
        <v>1</v>
      </c>
      <c r="AT30" s="6">
        <v>4</v>
      </c>
      <c r="AU30" s="6">
        <v>1</v>
      </c>
      <c r="AV30" s="6">
        <v>3</v>
      </c>
      <c r="AW30" s="6">
        <f t="shared" ref="AW30:AW31" si="34">IF(AND(ISNUMBER(J30),ISNUMBER(M30)),IF(J30+M30=1,1,0),"")</f>
        <v>1</v>
      </c>
      <c r="AY30" s="48">
        <f>AU30*100+AV30</f>
        <v>103</v>
      </c>
      <c r="AZ30" s="48">
        <f>AV30*100+AU30</f>
        <v>301</v>
      </c>
      <c r="BA30" s="6">
        <f t="shared" si="33"/>
        <v>0.5</v>
      </c>
      <c r="BB30" s="6">
        <f t="shared" si="33"/>
        <v>2</v>
      </c>
      <c r="BC30" s="6">
        <f>J30*BB30</f>
        <v>2</v>
      </c>
      <c r="BD30" s="6">
        <f>M30*BA30</f>
        <v>0</v>
      </c>
    </row>
    <row r="31" spans="2:56" x14ac:dyDescent="0.25">
      <c r="B31" s="6">
        <v>3</v>
      </c>
      <c r="C31" s="6" t="str">
        <f>VLOOKUP(AU31,$B$4:$F$9,2,FALSE)</f>
        <v>Boaz Wierper</v>
      </c>
      <c r="D31" s="46" t="s">
        <v>5</v>
      </c>
      <c r="E31" s="66" t="str">
        <f>VLOOKUP(AV31,$B$4:$F$9,2,FALSE)</f>
        <v>Chao Daniels</v>
      </c>
      <c r="F31" s="66"/>
      <c r="G31" s="66"/>
      <c r="H31" s="66"/>
      <c r="J31" s="66">
        <f>IF(T31="","",VLOOKUP(T31,Configuratie!$B$1:$E$10,3,FALSE))</f>
        <v>0.5</v>
      </c>
      <c r="K31" s="66"/>
      <c r="L31" s="6" t="s">
        <v>5</v>
      </c>
      <c r="M31" s="66">
        <f>IF(T31="","",VLOOKUP(T31,Configuratie!$B$1:$E$10,4,FALSE))</f>
        <v>0.5</v>
      </c>
      <c r="N31" s="66"/>
      <c r="R31" s="6" t="str">
        <f>IF(T31="","",VLOOKUP(T31,Configuratie!$B$1:$E$10,2,FALSE))</f>
        <v>½-½</v>
      </c>
      <c r="T31" s="5">
        <v>2</v>
      </c>
      <c r="AT31" s="6">
        <v>4</v>
      </c>
      <c r="AU31" s="6">
        <v>5</v>
      </c>
      <c r="AV31" s="6">
        <v>4</v>
      </c>
      <c r="AW31" s="6">
        <f t="shared" si="34"/>
        <v>1</v>
      </c>
      <c r="AY31" s="48">
        <f>AU31*100+AV31</f>
        <v>504</v>
      </c>
      <c r="AZ31" s="48">
        <f>AV31*100+AU31</f>
        <v>405</v>
      </c>
      <c r="BA31" s="6">
        <f t="shared" si="33"/>
        <v>2.5</v>
      </c>
      <c r="BB31" s="6">
        <f t="shared" si="33"/>
        <v>1.5</v>
      </c>
      <c r="BC31" s="6">
        <f>J31*BB31</f>
        <v>0.75</v>
      </c>
      <c r="BD31" s="6">
        <f>M31*BA31</f>
        <v>1.25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Chao Daniels</v>
      </c>
      <c r="D34" s="46" t="s">
        <v>5</v>
      </c>
      <c r="E34" s="66" t="str">
        <f>VLOOKUP(AV34,$B$4:$F$9,2,FALSE)</f>
        <v>Floris Ros</v>
      </c>
      <c r="F34" s="66"/>
      <c r="G34" s="66"/>
      <c r="H34" s="66"/>
      <c r="J34" s="66">
        <f>IF(T34="","",VLOOKUP(T34,Configuratie!$B$1:$E$10,3,FALSE))</f>
        <v>1</v>
      </c>
      <c r="K34" s="66"/>
      <c r="L34" s="6" t="s">
        <v>5</v>
      </c>
      <c r="M34" s="66">
        <f>IF(T34="","",VLOOKUP(T34,Configuratie!$B$1:$E$10,4,FALSE))</f>
        <v>0</v>
      </c>
      <c r="N34" s="66"/>
      <c r="R34" s="6" t="str">
        <f>IF(T34="","",VLOOKUP(T34,Configuratie!$B$1:$E$10,2,FALSE))</f>
        <v>1-0</v>
      </c>
      <c r="T34" s="5">
        <v>1</v>
      </c>
      <c r="AT34" s="6">
        <v>5</v>
      </c>
      <c r="AU34" s="6">
        <v>4</v>
      </c>
      <c r="AV34" s="6">
        <v>6</v>
      </c>
      <c r="AW34" s="6">
        <f>IF(AND(ISNUMBER(J34),ISNUMBER(M34)),IF(J34+M34=1,1,0),"")</f>
        <v>1</v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2</v>
      </c>
      <c r="BB34" s="6">
        <f t="shared" si="35"/>
        <v>2</v>
      </c>
      <c r="BC34" s="6">
        <f>J34*BB34</f>
        <v>2</v>
      </c>
      <c r="BD34" s="6">
        <f>M34*BA34</f>
        <v>0</v>
      </c>
    </row>
    <row r="35" spans="2:56" x14ac:dyDescent="0.25">
      <c r="B35" s="6">
        <v>2</v>
      </c>
      <c r="C35" s="6" t="str">
        <f>VLOOKUP(AU35,$B$4:$F$9,2,FALSE)</f>
        <v>Boaz Wierper</v>
      </c>
      <c r="D35" s="46" t="s">
        <v>5</v>
      </c>
      <c r="E35" s="66" t="str">
        <f>VLOOKUP(AV35,$B$4:$F$9,2,FALSE)</f>
        <v>Fidel Issa</v>
      </c>
      <c r="F35" s="66"/>
      <c r="G35" s="66"/>
      <c r="H35" s="66"/>
      <c r="J35" s="66">
        <f>IF(T35="","",VLOOKUP(T35,Configuratie!$B$1:$E$10,3,FALSE))</f>
        <v>1</v>
      </c>
      <c r="K35" s="66"/>
      <c r="L35" s="6" t="s">
        <v>5</v>
      </c>
      <c r="M35" s="66">
        <f>IF(T35="","",VLOOKUP(T35,Configuratie!$B$1:$E$10,4,FALSE))</f>
        <v>0</v>
      </c>
      <c r="N35" s="66"/>
      <c r="R35" s="6" t="str">
        <f>IF(T35="","",VLOOKUP(T35,Configuratie!$B$1:$E$10,2,FALSE))</f>
        <v>1-0</v>
      </c>
      <c r="T35" s="5">
        <v>1</v>
      </c>
      <c r="AT35" s="6">
        <v>5</v>
      </c>
      <c r="AU35" s="6">
        <v>5</v>
      </c>
      <c r="AV35" s="6">
        <v>3</v>
      </c>
      <c r="AW35" s="6">
        <f t="shared" ref="AW35:AW36" si="36">IF(AND(ISNUMBER(J35),ISNUMBER(M35)),IF(J35+M35=1,1,0),"")</f>
        <v>1</v>
      </c>
      <c r="AY35" s="48">
        <f>AU35*100+AV35</f>
        <v>503</v>
      </c>
      <c r="AZ35" s="48">
        <f>AV35*100+AU35</f>
        <v>305</v>
      </c>
      <c r="BA35" s="6">
        <f t="shared" si="35"/>
        <v>3</v>
      </c>
      <c r="BB35" s="6">
        <f t="shared" si="35"/>
        <v>2</v>
      </c>
      <c r="BC35" s="6">
        <f>J35*BB35</f>
        <v>2</v>
      </c>
      <c r="BD35" s="6">
        <f>M35*BA35</f>
        <v>0</v>
      </c>
    </row>
    <row r="36" spans="2:56" x14ac:dyDescent="0.25">
      <c r="B36" s="6">
        <v>3</v>
      </c>
      <c r="C36" s="6" t="str">
        <f>VLOOKUP(AU36,$B$4:$F$9,2,FALSE)</f>
        <v>Aaron Lamers</v>
      </c>
      <c r="D36" s="46" t="s">
        <v>5</v>
      </c>
      <c r="E36" s="66" t="str">
        <f>VLOOKUP(AV36,$B$4:$F$9,2,FALSE)</f>
        <v>Erik Smouter</v>
      </c>
      <c r="F36" s="66"/>
      <c r="G36" s="66"/>
      <c r="H36" s="66"/>
      <c r="J36" s="66">
        <f>IF(T36="","",VLOOKUP(T36,Configuratie!$B$1:$E$10,3,FALSE))</f>
        <v>0</v>
      </c>
      <c r="K36" s="66"/>
      <c r="L36" s="6" t="s">
        <v>5</v>
      </c>
      <c r="M36" s="66">
        <f>IF(T36="","",VLOOKUP(T36,Configuratie!$B$1:$E$10,4,FALSE))</f>
        <v>1</v>
      </c>
      <c r="N36" s="66"/>
      <c r="R36" s="6" t="str">
        <f>IF(T36="","",VLOOKUP(T36,Configuratie!$B$1:$E$10,2,FALSE))</f>
        <v>0-1</v>
      </c>
      <c r="T36" s="5">
        <v>0</v>
      </c>
      <c r="AT36" s="6">
        <v>5</v>
      </c>
      <c r="AU36" s="6">
        <v>2</v>
      </c>
      <c r="AV36" s="6">
        <v>1</v>
      </c>
      <c r="AW36" s="6">
        <f t="shared" si="36"/>
        <v>1</v>
      </c>
      <c r="AY36" s="48">
        <f>AU36*100+AV36</f>
        <v>201</v>
      </c>
      <c r="AZ36" s="48">
        <f>AV36*100+AU36</f>
        <v>102</v>
      </c>
      <c r="BA36" s="6">
        <f t="shared" si="35"/>
        <v>1.5</v>
      </c>
      <c r="BB36" s="6">
        <f t="shared" si="35"/>
        <v>1.5</v>
      </c>
      <c r="BC36" s="6">
        <f>J36*BB36</f>
        <v>0</v>
      </c>
      <c r="BD36" s="6">
        <f>M36*BA36</f>
        <v>1.5</v>
      </c>
    </row>
    <row r="52" spans="13:14" x14ac:dyDescent="0.25">
      <c r="M52" s="66"/>
      <c r="N52" s="66"/>
    </row>
    <row r="53" spans="13:14" x14ac:dyDescent="0.25">
      <c r="M53" s="66"/>
      <c r="N53" s="66"/>
    </row>
    <row r="54" spans="13:14" x14ac:dyDescent="0.25">
      <c r="M54" s="66"/>
      <c r="N54" s="66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23" priority="4" stopIfTrue="1" operator="between">
      <formula>0</formula>
      <formula>1</formula>
    </cfRule>
  </conditionalFormatting>
  <conditionalFormatting sqref="T4:T9">
    <cfRule type="cellIs" dxfId="22" priority="1" operator="equal">
      <formula>3</formula>
    </cfRule>
    <cfRule type="cellIs" dxfId="21" priority="2" operator="equal">
      <formula>2</formula>
    </cfRule>
    <cfRule type="cellIs" dxfId="2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 fitToPage="1"/>
  </sheetPr>
  <dimension ref="A1:BT54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4" width="3.7109375" style="6" customWidth="1" collapsed="1"/>
    <col min="15" max="17" width="3.7109375" style="6" hidden="1" customWidth="1" collapsed="1"/>
    <col min="18" max="20" width="10.42578125" style="6" customWidth="1" collapsed="1"/>
    <col min="21" max="21" width="3.7109375" style="6" customWidth="1" collapsed="1"/>
    <col min="22" max="22" width="6.7109375" style="6" customWidth="1" collapsed="1"/>
    <col min="23" max="23" width="3" style="6" hidden="1" customWidth="1" collapsed="1"/>
    <col min="24" max="24" width="27.7109375" style="6" customWidth="1" collapsed="1"/>
    <col min="25" max="25" width="6.7109375" style="6" customWidth="1" collapsed="1"/>
    <col min="26" max="26" width="6.7109375" style="6" hidden="1" customWidth="1" collapsed="1"/>
    <col min="27" max="27" width="6.7109375" style="6" customWidth="1" collapsed="1"/>
    <col min="28" max="29" width="6.7109375" style="6" hidden="1" customWidth="1" collapsed="1"/>
    <col min="30" max="30" width="6.7109375" style="6" customWidth="1" collapsed="1"/>
    <col min="31" max="31" width="8.570312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6.7109375" style="6" hidden="1" customWidth="1" collapsed="1"/>
    <col min="35" max="35" width="8.5703125" style="6" hidden="1" customWidth="1" collapsed="1"/>
    <col min="36" max="37" width="6.7109375" style="6" hidden="1" customWidth="1" collapsed="1"/>
    <col min="38" max="38" width="8.5703125" style="6" hidden="1" customWidth="1" collapsed="1"/>
    <col min="39" max="46" width="6.7109375" style="6" hidden="1" customWidth="1" collapsed="1"/>
    <col min="47" max="50" width="9.140625" style="6" hidden="1" customWidth="1" collapsed="1"/>
    <col min="51" max="52" width="4.42578125" style="6" hidden="1" customWidth="1" collapsed="1"/>
    <col min="53" max="71" width="3.7109375" style="6" hidden="1" customWidth="1" collapsed="1"/>
    <col min="72" max="72" width="9.140625" style="6" hidden="1" customWidth="1" collapsed="1"/>
    <col min="73" max="74" width="9.140625" style="6" customWidth="1" collapsed="1"/>
    <col min="75" max="16384" width="9.140625" style="6" collapsed="1"/>
  </cols>
  <sheetData>
    <row r="1" spans="1:71" ht="26.25" x14ac:dyDescent="0.4">
      <c r="A1" s="24">
        <v>6</v>
      </c>
      <c r="B1" s="68" t="s">
        <v>29</v>
      </c>
      <c r="C1" s="68"/>
      <c r="D1" s="68"/>
      <c r="E1" s="68"/>
      <c r="F1" s="68"/>
      <c r="G1" s="71" t="s">
        <v>111</v>
      </c>
      <c r="H1" s="71"/>
      <c r="I1" s="66"/>
      <c r="J1" s="66"/>
      <c r="K1" s="66"/>
      <c r="L1" s="66"/>
      <c r="M1" s="66"/>
      <c r="N1" s="66"/>
      <c r="O1" s="66"/>
      <c r="P1" s="66"/>
      <c r="Q1" s="66"/>
      <c r="R1" s="66"/>
      <c r="S1" s="47"/>
      <c r="T1" s="47"/>
      <c r="U1" s="15"/>
      <c r="V1" s="69" t="str">
        <f>"UITSLAG "&amp; G1</f>
        <v>UITSLAG Groep I</v>
      </c>
      <c r="W1" s="70"/>
      <c r="X1" s="70"/>
      <c r="Y1" s="70"/>
      <c r="Z1" s="70"/>
      <c r="AA1" s="70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25</v>
      </c>
      <c r="AV2" s="16" t="s">
        <v>24</v>
      </c>
      <c r="AW2" s="16" t="s">
        <v>26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17"/>
      <c r="BJ2" s="18"/>
      <c r="BK2" s="70" t="s">
        <v>21</v>
      </c>
      <c r="BL2" s="70"/>
      <c r="BM2" s="70"/>
      <c r="BN2" s="70"/>
      <c r="BO2" s="70"/>
      <c r="BP2" s="70"/>
      <c r="BQ2" s="70"/>
      <c r="BR2" s="70"/>
      <c r="BS2" s="70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5"/>
      <c r="O3" s="76"/>
      <c r="P3" s="49"/>
      <c r="Q3" s="50"/>
      <c r="R3" s="7" t="s">
        <v>15</v>
      </c>
      <c r="S3" s="7" t="s">
        <v>24</v>
      </c>
      <c r="T3" s="7" t="s">
        <v>56</v>
      </c>
      <c r="U3" s="21"/>
      <c r="V3" s="7" t="s">
        <v>30</v>
      </c>
      <c r="W3" s="22" t="s">
        <v>28</v>
      </c>
      <c r="X3" s="7" t="s">
        <v>6</v>
      </c>
      <c r="Y3" s="7" t="s">
        <v>27</v>
      </c>
      <c r="Z3" s="7" t="s">
        <v>22</v>
      </c>
      <c r="AA3" s="7" t="s">
        <v>24</v>
      </c>
      <c r="AB3" s="7" t="s">
        <v>31</v>
      </c>
      <c r="AC3" s="7" t="s">
        <v>32</v>
      </c>
      <c r="AD3" s="13"/>
      <c r="AE3" s="7" t="s">
        <v>47</v>
      </c>
      <c r="AF3" s="7" t="s">
        <v>48</v>
      </c>
      <c r="AG3" s="7" t="s">
        <v>49</v>
      </c>
      <c r="AH3" s="7" t="s">
        <v>50</v>
      </c>
      <c r="AI3" s="7" t="s">
        <v>51</v>
      </c>
      <c r="AJ3" s="7" t="s">
        <v>52</v>
      </c>
      <c r="AK3" s="7"/>
      <c r="AL3" s="7" t="s">
        <v>53</v>
      </c>
      <c r="AM3" s="7" t="s">
        <v>54</v>
      </c>
      <c r="AN3" s="7" t="s">
        <v>55</v>
      </c>
      <c r="AO3" s="7" t="s">
        <v>56</v>
      </c>
      <c r="AP3" s="13"/>
      <c r="AQ3" s="13"/>
      <c r="AR3" s="13"/>
      <c r="AS3" s="21"/>
      <c r="AT3" s="7" t="s">
        <v>33</v>
      </c>
      <c r="AU3" s="23" t="s">
        <v>23</v>
      </c>
      <c r="AV3" s="16" t="s">
        <v>23</v>
      </c>
      <c r="AW3" s="16" t="s">
        <v>23</v>
      </c>
      <c r="AY3" s="6" t="s">
        <v>28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28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3</v>
      </c>
      <c r="B4" s="25">
        <v>1</v>
      </c>
      <c r="C4" s="25" t="s">
        <v>112</v>
      </c>
      <c r="D4" s="67">
        <v>8535329</v>
      </c>
      <c r="E4" s="67"/>
      <c r="F4" s="25">
        <v>367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>
        <f t="shared" si="0"/>
        <v>0</v>
      </c>
      <c r="J4" s="27">
        <f t="shared" si="0"/>
        <v>0</v>
      </c>
      <c r="K4" s="27">
        <f t="shared" si="0"/>
        <v>1</v>
      </c>
      <c r="L4" s="27">
        <f t="shared" si="0"/>
        <v>1</v>
      </c>
      <c r="M4" s="27">
        <f t="shared" si="0"/>
        <v>1</v>
      </c>
      <c r="N4" s="73"/>
      <c r="O4" s="74"/>
      <c r="P4" s="52"/>
      <c r="Q4" s="53"/>
      <c r="R4" s="8">
        <f t="shared" ref="R4:R9" si="1">SUM(H4:Q4)</f>
        <v>3</v>
      </c>
      <c r="S4" s="8">
        <f>IF(H4="",0,H4)*$R$4+IF(I4="",0,I4)*$R$5+IF(J4="",0,J4)*$R$6+IF(K4="",0,K4)*$R$7+IF(L4="",0,L4)*$R$8+IF(M4="",0,M4)*$R$9</f>
        <v>4</v>
      </c>
      <c r="T4" s="54">
        <f>AO4</f>
        <v>3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Chris Kamperman</v>
      </c>
      <c r="Y4" s="34">
        <f t="shared" ref="Y4:Y9" si="3">IF(ISNA(VLOOKUP(B4,$A$4:$S$11,18,FALSE)),0,VLOOKUP(B4,$A$4:$S$11,18,FALSE))</f>
        <v>5</v>
      </c>
      <c r="Z4" s="34">
        <f t="shared" ref="Z4:Z9" si="4">VLOOKUP($W4,$AT$4:$AW$9,2,FALSE)</f>
        <v>2</v>
      </c>
      <c r="AA4" s="55">
        <f t="shared" ref="AA4:AA9" si="5">IF(ISNA(VLOOKUP(B4,$A$4:$S$11,19,FALSE)),0,VLOOKUP(B4,$A$4:$S$11,19,FALSE))</f>
        <v>10</v>
      </c>
      <c r="AB4" s="34">
        <f t="shared" ref="AB4:AB9" si="6">VLOOKUP($W4,$AT$4:$AW$9,4,FALSE)</f>
        <v>12</v>
      </c>
      <c r="AC4" s="35">
        <f t="shared" ref="AC4:AC9" si="7">VLOOKUP($W4,$B$4:$R$9,5,FALSE)</f>
        <v>334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9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9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9</v>
      </c>
      <c r="AK4" s="56"/>
      <c r="AL4" s="56">
        <f>RANK(AJ4,$AJ$4:$AJ$9,1)-1</f>
        <v>3</v>
      </c>
      <c r="AM4" s="56">
        <f>RANK(S4,$S$4:$S$9,1)-1</f>
        <v>3</v>
      </c>
      <c r="AN4" s="56">
        <f>6*AL4+AM4</f>
        <v>21</v>
      </c>
      <c r="AO4" s="56">
        <f>RANK(AN4,$AN$4:$AN$9)</f>
        <v>3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9</v>
      </c>
      <c r="AV4" s="39">
        <f t="shared" ref="AV4:AV9" si="9">SUMIF($AU$11:$AU$36,B4,$BC$11:$BC$36)+SUMIF($AV$11:$AV$36,B4,$BD$11:$BD$36)</f>
        <v>0</v>
      </c>
      <c r="AW4" s="39">
        <f>SUM(BK4:BS4)</f>
        <v>24</v>
      </c>
      <c r="AY4" s="6">
        <v>1</v>
      </c>
      <c r="AZ4" s="6">
        <f t="shared" ref="AZ4:BH9" si="10">SUMIFS($J$14:$J$36,$AU$14:$AU$36,$AY4,$AT$14:$AT$36,AZ$3)+SUMIFS($M$14:$M$36,$AV$14:$AV$36,$AY4,$AT$14:$AT$36,AZ$3)</f>
        <v>1</v>
      </c>
      <c r="BA4" s="6">
        <f t="shared" si="10"/>
        <v>1</v>
      </c>
      <c r="BB4" s="6">
        <f t="shared" si="10"/>
        <v>1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1</v>
      </c>
      <c r="BL4" s="6">
        <f t="shared" ref="BL4:BS9" si="11">BK4+BA4</f>
        <v>2</v>
      </c>
      <c r="BM4" s="6">
        <f t="shared" si="11"/>
        <v>3</v>
      </c>
      <c r="BN4" s="6">
        <f t="shared" si="11"/>
        <v>3</v>
      </c>
      <c r="BO4" s="6">
        <f t="shared" si="11"/>
        <v>3</v>
      </c>
      <c r="BP4" s="6">
        <f t="shared" si="11"/>
        <v>3</v>
      </c>
      <c r="BQ4" s="6">
        <f t="shared" si="11"/>
        <v>3</v>
      </c>
      <c r="BR4" s="6">
        <f t="shared" si="11"/>
        <v>3</v>
      </c>
      <c r="BS4" s="6">
        <f t="shared" si="11"/>
        <v>3</v>
      </c>
    </row>
    <row r="5" spans="1:71" x14ac:dyDescent="0.25">
      <c r="A5" s="51">
        <f t="shared" ref="A5:A9" si="12">T5</f>
        <v>1</v>
      </c>
      <c r="B5" s="25">
        <v>2</v>
      </c>
      <c r="C5" s="25" t="s">
        <v>113</v>
      </c>
      <c r="D5" s="67">
        <v>8589823</v>
      </c>
      <c r="E5" s="67"/>
      <c r="F5" s="25">
        <v>365</v>
      </c>
      <c r="H5" s="27">
        <f t="shared" si="0"/>
        <v>1</v>
      </c>
      <c r="I5" s="26" t="str">
        <f t="shared" si="0"/>
        <v/>
      </c>
      <c r="J5" s="27">
        <f t="shared" si="0"/>
        <v>1</v>
      </c>
      <c r="K5" s="27">
        <f t="shared" si="0"/>
        <v>1</v>
      </c>
      <c r="L5" s="27">
        <f t="shared" si="0"/>
        <v>1</v>
      </c>
      <c r="M5" s="27">
        <f t="shared" si="0"/>
        <v>1</v>
      </c>
      <c r="N5" s="73"/>
      <c r="O5" s="74"/>
      <c r="P5" s="52"/>
      <c r="Q5" s="53"/>
      <c r="R5" s="8">
        <f t="shared" si="1"/>
        <v>5</v>
      </c>
      <c r="S5" s="8">
        <f t="shared" ref="S5:S9" si="13">IF(H5="",0,H5)*$R$4+IF(I5="",0,I5)*$R$5+IF(J5="",0,J5)*$R$6+IF(K5="",0,K5)*$R$7+IF(L5="",0,L5)*$R$8+IF(M5="",0,M5)*$R$9</f>
        <v>10</v>
      </c>
      <c r="T5" s="54">
        <f t="shared" ref="T5:T9" si="14">AO5</f>
        <v>1</v>
      </c>
      <c r="U5" s="30"/>
      <c r="V5" s="31">
        <v>2</v>
      </c>
      <c r="W5" s="32">
        <v>5</v>
      </c>
      <c r="X5" s="33" t="str">
        <f t="shared" si="2"/>
        <v>Niels van Wolfswinkel</v>
      </c>
      <c r="Y5" s="34">
        <f t="shared" si="3"/>
        <v>3</v>
      </c>
      <c r="Z5" s="34">
        <f t="shared" si="4"/>
        <v>0</v>
      </c>
      <c r="AA5" s="55">
        <f t="shared" si="5"/>
        <v>6</v>
      </c>
      <c r="AB5" s="34">
        <f t="shared" si="6"/>
        <v>5</v>
      </c>
      <c r="AC5" s="35">
        <f t="shared" si="7"/>
        <v>343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15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15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15</v>
      </c>
      <c r="AK5" s="56"/>
      <c r="AL5" s="56">
        <f t="shared" ref="AL5:AL9" si="21">RANK(AJ5,$AJ$4:$AJ$9,1)-1</f>
        <v>5</v>
      </c>
      <c r="AM5" s="56">
        <f t="shared" ref="AM5:AM9" si="22">RANK(S5,$S$4:$S$9,1)-1</f>
        <v>5</v>
      </c>
      <c r="AN5" s="56">
        <f t="shared" ref="AN5:AN9" si="23">6*AL5+AM5</f>
        <v>35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8"/>
        <v>10</v>
      </c>
      <c r="AV5" s="39">
        <f t="shared" si="9"/>
        <v>6</v>
      </c>
      <c r="AW5" s="39">
        <f t="shared" ref="AW5:AW9" si="25">SUM(BK5:BS5)</f>
        <v>35</v>
      </c>
      <c r="AY5" s="6">
        <v>2</v>
      </c>
      <c r="AZ5" s="6">
        <f t="shared" si="10"/>
        <v>1</v>
      </c>
      <c r="BA5" s="6">
        <f t="shared" si="10"/>
        <v>1</v>
      </c>
      <c r="BB5" s="6">
        <f t="shared" si="10"/>
        <v>1</v>
      </c>
      <c r="BC5" s="6">
        <f t="shared" si="10"/>
        <v>1</v>
      </c>
      <c r="BD5" s="6">
        <f t="shared" si="10"/>
        <v>1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1</v>
      </c>
      <c r="BL5" s="6">
        <f t="shared" si="11"/>
        <v>2</v>
      </c>
      <c r="BM5" s="6">
        <f t="shared" si="11"/>
        <v>3</v>
      </c>
      <c r="BN5" s="6">
        <f t="shared" si="11"/>
        <v>4</v>
      </c>
      <c r="BO5" s="6">
        <f t="shared" si="11"/>
        <v>5</v>
      </c>
      <c r="BP5" s="6">
        <f t="shared" si="11"/>
        <v>5</v>
      </c>
      <c r="BQ5" s="6">
        <f t="shared" si="11"/>
        <v>5</v>
      </c>
      <c r="BR5" s="6">
        <f t="shared" si="11"/>
        <v>5</v>
      </c>
      <c r="BS5" s="6">
        <f t="shared" si="11"/>
        <v>5</v>
      </c>
    </row>
    <row r="6" spans="1:71" x14ac:dyDescent="0.25">
      <c r="A6" s="51">
        <f t="shared" si="12"/>
        <v>2</v>
      </c>
      <c r="B6" s="25">
        <v>3</v>
      </c>
      <c r="C6" s="25" t="s">
        <v>114</v>
      </c>
      <c r="D6" s="67">
        <v>8659178</v>
      </c>
      <c r="E6" s="67"/>
      <c r="F6" s="25">
        <v>356</v>
      </c>
      <c r="H6" s="27">
        <f t="shared" si="0"/>
        <v>1</v>
      </c>
      <c r="I6" s="27">
        <f t="shared" si="0"/>
        <v>0</v>
      </c>
      <c r="J6" s="26" t="str">
        <f t="shared" si="0"/>
        <v/>
      </c>
      <c r="K6" s="27">
        <f t="shared" si="0"/>
        <v>1</v>
      </c>
      <c r="L6" s="27">
        <f t="shared" si="0"/>
        <v>0</v>
      </c>
      <c r="M6" s="27">
        <f t="shared" si="0"/>
        <v>1</v>
      </c>
      <c r="N6" s="73"/>
      <c r="O6" s="74"/>
      <c r="P6" s="52"/>
      <c r="Q6" s="53"/>
      <c r="R6" s="8">
        <f t="shared" si="1"/>
        <v>3</v>
      </c>
      <c r="S6" s="8">
        <f t="shared" si="13"/>
        <v>6</v>
      </c>
      <c r="T6" s="54">
        <f t="shared" si="14"/>
        <v>2</v>
      </c>
      <c r="U6" s="30"/>
      <c r="V6" s="31">
        <v>3</v>
      </c>
      <c r="W6" s="32">
        <v>4</v>
      </c>
      <c r="X6" s="33" t="str">
        <f t="shared" si="2"/>
        <v>Yasin Gokoglan</v>
      </c>
      <c r="Y6" s="34">
        <f t="shared" si="3"/>
        <v>3</v>
      </c>
      <c r="Z6" s="34">
        <f t="shared" si="4"/>
        <v>1</v>
      </c>
      <c r="AA6" s="55">
        <f t="shared" si="5"/>
        <v>4</v>
      </c>
      <c r="AB6" s="34">
        <f t="shared" si="6"/>
        <v>6</v>
      </c>
      <c r="AC6" s="35">
        <f t="shared" si="7"/>
        <v>346</v>
      </c>
      <c r="AD6" s="56"/>
      <c r="AE6" s="7">
        <f t="shared" si="15"/>
        <v>1</v>
      </c>
      <c r="AF6" s="7">
        <f t="shared" si="16"/>
        <v>10</v>
      </c>
      <c r="AG6" s="7">
        <f t="shared" si="17"/>
        <v>0</v>
      </c>
      <c r="AH6" s="7">
        <f t="shared" si="18"/>
        <v>10</v>
      </c>
      <c r="AI6" s="7">
        <f t="shared" si="19"/>
        <v>0</v>
      </c>
      <c r="AJ6" s="7">
        <f t="shared" si="20"/>
        <v>10</v>
      </c>
      <c r="AK6" s="56"/>
      <c r="AL6" s="56">
        <f t="shared" si="21"/>
        <v>4</v>
      </c>
      <c r="AM6" s="56">
        <f t="shared" si="22"/>
        <v>4</v>
      </c>
      <c r="AN6" s="56">
        <f t="shared" si="23"/>
        <v>28</v>
      </c>
      <c r="AO6" s="56">
        <f t="shared" si="24"/>
        <v>2</v>
      </c>
      <c r="AP6" s="56"/>
      <c r="AQ6" s="56"/>
      <c r="AR6" s="56"/>
      <c r="AS6" s="30"/>
      <c r="AT6" s="37">
        <v>3</v>
      </c>
      <c r="AU6" s="38">
        <f t="shared" si="8"/>
        <v>8</v>
      </c>
      <c r="AV6" s="39">
        <f t="shared" si="9"/>
        <v>3</v>
      </c>
      <c r="AW6" s="39">
        <f t="shared" si="25"/>
        <v>23</v>
      </c>
      <c r="AY6" s="6">
        <v>3</v>
      </c>
      <c r="AZ6" s="6">
        <f t="shared" si="10"/>
        <v>1</v>
      </c>
      <c r="BA6" s="6">
        <f t="shared" si="10"/>
        <v>1</v>
      </c>
      <c r="BB6" s="6">
        <f t="shared" si="10"/>
        <v>0</v>
      </c>
      <c r="BC6" s="6">
        <f t="shared" si="10"/>
        <v>1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1</v>
      </c>
      <c r="BL6" s="6">
        <f t="shared" si="11"/>
        <v>2</v>
      </c>
      <c r="BM6" s="6">
        <f t="shared" si="11"/>
        <v>2</v>
      </c>
      <c r="BN6" s="6">
        <f t="shared" si="11"/>
        <v>3</v>
      </c>
      <c r="BO6" s="6">
        <f t="shared" si="11"/>
        <v>3</v>
      </c>
      <c r="BP6" s="6">
        <f t="shared" si="11"/>
        <v>3</v>
      </c>
      <c r="BQ6" s="6">
        <f t="shared" si="11"/>
        <v>3</v>
      </c>
      <c r="BR6" s="6">
        <f t="shared" si="11"/>
        <v>3</v>
      </c>
      <c r="BS6" s="6">
        <f t="shared" si="11"/>
        <v>3</v>
      </c>
    </row>
    <row r="7" spans="1:71" x14ac:dyDescent="0.25">
      <c r="A7" s="51">
        <f t="shared" si="12"/>
        <v>5</v>
      </c>
      <c r="B7" s="25">
        <v>4</v>
      </c>
      <c r="C7" s="25" t="s">
        <v>115</v>
      </c>
      <c r="D7" s="67">
        <v>8647463</v>
      </c>
      <c r="E7" s="67"/>
      <c r="F7" s="25">
        <v>346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6" t="str">
        <f t="shared" si="0"/>
        <v/>
      </c>
      <c r="L7" s="27">
        <f t="shared" si="0"/>
        <v>1</v>
      </c>
      <c r="M7" s="27">
        <f t="shared" si="0"/>
        <v>0</v>
      </c>
      <c r="N7" s="73"/>
      <c r="O7" s="74"/>
      <c r="P7" s="52"/>
      <c r="Q7" s="53"/>
      <c r="R7" s="8">
        <f t="shared" si="1"/>
        <v>1</v>
      </c>
      <c r="S7" s="8">
        <f t="shared" si="13"/>
        <v>1</v>
      </c>
      <c r="T7" s="54">
        <f t="shared" si="14"/>
        <v>5</v>
      </c>
      <c r="U7" s="30"/>
      <c r="V7" s="31">
        <v>4</v>
      </c>
      <c r="W7" s="32">
        <v>3</v>
      </c>
      <c r="X7" s="33" t="str">
        <f t="shared" si="2"/>
        <v>H�seyin Ersoy</v>
      </c>
      <c r="Y7" s="34">
        <f t="shared" si="3"/>
        <v>2</v>
      </c>
      <c r="Z7" s="34">
        <f t="shared" si="4"/>
        <v>8</v>
      </c>
      <c r="AA7" s="55">
        <f t="shared" si="5"/>
        <v>2</v>
      </c>
      <c r="AB7" s="34">
        <f t="shared" si="6"/>
        <v>23</v>
      </c>
      <c r="AC7" s="35">
        <f t="shared" si="7"/>
        <v>356</v>
      </c>
      <c r="AD7" s="56"/>
      <c r="AE7" s="7">
        <f t="shared" si="15"/>
        <v>1</v>
      </c>
      <c r="AF7" s="7">
        <f t="shared" si="16"/>
        <v>4</v>
      </c>
      <c r="AG7" s="7">
        <f t="shared" si="17"/>
        <v>0</v>
      </c>
      <c r="AH7" s="7">
        <f t="shared" si="18"/>
        <v>4</v>
      </c>
      <c r="AI7" s="7">
        <f t="shared" si="19"/>
        <v>0</v>
      </c>
      <c r="AJ7" s="7">
        <f t="shared" si="20"/>
        <v>4</v>
      </c>
      <c r="AK7" s="56"/>
      <c r="AL7" s="56">
        <f t="shared" si="21"/>
        <v>1</v>
      </c>
      <c r="AM7" s="56">
        <f t="shared" si="22"/>
        <v>0</v>
      </c>
      <c r="AN7" s="56">
        <f t="shared" si="23"/>
        <v>6</v>
      </c>
      <c r="AO7" s="56">
        <f t="shared" si="24"/>
        <v>5</v>
      </c>
      <c r="AP7" s="56"/>
      <c r="AQ7" s="56"/>
      <c r="AR7" s="56"/>
      <c r="AS7" s="30"/>
      <c r="AT7" s="37">
        <v>4</v>
      </c>
      <c r="AU7" s="38">
        <f t="shared" si="8"/>
        <v>1</v>
      </c>
      <c r="AV7" s="39">
        <f t="shared" si="9"/>
        <v>0</v>
      </c>
      <c r="AW7" s="39">
        <f t="shared" si="25"/>
        <v>6</v>
      </c>
      <c r="AY7" s="6">
        <v>4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1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</v>
      </c>
      <c r="BM7" s="6">
        <f t="shared" si="11"/>
        <v>0</v>
      </c>
      <c r="BN7" s="6">
        <f t="shared" si="11"/>
        <v>1</v>
      </c>
      <c r="BO7" s="6">
        <f t="shared" si="11"/>
        <v>1</v>
      </c>
      <c r="BP7" s="6">
        <f t="shared" si="11"/>
        <v>1</v>
      </c>
      <c r="BQ7" s="6">
        <f t="shared" si="11"/>
        <v>1</v>
      </c>
      <c r="BR7" s="6">
        <f t="shared" si="11"/>
        <v>1</v>
      </c>
      <c r="BS7" s="6">
        <f t="shared" si="11"/>
        <v>1</v>
      </c>
    </row>
    <row r="8" spans="1:71" x14ac:dyDescent="0.25">
      <c r="A8" s="51">
        <f t="shared" si="12"/>
        <v>6</v>
      </c>
      <c r="B8" s="25">
        <v>5</v>
      </c>
      <c r="C8" s="25" t="s">
        <v>116</v>
      </c>
      <c r="D8" s="67">
        <v>8515881</v>
      </c>
      <c r="E8" s="67"/>
      <c r="F8" s="25">
        <v>343</v>
      </c>
      <c r="H8" s="27">
        <f t="shared" si="0"/>
        <v>0</v>
      </c>
      <c r="I8" s="27">
        <f t="shared" si="0"/>
        <v>0</v>
      </c>
      <c r="J8" s="27">
        <f t="shared" si="0"/>
        <v>1</v>
      </c>
      <c r="K8" s="27">
        <f t="shared" si="0"/>
        <v>0</v>
      </c>
      <c r="L8" s="26" t="str">
        <f t="shared" si="0"/>
        <v/>
      </c>
      <c r="M8" s="27">
        <f t="shared" si="0"/>
        <v>0</v>
      </c>
      <c r="N8" s="73"/>
      <c r="O8" s="74"/>
      <c r="P8" s="52"/>
      <c r="Q8" s="53"/>
      <c r="R8" s="8">
        <f t="shared" si="1"/>
        <v>1</v>
      </c>
      <c r="S8" s="8">
        <f t="shared" si="13"/>
        <v>3</v>
      </c>
      <c r="T8" s="54">
        <f t="shared" si="14"/>
        <v>6</v>
      </c>
      <c r="U8" s="30"/>
      <c r="V8" s="31">
        <v>5</v>
      </c>
      <c r="W8" s="32">
        <v>2</v>
      </c>
      <c r="X8" s="33" t="str">
        <f t="shared" si="2"/>
        <v>�mit �zyilmaz</v>
      </c>
      <c r="Y8" s="34">
        <f t="shared" si="3"/>
        <v>1</v>
      </c>
      <c r="Z8" s="34">
        <f t="shared" si="4"/>
        <v>10</v>
      </c>
      <c r="AA8" s="55">
        <f t="shared" si="5"/>
        <v>1</v>
      </c>
      <c r="AB8" s="34">
        <f t="shared" si="6"/>
        <v>35</v>
      </c>
      <c r="AC8" s="35">
        <f t="shared" si="7"/>
        <v>365</v>
      </c>
      <c r="AD8" s="56"/>
      <c r="AE8" s="7">
        <f t="shared" si="15"/>
        <v>0</v>
      </c>
      <c r="AF8" s="7">
        <f t="shared" si="16"/>
        <v>3</v>
      </c>
      <c r="AG8" s="7">
        <f t="shared" si="17"/>
        <v>0</v>
      </c>
      <c r="AH8" s="7">
        <f t="shared" si="18"/>
        <v>3</v>
      </c>
      <c r="AI8" s="7">
        <f t="shared" si="19"/>
        <v>0</v>
      </c>
      <c r="AJ8" s="7">
        <f t="shared" si="20"/>
        <v>3</v>
      </c>
      <c r="AK8" s="56"/>
      <c r="AL8" s="56">
        <f t="shared" si="21"/>
        <v>0</v>
      </c>
      <c r="AM8" s="56">
        <f t="shared" si="22"/>
        <v>2</v>
      </c>
      <c r="AN8" s="56">
        <f t="shared" si="23"/>
        <v>2</v>
      </c>
      <c r="AO8" s="56">
        <f t="shared" si="24"/>
        <v>6</v>
      </c>
      <c r="AP8" s="56"/>
      <c r="AQ8" s="56"/>
      <c r="AR8" s="56"/>
      <c r="AS8" s="30"/>
      <c r="AT8" s="37">
        <v>5</v>
      </c>
      <c r="AU8" s="38">
        <f t="shared" si="8"/>
        <v>0</v>
      </c>
      <c r="AV8" s="39">
        <f t="shared" si="9"/>
        <v>3</v>
      </c>
      <c r="AW8" s="39">
        <f t="shared" si="25"/>
        <v>5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1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1</v>
      </c>
      <c r="BP8" s="6">
        <f t="shared" si="11"/>
        <v>1</v>
      </c>
      <c r="BQ8" s="6">
        <f t="shared" si="11"/>
        <v>1</v>
      </c>
      <c r="BR8" s="6">
        <f t="shared" si="11"/>
        <v>1</v>
      </c>
      <c r="BS8" s="6">
        <f t="shared" si="11"/>
        <v>1</v>
      </c>
    </row>
    <row r="9" spans="1:71" x14ac:dyDescent="0.25">
      <c r="A9" s="51">
        <f t="shared" si="12"/>
        <v>4</v>
      </c>
      <c r="B9" s="25">
        <v>6</v>
      </c>
      <c r="C9" s="25" t="s">
        <v>117</v>
      </c>
      <c r="D9" s="67">
        <v>8624880</v>
      </c>
      <c r="E9" s="67"/>
      <c r="F9" s="25">
        <v>334</v>
      </c>
      <c r="H9" s="27">
        <f t="shared" si="0"/>
        <v>0</v>
      </c>
      <c r="I9" s="27">
        <f t="shared" si="0"/>
        <v>0</v>
      </c>
      <c r="J9" s="27">
        <f t="shared" si="0"/>
        <v>0</v>
      </c>
      <c r="K9" s="27">
        <f t="shared" si="0"/>
        <v>1</v>
      </c>
      <c r="L9" s="27">
        <f t="shared" si="0"/>
        <v>1</v>
      </c>
      <c r="M9" s="26" t="str">
        <f t="shared" si="0"/>
        <v/>
      </c>
      <c r="N9" s="73"/>
      <c r="O9" s="74"/>
      <c r="P9" s="52"/>
      <c r="Q9" s="53"/>
      <c r="R9" s="8">
        <f t="shared" si="1"/>
        <v>2</v>
      </c>
      <c r="S9" s="8">
        <f t="shared" si="13"/>
        <v>2</v>
      </c>
      <c r="T9" s="54">
        <f t="shared" si="14"/>
        <v>4</v>
      </c>
      <c r="U9" s="30"/>
      <c r="V9" s="31">
        <v>6</v>
      </c>
      <c r="W9" s="32">
        <v>1</v>
      </c>
      <c r="X9" s="33" t="str">
        <f t="shared" si="2"/>
        <v>Ilias Drysdale</v>
      </c>
      <c r="Y9" s="34">
        <f t="shared" si="3"/>
        <v>1</v>
      </c>
      <c r="Z9" s="34">
        <f t="shared" si="4"/>
        <v>9</v>
      </c>
      <c r="AA9" s="55">
        <f t="shared" si="5"/>
        <v>3</v>
      </c>
      <c r="AB9" s="34">
        <f t="shared" si="6"/>
        <v>24</v>
      </c>
      <c r="AC9" s="35">
        <f t="shared" si="7"/>
        <v>367</v>
      </c>
      <c r="AD9" s="56"/>
      <c r="AE9" s="7">
        <f t="shared" si="15"/>
        <v>0</v>
      </c>
      <c r="AF9" s="7">
        <f t="shared" si="16"/>
        <v>6</v>
      </c>
      <c r="AG9" s="7">
        <f t="shared" si="17"/>
        <v>0</v>
      </c>
      <c r="AH9" s="7">
        <f t="shared" si="18"/>
        <v>6</v>
      </c>
      <c r="AI9" s="7">
        <f t="shared" si="19"/>
        <v>0</v>
      </c>
      <c r="AJ9" s="7">
        <f t="shared" si="20"/>
        <v>6</v>
      </c>
      <c r="AK9" s="56"/>
      <c r="AL9" s="56">
        <f t="shared" si="21"/>
        <v>2</v>
      </c>
      <c r="AM9" s="56">
        <f t="shared" si="22"/>
        <v>1</v>
      </c>
      <c r="AN9" s="56">
        <f t="shared" si="23"/>
        <v>13</v>
      </c>
      <c r="AO9" s="56">
        <f t="shared" si="24"/>
        <v>4</v>
      </c>
      <c r="AP9" s="56"/>
      <c r="AQ9" s="56"/>
      <c r="AR9" s="56"/>
      <c r="AS9" s="30"/>
      <c r="AT9" s="37">
        <v>6</v>
      </c>
      <c r="AU9" s="38">
        <f t="shared" si="8"/>
        <v>2</v>
      </c>
      <c r="AV9" s="39">
        <f t="shared" si="9"/>
        <v>1</v>
      </c>
      <c r="AW9" s="39">
        <f t="shared" si="25"/>
        <v>12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1</v>
      </c>
      <c r="BC9" s="6">
        <f t="shared" si="10"/>
        <v>0</v>
      </c>
      <c r="BD9" s="6">
        <f t="shared" si="10"/>
        <v>1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1</v>
      </c>
      <c r="BN9" s="6">
        <f t="shared" si="11"/>
        <v>1</v>
      </c>
      <c r="BO9" s="6">
        <f t="shared" si="11"/>
        <v>2</v>
      </c>
      <c r="BP9" s="6">
        <f t="shared" si="11"/>
        <v>2</v>
      </c>
      <c r="BQ9" s="6">
        <f t="shared" si="11"/>
        <v>2</v>
      </c>
      <c r="BR9" s="6">
        <f t="shared" si="11"/>
        <v>2</v>
      </c>
      <c r="BS9" s="6">
        <f t="shared" si="11"/>
        <v>2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3</v>
      </c>
      <c r="AG11" s="57">
        <f>2*MAX(AG4:AG9)+1</f>
        <v>1</v>
      </c>
      <c r="AI11" s="57">
        <f>2*MAX(AI4:AI9)+1</f>
        <v>1</v>
      </c>
      <c r="AT11" s="41" t="s">
        <v>36</v>
      </c>
      <c r="AU11" s="41" t="s">
        <v>0</v>
      </c>
      <c r="AV11" s="41" t="s">
        <v>1</v>
      </c>
      <c r="AW11" s="41" t="s">
        <v>2</v>
      </c>
      <c r="AY11" s="42" t="s">
        <v>34</v>
      </c>
      <c r="AZ11" s="42" t="s">
        <v>35</v>
      </c>
      <c r="BA11" s="6" t="s">
        <v>16</v>
      </c>
      <c r="BB11" s="6" t="s">
        <v>17</v>
      </c>
      <c r="BC11" s="6" t="s">
        <v>18</v>
      </c>
      <c r="BD11" s="6" t="s">
        <v>19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H�seyin Ersoy</v>
      </c>
      <c r="D14" s="46" t="s">
        <v>5</v>
      </c>
      <c r="E14" s="66" t="str">
        <f>VLOOKUP(AV14,$B$4:$F$9,2,FALSE)</f>
        <v>Yasin Gokoglan</v>
      </c>
      <c r="F14" s="66"/>
      <c r="G14" s="66"/>
      <c r="H14" s="66"/>
      <c r="J14" s="66">
        <f>IF(T14="","",VLOOKUP(T14,Configuratie!$B$1:$E$10,3,FALSE))</f>
        <v>0</v>
      </c>
      <c r="K14" s="66"/>
      <c r="L14" s="6" t="s">
        <v>5</v>
      </c>
      <c r="M14" s="66">
        <f>IF(T14="","",VLOOKUP(T14,Configuratie!$B$1:$E$10,4,FALSE))</f>
        <v>1</v>
      </c>
      <c r="N14" s="66"/>
      <c r="R14" s="6" t="str">
        <f>IF(T14="","",VLOOKUP(T14,Configuratie!$B$1:$E$10,2,FALSE))</f>
        <v>0-1</v>
      </c>
      <c r="T14" s="5">
        <v>0</v>
      </c>
      <c r="AI14" s="7"/>
      <c r="AT14" s="6">
        <v>1</v>
      </c>
      <c r="AU14" s="6">
        <v>6</v>
      </c>
      <c r="AV14" s="6">
        <v>1</v>
      </c>
      <c r="AW14" s="6">
        <f>IF(AND(ISNUMBER(J14),ISNUMBER(M14)),IF(J14+M14=1,1,0),"")</f>
        <v>1</v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>
        <f>J14*BB14</f>
        <v>0</v>
      </c>
      <c r="BD14" s="6">
        <f>M14*BA14</f>
        <v>0</v>
      </c>
    </row>
    <row r="15" spans="1:71" x14ac:dyDescent="0.25">
      <c r="B15" s="6">
        <v>2</v>
      </c>
      <c r="C15" s="6" t="str">
        <f>VLOOKUP(AU15,$B$4:$F$9,2,FALSE)</f>
        <v>Ilias Drysdale</v>
      </c>
      <c r="D15" s="46" t="s">
        <v>5</v>
      </c>
      <c r="E15" s="66" t="str">
        <f>VLOOKUP(AV15,$B$4:$F$9,2,FALSE)</f>
        <v>Chris Kamperman</v>
      </c>
      <c r="F15" s="66"/>
      <c r="G15" s="66"/>
      <c r="H15" s="66"/>
      <c r="J15" s="66">
        <f>IF(T15="","",VLOOKUP(T15,Configuratie!$B$1:$E$10,3,FALSE))</f>
        <v>0</v>
      </c>
      <c r="K15" s="66"/>
      <c r="L15" s="6" t="s">
        <v>5</v>
      </c>
      <c r="M15" s="66">
        <f>IF(T15="","",VLOOKUP(T15,Configuratie!$B$1:$E$10,4,FALSE))</f>
        <v>1</v>
      </c>
      <c r="N15" s="66"/>
      <c r="R15" s="6" t="str">
        <f>IF(T15="","",VLOOKUP(T15,Configuratie!$B$1:$E$10,2,FALSE))</f>
        <v>0-1</v>
      </c>
      <c r="T15" s="5">
        <v>0</v>
      </c>
      <c r="AI15" s="56"/>
      <c r="AT15" s="6">
        <v>1</v>
      </c>
      <c r="AU15" s="6">
        <v>5</v>
      </c>
      <c r="AV15" s="6">
        <v>2</v>
      </c>
      <c r="AW15" s="6">
        <f t="shared" ref="AW15:AW16" si="28">IF(AND(ISNUMBER(J15),ISNUMBER(M15)),IF(J15+M15=1,1,0),"")</f>
        <v>1</v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>
        <f>J15*BB15</f>
        <v>0</v>
      </c>
      <c r="BD15" s="6">
        <f>M15*BA15</f>
        <v>0</v>
      </c>
    </row>
    <row r="16" spans="1:71" x14ac:dyDescent="0.25">
      <c r="B16" s="6">
        <v>3</v>
      </c>
      <c r="C16" s="6" t="str">
        <f>VLOOKUP(AU16,$B$4:$F$9,2,FALSE)</f>
        <v>�mit �zyilmaz</v>
      </c>
      <c r="D16" s="46" t="s">
        <v>5</v>
      </c>
      <c r="E16" s="66" t="str">
        <f>VLOOKUP(AV16,$B$4:$F$9,2,FALSE)</f>
        <v>Niels van Wolfswinkel</v>
      </c>
      <c r="F16" s="66"/>
      <c r="G16" s="66"/>
      <c r="H16" s="66"/>
      <c r="J16" s="66">
        <f>IF(T16="","",VLOOKUP(T16,Configuratie!$B$1:$E$10,3,FALSE))</f>
        <v>0</v>
      </c>
      <c r="K16" s="66"/>
      <c r="L16" s="6" t="s">
        <v>5</v>
      </c>
      <c r="M16" s="66">
        <f>IF(T16="","",VLOOKUP(T16,Configuratie!$B$1:$E$10,4,FALSE))</f>
        <v>1</v>
      </c>
      <c r="N16" s="66"/>
      <c r="R16" s="6" t="str">
        <f>IF(T16="","",VLOOKUP(T16,Configuratie!$B$1:$E$10,2,FALSE))</f>
        <v>0-1</v>
      </c>
      <c r="T16" s="5">
        <v>0</v>
      </c>
      <c r="AI16" s="56"/>
      <c r="AT16" s="6">
        <v>1</v>
      </c>
      <c r="AU16" s="6">
        <v>4</v>
      </c>
      <c r="AV16" s="6">
        <v>3</v>
      </c>
      <c r="AW16" s="6">
        <f t="shared" si="28"/>
        <v>1</v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>
        <f>J16*BB16</f>
        <v>0</v>
      </c>
      <c r="BD16" s="6">
        <f>M16*BA16</f>
        <v>0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H�seyin Ersoy</v>
      </c>
      <c r="D19" s="46" t="s">
        <v>5</v>
      </c>
      <c r="E19" s="66" t="str">
        <f>VLOOKUP(AV19,$B$4:$F$9,2,FALSE)</f>
        <v>Niels van Wolfswinkel</v>
      </c>
      <c r="F19" s="66"/>
      <c r="G19" s="66"/>
      <c r="H19" s="66"/>
      <c r="J19" s="66">
        <f>IF(T19="","",VLOOKUP(T19,Configuratie!$B$1:$E$10,3,FALSE))</f>
        <v>0</v>
      </c>
      <c r="K19" s="66"/>
      <c r="L19" s="6" t="s">
        <v>5</v>
      </c>
      <c r="M19" s="66">
        <f>IF(T19="","",VLOOKUP(T19,Configuratie!$B$1:$E$10,4,FALSE))</f>
        <v>1</v>
      </c>
      <c r="N19" s="66"/>
      <c r="R19" s="6" t="str">
        <f>IF(T19="","",VLOOKUP(T19,Configuratie!$B$1:$E$10,2,FALSE))</f>
        <v>0-1</v>
      </c>
      <c r="T19" s="5">
        <v>0</v>
      </c>
      <c r="AI19" s="56"/>
      <c r="AT19" s="6">
        <v>2</v>
      </c>
      <c r="AU19" s="6">
        <v>6</v>
      </c>
      <c r="AV19" s="6">
        <v>3</v>
      </c>
      <c r="AW19" s="6">
        <f>IF(AND(ISNUMBER(J19),ISNUMBER(M19)),IF(J19+M19=1,1,0),"")</f>
        <v>1</v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1</v>
      </c>
      <c r="BC19" s="6">
        <f>J19*BB19</f>
        <v>0</v>
      </c>
      <c r="BD19" s="6">
        <f>M19*BA19</f>
        <v>0</v>
      </c>
    </row>
    <row r="20" spans="2:56" x14ac:dyDescent="0.25">
      <c r="B20" s="6">
        <v>2</v>
      </c>
      <c r="C20" s="6" t="str">
        <f>VLOOKUP(AU20,$B$4:$F$9,2,FALSE)</f>
        <v>Chris Kamperman</v>
      </c>
      <c r="D20" s="46" t="s">
        <v>5</v>
      </c>
      <c r="E20" s="66" t="str">
        <f>VLOOKUP(AV20,$B$4:$F$9,2,FALSE)</f>
        <v>�mit �zyilmaz</v>
      </c>
      <c r="F20" s="66"/>
      <c r="G20" s="66"/>
      <c r="H20" s="66"/>
      <c r="J20" s="66">
        <f>IF(T20="","",VLOOKUP(T20,Configuratie!$B$1:$E$10,3,FALSE))</f>
        <v>1</v>
      </c>
      <c r="K20" s="66"/>
      <c r="L20" s="6" t="s">
        <v>5</v>
      </c>
      <c r="M20" s="66">
        <f>IF(T20="","",VLOOKUP(T20,Configuratie!$B$1:$E$10,4,FALSE))</f>
        <v>0</v>
      </c>
      <c r="N20" s="66"/>
      <c r="R20" s="6" t="str">
        <f>IF(T20="","",VLOOKUP(T20,Configuratie!$B$1:$E$10,2,FALSE))</f>
        <v>1-0</v>
      </c>
      <c r="T20" s="5">
        <v>1</v>
      </c>
      <c r="AT20" s="6">
        <v>2</v>
      </c>
      <c r="AU20" s="6">
        <v>2</v>
      </c>
      <c r="AV20" s="6">
        <v>4</v>
      </c>
      <c r="AW20" s="6">
        <f t="shared" ref="AW20:AW21" si="30">IF(AND(ISNUMBER(J20),ISNUMBER(M20)),IF(J20+M20=1,1,0),"")</f>
        <v>1</v>
      </c>
      <c r="AY20" s="48">
        <f>AU20*100+AV20</f>
        <v>204</v>
      </c>
      <c r="AZ20" s="48">
        <f>AV20*100+AU20</f>
        <v>402</v>
      </c>
      <c r="BA20" s="6">
        <f t="shared" si="29"/>
        <v>1</v>
      </c>
      <c r="BB20" s="6">
        <f t="shared" si="29"/>
        <v>0</v>
      </c>
      <c r="BC20" s="6">
        <f>J20*BB20</f>
        <v>0</v>
      </c>
      <c r="BD20" s="6">
        <f>M20*BA20</f>
        <v>0</v>
      </c>
    </row>
    <row r="21" spans="2:56" x14ac:dyDescent="0.25">
      <c r="B21" s="6">
        <v>3</v>
      </c>
      <c r="C21" s="6" t="str">
        <f>VLOOKUP(AU21,$B$4:$F$9,2,FALSE)</f>
        <v>Yasin Gokoglan</v>
      </c>
      <c r="D21" s="46" t="s">
        <v>5</v>
      </c>
      <c r="E21" s="66" t="str">
        <f>VLOOKUP(AV21,$B$4:$F$9,2,FALSE)</f>
        <v>Ilias Drysdale</v>
      </c>
      <c r="F21" s="66"/>
      <c r="G21" s="66"/>
      <c r="H21" s="66"/>
      <c r="J21" s="66">
        <f>IF(T21="","",VLOOKUP(T21,Configuratie!$B$1:$E$10,3,FALSE))</f>
        <v>1</v>
      </c>
      <c r="K21" s="66"/>
      <c r="L21" s="6" t="s">
        <v>5</v>
      </c>
      <c r="M21" s="66">
        <f>IF(T21="","",VLOOKUP(T21,Configuratie!$B$1:$E$10,4,FALSE))</f>
        <v>0</v>
      </c>
      <c r="N21" s="66"/>
      <c r="R21" s="6" t="str">
        <f>IF(T21="","",VLOOKUP(T21,Configuratie!$B$1:$E$10,2,FALSE))</f>
        <v>1-0</v>
      </c>
      <c r="T21" s="5">
        <v>1</v>
      </c>
      <c r="AT21" s="6">
        <v>2</v>
      </c>
      <c r="AU21" s="6">
        <v>1</v>
      </c>
      <c r="AV21" s="6">
        <v>5</v>
      </c>
      <c r="AW21" s="6">
        <f t="shared" si="30"/>
        <v>1</v>
      </c>
      <c r="AY21" s="48">
        <f>AU21*100+AV21</f>
        <v>105</v>
      </c>
      <c r="AZ21" s="48">
        <f>AV21*100+AU21</f>
        <v>501</v>
      </c>
      <c r="BA21" s="6">
        <f t="shared" si="29"/>
        <v>1</v>
      </c>
      <c r="BB21" s="6">
        <f t="shared" si="29"/>
        <v>0</v>
      </c>
      <c r="BC21" s="6">
        <f>J21*BB21</f>
        <v>0</v>
      </c>
      <c r="BD21" s="6">
        <f>M21*BA21</f>
        <v>0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Ilias Drysdale</v>
      </c>
      <c r="D24" s="46" t="s">
        <v>5</v>
      </c>
      <c r="E24" s="66" t="str">
        <f>VLOOKUP(AV24,$B$4:$F$9,2,FALSE)</f>
        <v>H�seyin Ersoy</v>
      </c>
      <c r="F24" s="66"/>
      <c r="G24" s="66"/>
      <c r="H24" s="66"/>
      <c r="J24" s="66">
        <f>IF(T24="","",VLOOKUP(T24,Configuratie!$B$1:$E$10,3,FALSE))</f>
        <v>0</v>
      </c>
      <c r="K24" s="66"/>
      <c r="L24" s="6" t="s">
        <v>5</v>
      </c>
      <c r="M24" s="66">
        <f>IF(T24="","",VLOOKUP(T24,Configuratie!$B$1:$E$10,4,FALSE))</f>
        <v>1</v>
      </c>
      <c r="N24" s="66"/>
      <c r="R24" s="6" t="str">
        <f>IF(T24="","",VLOOKUP(T24,Configuratie!$B$1:$E$10,2,FALSE))</f>
        <v>0-1</v>
      </c>
      <c r="T24" s="5">
        <v>0</v>
      </c>
      <c r="AT24" s="6">
        <v>3</v>
      </c>
      <c r="AU24" s="6">
        <v>5</v>
      </c>
      <c r="AV24" s="6">
        <v>6</v>
      </c>
      <c r="AW24" s="6">
        <f>IF(AND(ISNUMBER(J24),ISNUMBER(M24)),IF(J24+M24=1,1,0),"")</f>
        <v>1</v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>
        <f>J24*BB24</f>
        <v>0</v>
      </c>
      <c r="BD24" s="6">
        <f>M24*BA24</f>
        <v>0</v>
      </c>
    </row>
    <row r="25" spans="2:56" x14ac:dyDescent="0.25">
      <c r="B25" s="6">
        <v>2</v>
      </c>
      <c r="C25" s="6" t="str">
        <f>VLOOKUP(AU25,$B$4:$F$9,2,FALSE)</f>
        <v>�mit �zyilmaz</v>
      </c>
      <c r="D25" s="46" t="s">
        <v>5</v>
      </c>
      <c r="E25" s="66" t="str">
        <f>VLOOKUP(AV25,$B$4:$F$9,2,FALSE)</f>
        <v>Yasin Gokoglan</v>
      </c>
      <c r="F25" s="66"/>
      <c r="G25" s="66"/>
      <c r="H25" s="66"/>
      <c r="J25" s="66">
        <f>IF(T25="","",VLOOKUP(T25,Configuratie!$B$1:$E$10,3,FALSE))</f>
        <v>0</v>
      </c>
      <c r="K25" s="66"/>
      <c r="L25" s="6" t="s">
        <v>5</v>
      </c>
      <c r="M25" s="66">
        <f>IF(T25="","",VLOOKUP(T25,Configuratie!$B$1:$E$10,4,FALSE))</f>
        <v>1</v>
      </c>
      <c r="N25" s="66"/>
      <c r="R25" s="6" t="str">
        <f>IF(T25="","",VLOOKUP(T25,Configuratie!$B$1:$E$10,2,FALSE))</f>
        <v>0-1</v>
      </c>
      <c r="T25" s="5">
        <v>0</v>
      </c>
      <c r="AT25" s="6">
        <v>3</v>
      </c>
      <c r="AU25" s="6">
        <v>4</v>
      </c>
      <c r="AV25" s="6">
        <v>1</v>
      </c>
      <c r="AW25" s="6">
        <f t="shared" ref="AW25:AW26" si="32">IF(AND(ISNUMBER(J25),ISNUMBER(M25)),IF(J25+M25=1,1,0),"")</f>
        <v>1</v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2</v>
      </c>
      <c r="BC25" s="6">
        <f>J25*BB25</f>
        <v>0</v>
      </c>
      <c r="BD25" s="6">
        <f>M25*BA25</f>
        <v>0</v>
      </c>
    </row>
    <row r="26" spans="2:56" x14ac:dyDescent="0.25">
      <c r="B26" s="6">
        <v>3</v>
      </c>
      <c r="C26" s="6" t="str">
        <f>VLOOKUP(AU26,$B$4:$F$9,2,FALSE)</f>
        <v>Niels van Wolfswinkel</v>
      </c>
      <c r="D26" s="46" t="s">
        <v>5</v>
      </c>
      <c r="E26" s="66" t="str">
        <f>VLOOKUP(AV26,$B$4:$F$9,2,FALSE)</f>
        <v>Chris Kamperman</v>
      </c>
      <c r="F26" s="66"/>
      <c r="G26" s="66"/>
      <c r="H26" s="66"/>
      <c r="J26" s="66">
        <f>IF(T26="","",VLOOKUP(T26,Configuratie!$B$1:$E$10,3,FALSE))</f>
        <v>0</v>
      </c>
      <c r="K26" s="66"/>
      <c r="L26" s="6" t="s">
        <v>5</v>
      </c>
      <c r="M26" s="66">
        <f>IF(T26="","",VLOOKUP(T26,Configuratie!$B$1:$E$10,4,FALSE))</f>
        <v>1</v>
      </c>
      <c r="N26" s="66"/>
      <c r="R26" s="6" t="str">
        <f>IF(T26="","",VLOOKUP(T26,Configuratie!$B$1:$E$10,2,FALSE))</f>
        <v>0-1</v>
      </c>
      <c r="T26" s="5">
        <v>0</v>
      </c>
      <c r="AT26" s="6">
        <v>3</v>
      </c>
      <c r="AU26" s="6">
        <v>3</v>
      </c>
      <c r="AV26" s="6">
        <v>2</v>
      </c>
      <c r="AW26" s="6">
        <f t="shared" si="32"/>
        <v>1</v>
      </c>
      <c r="AY26" s="48">
        <f>AU26*100+AV26</f>
        <v>302</v>
      </c>
      <c r="AZ26" s="48">
        <f>AV26*100+AU26</f>
        <v>203</v>
      </c>
      <c r="BA26" s="6">
        <f t="shared" si="31"/>
        <v>2</v>
      </c>
      <c r="BB26" s="6">
        <f t="shared" si="31"/>
        <v>2</v>
      </c>
      <c r="BC26" s="6">
        <f>J26*BB26</f>
        <v>0</v>
      </c>
      <c r="BD26" s="6">
        <f>M26*BA26</f>
        <v>2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H�seyin Ersoy</v>
      </c>
      <c r="D29" s="46" t="s">
        <v>5</v>
      </c>
      <c r="E29" s="66" t="str">
        <f>VLOOKUP(AV29,$B$4:$F$9,2,FALSE)</f>
        <v>Chris Kamperman</v>
      </c>
      <c r="F29" s="66"/>
      <c r="G29" s="66"/>
      <c r="H29" s="66"/>
      <c r="J29" s="66">
        <f>IF(T29="","",VLOOKUP(T29,Configuratie!$B$1:$E$10,3,FALSE))</f>
        <v>0</v>
      </c>
      <c r="K29" s="66"/>
      <c r="L29" s="6" t="s">
        <v>5</v>
      </c>
      <c r="M29" s="66">
        <f>IF(T29="","",VLOOKUP(T29,Configuratie!$B$1:$E$10,4,FALSE))</f>
        <v>1</v>
      </c>
      <c r="N29" s="66"/>
      <c r="R29" s="6" t="str">
        <f>IF(T29="","",VLOOKUP(T29,Configuratie!$B$1:$E$10,2,FALSE))</f>
        <v>0-1</v>
      </c>
      <c r="T29" s="5">
        <v>0</v>
      </c>
      <c r="AT29" s="6">
        <v>4</v>
      </c>
      <c r="AU29" s="6">
        <v>6</v>
      </c>
      <c r="AV29" s="6">
        <v>2</v>
      </c>
      <c r="AW29" s="6">
        <f>IF(AND(ISNUMBER(J29),ISNUMBER(M29)),IF(J29+M29=1,1,0),"")</f>
        <v>1</v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1</v>
      </c>
      <c r="BB29" s="6">
        <f t="shared" si="33"/>
        <v>3</v>
      </c>
      <c r="BC29" s="6">
        <f>J29*BB29</f>
        <v>0</v>
      </c>
      <c r="BD29" s="6">
        <f>M29*BA29</f>
        <v>1</v>
      </c>
    </row>
    <row r="30" spans="2:56" x14ac:dyDescent="0.25">
      <c r="B30" s="6">
        <v>2</v>
      </c>
      <c r="C30" s="6" t="str">
        <f>VLOOKUP(AU30,$B$4:$F$9,2,FALSE)</f>
        <v>Yasin Gokoglan</v>
      </c>
      <c r="D30" s="46" t="s">
        <v>5</v>
      </c>
      <c r="E30" s="66" t="str">
        <f>VLOOKUP(AV30,$B$4:$F$9,2,FALSE)</f>
        <v>Niels van Wolfswinkel</v>
      </c>
      <c r="F30" s="66"/>
      <c r="G30" s="66"/>
      <c r="H30" s="66"/>
      <c r="J30" s="66">
        <f>IF(T30="","",VLOOKUP(T30,Configuratie!$B$1:$E$10,3,FALSE))</f>
        <v>0</v>
      </c>
      <c r="K30" s="66"/>
      <c r="L30" s="6" t="s">
        <v>5</v>
      </c>
      <c r="M30" s="66">
        <f>IF(T30="","",VLOOKUP(T30,Configuratie!$B$1:$E$10,4,FALSE))</f>
        <v>1</v>
      </c>
      <c r="N30" s="66"/>
      <c r="R30" s="6" t="str">
        <f>IF(T30="","",VLOOKUP(T30,Configuratie!$B$1:$E$10,2,FALSE))</f>
        <v>0-1</v>
      </c>
      <c r="T30" s="5">
        <v>0</v>
      </c>
      <c r="AT30" s="6">
        <v>4</v>
      </c>
      <c r="AU30" s="6">
        <v>1</v>
      </c>
      <c r="AV30" s="6">
        <v>3</v>
      </c>
      <c r="AW30" s="6">
        <f t="shared" ref="AW30:AW31" si="34">IF(AND(ISNUMBER(J30),ISNUMBER(M30)),IF(J30+M30=1,1,0),"")</f>
        <v>1</v>
      </c>
      <c r="AY30" s="48">
        <f>AU30*100+AV30</f>
        <v>103</v>
      </c>
      <c r="AZ30" s="48">
        <f>AV30*100+AU30</f>
        <v>301</v>
      </c>
      <c r="BA30" s="6">
        <f t="shared" si="33"/>
        <v>3</v>
      </c>
      <c r="BB30" s="6">
        <f t="shared" si="33"/>
        <v>2</v>
      </c>
      <c r="BC30" s="6">
        <f>J30*BB30</f>
        <v>0</v>
      </c>
      <c r="BD30" s="6">
        <f>M30*BA30</f>
        <v>3</v>
      </c>
    </row>
    <row r="31" spans="2:56" x14ac:dyDescent="0.25">
      <c r="B31" s="6">
        <v>3</v>
      </c>
      <c r="C31" s="6" t="str">
        <f>VLOOKUP(AU31,$B$4:$F$9,2,FALSE)</f>
        <v>Ilias Drysdale</v>
      </c>
      <c r="D31" s="46" t="s">
        <v>5</v>
      </c>
      <c r="E31" s="66" t="str">
        <f>VLOOKUP(AV31,$B$4:$F$9,2,FALSE)</f>
        <v>�mit �zyilmaz</v>
      </c>
      <c r="F31" s="66"/>
      <c r="G31" s="66"/>
      <c r="H31" s="66"/>
      <c r="J31" s="66">
        <f>IF(T31="","",VLOOKUP(T31,Configuratie!$B$1:$E$10,3,FALSE))</f>
        <v>0</v>
      </c>
      <c r="K31" s="66"/>
      <c r="L31" s="6" t="s">
        <v>5</v>
      </c>
      <c r="M31" s="66">
        <f>IF(T31="","",VLOOKUP(T31,Configuratie!$B$1:$E$10,4,FALSE))</f>
        <v>1</v>
      </c>
      <c r="N31" s="66"/>
      <c r="R31" s="6" t="str">
        <f>IF(T31="","",VLOOKUP(T31,Configuratie!$B$1:$E$10,2,FALSE))</f>
        <v>0-1</v>
      </c>
      <c r="T31" s="5">
        <v>0</v>
      </c>
      <c r="AT31" s="6">
        <v>4</v>
      </c>
      <c r="AU31" s="6">
        <v>5</v>
      </c>
      <c r="AV31" s="6">
        <v>4</v>
      </c>
      <c r="AW31" s="6">
        <f t="shared" si="34"/>
        <v>1</v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>
        <f>J31*BB31</f>
        <v>0</v>
      </c>
      <c r="BD31" s="6">
        <f>M31*BA31</f>
        <v>0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�mit �zyilmaz</v>
      </c>
      <c r="D34" s="46" t="s">
        <v>5</v>
      </c>
      <c r="E34" s="66" t="str">
        <f>VLOOKUP(AV34,$B$4:$F$9,2,FALSE)</f>
        <v>H�seyin Ersoy</v>
      </c>
      <c r="F34" s="66"/>
      <c r="G34" s="66"/>
      <c r="H34" s="66"/>
      <c r="J34" s="66">
        <f>IF(T34="","",VLOOKUP(T34,Configuratie!$B$1:$E$10,3,FALSE))</f>
        <v>0</v>
      </c>
      <c r="K34" s="66"/>
      <c r="L34" s="6" t="s">
        <v>5</v>
      </c>
      <c r="M34" s="66">
        <f>IF(T34="","",VLOOKUP(T34,Configuratie!$B$1:$E$10,4,FALSE))</f>
        <v>1</v>
      </c>
      <c r="N34" s="66"/>
      <c r="R34" s="6" t="str">
        <f>IF(T34="","",VLOOKUP(T34,Configuratie!$B$1:$E$10,2,FALSE))</f>
        <v>0-1</v>
      </c>
      <c r="T34" s="5">
        <v>0</v>
      </c>
      <c r="AT34" s="6">
        <v>5</v>
      </c>
      <c r="AU34" s="6">
        <v>4</v>
      </c>
      <c r="AV34" s="6">
        <v>6</v>
      </c>
      <c r="AW34" s="6">
        <f>IF(AND(ISNUMBER(J34),ISNUMBER(M34)),IF(J34+M34=1,1,0),"")</f>
        <v>1</v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1</v>
      </c>
      <c r="BB34" s="6">
        <f t="shared" si="35"/>
        <v>1</v>
      </c>
      <c r="BC34" s="6">
        <f>J34*BB34</f>
        <v>0</v>
      </c>
      <c r="BD34" s="6">
        <f>M34*BA34</f>
        <v>1</v>
      </c>
    </row>
    <row r="35" spans="2:56" x14ac:dyDescent="0.25">
      <c r="B35" s="6">
        <v>2</v>
      </c>
      <c r="C35" s="6" t="str">
        <f>VLOOKUP(AU35,$B$4:$F$9,2,FALSE)</f>
        <v>Ilias Drysdale</v>
      </c>
      <c r="D35" s="46" t="s">
        <v>5</v>
      </c>
      <c r="E35" s="66" t="str">
        <f>VLOOKUP(AV35,$B$4:$F$9,2,FALSE)</f>
        <v>Niels van Wolfswinkel</v>
      </c>
      <c r="F35" s="66"/>
      <c r="G35" s="66"/>
      <c r="H35" s="66"/>
      <c r="J35" s="66">
        <f>IF(T35="","",VLOOKUP(T35,Configuratie!$B$1:$E$10,3,FALSE))</f>
        <v>1</v>
      </c>
      <c r="K35" s="66"/>
      <c r="L35" s="6" t="s">
        <v>5</v>
      </c>
      <c r="M35" s="66">
        <f>IF(T35="","",VLOOKUP(T35,Configuratie!$B$1:$E$10,4,FALSE))</f>
        <v>0</v>
      </c>
      <c r="N35" s="66"/>
      <c r="R35" s="6" t="str">
        <f>IF(T35="","",VLOOKUP(T35,Configuratie!$B$1:$E$10,2,FALSE))</f>
        <v>1-0</v>
      </c>
      <c r="T35" s="5">
        <v>1</v>
      </c>
      <c r="AT35" s="6">
        <v>5</v>
      </c>
      <c r="AU35" s="6">
        <v>5</v>
      </c>
      <c r="AV35" s="6">
        <v>3</v>
      </c>
      <c r="AW35" s="6">
        <f t="shared" ref="AW35:AW36" si="36">IF(AND(ISNUMBER(J35),ISNUMBER(M35)),IF(J35+M35=1,1,0),"")</f>
        <v>1</v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3</v>
      </c>
      <c r="BC35" s="6">
        <f>J35*BB35</f>
        <v>3</v>
      </c>
      <c r="BD35" s="6">
        <f>M35*BA35</f>
        <v>0</v>
      </c>
    </row>
    <row r="36" spans="2:56" x14ac:dyDescent="0.25">
      <c r="B36" s="6">
        <v>3</v>
      </c>
      <c r="C36" s="6" t="str">
        <f>VLOOKUP(AU36,$B$4:$F$9,2,FALSE)</f>
        <v>Chris Kamperman</v>
      </c>
      <c r="D36" s="46" t="s">
        <v>5</v>
      </c>
      <c r="E36" s="66" t="str">
        <f>VLOOKUP(AV36,$B$4:$F$9,2,FALSE)</f>
        <v>Yasin Gokoglan</v>
      </c>
      <c r="F36" s="66"/>
      <c r="G36" s="66"/>
      <c r="H36" s="66"/>
      <c r="J36" s="66">
        <f>IF(T36="","",VLOOKUP(T36,Configuratie!$B$1:$E$10,3,FALSE))</f>
        <v>1</v>
      </c>
      <c r="K36" s="66"/>
      <c r="L36" s="6" t="s">
        <v>5</v>
      </c>
      <c r="M36" s="66">
        <f>IF(T36="","",VLOOKUP(T36,Configuratie!$B$1:$E$10,4,FALSE))</f>
        <v>0</v>
      </c>
      <c r="N36" s="66"/>
      <c r="R36" s="6" t="str">
        <f>IF(T36="","",VLOOKUP(T36,Configuratie!$B$1:$E$10,2,FALSE))</f>
        <v>1-0</v>
      </c>
      <c r="T36" s="5">
        <v>1</v>
      </c>
      <c r="AT36" s="6">
        <v>5</v>
      </c>
      <c r="AU36" s="6">
        <v>2</v>
      </c>
      <c r="AV36" s="6">
        <v>1</v>
      </c>
      <c r="AW36" s="6">
        <f t="shared" si="36"/>
        <v>1</v>
      </c>
      <c r="AY36" s="48">
        <f>AU36*100+AV36</f>
        <v>201</v>
      </c>
      <c r="AZ36" s="48">
        <f>AV36*100+AU36</f>
        <v>102</v>
      </c>
      <c r="BA36" s="6">
        <f t="shared" si="35"/>
        <v>4</v>
      </c>
      <c r="BB36" s="6">
        <f t="shared" si="35"/>
        <v>3</v>
      </c>
      <c r="BC36" s="6">
        <f>J36*BB36</f>
        <v>3</v>
      </c>
      <c r="BD36" s="6">
        <f>M36*BA36</f>
        <v>0</v>
      </c>
    </row>
    <row r="52" spans="13:14" x14ac:dyDescent="0.25">
      <c r="M52" s="66"/>
      <c r="N52" s="66"/>
    </row>
    <row r="53" spans="13:14" x14ac:dyDescent="0.25">
      <c r="M53" s="66"/>
      <c r="N53" s="66"/>
    </row>
    <row r="54" spans="13:14" x14ac:dyDescent="0.25">
      <c r="M54" s="66"/>
      <c r="N54" s="66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19" priority="4" stopIfTrue="1" operator="between">
      <formula>0</formula>
      <formula>1</formula>
    </cfRule>
  </conditionalFormatting>
  <conditionalFormatting sqref="T4:T9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autoPageBreaks="0" fitToPage="1"/>
  </sheetPr>
  <dimension ref="A1:BT54"/>
  <sheetViews>
    <sheetView view="pageBreakPreview" topLeftCell="A23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4" width="3.7109375" style="6" customWidth="1" collapsed="1"/>
    <col min="15" max="17" width="3.7109375" style="6" hidden="1" customWidth="1" collapsed="1"/>
    <col min="18" max="20" width="10.42578125" style="6" customWidth="1" collapsed="1"/>
    <col min="21" max="21" width="3.7109375" style="6" customWidth="1" collapsed="1"/>
    <col min="22" max="22" width="6.7109375" style="6" customWidth="1" collapsed="1"/>
    <col min="23" max="23" width="3" style="6" hidden="1" customWidth="1" collapsed="1"/>
    <col min="24" max="24" width="27.7109375" style="6" customWidth="1" collapsed="1"/>
    <col min="25" max="25" width="6.7109375" style="6" customWidth="1" collapsed="1"/>
    <col min="26" max="26" width="6.7109375" style="6" hidden="1" customWidth="1" collapsed="1"/>
    <col min="27" max="27" width="6.7109375" style="6" customWidth="1" collapsed="1"/>
    <col min="28" max="29" width="6.7109375" style="6" hidden="1" customWidth="1" collapsed="1"/>
    <col min="30" max="30" width="6.7109375" style="6" customWidth="1" collapsed="1"/>
    <col min="31" max="31" width="8.5703125" style="6" hidden="1" customWidth="1" collapsed="1"/>
    <col min="32" max="32" width="6.7109375" style="6" hidden="1" customWidth="1" collapsed="1"/>
    <col min="33" max="33" width="8.5703125" style="6" hidden="1" customWidth="1" collapsed="1"/>
    <col min="34" max="34" width="6.7109375" style="6" hidden="1" customWidth="1" collapsed="1"/>
    <col min="35" max="35" width="8.5703125" style="6" hidden="1" customWidth="1" collapsed="1"/>
    <col min="36" max="37" width="6.7109375" style="6" hidden="1" customWidth="1" collapsed="1"/>
    <col min="38" max="38" width="8.5703125" style="6" hidden="1" customWidth="1" collapsed="1"/>
    <col min="39" max="46" width="6.7109375" style="6" hidden="1" customWidth="1" collapsed="1"/>
    <col min="47" max="50" width="9.140625" style="6" hidden="1" customWidth="1" collapsed="1"/>
    <col min="51" max="52" width="4.42578125" style="6" hidden="1" customWidth="1" collapsed="1"/>
    <col min="53" max="71" width="3.7109375" style="6" hidden="1" customWidth="1" collapsed="1"/>
    <col min="72" max="72" width="9.140625" style="6" hidden="1" customWidth="1" collapsed="1"/>
    <col min="73" max="74" width="9.140625" style="6" customWidth="1" collapsed="1"/>
    <col min="75" max="16384" width="9.140625" style="6" collapsed="1"/>
  </cols>
  <sheetData>
    <row r="1" spans="1:71" ht="26.25" x14ac:dyDescent="0.4">
      <c r="A1" s="24">
        <v>6</v>
      </c>
      <c r="B1" s="68" t="s">
        <v>29</v>
      </c>
      <c r="C1" s="68"/>
      <c r="D1" s="68"/>
      <c r="E1" s="68"/>
      <c r="F1" s="68"/>
      <c r="G1" s="71" t="s">
        <v>118</v>
      </c>
      <c r="H1" s="71"/>
      <c r="I1" s="66"/>
      <c r="J1" s="66"/>
      <c r="K1" s="66"/>
      <c r="L1" s="66"/>
      <c r="M1" s="66"/>
      <c r="N1" s="66"/>
      <c r="O1" s="66"/>
      <c r="P1" s="66"/>
      <c r="Q1" s="66"/>
      <c r="R1" s="66"/>
      <c r="S1" s="47"/>
      <c r="T1" s="47"/>
      <c r="U1" s="15"/>
      <c r="V1" s="69" t="str">
        <f>"UITSLAG "&amp; G1</f>
        <v>UITSLAG Groep J</v>
      </c>
      <c r="W1" s="70"/>
      <c r="X1" s="70"/>
      <c r="Y1" s="70"/>
      <c r="Z1" s="70"/>
      <c r="AA1" s="70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25</v>
      </c>
      <c r="AV2" s="16" t="s">
        <v>24</v>
      </c>
      <c r="AW2" s="16" t="s">
        <v>26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17"/>
      <c r="BJ2" s="18"/>
      <c r="BK2" s="70" t="s">
        <v>21</v>
      </c>
      <c r="BL2" s="70"/>
      <c r="BM2" s="70"/>
      <c r="BN2" s="70"/>
      <c r="BO2" s="70"/>
      <c r="BP2" s="70"/>
      <c r="BQ2" s="70"/>
      <c r="BR2" s="70"/>
      <c r="BS2" s="70"/>
    </row>
    <row r="3" spans="1:71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5"/>
      <c r="O3" s="76"/>
      <c r="P3" s="49"/>
      <c r="Q3" s="50"/>
      <c r="R3" s="7" t="s">
        <v>15</v>
      </c>
      <c r="S3" s="7" t="s">
        <v>24</v>
      </c>
      <c r="T3" s="7" t="s">
        <v>56</v>
      </c>
      <c r="U3" s="21"/>
      <c r="V3" s="7" t="s">
        <v>30</v>
      </c>
      <c r="W3" s="22" t="s">
        <v>28</v>
      </c>
      <c r="X3" s="7" t="s">
        <v>6</v>
      </c>
      <c r="Y3" s="7" t="s">
        <v>27</v>
      </c>
      <c r="Z3" s="7" t="s">
        <v>22</v>
      </c>
      <c r="AA3" s="7" t="s">
        <v>24</v>
      </c>
      <c r="AB3" s="7" t="s">
        <v>31</v>
      </c>
      <c r="AC3" s="7" t="s">
        <v>32</v>
      </c>
      <c r="AD3" s="13"/>
      <c r="AE3" s="7" t="s">
        <v>47</v>
      </c>
      <c r="AF3" s="7" t="s">
        <v>48</v>
      </c>
      <c r="AG3" s="7" t="s">
        <v>49</v>
      </c>
      <c r="AH3" s="7" t="s">
        <v>50</v>
      </c>
      <c r="AI3" s="7" t="s">
        <v>51</v>
      </c>
      <c r="AJ3" s="7" t="s">
        <v>52</v>
      </c>
      <c r="AK3" s="7"/>
      <c r="AL3" s="7" t="s">
        <v>53</v>
      </c>
      <c r="AM3" s="7" t="s">
        <v>54</v>
      </c>
      <c r="AN3" s="7" t="s">
        <v>55</v>
      </c>
      <c r="AO3" s="7" t="s">
        <v>56</v>
      </c>
      <c r="AP3" s="13"/>
      <c r="AQ3" s="13"/>
      <c r="AR3" s="13"/>
      <c r="AS3" s="21"/>
      <c r="AT3" s="7" t="s">
        <v>33</v>
      </c>
      <c r="AU3" s="23" t="s">
        <v>23</v>
      </c>
      <c r="AV3" s="16" t="s">
        <v>23</v>
      </c>
      <c r="AW3" s="16" t="s">
        <v>23</v>
      </c>
      <c r="AY3" s="6" t="s">
        <v>28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28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3</v>
      </c>
      <c r="B4" s="25">
        <v>1</v>
      </c>
      <c r="C4" s="25" t="s">
        <v>119</v>
      </c>
      <c r="D4" s="67">
        <v>8631898</v>
      </c>
      <c r="E4" s="67"/>
      <c r="F4" s="25">
        <v>312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>
        <f t="shared" si="0"/>
        <v>0.5</v>
      </c>
      <c r="J4" s="27">
        <f t="shared" si="0"/>
        <v>0.5</v>
      </c>
      <c r="K4" s="27">
        <f t="shared" si="0"/>
        <v>0</v>
      </c>
      <c r="L4" s="27">
        <f t="shared" si="0"/>
        <v>1</v>
      </c>
      <c r="M4" s="27">
        <f t="shared" si="0"/>
        <v>1</v>
      </c>
      <c r="N4" s="73"/>
      <c r="O4" s="74"/>
      <c r="P4" s="52"/>
      <c r="Q4" s="53"/>
      <c r="R4" s="8">
        <f t="shared" ref="R4:R9" si="1">SUM(H4:Q4)</f>
        <v>3</v>
      </c>
      <c r="S4" s="8">
        <f>IF(H4="",0,H4)*$R$4+IF(I4="",0,I4)*$R$5+IF(J4="",0,J4)*$R$6+IF(K4="",0,K4)*$R$7+IF(L4="",0,L4)*$R$8+IF(M4="",0,M4)*$R$9</f>
        <v>5.5</v>
      </c>
      <c r="T4" s="54">
        <f>AO4</f>
        <v>3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David Veenstra</v>
      </c>
      <c r="Y4" s="34">
        <f t="shared" ref="Y4:Y9" si="3">IF(ISNA(VLOOKUP(B4,$A$4:$S$11,18,FALSE)),0,VLOOKUP(B4,$A$4:$S$11,18,FALSE))</f>
        <v>3.5</v>
      </c>
      <c r="Z4" s="34">
        <f t="shared" ref="Z4:Z9" si="4">VLOOKUP($W4,$AT$4:$AW$9,2,FALSE)</f>
        <v>0</v>
      </c>
      <c r="AA4" s="55">
        <f t="shared" ref="AA4:AA9" si="5">IF(ISNA(VLOOKUP(B4,$A$4:$S$11,19,FALSE)),0,VLOOKUP(B4,$A$4:$S$11,19,FALSE))</f>
        <v>9.75</v>
      </c>
      <c r="AB4" s="34">
        <f t="shared" ref="AB4:AB9" si="6">VLOOKUP($W4,$AT$4:$AW$9,4,FALSE)</f>
        <v>5</v>
      </c>
      <c r="AC4" s="35">
        <f t="shared" ref="AC4:AC9" si="7">VLOOKUP($W4,$B$4:$R$9,5,FALSE)</f>
        <v>277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9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9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9</v>
      </c>
      <c r="AK4" s="56"/>
      <c r="AL4" s="56">
        <f>RANK(AJ4,$AJ$4:$AJ$9,1)-1</f>
        <v>3</v>
      </c>
      <c r="AM4" s="56">
        <f>RANK(S4,$S$4:$S$9,1)-1</f>
        <v>3</v>
      </c>
      <c r="AN4" s="56">
        <f>6*AL4+AM4</f>
        <v>21</v>
      </c>
      <c r="AO4" s="56">
        <f>RANK(AN4,$AN$4:$AN$9)</f>
        <v>3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7.5</v>
      </c>
      <c r="AV4" s="39">
        <f t="shared" ref="AV4:AV9" si="9">SUMIF($AU$11:$AU$36,B4,$BC$11:$BC$36)+SUMIF($AV$11:$AV$36,B4,$BD$11:$BD$36)</f>
        <v>2</v>
      </c>
      <c r="AW4" s="39">
        <f>SUM(BK4:BS4)</f>
        <v>22.5</v>
      </c>
      <c r="AY4" s="6">
        <v>1</v>
      </c>
      <c r="AZ4" s="6">
        <f t="shared" ref="AZ4:BH9" si="10">SUMIFS($J$14:$J$36,$AU$14:$AU$36,$AY4,$AT$14:$AT$36,AZ$3)+SUMIFS($M$14:$M$36,$AV$14:$AV$36,$AY4,$AT$14:$AT$36,AZ$3)</f>
        <v>1</v>
      </c>
      <c r="BA4" s="6">
        <f t="shared" si="10"/>
        <v>1</v>
      </c>
      <c r="BB4" s="6">
        <f t="shared" si="10"/>
        <v>0</v>
      </c>
      <c r="BC4" s="6">
        <f t="shared" si="10"/>
        <v>0.5</v>
      </c>
      <c r="BD4" s="6">
        <f t="shared" si="10"/>
        <v>0.5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1</v>
      </c>
      <c r="BL4" s="6">
        <f t="shared" ref="BL4:BS9" si="11">BK4+BA4</f>
        <v>2</v>
      </c>
      <c r="BM4" s="6">
        <f t="shared" si="11"/>
        <v>2</v>
      </c>
      <c r="BN4" s="6">
        <f t="shared" si="11"/>
        <v>2.5</v>
      </c>
      <c r="BO4" s="6">
        <f t="shared" si="11"/>
        <v>3</v>
      </c>
      <c r="BP4" s="6">
        <f t="shared" si="11"/>
        <v>3</v>
      </c>
      <c r="BQ4" s="6">
        <f t="shared" si="11"/>
        <v>3</v>
      </c>
      <c r="BR4" s="6">
        <f t="shared" si="11"/>
        <v>3</v>
      </c>
      <c r="BS4" s="6">
        <f t="shared" si="11"/>
        <v>3</v>
      </c>
    </row>
    <row r="5" spans="1:71" x14ac:dyDescent="0.25">
      <c r="A5" s="51">
        <f t="shared" ref="A5:A9" si="12">T5</f>
        <v>2</v>
      </c>
      <c r="B5" s="25">
        <v>2</v>
      </c>
      <c r="C5" s="25" t="s">
        <v>120</v>
      </c>
      <c r="D5" s="67">
        <v>8579021</v>
      </c>
      <c r="E5" s="67"/>
      <c r="F5" s="25">
        <v>301</v>
      </c>
      <c r="H5" s="27">
        <f t="shared" si="0"/>
        <v>0.5</v>
      </c>
      <c r="I5" s="26" t="str">
        <f t="shared" si="0"/>
        <v/>
      </c>
      <c r="J5" s="27">
        <f t="shared" si="0"/>
        <v>1</v>
      </c>
      <c r="K5" s="27">
        <f t="shared" si="0"/>
        <v>0</v>
      </c>
      <c r="L5" s="27">
        <f t="shared" si="0"/>
        <v>1</v>
      </c>
      <c r="M5" s="27">
        <f t="shared" si="0"/>
        <v>1</v>
      </c>
      <c r="N5" s="73"/>
      <c r="O5" s="74"/>
      <c r="P5" s="52"/>
      <c r="Q5" s="53"/>
      <c r="R5" s="8">
        <f t="shared" si="1"/>
        <v>3.5</v>
      </c>
      <c r="S5" s="8">
        <f t="shared" ref="S5:S9" si="13">IF(H5="",0,H5)*$R$4+IF(I5="",0,I5)*$R$5+IF(J5="",0,J5)*$R$6+IF(K5="",0,K5)*$R$7+IF(L5="",0,L5)*$R$8+IF(M5="",0,M5)*$R$9</f>
        <v>6.5</v>
      </c>
      <c r="T5" s="54">
        <f t="shared" ref="T5:T9" si="14">AO5</f>
        <v>2</v>
      </c>
      <c r="U5" s="30"/>
      <c r="V5" s="31">
        <v>2</v>
      </c>
      <c r="W5" s="32">
        <v>5</v>
      </c>
      <c r="X5" s="33" t="str">
        <f t="shared" si="2"/>
        <v>Morris Doorn</v>
      </c>
      <c r="Y5" s="34">
        <f t="shared" si="3"/>
        <v>3.5</v>
      </c>
      <c r="Z5" s="34">
        <f t="shared" si="4"/>
        <v>2.5</v>
      </c>
      <c r="AA5" s="55">
        <f t="shared" si="5"/>
        <v>6.5</v>
      </c>
      <c r="AB5" s="34">
        <f t="shared" si="6"/>
        <v>10</v>
      </c>
      <c r="AC5" s="35">
        <f t="shared" si="7"/>
        <v>285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10.5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10.5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10.5</v>
      </c>
      <c r="AK5" s="56"/>
      <c r="AL5" s="56">
        <f t="shared" ref="AL5:AL9" si="21">RANK(AJ5,$AJ$4:$AJ$9,1)-1</f>
        <v>4</v>
      </c>
      <c r="AM5" s="56">
        <f t="shared" ref="AM5:AM9" si="22">RANK(S5,$S$4:$S$9,1)-1</f>
        <v>4</v>
      </c>
      <c r="AN5" s="56">
        <f t="shared" ref="AN5:AN9" si="23">6*AL5+AM5</f>
        <v>28</v>
      </c>
      <c r="AO5" s="56">
        <f t="shared" ref="AO5:AO9" si="24">RANK(AN5,$AN$4:$AN$9)</f>
        <v>2</v>
      </c>
      <c r="AP5" s="56"/>
      <c r="AQ5" s="56"/>
      <c r="AR5" s="56"/>
      <c r="AS5" s="30"/>
      <c r="AT5" s="37">
        <v>2</v>
      </c>
      <c r="AU5" s="38">
        <f t="shared" si="8"/>
        <v>7</v>
      </c>
      <c r="AV5" s="39">
        <f t="shared" si="9"/>
        <v>2.25</v>
      </c>
      <c r="AW5" s="39">
        <f t="shared" ref="AW5:AW9" si="25">SUM(BK5:BS5)</f>
        <v>24.5</v>
      </c>
      <c r="AY5" s="6">
        <v>2</v>
      </c>
      <c r="AZ5" s="6">
        <f t="shared" si="10"/>
        <v>1</v>
      </c>
      <c r="BA5" s="6">
        <f t="shared" si="10"/>
        <v>0</v>
      </c>
      <c r="BB5" s="6">
        <f t="shared" si="10"/>
        <v>1</v>
      </c>
      <c r="BC5" s="6">
        <f t="shared" si="10"/>
        <v>1</v>
      </c>
      <c r="BD5" s="6">
        <f t="shared" si="10"/>
        <v>0.5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1</v>
      </c>
      <c r="BL5" s="6">
        <f t="shared" si="11"/>
        <v>1</v>
      </c>
      <c r="BM5" s="6">
        <f t="shared" si="11"/>
        <v>2</v>
      </c>
      <c r="BN5" s="6">
        <f t="shared" si="11"/>
        <v>3</v>
      </c>
      <c r="BO5" s="6">
        <f t="shared" si="11"/>
        <v>3.5</v>
      </c>
      <c r="BP5" s="6">
        <f t="shared" si="11"/>
        <v>3.5</v>
      </c>
      <c r="BQ5" s="6">
        <f t="shared" si="11"/>
        <v>3.5</v>
      </c>
      <c r="BR5" s="6">
        <f t="shared" si="11"/>
        <v>3.5</v>
      </c>
      <c r="BS5" s="6">
        <f t="shared" si="11"/>
        <v>3.5</v>
      </c>
    </row>
    <row r="6" spans="1:71" x14ac:dyDescent="0.25">
      <c r="A6" s="51">
        <f t="shared" si="12"/>
        <v>4</v>
      </c>
      <c r="B6" s="25">
        <v>3</v>
      </c>
      <c r="C6" s="25" t="s">
        <v>121</v>
      </c>
      <c r="D6" s="67">
        <v>8690781</v>
      </c>
      <c r="E6" s="67"/>
      <c r="F6" s="25">
        <v>299</v>
      </c>
      <c r="H6" s="27">
        <f t="shared" si="0"/>
        <v>0.5</v>
      </c>
      <c r="I6" s="27">
        <f t="shared" si="0"/>
        <v>0</v>
      </c>
      <c r="J6" s="26" t="str">
        <f t="shared" si="0"/>
        <v/>
      </c>
      <c r="K6" s="27">
        <f t="shared" si="0"/>
        <v>0</v>
      </c>
      <c r="L6" s="27">
        <f t="shared" si="0"/>
        <v>1</v>
      </c>
      <c r="M6" s="27">
        <f t="shared" si="0"/>
        <v>1</v>
      </c>
      <c r="N6" s="73"/>
      <c r="O6" s="74"/>
      <c r="P6" s="52"/>
      <c r="Q6" s="53"/>
      <c r="R6" s="8">
        <f t="shared" si="1"/>
        <v>2.5</v>
      </c>
      <c r="S6" s="8">
        <f t="shared" si="13"/>
        <v>4</v>
      </c>
      <c r="T6" s="54">
        <f t="shared" si="14"/>
        <v>4</v>
      </c>
      <c r="U6" s="30"/>
      <c r="V6" s="31">
        <v>3</v>
      </c>
      <c r="W6" s="32">
        <v>4</v>
      </c>
      <c r="X6" s="33" t="str">
        <f t="shared" si="2"/>
        <v>Danh Nguyen</v>
      </c>
      <c r="Y6" s="34">
        <f t="shared" si="3"/>
        <v>3</v>
      </c>
      <c r="Z6" s="34">
        <f t="shared" si="4"/>
        <v>9.5</v>
      </c>
      <c r="AA6" s="55">
        <f t="shared" si="5"/>
        <v>5.5</v>
      </c>
      <c r="AB6" s="34">
        <f t="shared" si="6"/>
        <v>27</v>
      </c>
      <c r="AC6" s="35">
        <f t="shared" si="7"/>
        <v>295</v>
      </c>
      <c r="AD6" s="56"/>
      <c r="AE6" s="7">
        <f t="shared" si="15"/>
        <v>0</v>
      </c>
      <c r="AF6" s="7">
        <f t="shared" si="16"/>
        <v>7.5</v>
      </c>
      <c r="AG6" s="7">
        <f t="shared" si="17"/>
        <v>0</v>
      </c>
      <c r="AH6" s="7">
        <f t="shared" si="18"/>
        <v>7.5</v>
      </c>
      <c r="AI6" s="7">
        <f t="shared" si="19"/>
        <v>0</v>
      </c>
      <c r="AJ6" s="7">
        <f t="shared" si="20"/>
        <v>7.5</v>
      </c>
      <c r="AK6" s="56"/>
      <c r="AL6" s="56">
        <f t="shared" si="21"/>
        <v>2</v>
      </c>
      <c r="AM6" s="56">
        <f t="shared" si="22"/>
        <v>2</v>
      </c>
      <c r="AN6" s="56">
        <f t="shared" si="23"/>
        <v>14</v>
      </c>
      <c r="AO6" s="56">
        <f t="shared" si="24"/>
        <v>4</v>
      </c>
      <c r="AP6" s="56"/>
      <c r="AQ6" s="56"/>
      <c r="AR6" s="56"/>
      <c r="AS6" s="30"/>
      <c r="AT6" s="37">
        <v>3</v>
      </c>
      <c r="AU6" s="38">
        <f t="shared" si="8"/>
        <v>3.5</v>
      </c>
      <c r="AV6" s="39">
        <f t="shared" si="9"/>
        <v>2.5</v>
      </c>
      <c r="AW6" s="39">
        <f t="shared" si="25"/>
        <v>16</v>
      </c>
      <c r="AY6" s="6">
        <v>3</v>
      </c>
      <c r="AZ6" s="6">
        <f t="shared" si="10"/>
        <v>0</v>
      </c>
      <c r="BA6" s="6">
        <f t="shared" si="10"/>
        <v>1</v>
      </c>
      <c r="BB6" s="6">
        <f t="shared" si="10"/>
        <v>0</v>
      </c>
      <c r="BC6" s="6">
        <f t="shared" si="10"/>
        <v>0.5</v>
      </c>
      <c r="BD6" s="6">
        <f t="shared" si="10"/>
        <v>1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1</v>
      </c>
      <c r="BM6" s="6">
        <f t="shared" si="11"/>
        <v>1</v>
      </c>
      <c r="BN6" s="6">
        <f t="shared" si="11"/>
        <v>1.5</v>
      </c>
      <c r="BO6" s="6">
        <f t="shared" si="11"/>
        <v>2.5</v>
      </c>
      <c r="BP6" s="6">
        <f t="shared" si="11"/>
        <v>2.5</v>
      </c>
      <c r="BQ6" s="6">
        <f t="shared" si="11"/>
        <v>2.5</v>
      </c>
      <c r="BR6" s="6">
        <f t="shared" si="11"/>
        <v>2.5</v>
      </c>
      <c r="BS6" s="6">
        <f t="shared" si="11"/>
        <v>2.5</v>
      </c>
    </row>
    <row r="7" spans="1:71" x14ac:dyDescent="0.25">
      <c r="A7" s="51">
        <f t="shared" si="12"/>
        <v>1</v>
      </c>
      <c r="B7" s="25">
        <v>4</v>
      </c>
      <c r="C7" s="25" t="s">
        <v>122</v>
      </c>
      <c r="D7" s="67">
        <v>8674798</v>
      </c>
      <c r="E7" s="67"/>
      <c r="F7" s="25">
        <v>295</v>
      </c>
      <c r="H7" s="27">
        <f t="shared" si="0"/>
        <v>1</v>
      </c>
      <c r="I7" s="27">
        <f t="shared" si="0"/>
        <v>1</v>
      </c>
      <c r="J7" s="27">
        <f t="shared" si="0"/>
        <v>1</v>
      </c>
      <c r="K7" s="26" t="str">
        <f t="shared" si="0"/>
        <v/>
      </c>
      <c r="L7" s="27">
        <f t="shared" si="0"/>
        <v>0.5</v>
      </c>
      <c r="M7" s="27">
        <f t="shared" si="0"/>
        <v>0</v>
      </c>
      <c r="N7" s="73"/>
      <c r="O7" s="74"/>
      <c r="P7" s="52"/>
      <c r="Q7" s="53"/>
      <c r="R7" s="8">
        <f t="shared" si="1"/>
        <v>3.5</v>
      </c>
      <c r="S7" s="8">
        <f t="shared" si="13"/>
        <v>9.75</v>
      </c>
      <c r="T7" s="54">
        <f t="shared" si="14"/>
        <v>1</v>
      </c>
      <c r="U7" s="30"/>
      <c r="V7" s="31">
        <v>4</v>
      </c>
      <c r="W7" s="32">
        <v>3</v>
      </c>
      <c r="X7" s="33" t="str">
        <f t="shared" si="2"/>
        <v>Kamil Reinds</v>
      </c>
      <c r="Y7" s="34">
        <f t="shared" si="3"/>
        <v>2.5</v>
      </c>
      <c r="Z7" s="34">
        <f t="shared" si="4"/>
        <v>3.5</v>
      </c>
      <c r="AA7" s="55">
        <f t="shared" si="5"/>
        <v>4</v>
      </c>
      <c r="AB7" s="34">
        <f t="shared" si="6"/>
        <v>16</v>
      </c>
      <c r="AC7" s="35">
        <f t="shared" si="7"/>
        <v>299</v>
      </c>
      <c r="AD7" s="56"/>
      <c r="AE7" s="7">
        <f t="shared" si="15"/>
        <v>1</v>
      </c>
      <c r="AF7" s="7">
        <f t="shared" si="16"/>
        <v>11.5</v>
      </c>
      <c r="AG7" s="7">
        <f t="shared" si="17"/>
        <v>0</v>
      </c>
      <c r="AH7" s="7">
        <f t="shared" si="18"/>
        <v>11.5</v>
      </c>
      <c r="AI7" s="7">
        <f t="shared" si="19"/>
        <v>0</v>
      </c>
      <c r="AJ7" s="7">
        <f t="shared" si="20"/>
        <v>11.5</v>
      </c>
      <c r="AK7" s="56"/>
      <c r="AL7" s="56">
        <f t="shared" si="21"/>
        <v>5</v>
      </c>
      <c r="AM7" s="56">
        <f t="shared" si="22"/>
        <v>5</v>
      </c>
      <c r="AN7" s="56">
        <f t="shared" si="23"/>
        <v>35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8"/>
        <v>9.5</v>
      </c>
      <c r="AV7" s="39">
        <f t="shared" si="9"/>
        <v>3.5</v>
      </c>
      <c r="AW7" s="39">
        <f t="shared" si="25"/>
        <v>27</v>
      </c>
      <c r="AY7" s="6">
        <v>4</v>
      </c>
      <c r="AZ7" s="6">
        <f t="shared" si="10"/>
        <v>1</v>
      </c>
      <c r="BA7" s="6">
        <f t="shared" si="10"/>
        <v>1</v>
      </c>
      <c r="BB7" s="6">
        <f t="shared" si="10"/>
        <v>1</v>
      </c>
      <c r="BC7" s="6">
        <f t="shared" si="10"/>
        <v>0.5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1</v>
      </c>
      <c r="BL7" s="6">
        <f t="shared" si="11"/>
        <v>2</v>
      </c>
      <c r="BM7" s="6">
        <f t="shared" si="11"/>
        <v>3</v>
      </c>
      <c r="BN7" s="6">
        <f t="shared" si="11"/>
        <v>3.5</v>
      </c>
      <c r="BO7" s="6">
        <f t="shared" si="11"/>
        <v>3.5</v>
      </c>
      <c r="BP7" s="6">
        <f t="shared" si="11"/>
        <v>3.5</v>
      </c>
      <c r="BQ7" s="6">
        <f t="shared" si="11"/>
        <v>3.5</v>
      </c>
      <c r="BR7" s="6">
        <f t="shared" si="11"/>
        <v>3.5</v>
      </c>
      <c r="BS7" s="6">
        <f t="shared" si="11"/>
        <v>3.5</v>
      </c>
    </row>
    <row r="8" spans="1:71" x14ac:dyDescent="0.25">
      <c r="A8" s="51">
        <f t="shared" si="12"/>
        <v>5</v>
      </c>
      <c r="B8" s="25">
        <v>5</v>
      </c>
      <c r="C8" s="25" t="s">
        <v>123</v>
      </c>
      <c r="D8" s="67">
        <v>8577712</v>
      </c>
      <c r="E8" s="67"/>
      <c r="F8" s="25">
        <v>285</v>
      </c>
      <c r="H8" s="27">
        <f t="shared" si="0"/>
        <v>0</v>
      </c>
      <c r="I8" s="27">
        <f t="shared" si="0"/>
        <v>0</v>
      </c>
      <c r="J8" s="27">
        <f t="shared" si="0"/>
        <v>0</v>
      </c>
      <c r="K8" s="27">
        <f t="shared" si="0"/>
        <v>0.5</v>
      </c>
      <c r="L8" s="26" t="str">
        <f t="shared" si="0"/>
        <v/>
      </c>
      <c r="M8" s="27">
        <f t="shared" si="0"/>
        <v>1</v>
      </c>
      <c r="N8" s="73"/>
      <c r="O8" s="74"/>
      <c r="P8" s="52"/>
      <c r="Q8" s="53"/>
      <c r="R8" s="8">
        <f t="shared" si="1"/>
        <v>1.5</v>
      </c>
      <c r="S8" s="8">
        <f t="shared" si="13"/>
        <v>2.75</v>
      </c>
      <c r="T8" s="54">
        <f t="shared" si="14"/>
        <v>5</v>
      </c>
      <c r="U8" s="30"/>
      <c r="V8" s="31">
        <v>5</v>
      </c>
      <c r="W8" s="32">
        <v>2</v>
      </c>
      <c r="X8" s="33" t="str">
        <f t="shared" si="2"/>
        <v>Blanca Ordelmans *</v>
      </c>
      <c r="Y8" s="34">
        <f t="shared" si="3"/>
        <v>1.5</v>
      </c>
      <c r="Z8" s="34">
        <f t="shared" si="4"/>
        <v>7</v>
      </c>
      <c r="AA8" s="55">
        <f t="shared" si="5"/>
        <v>2.75</v>
      </c>
      <c r="AB8" s="34">
        <f t="shared" si="6"/>
        <v>24.5</v>
      </c>
      <c r="AC8" s="35">
        <f t="shared" si="7"/>
        <v>301</v>
      </c>
      <c r="AD8" s="56"/>
      <c r="AE8" s="7">
        <f t="shared" si="15"/>
        <v>0</v>
      </c>
      <c r="AF8" s="7">
        <f t="shared" si="16"/>
        <v>4.5</v>
      </c>
      <c r="AG8" s="7">
        <f t="shared" si="17"/>
        <v>0</v>
      </c>
      <c r="AH8" s="7">
        <f t="shared" si="18"/>
        <v>4.5</v>
      </c>
      <c r="AI8" s="7">
        <f t="shared" si="19"/>
        <v>0</v>
      </c>
      <c r="AJ8" s="7">
        <f t="shared" si="20"/>
        <v>4.5</v>
      </c>
      <c r="AK8" s="56"/>
      <c r="AL8" s="56">
        <f t="shared" si="21"/>
        <v>1</v>
      </c>
      <c r="AM8" s="56">
        <f t="shared" si="22"/>
        <v>0</v>
      </c>
      <c r="AN8" s="56">
        <f t="shared" si="23"/>
        <v>6</v>
      </c>
      <c r="AO8" s="56">
        <f t="shared" si="24"/>
        <v>5</v>
      </c>
      <c r="AP8" s="56"/>
      <c r="AQ8" s="56"/>
      <c r="AR8" s="56"/>
      <c r="AS8" s="30"/>
      <c r="AT8" s="37">
        <v>5</v>
      </c>
      <c r="AU8" s="38">
        <f t="shared" si="8"/>
        <v>2.5</v>
      </c>
      <c r="AV8" s="39">
        <f t="shared" si="9"/>
        <v>1.5</v>
      </c>
      <c r="AW8" s="39">
        <f t="shared" si="25"/>
        <v>10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1</v>
      </c>
      <c r="BC8" s="6">
        <f t="shared" si="10"/>
        <v>0.5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1</v>
      </c>
      <c r="BN8" s="6">
        <f t="shared" si="11"/>
        <v>1.5</v>
      </c>
      <c r="BO8" s="6">
        <f t="shared" si="11"/>
        <v>1.5</v>
      </c>
      <c r="BP8" s="6">
        <f t="shared" si="11"/>
        <v>1.5</v>
      </c>
      <c r="BQ8" s="6">
        <f t="shared" si="11"/>
        <v>1.5</v>
      </c>
      <c r="BR8" s="6">
        <f t="shared" si="11"/>
        <v>1.5</v>
      </c>
      <c r="BS8" s="6">
        <f t="shared" si="11"/>
        <v>1.5</v>
      </c>
    </row>
    <row r="9" spans="1:71" x14ac:dyDescent="0.25">
      <c r="A9" s="51">
        <f t="shared" si="12"/>
        <v>6</v>
      </c>
      <c r="B9" s="25">
        <v>6</v>
      </c>
      <c r="C9" s="25" t="s">
        <v>124</v>
      </c>
      <c r="D9" s="67">
        <v>8560299</v>
      </c>
      <c r="E9" s="67"/>
      <c r="F9" s="25">
        <v>277</v>
      </c>
      <c r="H9" s="27">
        <f t="shared" si="0"/>
        <v>0</v>
      </c>
      <c r="I9" s="27">
        <f t="shared" si="0"/>
        <v>0</v>
      </c>
      <c r="J9" s="27">
        <f t="shared" si="0"/>
        <v>0</v>
      </c>
      <c r="K9" s="27">
        <f t="shared" si="0"/>
        <v>1</v>
      </c>
      <c r="L9" s="27">
        <f t="shared" si="0"/>
        <v>0</v>
      </c>
      <c r="M9" s="26" t="str">
        <f t="shared" si="0"/>
        <v/>
      </c>
      <c r="N9" s="73"/>
      <c r="O9" s="74"/>
      <c r="P9" s="52"/>
      <c r="Q9" s="53"/>
      <c r="R9" s="8">
        <f t="shared" si="1"/>
        <v>1</v>
      </c>
      <c r="S9" s="8">
        <f t="shared" si="13"/>
        <v>3.5</v>
      </c>
      <c r="T9" s="54">
        <f t="shared" si="14"/>
        <v>6</v>
      </c>
      <c r="U9" s="30"/>
      <c r="V9" s="31">
        <v>6</v>
      </c>
      <c r="W9" s="32">
        <v>1</v>
      </c>
      <c r="X9" s="33" t="str">
        <f t="shared" si="2"/>
        <v>Martin Smouter</v>
      </c>
      <c r="Y9" s="34">
        <f t="shared" si="3"/>
        <v>1</v>
      </c>
      <c r="Z9" s="34">
        <f t="shared" si="4"/>
        <v>7.5</v>
      </c>
      <c r="AA9" s="55">
        <f t="shared" si="5"/>
        <v>3.5</v>
      </c>
      <c r="AB9" s="34">
        <f t="shared" si="6"/>
        <v>22.5</v>
      </c>
      <c r="AC9" s="35">
        <f t="shared" si="7"/>
        <v>312</v>
      </c>
      <c r="AD9" s="56"/>
      <c r="AE9" s="7">
        <f t="shared" si="15"/>
        <v>0</v>
      </c>
      <c r="AF9" s="7">
        <f t="shared" si="16"/>
        <v>3</v>
      </c>
      <c r="AG9" s="7">
        <f t="shared" si="17"/>
        <v>0</v>
      </c>
      <c r="AH9" s="7">
        <f t="shared" si="18"/>
        <v>3</v>
      </c>
      <c r="AI9" s="7">
        <f t="shared" si="19"/>
        <v>0</v>
      </c>
      <c r="AJ9" s="7">
        <f t="shared" si="20"/>
        <v>3</v>
      </c>
      <c r="AK9" s="56"/>
      <c r="AL9" s="56">
        <f t="shared" si="21"/>
        <v>0</v>
      </c>
      <c r="AM9" s="56">
        <f t="shared" si="22"/>
        <v>1</v>
      </c>
      <c r="AN9" s="56">
        <f t="shared" si="23"/>
        <v>1</v>
      </c>
      <c r="AO9" s="56">
        <f t="shared" si="24"/>
        <v>6</v>
      </c>
      <c r="AP9" s="56"/>
      <c r="AQ9" s="56"/>
      <c r="AR9" s="56"/>
      <c r="AS9" s="30"/>
      <c r="AT9" s="37">
        <v>6</v>
      </c>
      <c r="AU9" s="38">
        <f t="shared" si="8"/>
        <v>0</v>
      </c>
      <c r="AV9" s="39">
        <f t="shared" si="9"/>
        <v>3.5</v>
      </c>
      <c r="AW9" s="39">
        <f t="shared" si="25"/>
        <v>5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1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1</v>
      </c>
      <c r="BP9" s="6">
        <f t="shared" si="11"/>
        <v>1</v>
      </c>
      <c r="BQ9" s="6">
        <f t="shared" si="11"/>
        <v>1</v>
      </c>
      <c r="BR9" s="6">
        <f t="shared" si="11"/>
        <v>1</v>
      </c>
      <c r="BS9" s="6">
        <f t="shared" si="11"/>
        <v>1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3</v>
      </c>
      <c r="AG11" s="57">
        <f>2*MAX(AG4:AG9)+1</f>
        <v>1</v>
      </c>
      <c r="AI11" s="57">
        <f>2*MAX(AI4:AI9)+1</f>
        <v>1</v>
      </c>
      <c r="AT11" s="41" t="s">
        <v>36</v>
      </c>
      <c r="AU11" s="41" t="s">
        <v>0</v>
      </c>
      <c r="AV11" s="41" t="s">
        <v>1</v>
      </c>
      <c r="AW11" s="41" t="s">
        <v>2</v>
      </c>
      <c r="AY11" s="42" t="s">
        <v>34</v>
      </c>
      <c r="AZ11" s="42" t="s">
        <v>35</v>
      </c>
      <c r="BA11" s="6" t="s">
        <v>16</v>
      </c>
      <c r="BB11" s="6" t="s">
        <v>17</v>
      </c>
      <c r="BC11" s="6" t="s">
        <v>18</v>
      </c>
      <c r="BD11" s="6" t="s">
        <v>19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Martin Smouter</v>
      </c>
      <c r="D14" s="46" t="s">
        <v>5</v>
      </c>
      <c r="E14" s="66" t="str">
        <f>VLOOKUP(AV14,$B$4:$F$9,2,FALSE)</f>
        <v>Danh Nguyen</v>
      </c>
      <c r="F14" s="66"/>
      <c r="G14" s="66"/>
      <c r="H14" s="66"/>
      <c r="J14" s="66">
        <f>IF(T14="","",VLOOKUP(T14,Configuratie!$B$1:$E$10,3,FALSE))</f>
        <v>0</v>
      </c>
      <c r="K14" s="66"/>
      <c r="L14" s="6" t="s">
        <v>5</v>
      </c>
      <c r="M14" s="66">
        <f>IF(T14="","",VLOOKUP(T14,Configuratie!$B$1:$E$10,4,FALSE))</f>
        <v>1</v>
      </c>
      <c r="N14" s="66"/>
      <c r="R14" s="6" t="str">
        <f>IF(T14="","",VLOOKUP(T14,Configuratie!$B$1:$E$10,2,FALSE))</f>
        <v>0-1</v>
      </c>
      <c r="T14" s="5">
        <v>0</v>
      </c>
      <c r="AI14" s="7"/>
      <c r="AT14" s="6">
        <v>1</v>
      </c>
      <c r="AU14" s="6">
        <v>6</v>
      </c>
      <c r="AV14" s="6">
        <v>1</v>
      </c>
      <c r="AW14" s="6">
        <f>IF(AND(ISNUMBER(J14),ISNUMBER(M14)),IF(J14+M14=1,1,0),"")</f>
        <v>1</v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>
        <f>J14*BB14</f>
        <v>0</v>
      </c>
      <c r="BD14" s="6">
        <f>M14*BA14</f>
        <v>0</v>
      </c>
    </row>
    <row r="15" spans="1:71" x14ac:dyDescent="0.25">
      <c r="B15" s="6">
        <v>2</v>
      </c>
      <c r="C15" s="6" t="str">
        <f>VLOOKUP(AU15,$B$4:$F$9,2,FALSE)</f>
        <v>Blanca Ordelmans *</v>
      </c>
      <c r="D15" s="46" t="s">
        <v>5</v>
      </c>
      <c r="E15" s="66" t="str">
        <f>VLOOKUP(AV15,$B$4:$F$9,2,FALSE)</f>
        <v>Morris Doorn</v>
      </c>
      <c r="F15" s="66"/>
      <c r="G15" s="66"/>
      <c r="H15" s="66"/>
      <c r="J15" s="66">
        <f>IF(T15="","",VLOOKUP(T15,Configuratie!$B$1:$E$10,3,FALSE))</f>
        <v>0</v>
      </c>
      <c r="K15" s="66"/>
      <c r="L15" s="6" t="s">
        <v>5</v>
      </c>
      <c r="M15" s="66">
        <f>IF(T15="","",VLOOKUP(T15,Configuratie!$B$1:$E$10,4,FALSE))</f>
        <v>1</v>
      </c>
      <c r="N15" s="66"/>
      <c r="R15" s="6" t="str">
        <f>IF(T15="","",VLOOKUP(T15,Configuratie!$B$1:$E$10,2,FALSE))</f>
        <v>0-1</v>
      </c>
      <c r="T15" s="5">
        <v>0</v>
      </c>
      <c r="AI15" s="56"/>
      <c r="AT15" s="6">
        <v>1</v>
      </c>
      <c r="AU15" s="6">
        <v>5</v>
      </c>
      <c r="AV15" s="6">
        <v>2</v>
      </c>
      <c r="AW15" s="6">
        <f t="shared" ref="AW15:AW16" si="28">IF(AND(ISNUMBER(J15),ISNUMBER(M15)),IF(J15+M15=1,1,0),"")</f>
        <v>1</v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>
        <f>J15*BB15</f>
        <v>0</v>
      </c>
      <c r="BD15" s="6">
        <f>M15*BA15</f>
        <v>0</v>
      </c>
    </row>
    <row r="16" spans="1:71" x14ac:dyDescent="0.25">
      <c r="B16" s="6">
        <v>3</v>
      </c>
      <c r="C16" s="6" t="str">
        <f>VLOOKUP(AU16,$B$4:$F$9,2,FALSE)</f>
        <v>David Veenstra</v>
      </c>
      <c r="D16" s="46" t="s">
        <v>5</v>
      </c>
      <c r="E16" s="66" t="str">
        <f>VLOOKUP(AV16,$B$4:$F$9,2,FALSE)</f>
        <v>Kamil Reinds</v>
      </c>
      <c r="F16" s="66"/>
      <c r="G16" s="66"/>
      <c r="H16" s="66"/>
      <c r="J16" s="66">
        <f>IF(T16="","",VLOOKUP(T16,Configuratie!$B$1:$E$10,3,FALSE))</f>
        <v>1</v>
      </c>
      <c r="K16" s="66"/>
      <c r="L16" s="6" t="s">
        <v>5</v>
      </c>
      <c r="M16" s="66">
        <f>IF(T16="","",VLOOKUP(T16,Configuratie!$B$1:$E$10,4,FALSE))</f>
        <v>0</v>
      </c>
      <c r="N16" s="66"/>
      <c r="R16" s="6" t="str">
        <f>IF(T16="","",VLOOKUP(T16,Configuratie!$B$1:$E$10,2,FALSE))</f>
        <v>1-0</v>
      </c>
      <c r="T16" s="5">
        <v>1</v>
      </c>
      <c r="AI16" s="56"/>
      <c r="AT16" s="6">
        <v>1</v>
      </c>
      <c r="AU16" s="6">
        <v>4</v>
      </c>
      <c r="AV16" s="6">
        <v>3</v>
      </c>
      <c r="AW16" s="6">
        <f t="shared" si="28"/>
        <v>1</v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>
        <f>J16*BB16</f>
        <v>0</v>
      </c>
      <c r="BD16" s="6">
        <f>M16*BA16</f>
        <v>0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Martin Smouter</v>
      </c>
      <c r="D19" s="46" t="s">
        <v>5</v>
      </c>
      <c r="E19" s="66" t="str">
        <f>VLOOKUP(AV19,$B$4:$F$9,2,FALSE)</f>
        <v>Kamil Reinds</v>
      </c>
      <c r="F19" s="66"/>
      <c r="G19" s="66"/>
      <c r="H19" s="66"/>
      <c r="J19" s="66">
        <f>IF(T19="","",VLOOKUP(T19,Configuratie!$B$1:$E$10,3,FALSE))</f>
        <v>0</v>
      </c>
      <c r="K19" s="66"/>
      <c r="L19" s="6" t="s">
        <v>5</v>
      </c>
      <c r="M19" s="66">
        <f>IF(T19="","",VLOOKUP(T19,Configuratie!$B$1:$E$10,4,FALSE))</f>
        <v>1</v>
      </c>
      <c r="N19" s="66"/>
      <c r="R19" s="6" t="str">
        <f>IF(T19="","",VLOOKUP(T19,Configuratie!$B$1:$E$10,2,FALSE))</f>
        <v>0-1</v>
      </c>
      <c r="T19" s="5">
        <v>0</v>
      </c>
      <c r="AI19" s="56"/>
      <c r="AT19" s="6">
        <v>2</v>
      </c>
      <c r="AU19" s="6">
        <v>6</v>
      </c>
      <c r="AV19" s="6">
        <v>3</v>
      </c>
      <c r="AW19" s="6">
        <f>IF(AND(ISNUMBER(J19),ISNUMBER(M19)),IF(J19+M19=1,1,0),"")</f>
        <v>1</v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>
        <f>J19*BB19</f>
        <v>0</v>
      </c>
      <c r="BD19" s="6">
        <f>M19*BA19</f>
        <v>0</v>
      </c>
    </row>
    <row r="20" spans="2:56" x14ac:dyDescent="0.25">
      <c r="B20" s="6">
        <v>2</v>
      </c>
      <c r="C20" s="6" t="str">
        <f>VLOOKUP(AU20,$B$4:$F$9,2,FALSE)</f>
        <v>Morris Doorn</v>
      </c>
      <c r="D20" s="46" t="s">
        <v>5</v>
      </c>
      <c r="E20" s="66" t="str">
        <f>VLOOKUP(AV20,$B$4:$F$9,2,FALSE)</f>
        <v>David Veenstra</v>
      </c>
      <c r="F20" s="66"/>
      <c r="G20" s="66"/>
      <c r="H20" s="66"/>
      <c r="J20" s="66">
        <f>IF(T20="","",VLOOKUP(T20,Configuratie!$B$1:$E$10,3,FALSE))</f>
        <v>0</v>
      </c>
      <c r="K20" s="66"/>
      <c r="L20" s="6" t="s">
        <v>5</v>
      </c>
      <c r="M20" s="66">
        <f>IF(T20="","",VLOOKUP(T20,Configuratie!$B$1:$E$10,4,FALSE))</f>
        <v>1</v>
      </c>
      <c r="N20" s="66"/>
      <c r="R20" s="6" t="str">
        <f>IF(T20="","",VLOOKUP(T20,Configuratie!$B$1:$E$10,2,FALSE))</f>
        <v>0-1</v>
      </c>
      <c r="T20" s="5">
        <v>0</v>
      </c>
      <c r="AT20" s="6">
        <v>2</v>
      </c>
      <c r="AU20" s="6">
        <v>2</v>
      </c>
      <c r="AV20" s="6">
        <v>4</v>
      </c>
      <c r="AW20" s="6">
        <f t="shared" ref="AW20:AW21" si="30">IF(AND(ISNUMBER(J20),ISNUMBER(M20)),IF(J20+M20=1,1,0),"")</f>
        <v>1</v>
      </c>
      <c r="AY20" s="48">
        <f>AU20*100+AV20</f>
        <v>204</v>
      </c>
      <c r="AZ20" s="48">
        <f>AV20*100+AU20</f>
        <v>402</v>
      </c>
      <c r="BA20" s="6">
        <f t="shared" si="29"/>
        <v>1</v>
      </c>
      <c r="BB20" s="6">
        <f t="shared" si="29"/>
        <v>1</v>
      </c>
      <c r="BC20" s="6">
        <f>J20*BB20</f>
        <v>0</v>
      </c>
      <c r="BD20" s="6">
        <f>M20*BA20</f>
        <v>1</v>
      </c>
    </row>
    <row r="21" spans="2:56" x14ac:dyDescent="0.25">
      <c r="B21" s="6">
        <v>3</v>
      </c>
      <c r="C21" s="6" t="str">
        <f>VLOOKUP(AU21,$B$4:$F$9,2,FALSE)</f>
        <v>Danh Nguyen</v>
      </c>
      <c r="D21" s="46" t="s">
        <v>5</v>
      </c>
      <c r="E21" s="66" t="str">
        <f>VLOOKUP(AV21,$B$4:$F$9,2,FALSE)</f>
        <v>Blanca Ordelmans *</v>
      </c>
      <c r="F21" s="66"/>
      <c r="G21" s="66"/>
      <c r="H21" s="66"/>
      <c r="J21" s="66">
        <f>IF(T21="","",VLOOKUP(T21,Configuratie!$B$1:$E$10,3,FALSE))</f>
        <v>1</v>
      </c>
      <c r="K21" s="66"/>
      <c r="L21" s="6" t="s">
        <v>5</v>
      </c>
      <c r="M21" s="66">
        <f>IF(T21="","",VLOOKUP(T21,Configuratie!$B$1:$E$10,4,FALSE))</f>
        <v>0</v>
      </c>
      <c r="N21" s="66"/>
      <c r="R21" s="6" t="str">
        <f>IF(T21="","",VLOOKUP(T21,Configuratie!$B$1:$E$10,2,FALSE))</f>
        <v>1-0</v>
      </c>
      <c r="T21" s="5">
        <v>1</v>
      </c>
      <c r="AT21" s="6">
        <v>2</v>
      </c>
      <c r="AU21" s="6">
        <v>1</v>
      </c>
      <c r="AV21" s="6">
        <v>5</v>
      </c>
      <c r="AW21" s="6">
        <f t="shared" si="30"/>
        <v>1</v>
      </c>
      <c r="AY21" s="48">
        <f>AU21*100+AV21</f>
        <v>105</v>
      </c>
      <c r="AZ21" s="48">
        <f>AV21*100+AU21</f>
        <v>501</v>
      </c>
      <c r="BA21" s="6">
        <f t="shared" si="29"/>
        <v>1</v>
      </c>
      <c r="BB21" s="6">
        <f t="shared" si="29"/>
        <v>0</v>
      </c>
      <c r="BC21" s="6">
        <f>J21*BB21</f>
        <v>0</v>
      </c>
      <c r="BD21" s="6">
        <f>M21*BA21</f>
        <v>0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Blanca Ordelmans *</v>
      </c>
      <c r="D24" s="46" t="s">
        <v>5</v>
      </c>
      <c r="E24" s="66" t="str">
        <f>VLOOKUP(AV24,$B$4:$F$9,2,FALSE)</f>
        <v>Martin Smouter</v>
      </c>
      <c r="F24" s="66"/>
      <c r="G24" s="66"/>
      <c r="H24" s="66"/>
      <c r="J24" s="66">
        <f>IF(T24="","",VLOOKUP(T24,Configuratie!$B$1:$E$10,3,FALSE))</f>
        <v>1</v>
      </c>
      <c r="K24" s="66"/>
      <c r="L24" s="6" t="s">
        <v>5</v>
      </c>
      <c r="M24" s="66">
        <f>IF(T24="","",VLOOKUP(T24,Configuratie!$B$1:$E$10,4,FALSE))</f>
        <v>0</v>
      </c>
      <c r="N24" s="66"/>
      <c r="R24" s="6" t="str">
        <f>IF(T24="","",VLOOKUP(T24,Configuratie!$B$1:$E$10,2,FALSE))</f>
        <v>1-0</v>
      </c>
      <c r="T24" s="5">
        <v>1</v>
      </c>
      <c r="AT24" s="6">
        <v>3</v>
      </c>
      <c r="AU24" s="6">
        <v>5</v>
      </c>
      <c r="AV24" s="6">
        <v>6</v>
      </c>
      <c r="AW24" s="6">
        <f>IF(AND(ISNUMBER(J24),ISNUMBER(M24)),IF(J24+M24=1,1,0),"")</f>
        <v>1</v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>
        <f>J24*BB24</f>
        <v>0</v>
      </c>
      <c r="BD24" s="6">
        <f>M24*BA24</f>
        <v>0</v>
      </c>
    </row>
    <row r="25" spans="2:56" x14ac:dyDescent="0.25">
      <c r="B25" s="6">
        <v>2</v>
      </c>
      <c r="C25" s="6" t="str">
        <f>VLOOKUP(AU25,$B$4:$F$9,2,FALSE)</f>
        <v>David Veenstra</v>
      </c>
      <c r="D25" s="46" t="s">
        <v>5</v>
      </c>
      <c r="E25" s="66" t="str">
        <f>VLOOKUP(AV25,$B$4:$F$9,2,FALSE)</f>
        <v>Danh Nguyen</v>
      </c>
      <c r="F25" s="66"/>
      <c r="G25" s="66"/>
      <c r="H25" s="66"/>
      <c r="J25" s="66">
        <f>IF(T25="","",VLOOKUP(T25,Configuratie!$B$1:$E$10,3,FALSE))</f>
        <v>1</v>
      </c>
      <c r="K25" s="66"/>
      <c r="L25" s="6" t="s">
        <v>5</v>
      </c>
      <c r="M25" s="66">
        <f>IF(T25="","",VLOOKUP(T25,Configuratie!$B$1:$E$10,4,FALSE))</f>
        <v>0</v>
      </c>
      <c r="N25" s="66"/>
      <c r="R25" s="6" t="str">
        <f>IF(T25="","",VLOOKUP(T25,Configuratie!$B$1:$E$10,2,FALSE))</f>
        <v>1-0</v>
      </c>
      <c r="T25" s="5">
        <v>1</v>
      </c>
      <c r="AT25" s="6">
        <v>3</v>
      </c>
      <c r="AU25" s="6">
        <v>4</v>
      </c>
      <c r="AV25" s="6">
        <v>1</v>
      </c>
      <c r="AW25" s="6">
        <f t="shared" ref="AW25:AW26" si="32">IF(AND(ISNUMBER(J25),ISNUMBER(M25)),IF(J25+M25=1,1,0),"")</f>
        <v>1</v>
      </c>
      <c r="AY25" s="48">
        <f>AU25*100+AV25</f>
        <v>401</v>
      </c>
      <c r="AZ25" s="48">
        <f>AV25*100+AU25</f>
        <v>104</v>
      </c>
      <c r="BA25" s="6">
        <f t="shared" si="31"/>
        <v>2</v>
      </c>
      <c r="BB25" s="6">
        <f t="shared" si="31"/>
        <v>2</v>
      </c>
      <c r="BC25" s="6">
        <f>J25*BB25</f>
        <v>2</v>
      </c>
      <c r="BD25" s="6">
        <f>M25*BA25</f>
        <v>0</v>
      </c>
    </row>
    <row r="26" spans="2:56" x14ac:dyDescent="0.25">
      <c r="B26" s="6">
        <v>3</v>
      </c>
      <c r="C26" s="6" t="str">
        <f>VLOOKUP(AU26,$B$4:$F$9,2,FALSE)</f>
        <v>Kamil Reinds</v>
      </c>
      <c r="D26" s="46" t="s">
        <v>5</v>
      </c>
      <c r="E26" s="66" t="str">
        <f>VLOOKUP(AV26,$B$4:$F$9,2,FALSE)</f>
        <v>Morris Doorn</v>
      </c>
      <c r="F26" s="66"/>
      <c r="G26" s="66"/>
      <c r="H26" s="66"/>
      <c r="J26" s="66">
        <f>IF(T26="","",VLOOKUP(T26,Configuratie!$B$1:$E$10,3,FALSE))</f>
        <v>0</v>
      </c>
      <c r="K26" s="66"/>
      <c r="L26" s="6" t="s">
        <v>5</v>
      </c>
      <c r="M26" s="66">
        <f>IF(T26="","",VLOOKUP(T26,Configuratie!$B$1:$E$10,4,FALSE))</f>
        <v>1</v>
      </c>
      <c r="N26" s="66"/>
      <c r="R26" s="6" t="str">
        <f>IF(T26="","",VLOOKUP(T26,Configuratie!$B$1:$E$10,2,FALSE))</f>
        <v>0-1</v>
      </c>
      <c r="T26" s="5">
        <v>0</v>
      </c>
      <c r="AT26" s="6">
        <v>3</v>
      </c>
      <c r="AU26" s="6">
        <v>3</v>
      </c>
      <c r="AV26" s="6">
        <v>2</v>
      </c>
      <c r="AW26" s="6">
        <f t="shared" si="32"/>
        <v>1</v>
      </c>
      <c r="AY26" s="48">
        <f>AU26*100+AV26</f>
        <v>302</v>
      </c>
      <c r="AZ26" s="48">
        <f>AV26*100+AU26</f>
        <v>203</v>
      </c>
      <c r="BA26" s="6">
        <f t="shared" si="31"/>
        <v>1</v>
      </c>
      <c r="BB26" s="6">
        <f t="shared" si="31"/>
        <v>1</v>
      </c>
      <c r="BC26" s="6">
        <f>J26*BB26</f>
        <v>0</v>
      </c>
      <c r="BD26" s="6">
        <f>M26*BA26</f>
        <v>1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Martin Smouter</v>
      </c>
      <c r="D29" s="46" t="s">
        <v>5</v>
      </c>
      <c r="E29" s="66" t="str">
        <f>VLOOKUP(AV29,$B$4:$F$9,2,FALSE)</f>
        <v>Morris Doorn</v>
      </c>
      <c r="F29" s="66"/>
      <c r="G29" s="66"/>
      <c r="H29" s="66"/>
      <c r="J29" s="66">
        <f>IF(T29="","",VLOOKUP(T29,Configuratie!$B$1:$E$10,3,FALSE))</f>
        <v>0</v>
      </c>
      <c r="K29" s="66"/>
      <c r="L29" s="6" t="s">
        <v>5</v>
      </c>
      <c r="M29" s="66">
        <f>IF(T29="","",VLOOKUP(T29,Configuratie!$B$1:$E$10,4,FALSE))</f>
        <v>1</v>
      </c>
      <c r="N29" s="66"/>
      <c r="R29" s="6" t="str">
        <f>IF(T29="","",VLOOKUP(T29,Configuratie!$B$1:$E$10,2,FALSE))</f>
        <v>0-1</v>
      </c>
      <c r="T29" s="5">
        <v>0</v>
      </c>
      <c r="AT29" s="6">
        <v>4</v>
      </c>
      <c r="AU29" s="6">
        <v>6</v>
      </c>
      <c r="AV29" s="6">
        <v>2</v>
      </c>
      <c r="AW29" s="6">
        <f>IF(AND(ISNUMBER(J29),ISNUMBER(M29)),IF(J29+M29=1,1,0),"")</f>
        <v>1</v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2</v>
      </c>
      <c r="BC29" s="6">
        <f>J29*BB29</f>
        <v>0</v>
      </c>
      <c r="BD29" s="6">
        <f>M29*BA29</f>
        <v>0</v>
      </c>
    </row>
    <row r="30" spans="2:56" x14ac:dyDescent="0.25">
      <c r="B30" s="6">
        <v>2</v>
      </c>
      <c r="C30" s="6" t="str">
        <f>VLOOKUP(AU30,$B$4:$F$9,2,FALSE)</f>
        <v>Danh Nguyen</v>
      </c>
      <c r="D30" s="46" t="s">
        <v>5</v>
      </c>
      <c r="E30" s="66" t="str">
        <f>VLOOKUP(AV30,$B$4:$F$9,2,FALSE)</f>
        <v>Kamil Reinds</v>
      </c>
      <c r="F30" s="66"/>
      <c r="G30" s="66"/>
      <c r="H30" s="66"/>
      <c r="J30" s="66">
        <f>IF(T30="","",VLOOKUP(T30,Configuratie!$B$1:$E$10,3,FALSE))</f>
        <v>0.5</v>
      </c>
      <c r="K30" s="66"/>
      <c r="L30" s="6" t="s">
        <v>5</v>
      </c>
      <c r="M30" s="66">
        <f>IF(T30="","",VLOOKUP(T30,Configuratie!$B$1:$E$10,4,FALSE))</f>
        <v>0.5</v>
      </c>
      <c r="N30" s="66"/>
      <c r="R30" s="6" t="str">
        <f>IF(T30="","",VLOOKUP(T30,Configuratie!$B$1:$E$10,2,FALSE))</f>
        <v>½-½</v>
      </c>
      <c r="T30" s="5">
        <v>2</v>
      </c>
      <c r="AT30" s="6">
        <v>4</v>
      </c>
      <c r="AU30" s="6">
        <v>1</v>
      </c>
      <c r="AV30" s="6">
        <v>3</v>
      </c>
      <c r="AW30" s="6">
        <f t="shared" ref="AW30:AW31" si="34">IF(AND(ISNUMBER(J30),ISNUMBER(M30)),IF(J30+M30=1,1,0),"")</f>
        <v>1</v>
      </c>
      <c r="AY30" s="48">
        <f>AU30*100+AV30</f>
        <v>103</v>
      </c>
      <c r="AZ30" s="48">
        <f>AV30*100+AU30</f>
        <v>301</v>
      </c>
      <c r="BA30" s="6">
        <f t="shared" si="33"/>
        <v>2</v>
      </c>
      <c r="BB30" s="6">
        <f t="shared" si="33"/>
        <v>1</v>
      </c>
      <c r="BC30" s="6">
        <f>J30*BB30</f>
        <v>0.5</v>
      </c>
      <c r="BD30" s="6">
        <f>M30*BA30</f>
        <v>1</v>
      </c>
    </row>
    <row r="31" spans="2:56" x14ac:dyDescent="0.25">
      <c r="B31" s="6">
        <v>3</v>
      </c>
      <c r="C31" s="6" t="str">
        <f>VLOOKUP(AU31,$B$4:$F$9,2,FALSE)</f>
        <v>Blanca Ordelmans *</v>
      </c>
      <c r="D31" s="46" t="s">
        <v>5</v>
      </c>
      <c r="E31" s="66" t="str">
        <f>VLOOKUP(AV31,$B$4:$F$9,2,FALSE)</f>
        <v>David Veenstra</v>
      </c>
      <c r="F31" s="66"/>
      <c r="G31" s="66"/>
      <c r="H31" s="66"/>
      <c r="J31" s="66">
        <f>IF(T31="","",VLOOKUP(T31,Configuratie!$B$1:$E$10,3,FALSE))</f>
        <v>0.5</v>
      </c>
      <c r="K31" s="66"/>
      <c r="L31" s="6" t="s">
        <v>5</v>
      </c>
      <c r="M31" s="66">
        <f>IF(T31="","",VLOOKUP(T31,Configuratie!$B$1:$E$10,4,FALSE))</f>
        <v>0.5</v>
      </c>
      <c r="N31" s="66"/>
      <c r="R31" s="6" t="str">
        <f>IF(T31="","",VLOOKUP(T31,Configuratie!$B$1:$E$10,2,FALSE))</f>
        <v>½-½</v>
      </c>
      <c r="T31" s="5">
        <v>2</v>
      </c>
      <c r="AT31" s="6">
        <v>4</v>
      </c>
      <c r="AU31" s="6">
        <v>5</v>
      </c>
      <c r="AV31" s="6">
        <v>4</v>
      </c>
      <c r="AW31" s="6">
        <f t="shared" si="34"/>
        <v>1</v>
      </c>
      <c r="AY31" s="48">
        <f>AU31*100+AV31</f>
        <v>504</v>
      </c>
      <c r="AZ31" s="48">
        <f>AV31*100+AU31</f>
        <v>405</v>
      </c>
      <c r="BA31" s="6">
        <f t="shared" si="33"/>
        <v>1</v>
      </c>
      <c r="BB31" s="6">
        <f t="shared" si="33"/>
        <v>3</v>
      </c>
      <c r="BC31" s="6">
        <f>J31*BB31</f>
        <v>1.5</v>
      </c>
      <c r="BD31" s="6">
        <f>M31*BA31</f>
        <v>0.5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David Veenstra</v>
      </c>
      <c r="D34" s="46" t="s">
        <v>5</v>
      </c>
      <c r="E34" s="66" t="str">
        <f>VLOOKUP(AV34,$B$4:$F$9,2,FALSE)</f>
        <v>Martin Smouter</v>
      </c>
      <c r="F34" s="66"/>
      <c r="G34" s="66"/>
      <c r="H34" s="66"/>
      <c r="J34" s="66">
        <f>IF(T34="","",VLOOKUP(T34,Configuratie!$B$1:$E$10,3,FALSE))</f>
        <v>0</v>
      </c>
      <c r="K34" s="66"/>
      <c r="L34" s="6" t="s">
        <v>5</v>
      </c>
      <c r="M34" s="66">
        <f>IF(T34="","",VLOOKUP(T34,Configuratie!$B$1:$E$10,4,FALSE))</f>
        <v>1</v>
      </c>
      <c r="N34" s="66"/>
      <c r="R34" s="6" t="str">
        <f>IF(T34="","",VLOOKUP(T34,Configuratie!$B$1:$E$10,2,FALSE))</f>
        <v>0-1</v>
      </c>
      <c r="T34" s="5">
        <v>0</v>
      </c>
      <c r="AT34" s="6">
        <v>5</v>
      </c>
      <c r="AU34" s="6">
        <v>4</v>
      </c>
      <c r="AV34" s="6">
        <v>6</v>
      </c>
      <c r="AW34" s="6">
        <f>IF(AND(ISNUMBER(J34),ISNUMBER(M34)),IF(J34+M34=1,1,0),"")</f>
        <v>1</v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3.5</v>
      </c>
      <c r="BB34" s="6">
        <f t="shared" si="35"/>
        <v>0</v>
      </c>
      <c r="BC34" s="6">
        <f>J34*BB34</f>
        <v>0</v>
      </c>
      <c r="BD34" s="6">
        <f>M34*BA34</f>
        <v>3.5</v>
      </c>
    </row>
    <row r="35" spans="2:56" x14ac:dyDescent="0.25">
      <c r="B35" s="6">
        <v>2</v>
      </c>
      <c r="C35" s="6" t="str">
        <f>VLOOKUP(AU35,$B$4:$F$9,2,FALSE)</f>
        <v>Blanca Ordelmans *</v>
      </c>
      <c r="D35" s="46" t="s">
        <v>5</v>
      </c>
      <c r="E35" s="66" t="str">
        <f>VLOOKUP(AV35,$B$4:$F$9,2,FALSE)</f>
        <v>Kamil Reinds</v>
      </c>
      <c r="F35" s="66"/>
      <c r="G35" s="66"/>
      <c r="H35" s="66"/>
      <c r="J35" s="66">
        <f>IF(T35="","",VLOOKUP(T35,Configuratie!$B$1:$E$10,3,FALSE))</f>
        <v>0</v>
      </c>
      <c r="K35" s="66"/>
      <c r="L35" s="6" t="s">
        <v>5</v>
      </c>
      <c r="M35" s="66">
        <f>IF(T35="","",VLOOKUP(T35,Configuratie!$B$1:$E$10,4,FALSE))</f>
        <v>1</v>
      </c>
      <c r="N35" s="66"/>
      <c r="R35" s="6" t="str">
        <f>IF(T35="","",VLOOKUP(T35,Configuratie!$B$1:$E$10,2,FALSE))</f>
        <v>0-1</v>
      </c>
      <c r="T35" s="5">
        <v>0</v>
      </c>
      <c r="AT35" s="6">
        <v>5</v>
      </c>
      <c r="AU35" s="6">
        <v>5</v>
      </c>
      <c r="AV35" s="6">
        <v>3</v>
      </c>
      <c r="AW35" s="6">
        <f t="shared" ref="AW35:AW36" si="36">IF(AND(ISNUMBER(J35),ISNUMBER(M35)),IF(J35+M35=1,1,0),"")</f>
        <v>1</v>
      </c>
      <c r="AY35" s="48">
        <f>AU35*100+AV35</f>
        <v>503</v>
      </c>
      <c r="AZ35" s="48">
        <f>AV35*100+AU35</f>
        <v>305</v>
      </c>
      <c r="BA35" s="6">
        <f t="shared" si="35"/>
        <v>1.5</v>
      </c>
      <c r="BB35" s="6">
        <f t="shared" si="35"/>
        <v>1.5</v>
      </c>
      <c r="BC35" s="6">
        <f>J35*BB35</f>
        <v>0</v>
      </c>
      <c r="BD35" s="6">
        <f>M35*BA35</f>
        <v>1.5</v>
      </c>
    </row>
    <row r="36" spans="2:56" x14ac:dyDescent="0.25">
      <c r="B36" s="6">
        <v>3</v>
      </c>
      <c r="C36" s="6" t="str">
        <f>VLOOKUP(AU36,$B$4:$F$9,2,FALSE)</f>
        <v>Morris Doorn</v>
      </c>
      <c r="D36" s="46" t="s">
        <v>5</v>
      </c>
      <c r="E36" s="66" t="str">
        <f>VLOOKUP(AV36,$B$4:$F$9,2,FALSE)</f>
        <v>Danh Nguyen</v>
      </c>
      <c r="F36" s="66"/>
      <c r="G36" s="66"/>
      <c r="H36" s="66"/>
      <c r="J36" s="66">
        <f>IF(T36="","",VLOOKUP(T36,Configuratie!$B$1:$E$10,3,FALSE))</f>
        <v>0.5</v>
      </c>
      <c r="K36" s="66"/>
      <c r="L36" s="6" t="s">
        <v>5</v>
      </c>
      <c r="M36" s="66">
        <f>IF(T36="","",VLOOKUP(T36,Configuratie!$B$1:$E$10,4,FALSE))</f>
        <v>0.5</v>
      </c>
      <c r="N36" s="66"/>
      <c r="R36" s="6" t="str">
        <f>IF(T36="","",VLOOKUP(T36,Configuratie!$B$1:$E$10,2,FALSE))</f>
        <v>½-½</v>
      </c>
      <c r="T36" s="5">
        <v>2</v>
      </c>
      <c r="AT36" s="6">
        <v>5</v>
      </c>
      <c r="AU36" s="6">
        <v>2</v>
      </c>
      <c r="AV36" s="6">
        <v>1</v>
      </c>
      <c r="AW36" s="6">
        <f t="shared" si="36"/>
        <v>1</v>
      </c>
      <c r="AY36" s="48">
        <f>AU36*100+AV36</f>
        <v>201</v>
      </c>
      <c r="AZ36" s="48">
        <f>AV36*100+AU36</f>
        <v>102</v>
      </c>
      <c r="BA36" s="6">
        <f t="shared" si="35"/>
        <v>3</v>
      </c>
      <c r="BB36" s="6">
        <f t="shared" si="35"/>
        <v>2.5</v>
      </c>
      <c r="BC36" s="6">
        <f>J36*BB36</f>
        <v>1.25</v>
      </c>
      <c r="BD36" s="6">
        <f>M36*BA36</f>
        <v>1.5</v>
      </c>
    </row>
    <row r="52" spans="13:14" x14ac:dyDescent="0.25">
      <c r="M52" s="66"/>
      <c r="N52" s="66"/>
    </row>
    <row r="53" spans="13:14" x14ac:dyDescent="0.25">
      <c r="M53" s="66"/>
      <c r="N53" s="66"/>
    </row>
    <row r="54" spans="13:14" x14ac:dyDescent="0.25">
      <c r="M54" s="66"/>
      <c r="N54" s="66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15" priority="4" stopIfTrue="1" operator="between">
      <formula>0</formula>
      <formula>1</formula>
    </cfRule>
  </conditionalFormatting>
  <conditionalFormatting sqref="T4:T9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scale="52" orientation="portrait" r:id="rId1"/>
  <colBreaks count="1" manualBreakCount="1">
    <brk id="19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X55"/>
  <sheetViews>
    <sheetView view="pageBreakPreview" topLeftCell="A16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hidden="1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6" width="9.140625" style="6" hidden="1" customWidth="1" collapsed="1"/>
    <col min="77" max="77" width="9.140625" style="6" customWidth="1" collapsed="1"/>
    <col min="78" max="16384" width="9.140625" style="6" collapsed="1"/>
  </cols>
  <sheetData>
    <row r="1" spans="1:75" ht="26.25" x14ac:dyDescent="0.4">
      <c r="A1" s="24">
        <v>8</v>
      </c>
      <c r="B1" s="68" t="s">
        <v>29</v>
      </c>
      <c r="C1" s="68"/>
      <c r="D1" s="68"/>
      <c r="E1" s="68"/>
      <c r="F1" s="68"/>
      <c r="G1" s="71" t="s">
        <v>125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15"/>
      <c r="T1" s="15"/>
      <c r="U1" s="15"/>
      <c r="V1" s="15"/>
      <c r="W1" s="69" t="str">
        <f>"UITSLAG " &amp; G1</f>
        <v>UITSLAG Groep K</v>
      </c>
      <c r="X1" s="70"/>
      <c r="Y1" s="70"/>
      <c r="Z1" s="70"/>
      <c r="AA1" s="70"/>
      <c r="AB1" s="70"/>
      <c r="AC1" s="70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70" t="s">
        <v>20</v>
      </c>
      <c r="BE2" s="70"/>
      <c r="BF2" s="70"/>
      <c r="BG2" s="70"/>
      <c r="BH2" s="70"/>
      <c r="BI2" s="70"/>
      <c r="BJ2" s="70"/>
      <c r="BK2" s="70"/>
      <c r="BL2" s="70"/>
      <c r="BM2" s="17"/>
      <c r="BN2" s="18"/>
      <c r="BO2" s="70" t="s">
        <v>21</v>
      </c>
      <c r="BP2" s="70"/>
      <c r="BQ2" s="70"/>
      <c r="BR2" s="70"/>
      <c r="BS2" s="70"/>
      <c r="BT2" s="70"/>
      <c r="BU2" s="70"/>
      <c r="BV2" s="70"/>
      <c r="BW2" s="70"/>
    </row>
    <row r="3" spans="1:75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8</v>
      </c>
      <c r="B4" s="25">
        <v>1</v>
      </c>
      <c r="C4" s="25" t="s">
        <v>126</v>
      </c>
      <c r="D4" s="67">
        <v>8578999</v>
      </c>
      <c r="E4" s="67"/>
      <c r="F4" s="25">
        <v>277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0</v>
      </c>
      <c r="J4" s="27">
        <f t="shared" si="0"/>
        <v>0</v>
      </c>
      <c r="K4" s="27">
        <f t="shared" si="0"/>
        <v>1</v>
      </c>
      <c r="L4" s="27">
        <f t="shared" si="0"/>
        <v>0.5</v>
      </c>
      <c r="M4" s="27">
        <f t="shared" si="0"/>
        <v>0</v>
      </c>
      <c r="N4" s="27">
        <f t="shared" si="0"/>
        <v>1</v>
      </c>
      <c r="O4" s="27">
        <f t="shared" si="0"/>
        <v>0</v>
      </c>
      <c r="P4" s="28"/>
      <c r="Q4" s="53"/>
      <c r="R4" s="58">
        <f t="shared" ref="R4:R11" si="1">SUM(H4:Q4)</f>
        <v>2.5</v>
      </c>
      <c r="S4" s="8">
        <f>IF(H4="",0,H4)*$R$4+IF(I4="",0,I4)*$R$5+IF(J4="",0,J4)*$R$6+IF(K4="",0,K4)*$R$7+IF(L4="",0,L4)*$R$8+IF(M4="",0,M4)*$R$9+IF(N4="",0,N4)*$R$10+IF(O4="",0,O4)*$R$11</f>
        <v>8.5</v>
      </c>
      <c r="T4" s="8">
        <f>AQ4</f>
        <v>8</v>
      </c>
      <c r="U4" s="14"/>
      <c r="V4" s="30"/>
      <c r="W4" s="31">
        <v>1</v>
      </c>
      <c r="X4" s="31" t="str">
        <f>C4</f>
        <v>Florens Boelen</v>
      </c>
      <c r="Y4" s="32">
        <v>2</v>
      </c>
      <c r="Z4" s="33" t="str">
        <f>IF(ISNA(VLOOKUP(B4,$A$4:$T$11,3,FALSE)),C4,VLOOKUP(B4,$A$4:$T$11,3,FALSE))</f>
        <v>Quinten Kauw a Tjoe</v>
      </c>
      <c r="AA4" s="59">
        <f>IF(ISNA(VLOOKUP($B4,$A$4:$T$11,18,FALSE)),0,VLOOKUP($B4,$A$4:$T$11,18,FALSE))</f>
        <v>5</v>
      </c>
      <c r="AB4" s="60">
        <f t="shared" ref="AB4" si="2">VLOOKUP($B4,$A$4:$T$11,18,FALSE)</f>
        <v>5</v>
      </c>
      <c r="AC4" s="12">
        <f>IF(ISNA(VLOOKUP($B4,$A$4:$T$11,19,FALSE)),0,VLOOKUP($B4,$A$4:$T$11,19,FALSE))</f>
        <v>15.75</v>
      </c>
      <c r="AD4" s="34">
        <f t="shared" ref="AD4:AD11" si="3">VLOOKUP($Y4,$AX$4:$BA$11,4,FALSE)</f>
        <v>13</v>
      </c>
      <c r="AE4" s="35">
        <f t="shared" ref="AE4:AE11" si="4">VLOOKUP($Y4,$B$4:$R$11,5,FALSE)</f>
        <v>276</v>
      </c>
      <c r="AF4" s="56"/>
      <c r="AG4" s="61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2">
        <f>$AG$13*R4+AG4</f>
        <v>7.5</v>
      </c>
      <c r="AI4" s="61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2">
        <f>$AI$13*AH4+AI4</f>
        <v>22.5</v>
      </c>
      <c r="AK4" s="61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67.5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8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8.5</v>
      </c>
      <c r="AZ4" s="39">
        <f t="shared" ref="AZ4:AZ11" si="7">SUMIF($AY$13:$AY$55,B4,$BG$13:$BG$55)+SUMIF($AZ$13:$AZ$55,B4,$BH$13:$BH$55)</f>
        <v>4.75</v>
      </c>
      <c r="BA4" s="39">
        <f>SUM(BO4:BW4)</f>
        <v>16</v>
      </c>
      <c r="BC4" s="6">
        <v>1</v>
      </c>
      <c r="BD4" s="6">
        <f t="shared" ref="BD4:BL11" si="8">SUMIFS($J$16:$J$55,$AY$16:$AY$55,$BC4,$AX$16:$AX$55,BD$3)+SUMIFS($M$16:$M$55,$AZ$16:$AZ$55,$BC4,$AX$16:$AX$55,BD$3)</f>
        <v>0</v>
      </c>
      <c r="BE4" s="6">
        <f t="shared" si="8"/>
        <v>1</v>
      </c>
      <c r="BF4" s="6">
        <f t="shared" si="8"/>
        <v>0</v>
      </c>
      <c r="BG4" s="6">
        <f t="shared" si="8"/>
        <v>0.5</v>
      </c>
      <c r="BH4" s="6">
        <f t="shared" si="8"/>
        <v>1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1</v>
      </c>
      <c r="BQ4" s="6">
        <f t="shared" si="9"/>
        <v>1</v>
      </c>
      <c r="BR4" s="6">
        <f t="shared" si="9"/>
        <v>1.5</v>
      </c>
      <c r="BS4" s="6">
        <f t="shared" si="9"/>
        <v>2.5</v>
      </c>
      <c r="BT4" s="6">
        <f t="shared" si="9"/>
        <v>2.5</v>
      </c>
      <c r="BU4" s="6">
        <f t="shared" si="9"/>
        <v>2.5</v>
      </c>
      <c r="BV4" s="6">
        <f t="shared" si="9"/>
        <v>2.5</v>
      </c>
      <c r="BW4" s="6">
        <f t="shared" si="9"/>
        <v>2.5</v>
      </c>
    </row>
    <row r="5" spans="1:75" x14ac:dyDescent="0.25">
      <c r="A5" s="24">
        <f t="shared" ref="A5:A12" si="10">T5</f>
        <v>7</v>
      </c>
      <c r="B5" s="25">
        <v>2</v>
      </c>
      <c r="C5" s="25" t="s">
        <v>127</v>
      </c>
      <c r="D5" s="67">
        <v>8550234</v>
      </c>
      <c r="E5" s="67"/>
      <c r="F5" s="25">
        <v>276</v>
      </c>
      <c r="H5" s="27">
        <f t="shared" si="0"/>
        <v>1</v>
      </c>
      <c r="I5" s="26" t="str">
        <f t="shared" si="0"/>
        <v/>
      </c>
      <c r="J5" s="27">
        <f t="shared" si="0"/>
        <v>0</v>
      </c>
      <c r="K5" s="27">
        <f t="shared" si="0"/>
        <v>1</v>
      </c>
      <c r="L5" s="27">
        <f t="shared" si="0"/>
        <v>0</v>
      </c>
      <c r="M5" s="27">
        <f t="shared" si="0"/>
        <v>0</v>
      </c>
      <c r="N5" s="27">
        <f t="shared" si="0"/>
        <v>0</v>
      </c>
      <c r="O5" s="27">
        <f t="shared" si="0"/>
        <v>1</v>
      </c>
      <c r="P5" s="28"/>
      <c r="Q5" s="53"/>
      <c r="R5" s="58">
        <f t="shared" si="1"/>
        <v>3</v>
      </c>
      <c r="S5" s="8">
        <f t="shared" ref="S5:S11" si="11">IF(H5="",0,H5)*$R$4+IF(I5="",0,I5)*$R$5+IF(J5="",0,J5)*$R$6+IF(K5="",0,K5)*$R$7+IF(L5="",0,L5)*$R$8+IF(M5="",0,M5)*$R$9+IF(N5="",0,N5)*$R$10+IF(O5="",0,O5)*$R$11</f>
        <v>9.5</v>
      </c>
      <c r="T5" s="8">
        <f t="shared" ref="T5:T12" si="12">AQ5</f>
        <v>7</v>
      </c>
      <c r="U5" s="14"/>
      <c r="V5" s="30"/>
      <c r="W5" s="31">
        <v>2</v>
      </c>
      <c r="X5" s="31" t="str">
        <f t="shared" ref="X5:X11" si="13">C5</f>
        <v>Roj van de Ruitenbeek</v>
      </c>
      <c r="Y5" s="32">
        <v>7</v>
      </c>
      <c r="Z5" s="33" t="str">
        <f>IF(ISNA(VLOOKUP(B5,$A$4:$T$11,3,FALSE)),C5,VLOOKUP(B5,$A$4:$T$11,3,FALSE))</f>
        <v>Mathijs de Wolff</v>
      </c>
      <c r="AA5" s="59">
        <f t="shared" ref="AA5:AA11" si="14">IF(ISNA(VLOOKUP($B5,$A$4:$T$11,18,FALSE)),0,VLOOKUP($B5,$A$4:$T$11,18,FALSE))</f>
        <v>4</v>
      </c>
      <c r="AB5" s="34">
        <f t="shared" ref="AB5:AB11" si="15">VLOOKUP($Y5,$AX$4:$BA$11,2,FALSE)</f>
        <v>8</v>
      </c>
      <c r="AC5" s="12">
        <f t="shared" ref="AC5:AC11" si="16">IF(ISNA(VLOOKUP($B5,$A$4:$T$11,19,FALSE)),0,VLOOKUP($B5,$A$4:$T$11,19,FALSE))</f>
        <v>13</v>
      </c>
      <c r="AD5" s="34">
        <f t="shared" si="3"/>
        <v>18.5</v>
      </c>
      <c r="AE5" s="35">
        <f t="shared" si="4"/>
        <v>254</v>
      </c>
      <c r="AF5" s="56"/>
      <c r="AG5" s="61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62">
        <f t="shared" ref="AH5:AH11" si="18">$AG$13*R5+AG5</f>
        <v>9</v>
      </c>
      <c r="AI5" s="61">
        <f t="shared" si="5"/>
        <v>0</v>
      </c>
      <c r="AJ5" s="62">
        <f t="shared" ref="AJ5:AJ11" si="19">$AI$13*AH5+AI5</f>
        <v>27</v>
      </c>
      <c r="AK5" s="61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81</v>
      </c>
      <c r="AM5" s="56"/>
      <c r="AN5" s="56">
        <f t="shared" ref="AN5:AN11" si="22">RANK(AL5,$AL$4:$AL$11,1)-1</f>
        <v>1</v>
      </c>
      <c r="AO5" s="56">
        <f t="shared" ref="AO5:AO12" si="23">RANK(S5,$S$4:$S$11,1)-1</f>
        <v>1</v>
      </c>
      <c r="AP5" s="56">
        <f t="shared" ref="AP5:AP12" si="24">8*AN5+AO5</f>
        <v>9</v>
      </c>
      <c r="AQ5" s="56">
        <f t="shared" ref="AQ5:AQ11" si="25">RANK(AP5,$AP$4:$AP$11)</f>
        <v>7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4</v>
      </c>
      <c r="AZ5" s="39">
        <f t="shared" si="7"/>
        <v>8.5</v>
      </c>
      <c r="BA5" s="39">
        <f t="shared" ref="BA5:BA11" si="26">SUM(BO5:BW5)</f>
        <v>13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1</v>
      </c>
      <c r="BH5" s="6">
        <f t="shared" si="8"/>
        <v>0</v>
      </c>
      <c r="BI5" s="6">
        <f t="shared" si="8"/>
        <v>1</v>
      </c>
      <c r="BJ5" s="6">
        <f t="shared" si="8"/>
        <v>1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1</v>
      </c>
      <c r="BS5" s="6">
        <f t="shared" si="9"/>
        <v>1</v>
      </c>
      <c r="BT5" s="6">
        <f t="shared" si="9"/>
        <v>2</v>
      </c>
      <c r="BU5" s="6">
        <f t="shared" si="9"/>
        <v>3</v>
      </c>
      <c r="BV5" s="6">
        <f t="shared" si="9"/>
        <v>3</v>
      </c>
      <c r="BW5" s="6">
        <f t="shared" si="9"/>
        <v>3</v>
      </c>
    </row>
    <row r="6" spans="1:75" x14ac:dyDescent="0.25">
      <c r="A6" s="24">
        <f t="shared" si="10"/>
        <v>2</v>
      </c>
      <c r="B6" s="25">
        <v>3</v>
      </c>
      <c r="C6" s="25" t="s">
        <v>128</v>
      </c>
      <c r="D6" s="67">
        <v>8637574</v>
      </c>
      <c r="E6" s="67"/>
      <c r="F6" s="25">
        <v>275</v>
      </c>
      <c r="H6" s="27">
        <f t="shared" si="0"/>
        <v>1</v>
      </c>
      <c r="I6" s="27">
        <f t="shared" si="0"/>
        <v>1</v>
      </c>
      <c r="J6" s="26" t="str">
        <f t="shared" si="0"/>
        <v/>
      </c>
      <c r="K6" s="27">
        <f t="shared" si="0"/>
        <v>0</v>
      </c>
      <c r="L6" s="27">
        <f t="shared" si="0"/>
        <v>0.5</v>
      </c>
      <c r="M6" s="27">
        <f t="shared" si="0"/>
        <v>0.5</v>
      </c>
      <c r="N6" s="27">
        <f t="shared" si="0"/>
        <v>0</v>
      </c>
      <c r="O6" s="27">
        <f t="shared" si="0"/>
        <v>1</v>
      </c>
      <c r="P6" s="28"/>
      <c r="Q6" s="53"/>
      <c r="R6" s="58">
        <f t="shared" si="1"/>
        <v>4</v>
      </c>
      <c r="S6" s="8">
        <f t="shared" si="11"/>
        <v>13</v>
      </c>
      <c r="T6" s="9">
        <f>AQ6</f>
        <v>2</v>
      </c>
      <c r="U6" s="10"/>
      <c r="V6" s="30"/>
      <c r="W6" s="31">
        <v>3</v>
      </c>
      <c r="X6" s="31" t="str">
        <f t="shared" si="13"/>
        <v>Mathijs de Wolff</v>
      </c>
      <c r="Y6" s="32">
        <v>1</v>
      </c>
      <c r="Z6" s="33" t="str">
        <f t="shared" ref="Z6:Z12" si="28">IF(ISNA(VLOOKUP(B6,$A$4:$T$11,3,FALSE)),C6,VLOOKUP(B6,$A$4:$T$11,3,FALSE))</f>
        <v>Teun Klein Gunnewiek</v>
      </c>
      <c r="AA6" s="59">
        <f t="shared" si="14"/>
        <v>3.5</v>
      </c>
      <c r="AB6" s="34">
        <f t="shared" si="15"/>
        <v>8.5</v>
      </c>
      <c r="AC6" s="12">
        <f t="shared" si="16"/>
        <v>13</v>
      </c>
      <c r="AD6" s="34">
        <f t="shared" si="3"/>
        <v>16</v>
      </c>
      <c r="AE6" s="35">
        <f t="shared" si="4"/>
        <v>277</v>
      </c>
      <c r="AF6" s="56"/>
      <c r="AG6" s="61">
        <f t="shared" si="17"/>
        <v>0</v>
      </c>
      <c r="AH6" s="62">
        <f t="shared" si="18"/>
        <v>12</v>
      </c>
      <c r="AI6" s="61">
        <f t="shared" si="5"/>
        <v>0</v>
      </c>
      <c r="AJ6" s="62">
        <f t="shared" si="19"/>
        <v>36</v>
      </c>
      <c r="AK6" s="61">
        <f t="shared" si="20"/>
        <v>0</v>
      </c>
      <c r="AL6" s="56">
        <f t="shared" si="21"/>
        <v>108</v>
      </c>
      <c r="AM6" s="56"/>
      <c r="AN6" s="56">
        <f t="shared" si="22"/>
        <v>6</v>
      </c>
      <c r="AO6" s="56">
        <f t="shared" si="23"/>
        <v>5</v>
      </c>
      <c r="AP6" s="56">
        <f t="shared" si="24"/>
        <v>53</v>
      </c>
      <c r="AQ6" s="56">
        <f t="shared" si="25"/>
        <v>2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11.5</v>
      </c>
      <c r="AZ6" s="39">
        <f t="shared" si="7"/>
        <v>5.5</v>
      </c>
      <c r="BA6" s="39">
        <f t="shared" si="26"/>
        <v>23.5</v>
      </c>
      <c r="BC6" s="6">
        <v>3</v>
      </c>
      <c r="BD6" s="6">
        <f t="shared" si="8"/>
        <v>0.5</v>
      </c>
      <c r="BE6" s="6">
        <f t="shared" si="8"/>
        <v>0.5</v>
      </c>
      <c r="BF6" s="6">
        <f t="shared" si="8"/>
        <v>0</v>
      </c>
      <c r="BG6" s="6">
        <f t="shared" si="8"/>
        <v>1</v>
      </c>
      <c r="BH6" s="6">
        <f t="shared" si="8"/>
        <v>1</v>
      </c>
      <c r="BI6" s="6">
        <f t="shared" si="8"/>
        <v>1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0.5</v>
      </c>
      <c r="BP6" s="6">
        <f t="shared" si="9"/>
        <v>1</v>
      </c>
      <c r="BQ6" s="6">
        <f t="shared" si="9"/>
        <v>1</v>
      </c>
      <c r="BR6" s="6">
        <f t="shared" si="9"/>
        <v>2</v>
      </c>
      <c r="BS6" s="6">
        <f t="shared" si="9"/>
        <v>3</v>
      </c>
      <c r="BT6" s="6">
        <f t="shared" si="9"/>
        <v>4</v>
      </c>
      <c r="BU6" s="6">
        <f t="shared" si="9"/>
        <v>4</v>
      </c>
      <c r="BV6" s="6">
        <f t="shared" si="9"/>
        <v>4</v>
      </c>
      <c r="BW6" s="6">
        <f t="shared" si="9"/>
        <v>4</v>
      </c>
    </row>
    <row r="7" spans="1:75" x14ac:dyDescent="0.25">
      <c r="A7" s="24">
        <f t="shared" si="10"/>
        <v>3</v>
      </c>
      <c r="B7" s="25">
        <v>4</v>
      </c>
      <c r="C7" s="25" t="s">
        <v>129</v>
      </c>
      <c r="D7" s="67">
        <v>8626860</v>
      </c>
      <c r="E7" s="67"/>
      <c r="F7" s="25">
        <v>274</v>
      </c>
      <c r="H7" s="27">
        <f t="shared" si="0"/>
        <v>0</v>
      </c>
      <c r="I7" s="27">
        <f t="shared" si="0"/>
        <v>0</v>
      </c>
      <c r="J7" s="27">
        <f t="shared" si="0"/>
        <v>1</v>
      </c>
      <c r="K7" s="26" t="str">
        <f t="shared" si="0"/>
        <v/>
      </c>
      <c r="L7" s="27">
        <f t="shared" si="0"/>
        <v>1</v>
      </c>
      <c r="M7" s="27">
        <f t="shared" si="0"/>
        <v>0.5</v>
      </c>
      <c r="N7" s="27">
        <f t="shared" si="0"/>
        <v>0</v>
      </c>
      <c r="O7" s="27">
        <f t="shared" si="0"/>
        <v>1</v>
      </c>
      <c r="P7" s="28"/>
      <c r="Q7" s="53"/>
      <c r="R7" s="58">
        <f t="shared" si="1"/>
        <v>3.5</v>
      </c>
      <c r="S7" s="8">
        <f t="shared" si="11"/>
        <v>13</v>
      </c>
      <c r="T7" s="8">
        <f t="shared" si="12"/>
        <v>3</v>
      </c>
      <c r="U7" s="14"/>
      <c r="V7" s="30"/>
      <c r="W7" s="31">
        <v>4</v>
      </c>
      <c r="X7" s="31" t="str">
        <f t="shared" si="13"/>
        <v>Teun Klein Gunnewiek</v>
      </c>
      <c r="Y7" s="32">
        <v>6</v>
      </c>
      <c r="Z7" s="33" t="str">
        <f t="shared" si="28"/>
        <v>Eric Rikken</v>
      </c>
      <c r="AA7" s="59">
        <f t="shared" si="14"/>
        <v>3.5</v>
      </c>
      <c r="AB7" s="34">
        <f t="shared" si="15"/>
        <v>16</v>
      </c>
      <c r="AC7" s="12">
        <f t="shared" si="16"/>
        <v>12.5</v>
      </c>
      <c r="AD7" s="34">
        <f t="shared" si="3"/>
        <v>31</v>
      </c>
      <c r="AE7" s="35">
        <f t="shared" si="4"/>
        <v>257</v>
      </c>
      <c r="AF7" s="56"/>
      <c r="AG7" s="61">
        <f t="shared" si="17"/>
        <v>1</v>
      </c>
      <c r="AH7" s="62">
        <f t="shared" si="18"/>
        <v>11.5</v>
      </c>
      <c r="AI7" s="61">
        <f t="shared" si="5"/>
        <v>1</v>
      </c>
      <c r="AJ7" s="62">
        <f t="shared" si="19"/>
        <v>35.5</v>
      </c>
      <c r="AK7" s="61">
        <f t="shared" si="20"/>
        <v>1</v>
      </c>
      <c r="AL7" s="56">
        <f t="shared" si="21"/>
        <v>107.5</v>
      </c>
      <c r="AM7" s="56"/>
      <c r="AN7" s="56">
        <f t="shared" si="22"/>
        <v>4</v>
      </c>
      <c r="AO7" s="56">
        <f t="shared" si="23"/>
        <v>5</v>
      </c>
      <c r="AP7" s="56">
        <f t="shared" si="24"/>
        <v>37</v>
      </c>
      <c r="AQ7" s="56">
        <f t="shared" si="25"/>
        <v>3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15</v>
      </c>
      <c r="AZ7" s="39">
        <f t="shared" si="7"/>
        <v>4.25</v>
      </c>
      <c r="BA7" s="39">
        <f t="shared" si="26"/>
        <v>25.5</v>
      </c>
      <c r="BC7" s="6">
        <v>4</v>
      </c>
      <c r="BD7" s="6">
        <f t="shared" si="8"/>
        <v>1</v>
      </c>
      <c r="BE7" s="6">
        <f t="shared" si="8"/>
        <v>1</v>
      </c>
      <c r="BF7" s="6">
        <f t="shared" si="8"/>
        <v>1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0.5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1</v>
      </c>
      <c r="BP7" s="6">
        <f t="shared" si="9"/>
        <v>2</v>
      </c>
      <c r="BQ7" s="6">
        <f t="shared" si="9"/>
        <v>3</v>
      </c>
      <c r="BR7" s="6">
        <f t="shared" si="9"/>
        <v>3</v>
      </c>
      <c r="BS7" s="6">
        <f t="shared" si="9"/>
        <v>3</v>
      </c>
      <c r="BT7" s="6">
        <f t="shared" si="9"/>
        <v>3</v>
      </c>
      <c r="BU7" s="6">
        <f t="shared" si="9"/>
        <v>3.5</v>
      </c>
      <c r="BV7" s="6">
        <f t="shared" si="9"/>
        <v>3.5</v>
      </c>
      <c r="BW7" s="6">
        <f t="shared" si="9"/>
        <v>3.5</v>
      </c>
    </row>
    <row r="8" spans="1:75" x14ac:dyDescent="0.25">
      <c r="A8" s="24">
        <f t="shared" si="10"/>
        <v>6</v>
      </c>
      <c r="B8" s="25">
        <v>5</v>
      </c>
      <c r="C8" s="25" t="s">
        <v>130</v>
      </c>
      <c r="D8" s="67">
        <v>8601560</v>
      </c>
      <c r="E8" s="67"/>
      <c r="F8" s="25">
        <v>268</v>
      </c>
      <c r="H8" s="27">
        <f t="shared" si="0"/>
        <v>0.5</v>
      </c>
      <c r="I8" s="27">
        <f t="shared" si="0"/>
        <v>1</v>
      </c>
      <c r="J8" s="27">
        <f t="shared" si="0"/>
        <v>0.5</v>
      </c>
      <c r="K8" s="27">
        <f t="shared" si="0"/>
        <v>0</v>
      </c>
      <c r="L8" s="26" t="str">
        <f t="shared" si="0"/>
        <v/>
      </c>
      <c r="M8" s="27">
        <f t="shared" si="0"/>
        <v>0</v>
      </c>
      <c r="N8" s="27">
        <f t="shared" si="0"/>
        <v>0.5</v>
      </c>
      <c r="O8" s="27">
        <f t="shared" si="0"/>
        <v>0.5</v>
      </c>
      <c r="P8" s="28"/>
      <c r="Q8" s="53"/>
      <c r="R8" s="58">
        <f t="shared" si="1"/>
        <v>3</v>
      </c>
      <c r="S8" s="8">
        <f t="shared" si="11"/>
        <v>9.75</v>
      </c>
      <c r="T8" s="8">
        <f t="shared" si="12"/>
        <v>6</v>
      </c>
      <c r="U8" s="14"/>
      <c r="V8" s="30"/>
      <c r="W8" s="31">
        <v>5</v>
      </c>
      <c r="X8" s="31" t="str">
        <f t="shared" si="13"/>
        <v>Aron de Blois</v>
      </c>
      <c r="Y8" s="32">
        <v>3</v>
      </c>
      <c r="Z8" s="33" t="str">
        <f t="shared" si="28"/>
        <v>Elias Axelsson</v>
      </c>
      <c r="AA8" s="59">
        <f t="shared" si="14"/>
        <v>3.5</v>
      </c>
      <c r="AB8" s="34">
        <f t="shared" si="15"/>
        <v>11.5</v>
      </c>
      <c r="AC8" s="12">
        <f t="shared" si="16"/>
        <v>12</v>
      </c>
      <c r="AD8" s="34">
        <f t="shared" si="3"/>
        <v>23.5</v>
      </c>
      <c r="AE8" s="35">
        <f t="shared" si="4"/>
        <v>275</v>
      </c>
      <c r="AF8" s="56"/>
      <c r="AG8" s="61">
        <f t="shared" si="17"/>
        <v>1</v>
      </c>
      <c r="AH8" s="62">
        <f t="shared" si="18"/>
        <v>10</v>
      </c>
      <c r="AI8" s="61">
        <f t="shared" si="5"/>
        <v>0</v>
      </c>
      <c r="AJ8" s="62">
        <f t="shared" si="19"/>
        <v>30</v>
      </c>
      <c r="AK8" s="61">
        <f t="shared" si="20"/>
        <v>0</v>
      </c>
      <c r="AL8" s="56">
        <f t="shared" si="21"/>
        <v>90</v>
      </c>
      <c r="AM8" s="56"/>
      <c r="AN8" s="56">
        <f t="shared" si="22"/>
        <v>2</v>
      </c>
      <c r="AO8" s="56">
        <f t="shared" si="23"/>
        <v>2</v>
      </c>
      <c r="AP8" s="56">
        <f t="shared" si="24"/>
        <v>18</v>
      </c>
      <c r="AQ8" s="56">
        <f t="shared" si="25"/>
        <v>6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9</v>
      </c>
      <c r="AZ8" s="39">
        <f t="shared" si="7"/>
        <v>2.75</v>
      </c>
      <c r="BA8" s="39">
        <f t="shared" si="26"/>
        <v>18</v>
      </c>
      <c r="BC8" s="6">
        <v>5</v>
      </c>
      <c r="BD8" s="6">
        <f t="shared" si="8"/>
        <v>0</v>
      </c>
      <c r="BE8" s="6">
        <f t="shared" si="8"/>
        <v>0.5</v>
      </c>
      <c r="BF8" s="6">
        <f t="shared" si="8"/>
        <v>1</v>
      </c>
      <c r="BG8" s="6">
        <f t="shared" si="8"/>
        <v>0.5</v>
      </c>
      <c r="BH8" s="6">
        <f t="shared" si="8"/>
        <v>0.5</v>
      </c>
      <c r="BI8" s="6">
        <f t="shared" si="8"/>
        <v>0</v>
      </c>
      <c r="BJ8" s="6">
        <f t="shared" si="8"/>
        <v>0.5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0.5</v>
      </c>
      <c r="BQ8" s="6">
        <f t="shared" si="9"/>
        <v>1.5</v>
      </c>
      <c r="BR8" s="6">
        <f t="shared" si="9"/>
        <v>2</v>
      </c>
      <c r="BS8" s="6">
        <f t="shared" si="9"/>
        <v>2.5</v>
      </c>
      <c r="BT8" s="6">
        <f t="shared" si="9"/>
        <v>2.5</v>
      </c>
      <c r="BU8" s="6">
        <f t="shared" si="9"/>
        <v>3</v>
      </c>
      <c r="BV8" s="6">
        <f t="shared" si="9"/>
        <v>3</v>
      </c>
      <c r="BW8" s="6">
        <f t="shared" si="9"/>
        <v>3</v>
      </c>
    </row>
    <row r="9" spans="1:75" x14ac:dyDescent="0.25">
      <c r="A9" s="24">
        <f t="shared" si="10"/>
        <v>1</v>
      </c>
      <c r="B9" s="25">
        <v>6</v>
      </c>
      <c r="C9" s="25" t="s">
        <v>131</v>
      </c>
      <c r="D9" s="67">
        <v>8690616</v>
      </c>
      <c r="E9" s="67"/>
      <c r="F9" s="25">
        <v>257</v>
      </c>
      <c r="H9" s="27">
        <f t="shared" si="0"/>
        <v>1</v>
      </c>
      <c r="I9" s="27">
        <f t="shared" si="0"/>
        <v>1</v>
      </c>
      <c r="J9" s="27">
        <f t="shared" si="0"/>
        <v>0.5</v>
      </c>
      <c r="K9" s="27">
        <f t="shared" si="0"/>
        <v>0.5</v>
      </c>
      <c r="L9" s="27">
        <f t="shared" si="0"/>
        <v>1</v>
      </c>
      <c r="M9" s="26" t="str">
        <f t="shared" si="0"/>
        <v/>
      </c>
      <c r="N9" s="27">
        <f t="shared" si="0"/>
        <v>1</v>
      </c>
      <c r="O9" s="27">
        <f t="shared" si="0"/>
        <v>0</v>
      </c>
      <c r="P9" s="28"/>
      <c r="Q9" s="53"/>
      <c r="R9" s="58">
        <f t="shared" si="1"/>
        <v>5</v>
      </c>
      <c r="S9" s="8">
        <f t="shared" si="11"/>
        <v>15.75</v>
      </c>
      <c r="T9" s="8">
        <f t="shared" si="12"/>
        <v>1</v>
      </c>
      <c r="U9" s="14"/>
      <c r="V9" s="30"/>
      <c r="W9" s="31">
        <v>6</v>
      </c>
      <c r="X9" s="31" t="str">
        <f t="shared" si="13"/>
        <v>Quinten Kauw a Tjoe</v>
      </c>
      <c r="Y9" s="32">
        <v>5</v>
      </c>
      <c r="Z9" s="33" t="str">
        <f t="shared" si="28"/>
        <v>Aron de Blois</v>
      </c>
      <c r="AA9" s="59">
        <f t="shared" si="14"/>
        <v>3</v>
      </c>
      <c r="AB9" s="34">
        <f t="shared" si="15"/>
        <v>9</v>
      </c>
      <c r="AC9" s="12">
        <f t="shared" si="16"/>
        <v>9.75</v>
      </c>
      <c r="AD9" s="34">
        <f t="shared" si="3"/>
        <v>18</v>
      </c>
      <c r="AE9" s="35">
        <f t="shared" si="4"/>
        <v>268</v>
      </c>
      <c r="AF9" s="56"/>
      <c r="AG9" s="61">
        <f t="shared" si="17"/>
        <v>0</v>
      </c>
      <c r="AH9" s="62">
        <f t="shared" si="18"/>
        <v>15</v>
      </c>
      <c r="AI9" s="61">
        <f t="shared" si="5"/>
        <v>0</v>
      </c>
      <c r="AJ9" s="62">
        <f t="shared" si="19"/>
        <v>45</v>
      </c>
      <c r="AK9" s="61">
        <f t="shared" si="20"/>
        <v>0</v>
      </c>
      <c r="AL9" s="56">
        <f t="shared" si="21"/>
        <v>135</v>
      </c>
      <c r="AM9" s="56"/>
      <c r="AN9" s="56">
        <f t="shared" si="22"/>
        <v>7</v>
      </c>
      <c r="AO9" s="56">
        <f t="shared" si="23"/>
        <v>7</v>
      </c>
      <c r="AP9" s="56">
        <f t="shared" si="24"/>
        <v>63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16</v>
      </c>
      <c r="AZ9" s="39">
        <f t="shared" si="7"/>
        <v>6</v>
      </c>
      <c r="BA9" s="39">
        <f t="shared" si="26"/>
        <v>31</v>
      </c>
      <c r="BC9" s="6">
        <v>6</v>
      </c>
      <c r="BD9" s="6">
        <f t="shared" si="8"/>
        <v>0.5</v>
      </c>
      <c r="BE9" s="6">
        <f t="shared" si="8"/>
        <v>1</v>
      </c>
      <c r="BF9" s="6">
        <f t="shared" si="8"/>
        <v>1</v>
      </c>
      <c r="BG9" s="6">
        <f t="shared" si="8"/>
        <v>1</v>
      </c>
      <c r="BH9" s="6">
        <f t="shared" si="8"/>
        <v>0</v>
      </c>
      <c r="BI9" s="6">
        <f t="shared" si="8"/>
        <v>1</v>
      </c>
      <c r="BJ9" s="6">
        <f t="shared" si="8"/>
        <v>0.5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0.5</v>
      </c>
      <c r="BP9" s="6">
        <f t="shared" si="9"/>
        <v>1.5</v>
      </c>
      <c r="BQ9" s="6">
        <f t="shared" si="9"/>
        <v>2.5</v>
      </c>
      <c r="BR9" s="6">
        <f t="shared" si="9"/>
        <v>3.5</v>
      </c>
      <c r="BS9" s="6">
        <f t="shared" si="9"/>
        <v>3.5</v>
      </c>
      <c r="BT9" s="6">
        <f t="shared" si="9"/>
        <v>4.5</v>
      </c>
      <c r="BU9" s="6">
        <f t="shared" si="9"/>
        <v>5</v>
      </c>
      <c r="BV9" s="6">
        <f t="shared" si="9"/>
        <v>5</v>
      </c>
      <c r="BW9" s="6">
        <f t="shared" si="9"/>
        <v>5</v>
      </c>
    </row>
    <row r="10" spans="1:75" x14ac:dyDescent="0.25">
      <c r="A10" s="24">
        <f t="shared" si="10"/>
        <v>5</v>
      </c>
      <c r="B10" s="25">
        <v>7</v>
      </c>
      <c r="C10" s="25" t="s">
        <v>132</v>
      </c>
      <c r="D10" s="67">
        <v>8711945</v>
      </c>
      <c r="E10" s="67"/>
      <c r="F10" s="25">
        <v>254</v>
      </c>
      <c r="H10" s="27">
        <f t="shared" si="0"/>
        <v>0</v>
      </c>
      <c r="I10" s="27">
        <f t="shared" si="0"/>
        <v>1</v>
      </c>
      <c r="J10" s="27">
        <f t="shared" si="0"/>
        <v>1</v>
      </c>
      <c r="K10" s="27">
        <f t="shared" si="0"/>
        <v>1</v>
      </c>
      <c r="L10" s="27">
        <f t="shared" si="0"/>
        <v>0.5</v>
      </c>
      <c r="M10" s="27">
        <f t="shared" si="0"/>
        <v>0</v>
      </c>
      <c r="N10" s="26" t="str">
        <f t="shared" si="0"/>
        <v/>
      </c>
      <c r="O10" s="27">
        <f t="shared" si="0"/>
        <v>0</v>
      </c>
      <c r="P10" s="28"/>
      <c r="Q10" s="53"/>
      <c r="R10" s="58">
        <f t="shared" si="1"/>
        <v>3.5</v>
      </c>
      <c r="S10" s="8">
        <f t="shared" si="11"/>
        <v>12</v>
      </c>
      <c r="T10" s="8">
        <f t="shared" si="12"/>
        <v>5</v>
      </c>
      <c r="U10" s="14"/>
      <c r="V10" s="30"/>
      <c r="W10" s="31">
        <v>7</v>
      </c>
      <c r="X10" s="31" t="str">
        <f t="shared" si="13"/>
        <v>Elias Axelsson</v>
      </c>
      <c r="Y10" s="32">
        <v>4</v>
      </c>
      <c r="Z10" s="33" t="str">
        <f t="shared" si="28"/>
        <v>Roj van de Ruitenbeek</v>
      </c>
      <c r="AA10" s="59">
        <f t="shared" si="14"/>
        <v>3</v>
      </c>
      <c r="AB10" s="34">
        <f t="shared" si="15"/>
        <v>15</v>
      </c>
      <c r="AC10" s="12">
        <f t="shared" si="16"/>
        <v>9.5</v>
      </c>
      <c r="AD10" s="34">
        <f t="shared" si="3"/>
        <v>25.5</v>
      </c>
      <c r="AE10" s="35">
        <f t="shared" si="4"/>
        <v>274</v>
      </c>
      <c r="AF10" s="56"/>
      <c r="AG10" s="61">
        <f t="shared" si="17"/>
        <v>1</v>
      </c>
      <c r="AH10" s="62">
        <f t="shared" si="18"/>
        <v>11.5</v>
      </c>
      <c r="AI10" s="61">
        <f t="shared" si="5"/>
        <v>1</v>
      </c>
      <c r="AJ10" s="62">
        <f t="shared" si="19"/>
        <v>35.5</v>
      </c>
      <c r="AK10" s="61">
        <f t="shared" si="20"/>
        <v>0</v>
      </c>
      <c r="AL10" s="56">
        <f t="shared" si="21"/>
        <v>106.5</v>
      </c>
      <c r="AM10" s="56"/>
      <c r="AN10" s="56">
        <f t="shared" si="22"/>
        <v>3</v>
      </c>
      <c r="AO10" s="56">
        <f t="shared" si="23"/>
        <v>3</v>
      </c>
      <c r="AP10" s="56">
        <f t="shared" si="24"/>
        <v>27</v>
      </c>
      <c r="AQ10" s="56">
        <f t="shared" si="25"/>
        <v>5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8</v>
      </c>
      <c r="AZ10" s="39">
        <f t="shared" si="7"/>
        <v>8</v>
      </c>
      <c r="BA10" s="39">
        <f t="shared" si="26"/>
        <v>18.5</v>
      </c>
      <c r="BC10" s="6">
        <v>7</v>
      </c>
      <c r="BD10" s="6">
        <f t="shared" si="8"/>
        <v>1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0.5</v>
      </c>
      <c r="BI10" s="6">
        <f t="shared" si="8"/>
        <v>1</v>
      </c>
      <c r="BJ10" s="6">
        <f t="shared" si="8"/>
        <v>1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1</v>
      </c>
      <c r="BP10" s="6">
        <f t="shared" si="9"/>
        <v>1</v>
      </c>
      <c r="BQ10" s="6">
        <f t="shared" si="9"/>
        <v>1</v>
      </c>
      <c r="BR10" s="6">
        <f t="shared" si="9"/>
        <v>1</v>
      </c>
      <c r="BS10" s="6">
        <f t="shared" si="9"/>
        <v>1.5</v>
      </c>
      <c r="BT10" s="6">
        <f t="shared" si="9"/>
        <v>2.5</v>
      </c>
      <c r="BU10" s="6">
        <f t="shared" si="9"/>
        <v>3.5</v>
      </c>
      <c r="BV10" s="6">
        <f t="shared" si="9"/>
        <v>3.5</v>
      </c>
      <c r="BW10" s="6">
        <f t="shared" si="9"/>
        <v>3.5</v>
      </c>
    </row>
    <row r="11" spans="1:75" x14ac:dyDescent="0.25">
      <c r="A11" s="24">
        <f t="shared" si="10"/>
        <v>4</v>
      </c>
      <c r="B11" s="25">
        <v>8</v>
      </c>
      <c r="C11" s="25" t="s">
        <v>133</v>
      </c>
      <c r="D11" s="67">
        <v>8659266</v>
      </c>
      <c r="E11" s="67"/>
      <c r="F11" s="25">
        <v>252</v>
      </c>
      <c r="H11" s="27">
        <f t="shared" si="0"/>
        <v>1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0.5</v>
      </c>
      <c r="M11" s="27">
        <f t="shared" si="0"/>
        <v>1</v>
      </c>
      <c r="N11" s="27">
        <f t="shared" si="0"/>
        <v>1</v>
      </c>
      <c r="O11" s="26" t="str">
        <f t="shared" si="0"/>
        <v/>
      </c>
      <c r="P11" s="28"/>
      <c r="Q11" s="53"/>
      <c r="R11" s="58">
        <f t="shared" si="1"/>
        <v>3.5</v>
      </c>
      <c r="S11" s="8">
        <f t="shared" si="11"/>
        <v>12.5</v>
      </c>
      <c r="T11" s="8">
        <f t="shared" si="12"/>
        <v>4</v>
      </c>
      <c r="U11" s="14"/>
      <c r="V11" s="30"/>
      <c r="W11" s="31">
        <v>8</v>
      </c>
      <c r="X11" s="31" t="str">
        <f t="shared" si="13"/>
        <v>Eric Rikken</v>
      </c>
      <c r="Y11" s="32">
        <v>8</v>
      </c>
      <c r="Z11" s="33" t="str">
        <f t="shared" si="28"/>
        <v>Florens Boelen</v>
      </c>
      <c r="AA11" s="59">
        <f t="shared" si="14"/>
        <v>2.5</v>
      </c>
      <c r="AB11" s="34">
        <f t="shared" si="15"/>
        <v>12</v>
      </c>
      <c r="AC11" s="12">
        <f t="shared" si="16"/>
        <v>8.5</v>
      </c>
      <c r="AD11" s="34">
        <f t="shared" si="3"/>
        <v>22.5</v>
      </c>
      <c r="AE11" s="35">
        <f t="shared" si="4"/>
        <v>252</v>
      </c>
      <c r="AF11" s="56"/>
      <c r="AG11" s="61">
        <f t="shared" si="17"/>
        <v>1</v>
      </c>
      <c r="AH11" s="62">
        <f t="shared" si="18"/>
        <v>11.5</v>
      </c>
      <c r="AI11" s="61">
        <f t="shared" si="5"/>
        <v>1</v>
      </c>
      <c r="AJ11" s="62">
        <f t="shared" si="19"/>
        <v>35.5</v>
      </c>
      <c r="AK11" s="61">
        <f t="shared" si="20"/>
        <v>1</v>
      </c>
      <c r="AL11" s="56">
        <f t="shared" si="21"/>
        <v>107.5</v>
      </c>
      <c r="AM11" s="56"/>
      <c r="AN11" s="56">
        <f t="shared" si="22"/>
        <v>4</v>
      </c>
      <c r="AO11" s="56">
        <f t="shared" si="23"/>
        <v>4</v>
      </c>
      <c r="AP11" s="56">
        <f t="shared" si="24"/>
        <v>36</v>
      </c>
      <c r="AQ11" s="56">
        <f t="shared" si="25"/>
        <v>4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12</v>
      </c>
      <c r="AZ11" s="39">
        <f t="shared" si="7"/>
        <v>5.75</v>
      </c>
      <c r="BA11" s="39">
        <f t="shared" si="26"/>
        <v>22.5</v>
      </c>
      <c r="BC11" s="6">
        <v>8</v>
      </c>
      <c r="BD11" s="6">
        <f t="shared" si="8"/>
        <v>1</v>
      </c>
      <c r="BE11" s="6">
        <f t="shared" si="8"/>
        <v>0</v>
      </c>
      <c r="BF11" s="6">
        <f t="shared" si="8"/>
        <v>1</v>
      </c>
      <c r="BG11" s="6">
        <f t="shared" si="8"/>
        <v>0</v>
      </c>
      <c r="BH11" s="6">
        <f t="shared" si="8"/>
        <v>1</v>
      </c>
      <c r="BI11" s="6">
        <f t="shared" si="8"/>
        <v>0</v>
      </c>
      <c r="BJ11" s="6">
        <f t="shared" si="8"/>
        <v>0.5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1</v>
      </c>
      <c r="BP11" s="6">
        <f t="shared" si="9"/>
        <v>1</v>
      </c>
      <c r="BQ11" s="6">
        <f t="shared" si="9"/>
        <v>2</v>
      </c>
      <c r="BR11" s="6">
        <f t="shared" si="9"/>
        <v>2</v>
      </c>
      <c r="BS11" s="6">
        <f t="shared" si="9"/>
        <v>3</v>
      </c>
      <c r="BT11" s="6">
        <f t="shared" si="9"/>
        <v>3</v>
      </c>
      <c r="BU11" s="6">
        <f t="shared" si="9"/>
        <v>3.5</v>
      </c>
      <c r="BV11" s="6">
        <f t="shared" si="9"/>
        <v>3.5</v>
      </c>
      <c r="BW11" s="6">
        <f t="shared" si="9"/>
        <v>3.5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0" t="e">
        <f t="shared" ref="AA12" si="29">VLOOKUP($B12,$A$4:$T$11,18,FALSE)</f>
        <v>#N/A</v>
      </c>
      <c r="AH12" s="63"/>
      <c r="AK12" s="61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 t="e">
        <f t="shared" si="23"/>
        <v>#N/A</v>
      </c>
      <c r="AP12" s="56" t="e">
        <f t="shared" si="24"/>
        <v>#N/A</v>
      </c>
      <c r="AQ12" s="56">
        <f>RANK(AP13,$AP$4:$AP$11,1)</f>
        <v>1</v>
      </c>
    </row>
    <row r="13" spans="1:75" x14ac:dyDescent="0.25">
      <c r="AG13" s="57">
        <f>2*MAX(AG4:AG11)+1</f>
        <v>3</v>
      </c>
      <c r="AH13" s="63"/>
      <c r="AI13" s="57">
        <f>2*MAX(AI4:AI11)+1</f>
        <v>3</v>
      </c>
      <c r="AK13" s="57">
        <f>2*MAX(AK4:AK11)+1</f>
        <v>3</v>
      </c>
      <c r="AX13" s="41" t="s">
        <v>36</v>
      </c>
      <c r="AY13" s="41" t="s">
        <v>0</v>
      </c>
      <c r="AZ13" s="41" t="s">
        <v>1</v>
      </c>
      <c r="BA13" s="41" t="s">
        <v>2</v>
      </c>
      <c r="BC13" s="42" t="s">
        <v>34</v>
      </c>
      <c r="BD13" s="42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Eric Rikken</v>
      </c>
      <c r="D16" s="46" t="s">
        <v>5</v>
      </c>
      <c r="E16" s="66" t="str">
        <f>VLOOKUP(AZ16,$B$4:$F$11,2,FALSE)</f>
        <v>Florens Boelen</v>
      </c>
      <c r="F16" s="66"/>
      <c r="G16" s="66"/>
      <c r="H16" s="66"/>
      <c r="J16" s="66">
        <f>IF(T16="","",VLOOKUP(T16,Configuratie!$B$1:$E$10,3,FALSE))</f>
        <v>1</v>
      </c>
      <c r="K16" s="66"/>
      <c r="L16" s="6" t="s">
        <v>5</v>
      </c>
      <c r="M16" s="66">
        <f>IF(T16="","",VLOOKUP(T16,Configuratie!$B$1:$E$10,4,FALSE))</f>
        <v>0</v>
      </c>
      <c r="N16" s="66"/>
      <c r="R16" s="6" t="str">
        <f>IF(T16="","",VLOOKUP(T16,Configuratie!$B$1:$E$10,2,FALSE))</f>
        <v>1-0</v>
      </c>
      <c r="T16" s="5">
        <v>1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Elias Axelsson</v>
      </c>
      <c r="D17" s="46" t="s">
        <v>5</v>
      </c>
      <c r="E17" s="66" t="str">
        <f t="shared" ref="E17:E19" si="31">VLOOKUP(AZ17,$B$4:$F$11,2,FALSE)</f>
        <v>Roj van de Ruitenbeek</v>
      </c>
      <c r="F17" s="66"/>
      <c r="G17" s="66"/>
      <c r="H17" s="66"/>
      <c r="J17" s="66">
        <f>IF(T17="","",VLOOKUP(T17,Configuratie!$B$1:$E$10,3,FALSE))</f>
        <v>1</v>
      </c>
      <c r="K17" s="66"/>
      <c r="L17" s="6" t="s">
        <v>5</v>
      </c>
      <c r="M17" s="66">
        <f>IF(T17="","",VLOOKUP(T17,Configuratie!$B$1:$E$10,4,FALSE))</f>
        <v>0</v>
      </c>
      <c r="N17" s="66"/>
      <c r="R17" s="6" t="str">
        <f>IF(T17="","",VLOOKUP(T17,Configuratie!$B$1:$E$10,2,FALSE))</f>
        <v>1-0</v>
      </c>
      <c r="T17" s="5">
        <v>1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Quinten Kauw a Tjoe</v>
      </c>
      <c r="D18" s="46" t="s">
        <v>5</v>
      </c>
      <c r="E18" s="66" t="str">
        <f t="shared" si="31"/>
        <v>Mathijs de Wolff</v>
      </c>
      <c r="F18" s="66"/>
      <c r="G18" s="66"/>
      <c r="H18" s="66"/>
      <c r="J18" s="66">
        <f>IF(T18="","",VLOOKUP(T18,Configuratie!$B$1:$E$10,3,FALSE))</f>
        <v>0.5</v>
      </c>
      <c r="K18" s="66"/>
      <c r="L18" s="6" t="s">
        <v>5</v>
      </c>
      <c r="M18" s="66">
        <f>IF(T18="","",VLOOKUP(T18,Configuratie!$B$1:$E$10,4,FALSE))</f>
        <v>0.5</v>
      </c>
      <c r="N18" s="66"/>
      <c r="R18" s="6" t="str">
        <f>IF(T18="","",VLOOKUP(T18,Configuratie!$B$1:$E$10,2,FALSE))</f>
        <v>½-½</v>
      </c>
      <c r="T18" s="5">
        <v>2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Aron de Blois</v>
      </c>
      <c r="D19" s="46" t="s">
        <v>5</v>
      </c>
      <c r="E19" s="66" t="str">
        <f t="shared" si="31"/>
        <v>Teun Klein Gunnewiek</v>
      </c>
      <c r="F19" s="66"/>
      <c r="G19" s="66"/>
      <c r="H19" s="66"/>
      <c r="J19" s="66">
        <f>IF(T19="","",VLOOKUP(T19,Configuratie!$B$1:$E$10,3,FALSE))</f>
        <v>0</v>
      </c>
      <c r="K19" s="66"/>
      <c r="L19" s="6" t="s">
        <v>5</v>
      </c>
      <c r="M19" s="66">
        <f>IF(T19="","",VLOOKUP(T19,Configuratie!$B$1:$E$10,4,FALSE))</f>
        <v>1</v>
      </c>
      <c r="N19" s="66"/>
      <c r="R19" s="6" t="str">
        <f>IF(T19="","",VLOOKUP(T19,Configuratie!$B$1:$E$10,2,FALSE))</f>
        <v>0-1</v>
      </c>
      <c r="T19" s="5">
        <v>0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Eric Rikken</v>
      </c>
      <c r="D22" s="46" t="s">
        <v>5</v>
      </c>
      <c r="E22" s="66" t="str">
        <f>VLOOKUP(AZ22,$B$4:$F$11,2,FALSE)</f>
        <v>Teun Klein Gunnewiek</v>
      </c>
      <c r="F22" s="66"/>
      <c r="G22" s="66"/>
      <c r="H22" s="66"/>
      <c r="J22" s="66">
        <f>IF(T22="","",VLOOKUP(T22,Configuratie!$B$1:$E$10,3,FALSE))</f>
        <v>0</v>
      </c>
      <c r="K22" s="66"/>
      <c r="L22" s="6" t="s">
        <v>5</v>
      </c>
      <c r="M22" s="66">
        <f>IF(T22="","",VLOOKUP(T22,Configuratie!$B$1:$E$10,4,FALSE))</f>
        <v>1</v>
      </c>
      <c r="N22" s="66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1</v>
      </c>
      <c r="BF22" s="6">
        <f t="shared" si="32"/>
        <v>1</v>
      </c>
      <c r="BG22" s="6">
        <f>J22*BF22</f>
        <v>0</v>
      </c>
      <c r="BH22" s="6">
        <f>M22*BE22</f>
        <v>1</v>
      </c>
    </row>
    <row r="23" spans="2:60" x14ac:dyDescent="0.25">
      <c r="B23" s="6">
        <v>2</v>
      </c>
      <c r="C23" s="6" t="str">
        <f>VLOOKUP(AY23,$B$4:$F$11,2,FALSE)</f>
        <v>Mathijs de Wolff</v>
      </c>
      <c r="D23" s="46" t="s">
        <v>5</v>
      </c>
      <c r="E23" s="66" t="str">
        <f t="shared" ref="E23:E25" si="33">VLOOKUP(AZ23,$B$4:$F$11,2,FALSE)</f>
        <v>Aron de Blois</v>
      </c>
      <c r="F23" s="66"/>
      <c r="G23" s="66"/>
      <c r="H23" s="66"/>
      <c r="J23" s="66">
        <f>IF(T23="","",VLOOKUP(T23,Configuratie!$B$1:$E$10,3,FALSE))</f>
        <v>0.5</v>
      </c>
      <c r="K23" s="66"/>
      <c r="L23" s="6" t="s">
        <v>5</v>
      </c>
      <c r="M23" s="66">
        <f>IF(T23="","",VLOOKUP(T23,Configuratie!$B$1:$E$10,4,FALSE))</f>
        <v>0.5</v>
      </c>
      <c r="N23" s="66"/>
      <c r="R23" s="6" t="str">
        <f>IF(T23="","",VLOOKUP(T23,Configuratie!$B$1:$E$10,2,FALSE))</f>
        <v>½-½</v>
      </c>
      <c r="T23" s="5">
        <v>2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8">
        <f>AY23*100+AZ23</f>
        <v>305</v>
      </c>
      <c r="BD23" s="48">
        <f>AZ23*100+AY23</f>
        <v>503</v>
      </c>
      <c r="BE23" s="6">
        <f t="shared" si="32"/>
        <v>0.5</v>
      </c>
      <c r="BF23" s="6">
        <f t="shared" si="32"/>
        <v>0</v>
      </c>
      <c r="BG23" s="6">
        <f>J23*BF23</f>
        <v>0</v>
      </c>
      <c r="BH23" s="6">
        <f>M23*BE23</f>
        <v>0.25</v>
      </c>
    </row>
    <row r="24" spans="2:60" x14ac:dyDescent="0.25">
      <c r="B24" s="6">
        <v>3</v>
      </c>
      <c r="C24" s="6" t="str">
        <f>VLOOKUP(AY24,$B$4:$F$11,2,FALSE)</f>
        <v>Roj van de Ruitenbeek</v>
      </c>
      <c r="D24" s="46" t="s">
        <v>5</v>
      </c>
      <c r="E24" s="66" t="str">
        <f t="shared" si="33"/>
        <v>Quinten Kauw a Tjoe</v>
      </c>
      <c r="F24" s="66"/>
      <c r="G24" s="66"/>
      <c r="H24" s="66"/>
      <c r="J24" s="66">
        <f>IF(T24="","",VLOOKUP(T24,Configuratie!$B$1:$E$10,3,FALSE))</f>
        <v>0</v>
      </c>
      <c r="K24" s="66"/>
      <c r="L24" s="6" t="s">
        <v>5</v>
      </c>
      <c r="M24" s="66">
        <f>IF(T24="","",VLOOKUP(T24,Configuratie!$B$1:$E$10,4,FALSE))</f>
        <v>1</v>
      </c>
      <c r="N24" s="66"/>
      <c r="R24" s="6" t="str">
        <f>IF(T24="","",VLOOKUP(T24,Configuratie!$B$1:$E$10,2,FALSE))</f>
        <v>0-1</v>
      </c>
      <c r="T24" s="5">
        <v>0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0.5</v>
      </c>
      <c r="BG24" s="6">
        <f>J24*BF24</f>
        <v>0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Florens Boelen</v>
      </c>
      <c r="D25" s="46" t="s">
        <v>5</v>
      </c>
      <c r="E25" s="66" t="str">
        <f t="shared" si="33"/>
        <v>Elias Axelsson</v>
      </c>
      <c r="F25" s="66"/>
      <c r="G25" s="66"/>
      <c r="H25" s="66"/>
      <c r="J25" s="66">
        <f>IF(T25="","",VLOOKUP(T25,Configuratie!$B$1:$E$10,3,FALSE))</f>
        <v>1</v>
      </c>
      <c r="K25" s="66"/>
      <c r="L25" s="6" t="s">
        <v>5</v>
      </c>
      <c r="M25" s="66">
        <f>IF(T25="","",VLOOKUP(T25,Configuratie!$B$1:$E$10,4,FALSE))</f>
        <v>0</v>
      </c>
      <c r="N25" s="66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1</v>
      </c>
      <c r="BG25" s="6">
        <f>J25*BF25</f>
        <v>1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Elias Axelsson</v>
      </c>
      <c r="D28" s="46" t="s">
        <v>5</v>
      </c>
      <c r="E28" s="66" t="str">
        <f>VLOOKUP(AZ28,$B$4:$F$11,2,FALSE)</f>
        <v>Eric Rikken</v>
      </c>
      <c r="F28" s="66"/>
      <c r="G28" s="66"/>
      <c r="H28" s="66"/>
      <c r="J28" s="66">
        <f>IF(T28="","",VLOOKUP(T28,Configuratie!$B$1:$E$10,3,FALSE))</f>
        <v>0</v>
      </c>
      <c r="K28" s="66"/>
      <c r="L28" s="6" t="s">
        <v>5</v>
      </c>
      <c r="M28" s="66">
        <f>IF(T28="","",VLOOKUP(T28,Configuratie!$B$1:$E$10,4,FALSE))</f>
        <v>1</v>
      </c>
      <c r="N28" s="66"/>
      <c r="R28" s="6" t="str">
        <f>IF(T28="","",VLOOKUP(T28,Configuratie!$B$1:$E$10,2,FALSE))</f>
        <v>0-1</v>
      </c>
      <c r="T28" s="5">
        <v>0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1</v>
      </c>
      <c r="BF28" s="6">
        <f t="shared" si="35"/>
        <v>1</v>
      </c>
      <c r="BG28" s="6">
        <f>J28*BF28</f>
        <v>0</v>
      </c>
      <c r="BH28" s="6">
        <f>M28*BE28</f>
        <v>1</v>
      </c>
    </row>
    <row r="29" spans="2:60" x14ac:dyDescent="0.25">
      <c r="B29" s="6">
        <v>2</v>
      </c>
      <c r="C29" s="6" t="str">
        <f>VLOOKUP(AY29,$B$4:$F$11,2,FALSE)</f>
        <v>Quinten Kauw a Tjoe</v>
      </c>
      <c r="D29" s="46" t="s">
        <v>5</v>
      </c>
      <c r="E29" s="66" t="str">
        <f>VLOOKUP(AZ29,$B$4:$F$11,2,FALSE)</f>
        <v>Florens Boelen</v>
      </c>
      <c r="F29" s="66"/>
      <c r="G29" s="66"/>
      <c r="H29" s="66"/>
      <c r="J29" s="66">
        <f>IF(T29="","",VLOOKUP(T29,Configuratie!$B$1:$E$10,3,FALSE))</f>
        <v>1</v>
      </c>
      <c r="K29" s="66"/>
      <c r="L29" s="6" t="s">
        <v>5</v>
      </c>
      <c r="M29" s="66">
        <f>IF(T29="","",VLOOKUP(T29,Configuratie!$B$1:$E$10,4,FALSE))</f>
        <v>0</v>
      </c>
      <c r="N29" s="66"/>
      <c r="R29" s="6" t="str">
        <f>IF(T29="","",VLOOKUP(T29,Configuratie!$B$1:$E$10,2,FALSE))</f>
        <v>1-0</v>
      </c>
      <c r="T29" s="5">
        <v>1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8">
        <f>AY29*100+AZ29</f>
        <v>601</v>
      </c>
      <c r="BD29" s="48">
        <f>AZ29*100+AY29</f>
        <v>106</v>
      </c>
      <c r="BE29" s="6">
        <f t="shared" si="35"/>
        <v>1.5</v>
      </c>
      <c r="BF29" s="6">
        <f t="shared" si="35"/>
        <v>1</v>
      </c>
      <c r="BG29" s="6">
        <f>J29*BF29</f>
        <v>1</v>
      </c>
      <c r="BH29" s="6">
        <f>M29*BE29</f>
        <v>0</v>
      </c>
    </row>
    <row r="30" spans="2:60" x14ac:dyDescent="0.25">
      <c r="B30" s="6">
        <v>3</v>
      </c>
      <c r="C30" s="6" t="str">
        <f>VLOOKUP(AY30,$B$4:$F$11,2,FALSE)</f>
        <v>Aron de Blois</v>
      </c>
      <c r="D30" s="46" t="s">
        <v>5</v>
      </c>
      <c r="E30" s="66" t="str">
        <f>VLOOKUP(AZ30,$B$4:$F$11,2,FALSE)</f>
        <v>Roj van de Ruitenbeek</v>
      </c>
      <c r="F30" s="66"/>
      <c r="G30" s="66"/>
      <c r="H30" s="66"/>
      <c r="J30" s="66">
        <f>IF(T30="","",VLOOKUP(T30,Configuratie!$B$1:$E$10,3,FALSE))</f>
        <v>1</v>
      </c>
      <c r="K30" s="66"/>
      <c r="L30" s="6" t="s">
        <v>5</v>
      </c>
      <c r="M30" s="66">
        <f>IF(T30="","",VLOOKUP(T30,Configuratie!$B$1:$E$10,4,FALSE))</f>
        <v>0</v>
      </c>
      <c r="N30" s="66"/>
      <c r="R30" s="6" t="str">
        <f>IF(T30="","",VLOOKUP(T30,Configuratie!$B$1:$E$10,2,FALSE))</f>
        <v>1-0</v>
      </c>
      <c r="T30" s="5">
        <v>1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8">
        <f>AY30*100+AZ30</f>
        <v>502</v>
      </c>
      <c r="BD30" s="48">
        <f>AZ30*100+AY30</f>
        <v>205</v>
      </c>
      <c r="BE30" s="6">
        <f t="shared" si="35"/>
        <v>0.5</v>
      </c>
      <c r="BF30" s="6">
        <f t="shared" si="35"/>
        <v>0</v>
      </c>
      <c r="BG30" s="6">
        <f>J30*BF30</f>
        <v>0</v>
      </c>
      <c r="BH30" s="6">
        <f>M30*BE30</f>
        <v>0</v>
      </c>
    </row>
    <row r="31" spans="2:60" x14ac:dyDescent="0.25">
      <c r="B31" s="6">
        <v>4</v>
      </c>
      <c r="C31" s="6" t="str">
        <f>VLOOKUP(AY31,$B$4:$F$11,2,FALSE)</f>
        <v>Teun Klein Gunnewiek</v>
      </c>
      <c r="D31" s="46" t="s">
        <v>5</v>
      </c>
      <c r="E31" s="66" t="str">
        <f>VLOOKUP(AZ31,$B$4:$F$11,2,FALSE)</f>
        <v>Mathijs de Wolff</v>
      </c>
      <c r="F31" s="66"/>
      <c r="G31" s="66"/>
      <c r="H31" s="66"/>
      <c r="J31" s="66">
        <f>IF(T31="","",VLOOKUP(T31,Configuratie!$B$1:$E$10,3,FALSE))</f>
        <v>1</v>
      </c>
      <c r="K31" s="66"/>
      <c r="L31" s="6" t="s">
        <v>5</v>
      </c>
      <c r="M31" s="66">
        <f>IF(T31="","",VLOOKUP(T31,Configuratie!$B$1:$E$10,4,FALSE))</f>
        <v>0</v>
      </c>
      <c r="N31" s="66"/>
      <c r="R31" s="6" t="str">
        <f>IF(T31="","",VLOOKUP(T31,Configuratie!$B$1:$E$10,2,FALSE))</f>
        <v>1-0</v>
      </c>
      <c r="T31" s="5">
        <v>1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8">
        <f>AY31*100+AZ31</f>
        <v>403</v>
      </c>
      <c r="BD31" s="48">
        <f>AZ31*100+AY31</f>
        <v>304</v>
      </c>
      <c r="BE31" s="6">
        <f t="shared" si="35"/>
        <v>2</v>
      </c>
      <c r="BF31" s="6">
        <f t="shared" si="35"/>
        <v>1</v>
      </c>
      <c r="BG31" s="6">
        <f>J31*BF31</f>
        <v>1</v>
      </c>
      <c r="BH31" s="6">
        <f>M31*BE31</f>
        <v>0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Eric Rikken</v>
      </c>
      <c r="D34" s="46" t="s">
        <v>5</v>
      </c>
      <c r="E34" s="66" t="str">
        <f>VLOOKUP(AZ34,$B$4:$F$11,2,FALSE)</f>
        <v>Mathijs de Wolff</v>
      </c>
      <c r="F34" s="66"/>
      <c r="G34" s="66"/>
      <c r="H34" s="66"/>
      <c r="J34" s="66">
        <f>IF(T34="","",VLOOKUP(T34,Configuratie!$B$1:$E$10,3,FALSE))</f>
        <v>0</v>
      </c>
      <c r="K34" s="66"/>
      <c r="L34" s="6" t="s">
        <v>5</v>
      </c>
      <c r="M34" s="66">
        <f>IF(T34="","",VLOOKUP(T34,Configuratie!$B$1:$E$10,4,FALSE))</f>
        <v>1</v>
      </c>
      <c r="N34" s="66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2</v>
      </c>
      <c r="BF34" s="6">
        <f t="shared" si="37"/>
        <v>1</v>
      </c>
      <c r="BG34" s="6">
        <f>J34*BF34</f>
        <v>0</v>
      </c>
      <c r="BH34" s="6">
        <f>M34*BE34</f>
        <v>2</v>
      </c>
    </row>
    <row r="35" spans="2:60" x14ac:dyDescent="0.25">
      <c r="B35" s="6">
        <v>2</v>
      </c>
      <c r="C35" s="6" t="str">
        <f>VLOOKUP(AY35,$B$4:$F$11,2,FALSE)</f>
        <v>Roj van de Ruitenbeek</v>
      </c>
      <c r="D35" s="46" t="s">
        <v>5</v>
      </c>
      <c r="E35" s="66" t="str">
        <f>VLOOKUP(AZ35,$B$4:$F$11,2,FALSE)</f>
        <v>Teun Klein Gunnewiek</v>
      </c>
      <c r="F35" s="66"/>
      <c r="G35" s="66"/>
      <c r="H35" s="66"/>
      <c r="J35" s="66">
        <f>IF(T35="","",VLOOKUP(T35,Configuratie!$B$1:$E$10,3,FALSE))</f>
        <v>1</v>
      </c>
      <c r="K35" s="66"/>
      <c r="L35" s="6" t="s">
        <v>5</v>
      </c>
      <c r="M35" s="66">
        <f>IF(T35="","",VLOOKUP(T35,Configuratie!$B$1:$E$10,4,FALSE))</f>
        <v>0</v>
      </c>
      <c r="N35" s="66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8">
        <f>AY35*100+AZ35</f>
        <v>204</v>
      </c>
      <c r="BD35" s="48">
        <f>AZ35*100+AY35</f>
        <v>402</v>
      </c>
      <c r="BE35" s="6">
        <f t="shared" si="37"/>
        <v>0</v>
      </c>
      <c r="BF35" s="6">
        <f t="shared" si="37"/>
        <v>3</v>
      </c>
      <c r="BG35" s="6">
        <f>J35*BF35</f>
        <v>3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Florens Boelen</v>
      </c>
      <c r="D36" s="46" t="s">
        <v>5</v>
      </c>
      <c r="E36" s="66" t="str">
        <f>VLOOKUP(AZ36,$B$4:$F$11,2,FALSE)</f>
        <v>Aron de Blois</v>
      </c>
      <c r="F36" s="66"/>
      <c r="G36" s="66"/>
      <c r="H36" s="66"/>
      <c r="J36" s="66">
        <f>IF(T36="","",VLOOKUP(T36,Configuratie!$B$1:$E$10,3,FALSE))</f>
        <v>0.5</v>
      </c>
      <c r="K36" s="66"/>
      <c r="L36" s="6" t="s">
        <v>5</v>
      </c>
      <c r="M36" s="66">
        <f>IF(T36="","",VLOOKUP(T36,Configuratie!$B$1:$E$10,4,FALSE))</f>
        <v>0.5</v>
      </c>
      <c r="N36" s="66"/>
      <c r="R36" s="6" t="str">
        <f>IF(T36="","",VLOOKUP(T36,Configuratie!$B$1:$E$10,2,FALSE))</f>
        <v>½-½</v>
      </c>
      <c r="T36" s="5">
        <v>2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8">
        <f>AY36*100+AZ36</f>
        <v>105</v>
      </c>
      <c r="BD36" s="48">
        <f>AZ36*100+AY36</f>
        <v>501</v>
      </c>
      <c r="BE36" s="6">
        <f t="shared" si="37"/>
        <v>1</v>
      </c>
      <c r="BF36" s="6">
        <f t="shared" si="37"/>
        <v>1.5</v>
      </c>
      <c r="BG36" s="6">
        <f>J36*BF36</f>
        <v>0.75</v>
      </c>
      <c r="BH36" s="6">
        <f>M36*BE36</f>
        <v>0.5</v>
      </c>
    </row>
    <row r="37" spans="2:60" x14ac:dyDescent="0.25">
      <c r="B37" s="6">
        <v>4</v>
      </c>
      <c r="C37" s="6" t="str">
        <f>VLOOKUP(AY37,$B$4:$F$11,2,FALSE)</f>
        <v>Elias Axelsson</v>
      </c>
      <c r="D37" s="46" t="s">
        <v>5</v>
      </c>
      <c r="E37" s="66" t="str">
        <f>VLOOKUP(AZ37,$B$4:$F$11,2,FALSE)</f>
        <v>Quinten Kauw a Tjoe</v>
      </c>
      <c r="F37" s="66"/>
      <c r="G37" s="66"/>
      <c r="H37" s="66"/>
      <c r="J37" s="66">
        <f>IF(T37="","",VLOOKUP(T37,Configuratie!$B$1:$E$10,3,FALSE))</f>
        <v>0</v>
      </c>
      <c r="K37" s="66"/>
      <c r="L37" s="6" t="s">
        <v>5</v>
      </c>
      <c r="M37" s="66">
        <f>IF(T37="","",VLOOKUP(T37,Configuratie!$B$1:$E$10,4,FALSE))</f>
        <v>1</v>
      </c>
      <c r="N37" s="66"/>
      <c r="R37" s="6" t="str">
        <f>IF(T37="","",VLOOKUP(T37,Configuratie!$B$1:$E$10,2,FALSE))</f>
        <v>0-1</v>
      </c>
      <c r="T37" s="5">
        <v>0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8">
        <f>AY37*100+AZ37</f>
        <v>706</v>
      </c>
      <c r="BD37" s="48">
        <f>AZ37*100+AY37</f>
        <v>607</v>
      </c>
      <c r="BE37" s="6">
        <f t="shared" si="37"/>
        <v>1</v>
      </c>
      <c r="BF37" s="6">
        <f t="shared" si="37"/>
        <v>2.5</v>
      </c>
      <c r="BG37" s="6">
        <f>J37*BF37</f>
        <v>0</v>
      </c>
      <c r="BH37" s="6">
        <f>M37*BE37</f>
        <v>1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Quinten Kauw a Tjoe</v>
      </c>
      <c r="D40" s="46" t="s">
        <v>5</v>
      </c>
      <c r="E40" s="66" t="str">
        <f>VLOOKUP(AZ40,$B$4:$F$11,2,FALSE)</f>
        <v>Eric Rikken</v>
      </c>
      <c r="F40" s="66"/>
      <c r="G40" s="66"/>
      <c r="H40" s="66"/>
      <c r="J40" s="66">
        <f>IF(T40="","",VLOOKUP(T40,Configuratie!$B$1:$E$10,3,FALSE))</f>
        <v>0</v>
      </c>
      <c r="K40" s="66"/>
      <c r="L40" s="6" t="s">
        <v>5</v>
      </c>
      <c r="M40" s="66">
        <f>IF(T40="","",VLOOKUP(T40,Configuratie!$B$1:$E$10,4,FALSE))</f>
        <v>1</v>
      </c>
      <c r="N40" s="66"/>
      <c r="R40" s="6" t="str">
        <f>IF(T40="","",VLOOKUP(T40,Configuratie!$B$1:$E$10,2,FALSE))</f>
        <v>0-1</v>
      </c>
      <c r="T40" s="5">
        <v>0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3.5</v>
      </c>
      <c r="BF40" s="6">
        <f t="shared" si="39"/>
        <v>2</v>
      </c>
      <c r="BG40" s="6">
        <f>J40*BF40</f>
        <v>0</v>
      </c>
      <c r="BH40" s="6">
        <f>M40*BE40</f>
        <v>3.5</v>
      </c>
    </row>
    <row r="41" spans="2:60" x14ac:dyDescent="0.25">
      <c r="B41" s="6">
        <v>2</v>
      </c>
      <c r="C41" s="6" t="str">
        <f>VLOOKUP(AY41,$B$4:$F$11,2,FALSE)</f>
        <v>Aron de Blois</v>
      </c>
      <c r="D41" s="46" t="s">
        <v>5</v>
      </c>
      <c r="E41" s="66" t="str">
        <f>VLOOKUP(AZ41,$B$4:$F$11,2,FALSE)</f>
        <v>Elias Axelsson</v>
      </c>
      <c r="F41" s="66"/>
      <c r="G41" s="66"/>
      <c r="H41" s="66"/>
      <c r="J41" s="66">
        <f>IF(T41="","",VLOOKUP(T41,Configuratie!$B$1:$E$10,3,FALSE))</f>
        <v>0.5</v>
      </c>
      <c r="K41" s="66"/>
      <c r="L41" s="6" t="s">
        <v>5</v>
      </c>
      <c r="M41" s="66">
        <f>IF(T41="","",VLOOKUP(T41,Configuratie!$B$1:$E$10,4,FALSE))</f>
        <v>0.5</v>
      </c>
      <c r="N41" s="66"/>
      <c r="R41" s="6" t="str">
        <f>IF(T41="","",VLOOKUP(T41,Configuratie!$B$1:$E$10,2,FALSE))</f>
        <v>½-½</v>
      </c>
      <c r="T41" s="5">
        <v>2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8">
        <f>AY41*100+AZ41</f>
        <v>507</v>
      </c>
      <c r="BD41" s="48">
        <f>AZ41*100+AY41</f>
        <v>705</v>
      </c>
      <c r="BE41" s="6">
        <f t="shared" si="39"/>
        <v>2</v>
      </c>
      <c r="BF41" s="6">
        <f t="shared" si="39"/>
        <v>1</v>
      </c>
      <c r="BG41" s="6">
        <f>J41*BF41</f>
        <v>0.5</v>
      </c>
      <c r="BH41" s="6">
        <f>M41*BE41</f>
        <v>1</v>
      </c>
    </row>
    <row r="42" spans="2:60" x14ac:dyDescent="0.25">
      <c r="B42" s="6">
        <v>3</v>
      </c>
      <c r="C42" s="6" t="str">
        <f>VLOOKUP(AY42,$B$4:$F$11,2,FALSE)</f>
        <v>Teun Klein Gunnewiek</v>
      </c>
      <c r="D42" s="46" t="s">
        <v>5</v>
      </c>
      <c r="E42" s="66" t="str">
        <f>VLOOKUP(AZ42,$B$4:$F$11,2,FALSE)</f>
        <v>Florens Boelen</v>
      </c>
      <c r="F42" s="66"/>
      <c r="G42" s="66"/>
      <c r="H42" s="66"/>
      <c r="J42" s="66">
        <f>IF(T42="","",VLOOKUP(T42,Configuratie!$B$1:$E$10,3,FALSE))</f>
        <v>0</v>
      </c>
      <c r="K42" s="66"/>
      <c r="L42" s="6" t="s">
        <v>5</v>
      </c>
      <c r="M42" s="66">
        <f>IF(T42="","",VLOOKUP(T42,Configuratie!$B$1:$E$10,4,FALSE))</f>
        <v>1</v>
      </c>
      <c r="N42" s="66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8">
        <f>AY42*100+AZ42</f>
        <v>401</v>
      </c>
      <c r="BD42" s="48">
        <f>AZ42*100+AY42</f>
        <v>104</v>
      </c>
      <c r="BE42" s="6">
        <f t="shared" si="39"/>
        <v>3</v>
      </c>
      <c r="BF42" s="6">
        <f t="shared" si="39"/>
        <v>1.5</v>
      </c>
      <c r="BG42" s="6">
        <f>J42*BF42</f>
        <v>0</v>
      </c>
      <c r="BH42" s="6">
        <f>M42*BE42</f>
        <v>3</v>
      </c>
    </row>
    <row r="43" spans="2:60" x14ac:dyDescent="0.25">
      <c r="B43" s="6">
        <v>4</v>
      </c>
      <c r="C43" s="6" t="str">
        <f>VLOOKUP(AY43,$B$4:$F$11,2,FALSE)</f>
        <v>Mathijs de Wolff</v>
      </c>
      <c r="D43" s="46" t="s">
        <v>5</v>
      </c>
      <c r="E43" s="66" t="str">
        <f>VLOOKUP(AZ43,$B$4:$F$11,2,FALSE)</f>
        <v>Roj van de Ruitenbeek</v>
      </c>
      <c r="F43" s="66"/>
      <c r="G43" s="66"/>
      <c r="H43" s="66"/>
      <c r="J43" s="66">
        <f>IF(T43="","",VLOOKUP(T43,Configuratie!$B$1:$E$10,3,FALSE))</f>
        <v>1</v>
      </c>
      <c r="K43" s="66"/>
      <c r="L43" s="6" t="s">
        <v>5</v>
      </c>
      <c r="M43" s="66">
        <f>IF(T43="","",VLOOKUP(T43,Configuratie!$B$1:$E$10,4,FALSE))</f>
        <v>0</v>
      </c>
      <c r="N43" s="66"/>
      <c r="R43" s="6" t="str">
        <f>IF(T43="","",VLOOKUP(T43,Configuratie!$B$1:$E$10,2,FALSE))</f>
        <v>1-0</v>
      </c>
      <c r="T43" s="5">
        <v>1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8">
        <f>AY43*100+AZ43</f>
        <v>302</v>
      </c>
      <c r="BD43" s="48">
        <f>AZ43*100+AY43</f>
        <v>203</v>
      </c>
      <c r="BE43" s="6">
        <f t="shared" si="39"/>
        <v>2</v>
      </c>
      <c r="BF43" s="6">
        <f t="shared" si="39"/>
        <v>1</v>
      </c>
      <c r="BG43" s="6">
        <f>J43*BF43</f>
        <v>1</v>
      </c>
      <c r="BH43" s="6">
        <f>M43*BE43</f>
        <v>0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Eric Rikken</v>
      </c>
      <c r="D46" s="46" t="s">
        <v>5</v>
      </c>
      <c r="E46" s="66" t="str">
        <f>VLOOKUP(AZ46,$B$4:$F$11,2,FALSE)</f>
        <v>Roj van de Ruitenbeek</v>
      </c>
      <c r="F46" s="66"/>
      <c r="G46" s="66"/>
      <c r="H46" s="66"/>
      <c r="J46" s="66">
        <f>IF(T46="","",VLOOKUP(T46,Configuratie!$B$1:$E$10,3,FALSE))</f>
        <v>0</v>
      </c>
      <c r="K46" s="66"/>
      <c r="L46" s="6" t="s">
        <v>5</v>
      </c>
      <c r="M46" s="66">
        <f>IF(T46="","",VLOOKUP(T46,Configuratie!$B$1:$E$10,4,FALSE))</f>
        <v>1</v>
      </c>
      <c r="N46" s="66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3</v>
      </c>
      <c r="BF46" s="6">
        <f t="shared" si="41"/>
        <v>1</v>
      </c>
      <c r="BG46" s="6">
        <f>J46*BF46</f>
        <v>0</v>
      </c>
      <c r="BH46" s="6">
        <f>M46*BE46</f>
        <v>3</v>
      </c>
    </row>
    <row r="47" spans="2:60" x14ac:dyDescent="0.25">
      <c r="B47" s="6">
        <v>2</v>
      </c>
      <c r="C47" s="6" t="str">
        <f>VLOOKUP(AY47,$B$4:$F$11,2,FALSE)</f>
        <v>Florens Boelen</v>
      </c>
      <c r="D47" s="46" t="s">
        <v>5</v>
      </c>
      <c r="E47" s="66" t="str">
        <f>VLOOKUP(AZ47,$B$4:$F$11,2,FALSE)</f>
        <v>Mathijs de Wolff</v>
      </c>
      <c r="F47" s="66"/>
      <c r="G47" s="66"/>
      <c r="H47" s="66"/>
      <c r="J47" s="66">
        <f>IF(T47="","",VLOOKUP(T47,Configuratie!$B$1:$E$10,3,FALSE))</f>
        <v>0</v>
      </c>
      <c r="K47" s="66"/>
      <c r="L47" s="6" t="s">
        <v>5</v>
      </c>
      <c r="M47" s="66">
        <f>IF(T47="","",VLOOKUP(T47,Configuratie!$B$1:$E$10,4,FALSE))</f>
        <v>1</v>
      </c>
      <c r="N47" s="66"/>
      <c r="R47" s="6" t="str">
        <f>IF(T47="","",VLOOKUP(T47,Configuratie!$B$1:$E$10,2,FALSE))</f>
        <v>0-1</v>
      </c>
      <c r="T47" s="5">
        <v>0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8">
        <f>AY47*100+AZ47</f>
        <v>103</v>
      </c>
      <c r="BD47" s="48">
        <f>AZ47*100+AY47</f>
        <v>301</v>
      </c>
      <c r="BE47" s="6">
        <f t="shared" si="41"/>
        <v>2.5</v>
      </c>
      <c r="BF47" s="6">
        <f t="shared" si="41"/>
        <v>3</v>
      </c>
      <c r="BG47" s="6">
        <f>J47*BF47</f>
        <v>0</v>
      </c>
      <c r="BH47" s="6">
        <f>M47*BE47</f>
        <v>2.5</v>
      </c>
    </row>
    <row r="48" spans="2:60" x14ac:dyDescent="0.25">
      <c r="B48" s="6">
        <v>3</v>
      </c>
      <c r="C48" s="6" t="str">
        <f>VLOOKUP(AY48,$B$4:$F$11,2,FALSE)</f>
        <v>Elias Axelsson</v>
      </c>
      <c r="D48" s="46" t="s">
        <v>5</v>
      </c>
      <c r="E48" s="66" t="str">
        <f>VLOOKUP(AZ48,$B$4:$F$11,2,FALSE)</f>
        <v>Teun Klein Gunnewiek</v>
      </c>
      <c r="F48" s="66"/>
      <c r="G48" s="66"/>
      <c r="H48" s="66"/>
      <c r="J48" s="66">
        <f>IF(T48="","",VLOOKUP(T48,Configuratie!$B$1:$E$10,3,FALSE))</f>
        <v>1</v>
      </c>
      <c r="K48" s="66"/>
      <c r="L48" s="6" t="s">
        <v>5</v>
      </c>
      <c r="M48" s="66">
        <f>IF(T48="","",VLOOKUP(T48,Configuratie!$B$1:$E$10,4,FALSE))</f>
        <v>0</v>
      </c>
      <c r="N48" s="66"/>
      <c r="R48" s="6" t="str">
        <f>IF(T48="","",VLOOKUP(T48,Configuratie!$B$1:$E$10,2,FALSE))</f>
        <v>1-0</v>
      </c>
      <c r="T48" s="5">
        <v>1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8">
        <f>AY48*100+AZ48</f>
        <v>704</v>
      </c>
      <c r="BD48" s="48">
        <f>AZ48*100+AY48</f>
        <v>407</v>
      </c>
      <c r="BE48" s="6">
        <f t="shared" si="41"/>
        <v>1.5</v>
      </c>
      <c r="BF48" s="6">
        <f t="shared" si="41"/>
        <v>3</v>
      </c>
      <c r="BG48" s="6">
        <f>J48*BF48</f>
        <v>3</v>
      </c>
      <c r="BH48" s="6">
        <f>M48*BE48</f>
        <v>0</v>
      </c>
    </row>
    <row r="49" spans="2:60" x14ac:dyDescent="0.25">
      <c r="B49" s="6">
        <v>4</v>
      </c>
      <c r="C49" s="6" t="str">
        <f>VLOOKUP(AY49,$B$4:$F$11,2,FALSE)</f>
        <v>Quinten Kauw a Tjoe</v>
      </c>
      <c r="D49" s="46" t="s">
        <v>5</v>
      </c>
      <c r="E49" s="66" t="str">
        <f>VLOOKUP(AZ49,$B$4:$F$11,2,FALSE)</f>
        <v>Aron de Blois</v>
      </c>
      <c r="F49" s="66"/>
      <c r="G49" s="66"/>
      <c r="H49" s="66"/>
      <c r="J49" s="66">
        <f>IF(T49="","",VLOOKUP(T49,Configuratie!$B$1:$E$10,3,FALSE))</f>
        <v>1</v>
      </c>
      <c r="K49" s="66"/>
      <c r="L49" s="6" t="s">
        <v>5</v>
      </c>
      <c r="M49" s="66">
        <f>IF(T49="","",VLOOKUP(T49,Configuratie!$B$1:$E$10,4,FALSE))</f>
        <v>0</v>
      </c>
      <c r="N49" s="66"/>
      <c r="R49" s="6" t="str">
        <f>IF(T49="","",VLOOKUP(T49,Configuratie!$B$1:$E$10,2,FALSE))</f>
        <v>1-0</v>
      </c>
      <c r="T49" s="5">
        <v>1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8">
        <f>AY49*100+AZ49</f>
        <v>605</v>
      </c>
      <c r="BD49" s="48">
        <f>AZ49*100+AY49</f>
        <v>506</v>
      </c>
      <c r="BE49" s="6">
        <f t="shared" si="41"/>
        <v>3.5</v>
      </c>
      <c r="BF49" s="6">
        <f t="shared" si="41"/>
        <v>2.5</v>
      </c>
      <c r="BG49" s="6">
        <f>J49*BF49</f>
        <v>2.5</v>
      </c>
      <c r="BH49" s="6">
        <f>M49*BE49</f>
        <v>0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Aron de Blois</v>
      </c>
      <c r="D52" s="46" t="s">
        <v>5</v>
      </c>
      <c r="E52" s="66" t="str">
        <f>VLOOKUP(AZ52,$B$4:$F$11,2,FALSE)</f>
        <v>Eric Rikken</v>
      </c>
      <c r="F52" s="66"/>
      <c r="G52" s="66"/>
      <c r="H52" s="66"/>
      <c r="J52" s="66">
        <f>IF(T52="","",VLOOKUP(T52,Configuratie!$B$1:$E$10,3,FALSE))</f>
        <v>0.5</v>
      </c>
      <c r="K52" s="66"/>
      <c r="L52" s="6" t="s">
        <v>5</v>
      </c>
      <c r="M52" s="66">
        <f>IF(T52="","",VLOOKUP(T52,Configuratie!$B$1:$E$10,4,FALSE))</f>
        <v>0.5</v>
      </c>
      <c r="N52" s="66"/>
      <c r="R52" s="6" t="str">
        <f>IF(T52="","",VLOOKUP(T52,Configuratie!$B$1:$E$10,2,FALSE))</f>
        <v>½-½</v>
      </c>
      <c r="T52" s="5">
        <v>2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2.5</v>
      </c>
      <c r="BF52" s="6">
        <f t="shared" si="43"/>
        <v>3</v>
      </c>
      <c r="BG52" s="6">
        <f>J52*BF52</f>
        <v>1.5</v>
      </c>
      <c r="BH52" s="6">
        <f>M52*BE52</f>
        <v>1.25</v>
      </c>
    </row>
    <row r="53" spans="2:60" x14ac:dyDescent="0.25">
      <c r="B53" s="6">
        <v>2</v>
      </c>
      <c r="C53" s="6" t="str">
        <f>VLOOKUP(AY53,$B$4:$F$11,2,FALSE)</f>
        <v>Teun Klein Gunnewiek</v>
      </c>
      <c r="D53" s="46" t="s">
        <v>5</v>
      </c>
      <c r="E53" s="66" t="str">
        <f>VLOOKUP(AZ53,$B$4:$F$11,2,FALSE)</f>
        <v>Quinten Kauw a Tjoe</v>
      </c>
      <c r="F53" s="66"/>
      <c r="G53" s="66"/>
      <c r="H53" s="66"/>
      <c r="J53" s="66">
        <f>IF(T53="","",VLOOKUP(T53,Configuratie!$B$1:$E$10,3,FALSE))</f>
        <v>0.5</v>
      </c>
      <c r="K53" s="66"/>
      <c r="L53" s="6" t="s">
        <v>5</v>
      </c>
      <c r="M53" s="66">
        <f>IF(T53="","",VLOOKUP(T53,Configuratie!$B$1:$E$10,4,FALSE))</f>
        <v>0.5</v>
      </c>
      <c r="N53" s="66"/>
      <c r="R53" s="6" t="str">
        <f>IF(T53="","",VLOOKUP(T53,Configuratie!$B$1:$E$10,2,FALSE))</f>
        <v>½-½</v>
      </c>
      <c r="T53" s="5">
        <v>2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8">
        <f>AY53*100+AZ53</f>
        <v>406</v>
      </c>
      <c r="BD53" s="48">
        <f>AZ53*100+AY53</f>
        <v>604</v>
      </c>
      <c r="BE53" s="6">
        <f t="shared" si="43"/>
        <v>3</v>
      </c>
      <c r="BF53" s="6">
        <f t="shared" si="43"/>
        <v>4.5</v>
      </c>
      <c r="BG53" s="6">
        <f>J53*BF53</f>
        <v>2.25</v>
      </c>
      <c r="BH53" s="6">
        <f>M53*BE53</f>
        <v>1.5</v>
      </c>
    </row>
    <row r="54" spans="2:60" x14ac:dyDescent="0.25">
      <c r="B54" s="6">
        <v>3</v>
      </c>
      <c r="C54" s="6" t="str">
        <f>VLOOKUP(AY54,$B$4:$F$11,2,FALSE)</f>
        <v>Mathijs de Wolff</v>
      </c>
      <c r="D54" s="46" t="s">
        <v>5</v>
      </c>
      <c r="E54" s="66" t="str">
        <f>VLOOKUP(AZ54,$B$4:$F$11,2,FALSE)</f>
        <v>Elias Axelsson</v>
      </c>
      <c r="F54" s="66"/>
      <c r="G54" s="66"/>
      <c r="H54" s="66"/>
      <c r="J54" s="66">
        <f>IF(T54="","",VLOOKUP(T54,Configuratie!$B$1:$E$10,3,FALSE))</f>
        <v>0</v>
      </c>
      <c r="K54" s="66"/>
      <c r="L54" s="6" t="s">
        <v>5</v>
      </c>
      <c r="M54" s="66">
        <f>IF(T54="","",VLOOKUP(T54,Configuratie!$B$1:$E$10,4,FALSE))</f>
        <v>1</v>
      </c>
      <c r="N54" s="66"/>
      <c r="R54" s="6" t="str">
        <f>IF(T54="","",VLOOKUP(T54,Configuratie!$B$1:$E$10,2,FALSE))</f>
        <v>0-1</v>
      </c>
      <c r="T54" s="5">
        <v>0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8">
        <f>AY54*100+AZ54</f>
        <v>307</v>
      </c>
      <c r="BD54" s="48">
        <f>AZ54*100+AY54</f>
        <v>703</v>
      </c>
      <c r="BE54" s="6">
        <f t="shared" si="43"/>
        <v>4</v>
      </c>
      <c r="BF54" s="6">
        <f t="shared" si="43"/>
        <v>2.5</v>
      </c>
      <c r="BG54" s="6">
        <f>J54*BF54</f>
        <v>0</v>
      </c>
      <c r="BH54" s="6">
        <f>M54*BE54</f>
        <v>4</v>
      </c>
    </row>
    <row r="55" spans="2:60" x14ac:dyDescent="0.25">
      <c r="B55" s="6">
        <v>4</v>
      </c>
      <c r="C55" s="6" t="str">
        <f>VLOOKUP(AY55,$B$4:$F$11,2,FALSE)</f>
        <v>Roj van de Ruitenbeek</v>
      </c>
      <c r="D55" s="46" t="s">
        <v>5</v>
      </c>
      <c r="E55" s="66" t="str">
        <f>VLOOKUP(AZ55,$B$4:$F$11,2,FALSE)</f>
        <v>Florens Boelen</v>
      </c>
      <c r="F55" s="66"/>
      <c r="G55" s="66"/>
      <c r="H55" s="66"/>
      <c r="J55" s="66">
        <f>IF(T55="","",VLOOKUP(T55,Configuratie!$B$1:$E$10,3,FALSE))</f>
        <v>1</v>
      </c>
      <c r="K55" s="66"/>
      <c r="L55" s="6" t="s">
        <v>5</v>
      </c>
      <c r="M55" s="66">
        <f>IF(T55="","",VLOOKUP(T55,Configuratie!$B$1:$E$10,4,FALSE))</f>
        <v>0</v>
      </c>
      <c r="N55" s="66"/>
      <c r="R55" s="6" t="str">
        <f>IF(T55="","",VLOOKUP(T55,Configuratie!$B$1:$E$10,2,FALSE))</f>
        <v>1-0</v>
      </c>
      <c r="T55" s="5">
        <v>1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8">
        <f>AY55*100+AZ55</f>
        <v>201</v>
      </c>
      <c r="BD55" s="48">
        <f>AZ55*100+AY55</f>
        <v>102</v>
      </c>
      <c r="BE55" s="6">
        <f t="shared" si="43"/>
        <v>2</v>
      </c>
      <c r="BF55" s="6">
        <f t="shared" si="43"/>
        <v>2.5</v>
      </c>
      <c r="BG55" s="6">
        <f>J55*BF55</f>
        <v>2.5</v>
      </c>
      <c r="BH55" s="6">
        <f>M55*BE55</f>
        <v>0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scale="57" orientation="portrait" r:id="rId1"/>
  <colBreaks count="2" manualBreakCount="2">
    <brk id="20" max="1048575" man="1"/>
    <brk id="19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X55"/>
  <sheetViews>
    <sheetView view="pageBreakPreview" topLeftCell="A10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hidden="1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6" width="9.140625" style="6" hidden="1" customWidth="1" collapsed="1"/>
    <col min="77" max="77" width="9.140625" style="6" customWidth="1" collapsed="1"/>
    <col min="78" max="16384" width="9.140625" style="6" collapsed="1"/>
  </cols>
  <sheetData>
    <row r="1" spans="1:75" ht="26.25" x14ac:dyDescent="0.4">
      <c r="A1" s="24">
        <v>8</v>
      </c>
      <c r="B1" s="68" t="s">
        <v>29</v>
      </c>
      <c r="C1" s="68"/>
      <c r="D1" s="68"/>
      <c r="E1" s="68"/>
      <c r="F1" s="68"/>
      <c r="G1" s="71" t="s">
        <v>134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15"/>
      <c r="T1" s="15"/>
      <c r="U1" s="15"/>
      <c r="V1" s="15"/>
      <c r="W1" s="69" t="str">
        <f>"UITSLAG " &amp; G1</f>
        <v>UITSLAG Groep L</v>
      </c>
      <c r="X1" s="70"/>
      <c r="Y1" s="70"/>
      <c r="Z1" s="70"/>
      <c r="AA1" s="70"/>
      <c r="AB1" s="70"/>
      <c r="AC1" s="70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70" t="s">
        <v>20</v>
      </c>
      <c r="BE2" s="70"/>
      <c r="BF2" s="70"/>
      <c r="BG2" s="70"/>
      <c r="BH2" s="70"/>
      <c r="BI2" s="70"/>
      <c r="BJ2" s="70"/>
      <c r="BK2" s="70"/>
      <c r="BL2" s="70"/>
      <c r="BM2" s="17"/>
      <c r="BN2" s="18"/>
      <c r="BO2" s="70" t="s">
        <v>21</v>
      </c>
      <c r="BP2" s="70"/>
      <c r="BQ2" s="70"/>
      <c r="BR2" s="70"/>
      <c r="BS2" s="70"/>
      <c r="BT2" s="70"/>
      <c r="BU2" s="70"/>
      <c r="BV2" s="70"/>
      <c r="BW2" s="70"/>
    </row>
    <row r="3" spans="1:75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8</v>
      </c>
      <c r="B4" s="25">
        <v>1</v>
      </c>
      <c r="C4" s="25" t="s">
        <v>135</v>
      </c>
      <c r="D4" s="67">
        <v>8615167</v>
      </c>
      <c r="E4" s="67"/>
      <c r="F4" s="25">
        <v>252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0</v>
      </c>
      <c r="J4" s="27">
        <f t="shared" si="0"/>
        <v>0.5</v>
      </c>
      <c r="K4" s="27">
        <f t="shared" si="0"/>
        <v>0</v>
      </c>
      <c r="L4" s="27">
        <f t="shared" si="0"/>
        <v>0</v>
      </c>
      <c r="M4" s="27">
        <f t="shared" si="0"/>
        <v>0</v>
      </c>
      <c r="N4" s="27">
        <f t="shared" si="0"/>
        <v>1</v>
      </c>
      <c r="O4" s="27">
        <f t="shared" si="0"/>
        <v>0</v>
      </c>
      <c r="P4" s="28"/>
      <c r="Q4" s="53"/>
      <c r="R4" s="58">
        <f t="shared" ref="R4:R11" si="1">SUM(H4:Q4)</f>
        <v>1.5</v>
      </c>
      <c r="S4" s="8">
        <f>IF(H4="",0,H4)*$R$4+IF(I4="",0,I4)*$R$5+IF(J4="",0,J4)*$R$6+IF(K4="",0,K4)*$R$7+IF(L4="",0,L4)*$R$8+IF(M4="",0,M4)*$R$9+IF(N4="",0,N4)*$R$10+IF(O4="",0,O4)*$R$11</f>
        <v>4.5</v>
      </c>
      <c r="T4" s="8">
        <f>AQ4</f>
        <v>8</v>
      </c>
      <c r="U4" s="14"/>
      <c r="V4" s="30"/>
      <c r="W4" s="31">
        <v>1</v>
      </c>
      <c r="X4" s="31" t="str">
        <f>C4</f>
        <v>Ryan Bartelds</v>
      </c>
      <c r="Y4" s="32">
        <v>2</v>
      </c>
      <c r="Z4" s="33" t="str">
        <f>IF(ISNA(VLOOKUP(B4,$A$4:$T$11,3,FALSE)),C4,VLOOKUP(B4,$A$4:$T$11,3,FALSE))</f>
        <v>Jochem Kuijvenhoven</v>
      </c>
      <c r="AA4" s="59">
        <f>IF(ISNA(VLOOKUP($B4,$A$4:$T$11,18,FALSE)),0,VLOOKUP($B4,$A$4:$T$11,18,FALSE))</f>
        <v>4.5</v>
      </c>
      <c r="AB4" s="60">
        <f t="shared" ref="AB4" si="2">VLOOKUP($B4,$A$4:$T$11,18,FALSE)</f>
        <v>4.5</v>
      </c>
      <c r="AC4" s="12">
        <f>IF(ISNA(VLOOKUP($B4,$A$4:$T$11,19,FALSE)),0,VLOOKUP($B4,$A$4:$T$11,19,FALSE))</f>
        <v>13.75</v>
      </c>
      <c r="AD4" s="34">
        <f t="shared" ref="AD4:AD11" si="3">VLOOKUP($Y4,$AX$4:$BA$11,4,FALSE)</f>
        <v>21</v>
      </c>
      <c r="AE4" s="35">
        <f t="shared" ref="AE4:AE11" si="4">VLOOKUP($Y4,$B$4:$R$11,5,FALSE)</f>
        <v>246</v>
      </c>
      <c r="AF4" s="56"/>
      <c r="AG4" s="61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2">
        <f>$AG$13*R4+AG4</f>
        <v>7.5</v>
      </c>
      <c r="AI4" s="61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2">
        <f>$AI$13*AH4+AI4</f>
        <v>22.5</v>
      </c>
      <c r="AK4" s="61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22.5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8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5.5</v>
      </c>
      <c r="AZ4" s="39">
        <f t="shared" ref="AZ4:AZ11" si="7">SUMIF($AY$13:$AY$55,B4,$BG$13:$BG$55)+SUMIF($AZ$13:$AZ$55,B4,$BH$13:$BH$55)</f>
        <v>2.5</v>
      </c>
      <c r="BA4" s="39">
        <f>SUM(BO4:BW4)</f>
        <v>10</v>
      </c>
      <c r="BC4" s="6">
        <v>1</v>
      </c>
      <c r="BD4" s="6">
        <f t="shared" ref="BD4:BL11" si="8">SUMIFS($J$16:$J$55,$AY$16:$AY$55,$BC4,$AX$16:$AX$55,BD$3)+SUMIFS($M$16:$M$55,$AZ$16:$AZ$55,$BC4,$AX$16:$AX$55,BD$3)</f>
        <v>0</v>
      </c>
      <c r="BE4" s="6">
        <f t="shared" si="8"/>
        <v>1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0.5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1</v>
      </c>
      <c r="BQ4" s="6">
        <f t="shared" si="9"/>
        <v>1</v>
      </c>
      <c r="BR4" s="6">
        <f t="shared" si="9"/>
        <v>1</v>
      </c>
      <c r="BS4" s="6">
        <f t="shared" si="9"/>
        <v>1</v>
      </c>
      <c r="BT4" s="6">
        <f t="shared" si="9"/>
        <v>1.5</v>
      </c>
      <c r="BU4" s="6">
        <f t="shared" si="9"/>
        <v>1.5</v>
      </c>
      <c r="BV4" s="6">
        <f t="shared" si="9"/>
        <v>1.5</v>
      </c>
      <c r="BW4" s="6">
        <f t="shared" si="9"/>
        <v>1.5</v>
      </c>
    </row>
    <row r="5" spans="1:75" x14ac:dyDescent="0.25">
      <c r="A5" s="24">
        <f t="shared" ref="A5:A12" si="10">T5</f>
        <v>2</v>
      </c>
      <c r="B5" s="25">
        <v>2</v>
      </c>
      <c r="C5" s="25" t="s">
        <v>136</v>
      </c>
      <c r="D5" s="67">
        <v>8589900</v>
      </c>
      <c r="E5" s="67"/>
      <c r="F5" s="25">
        <v>246</v>
      </c>
      <c r="H5" s="27">
        <f t="shared" si="0"/>
        <v>1</v>
      </c>
      <c r="I5" s="26" t="str">
        <f t="shared" si="0"/>
        <v/>
      </c>
      <c r="J5" s="27">
        <f t="shared" si="0"/>
        <v>1</v>
      </c>
      <c r="K5" s="27">
        <f t="shared" si="0"/>
        <v>1</v>
      </c>
      <c r="L5" s="27">
        <f t="shared" si="0"/>
        <v>1</v>
      </c>
      <c r="M5" s="27">
        <f t="shared" si="0"/>
        <v>0</v>
      </c>
      <c r="N5" s="27">
        <f t="shared" si="0"/>
        <v>0</v>
      </c>
      <c r="O5" s="27">
        <f t="shared" si="0"/>
        <v>0</v>
      </c>
      <c r="P5" s="28"/>
      <c r="Q5" s="53"/>
      <c r="R5" s="58">
        <f t="shared" si="1"/>
        <v>4</v>
      </c>
      <c r="S5" s="8">
        <f t="shared" ref="S5:S11" si="11">IF(H5="",0,H5)*$R$4+IF(I5="",0,I5)*$R$5+IF(J5="",0,J5)*$R$6+IF(K5="",0,K5)*$R$7+IF(L5="",0,L5)*$R$8+IF(M5="",0,M5)*$R$9+IF(N5="",0,N5)*$R$10+IF(O5="",0,O5)*$R$11</f>
        <v>14</v>
      </c>
      <c r="T5" s="8">
        <f t="shared" ref="T5:T12" si="12">AQ5</f>
        <v>2</v>
      </c>
      <c r="U5" s="14"/>
      <c r="V5" s="30"/>
      <c r="W5" s="31">
        <v>2</v>
      </c>
      <c r="X5" s="31" t="str">
        <f t="shared" ref="X5:X11" si="13">C5</f>
        <v>Vera Maters *</v>
      </c>
      <c r="Y5" s="32">
        <v>7</v>
      </c>
      <c r="Z5" s="33" t="str">
        <f>IF(ISNA(VLOOKUP(B5,$A$4:$T$11,3,FALSE)),C5,VLOOKUP(B5,$A$4:$T$11,3,FALSE))</f>
        <v>Vera Maters *</v>
      </c>
      <c r="AA5" s="59">
        <f t="shared" ref="AA5:AA11" si="14">IF(ISNA(VLOOKUP($B5,$A$4:$T$11,18,FALSE)),0,VLOOKUP($B5,$A$4:$T$11,18,FALSE))</f>
        <v>4</v>
      </c>
      <c r="AB5" s="34">
        <f t="shared" ref="AB5:AB11" si="15">VLOOKUP($Y5,$AX$4:$BA$11,2,FALSE)</f>
        <v>8.5</v>
      </c>
      <c r="AC5" s="12">
        <f t="shared" ref="AC5:AC11" si="16">IF(ISNA(VLOOKUP($B5,$A$4:$T$11,19,FALSE)),0,VLOOKUP($B5,$A$4:$T$11,19,FALSE))</f>
        <v>14</v>
      </c>
      <c r="AD5" s="34">
        <f t="shared" si="3"/>
        <v>16</v>
      </c>
      <c r="AE5" s="35">
        <f t="shared" si="4"/>
        <v>216</v>
      </c>
      <c r="AF5" s="56"/>
      <c r="AG5" s="61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2</v>
      </c>
      <c r="AH5" s="62">
        <f t="shared" ref="AH5:AH11" si="18">$AG$13*R5+AG5</f>
        <v>22</v>
      </c>
      <c r="AI5" s="61">
        <f t="shared" si="5"/>
        <v>1</v>
      </c>
      <c r="AJ5" s="62">
        <f t="shared" ref="AJ5:AJ11" si="19">$AI$13*AH5+AI5</f>
        <v>67</v>
      </c>
      <c r="AK5" s="61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67</v>
      </c>
      <c r="AM5" s="56"/>
      <c r="AN5" s="56">
        <f t="shared" ref="AN5:AN11" si="22">RANK(AL5,$AL$4:$AL$11,1)-1</f>
        <v>6</v>
      </c>
      <c r="AO5" s="56">
        <f t="shared" ref="AO5:AO12" si="23">RANK(S5,$S$4:$S$11,1)-1</f>
        <v>6</v>
      </c>
      <c r="AP5" s="56">
        <f t="shared" ref="AP5:AP12" si="24">8*AN5+AO5</f>
        <v>54</v>
      </c>
      <c r="AQ5" s="56">
        <f t="shared" ref="AQ5:AQ11" si="25">RANK(AP5,$AP$4:$AP$11)</f>
        <v>2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9</v>
      </c>
      <c r="AZ5" s="39">
        <f t="shared" si="7"/>
        <v>7</v>
      </c>
      <c r="BA5" s="39">
        <f t="shared" ref="BA5:BA11" si="26">SUM(BO5:BW5)</f>
        <v>21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1</v>
      </c>
      <c r="BG5" s="6">
        <f t="shared" si="8"/>
        <v>1</v>
      </c>
      <c r="BH5" s="6">
        <f t="shared" si="8"/>
        <v>1</v>
      </c>
      <c r="BI5" s="6">
        <f t="shared" si="8"/>
        <v>0</v>
      </c>
      <c r="BJ5" s="6">
        <f t="shared" si="8"/>
        <v>1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1</v>
      </c>
      <c r="BR5" s="6">
        <f t="shared" si="9"/>
        <v>2</v>
      </c>
      <c r="BS5" s="6">
        <f t="shared" si="9"/>
        <v>3</v>
      </c>
      <c r="BT5" s="6">
        <f t="shared" si="9"/>
        <v>3</v>
      </c>
      <c r="BU5" s="6">
        <f t="shared" si="9"/>
        <v>4</v>
      </c>
      <c r="BV5" s="6">
        <f t="shared" si="9"/>
        <v>4</v>
      </c>
      <c r="BW5" s="6">
        <f t="shared" si="9"/>
        <v>4</v>
      </c>
    </row>
    <row r="6" spans="1:75" x14ac:dyDescent="0.25">
      <c r="A6" s="24">
        <f t="shared" si="10"/>
        <v>3</v>
      </c>
      <c r="B6" s="25">
        <v>3</v>
      </c>
      <c r="C6" s="25" t="s">
        <v>137</v>
      </c>
      <c r="D6" s="67">
        <v>638091</v>
      </c>
      <c r="E6" s="67"/>
      <c r="F6" s="25">
        <v>245</v>
      </c>
      <c r="H6" s="27">
        <f t="shared" si="0"/>
        <v>0.5</v>
      </c>
      <c r="I6" s="27">
        <f t="shared" si="0"/>
        <v>0</v>
      </c>
      <c r="J6" s="26" t="str">
        <f t="shared" si="0"/>
        <v/>
      </c>
      <c r="K6" s="27">
        <f t="shared" si="0"/>
        <v>0.5</v>
      </c>
      <c r="L6" s="27">
        <f t="shared" si="0"/>
        <v>1</v>
      </c>
      <c r="M6" s="27">
        <f t="shared" si="0"/>
        <v>0.5</v>
      </c>
      <c r="N6" s="27">
        <f t="shared" si="0"/>
        <v>0.5</v>
      </c>
      <c r="O6" s="27">
        <f t="shared" si="0"/>
        <v>1</v>
      </c>
      <c r="P6" s="28"/>
      <c r="Q6" s="53"/>
      <c r="R6" s="58">
        <f t="shared" si="1"/>
        <v>4</v>
      </c>
      <c r="S6" s="8">
        <f t="shared" si="11"/>
        <v>14</v>
      </c>
      <c r="T6" s="9">
        <f>AQ6</f>
        <v>3</v>
      </c>
      <c r="U6" s="10"/>
      <c r="V6" s="30"/>
      <c r="W6" s="31">
        <v>3</v>
      </c>
      <c r="X6" s="31" t="str">
        <f t="shared" si="13"/>
        <v>Willem Veldhuizen</v>
      </c>
      <c r="Y6" s="32">
        <v>1</v>
      </c>
      <c r="Z6" s="33" t="str">
        <f t="shared" ref="Z6:Z12" si="28">IF(ISNA(VLOOKUP(B6,$A$4:$T$11,3,FALSE)),C6,VLOOKUP(B6,$A$4:$T$11,3,FALSE))</f>
        <v>Willem Veldhuizen</v>
      </c>
      <c r="AA6" s="59">
        <f t="shared" si="14"/>
        <v>4</v>
      </c>
      <c r="AB6" s="34">
        <f t="shared" si="15"/>
        <v>5.5</v>
      </c>
      <c r="AC6" s="12">
        <f t="shared" si="16"/>
        <v>14</v>
      </c>
      <c r="AD6" s="34">
        <f t="shared" si="3"/>
        <v>10</v>
      </c>
      <c r="AE6" s="35">
        <f t="shared" si="4"/>
        <v>252</v>
      </c>
      <c r="AF6" s="56"/>
      <c r="AG6" s="61">
        <f t="shared" si="17"/>
        <v>2</v>
      </c>
      <c r="AH6" s="62">
        <f t="shared" si="18"/>
        <v>22</v>
      </c>
      <c r="AI6" s="61">
        <f t="shared" si="5"/>
        <v>0</v>
      </c>
      <c r="AJ6" s="62">
        <f t="shared" si="19"/>
        <v>66</v>
      </c>
      <c r="AK6" s="61">
        <f t="shared" si="20"/>
        <v>0</v>
      </c>
      <c r="AL6" s="56">
        <f t="shared" si="21"/>
        <v>66</v>
      </c>
      <c r="AM6" s="56"/>
      <c r="AN6" s="56">
        <f t="shared" si="22"/>
        <v>5</v>
      </c>
      <c r="AO6" s="56">
        <f t="shared" si="23"/>
        <v>6</v>
      </c>
      <c r="AP6" s="56">
        <f t="shared" si="24"/>
        <v>46</v>
      </c>
      <c r="AQ6" s="56">
        <f t="shared" si="25"/>
        <v>3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13.5</v>
      </c>
      <c r="AZ6" s="39">
        <f t="shared" si="7"/>
        <v>4.75</v>
      </c>
      <c r="BA6" s="39">
        <f t="shared" si="26"/>
        <v>25.5</v>
      </c>
      <c r="BC6" s="6">
        <v>3</v>
      </c>
      <c r="BD6" s="6">
        <f t="shared" si="8"/>
        <v>0.5</v>
      </c>
      <c r="BE6" s="6">
        <f t="shared" si="8"/>
        <v>1</v>
      </c>
      <c r="BF6" s="6">
        <f t="shared" si="8"/>
        <v>0.5</v>
      </c>
      <c r="BG6" s="6">
        <f t="shared" si="8"/>
        <v>1</v>
      </c>
      <c r="BH6" s="6">
        <f t="shared" si="8"/>
        <v>0</v>
      </c>
      <c r="BI6" s="6">
        <f t="shared" si="8"/>
        <v>0.5</v>
      </c>
      <c r="BJ6" s="6">
        <f t="shared" si="8"/>
        <v>0.5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0.5</v>
      </c>
      <c r="BP6" s="6">
        <f t="shared" si="9"/>
        <v>1.5</v>
      </c>
      <c r="BQ6" s="6">
        <f t="shared" si="9"/>
        <v>2</v>
      </c>
      <c r="BR6" s="6">
        <f t="shared" si="9"/>
        <v>3</v>
      </c>
      <c r="BS6" s="6">
        <f t="shared" si="9"/>
        <v>3</v>
      </c>
      <c r="BT6" s="6">
        <f t="shared" si="9"/>
        <v>3.5</v>
      </c>
      <c r="BU6" s="6">
        <f t="shared" si="9"/>
        <v>4</v>
      </c>
      <c r="BV6" s="6">
        <f t="shared" si="9"/>
        <v>4</v>
      </c>
      <c r="BW6" s="6">
        <f t="shared" si="9"/>
        <v>4</v>
      </c>
    </row>
    <row r="7" spans="1:75" x14ac:dyDescent="0.25">
      <c r="A7" s="24">
        <f t="shared" si="10"/>
        <v>1</v>
      </c>
      <c r="B7" s="25">
        <v>4</v>
      </c>
      <c r="C7" s="25" t="s">
        <v>138</v>
      </c>
      <c r="D7" s="67">
        <v>8552192</v>
      </c>
      <c r="E7" s="67"/>
      <c r="F7" s="25">
        <v>236</v>
      </c>
      <c r="H7" s="27">
        <f t="shared" si="0"/>
        <v>1</v>
      </c>
      <c r="I7" s="27">
        <f t="shared" si="0"/>
        <v>0</v>
      </c>
      <c r="J7" s="27">
        <f t="shared" si="0"/>
        <v>0.5</v>
      </c>
      <c r="K7" s="26" t="str">
        <f t="shared" si="0"/>
        <v/>
      </c>
      <c r="L7" s="27">
        <f t="shared" si="0"/>
        <v>0.5</v>
      </c>
      <c r="M7" s="27">
        <f t="shared" si="0"/>
        <v>0.5</v>
      </c>
      <c r="N7" s="27">
        <f t="shared" si="0"/>
        <v>1</v>
      </c>
      <c r="O7" s="27">
        <f t="shared" si="0"/>
        <v>1</v>
      </c>
      <c r="P7" s="28"/>
      <c r="Q7" s="53"/>
      <c r="R7" s="58">
        <f t="shared" si="1"/>
        <v>4.5</v>
      </c>
      <c r="S7" s="8">
        <f t="shared" si="11"/>
        <v>13.75</v>
      </c>
      <c r="T7" s="8">
        <f t="shared" si="12"/>
        <v>1</v>
      </c>
      <c r="U7" s="14"/>
      <c r="V7" s="30"/>
      <c r="W7" s="31">
        <v>4</v>
      </c>
      <c r="X7" s="31" t="str">
        <f t="shared" si="13"/>
        <v>Jochem Kuijvenhoven</v>
      </c>
      <c r="Y7" s="32">
        <v>6</v>
      </c>
      <c r="Z7" s="33" t="str">
        <f t="shared" si="28"/>
        <v>Ahmed Sahin</v>
      </c>
      <c r="AA7" s="59">
        <f t="shared" si="14"/>
        <v>4</v>
      </c>
      <c r="AB7" s="34">
        <f t="shared" si="15"/>
        <v>13.5</v>
      </c>
      <c r="AC7" s="12">
        <f t="shared" si="16"/>
        <v>12.5</v>
      </c>
      <c r="AD7" s="34">
        <f t="shared" si="3"/>
        <v>24</v>
      </c>
      <c r="AE7" s="35">
        <f t="shared" si="4"/>
        <v>231</v>
      </c>
      <c r="AF7" s="56"/>
      <c r="AG7" s="61">
        <f t="shared" si="17"/>
        <v>0</v>
      </c>
      <c r="AH7" s="62">
        <f t="shared" si="18"/>
        <v>22.5</v>
      </c>
      <c r="AI7" s="61">
        <f t="shared" si="5"/>
        <v>0</v>
      </c>
      <c r="AJ7" s="62">
        <f t="shared" si="19"/>
        <v>67.5</v>
      </c>
      <c r="AK7" s="61">
        <f t="shared" si="20"/>
        <v>0</v>
      </c>
      <c r="AL7" s="56">
        <f t="shared" si="21"/>
        <v>67.5</v>
      </c>
      <c r="AM7" s="56"/>
      <c r="AN7" s="56">
        <f t="shared" si="22"/>
        <v>7</v>
      </c>
      <c r="AO7" s="56">
        <f t="shared" si="23"/>
        <v>5</v>
      </c>
      <c r="AP7" s="56">
        <f t="shared" si="24"/>
        <v>61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13</v>
      </c>
      <c r="AZ7" s="39">
        <f t="shared" si="7"/>
        <v>6.25</v>
      </c>
      <c r="BA7" s="39">
        <f t="shared" si="26"/>
        <v>26.5</v>
      </c>
      <c r="BC7" s="6">
        <v>4</v>
      </c>
      <c r="BD7" s="6">
        <f t="shared" si="8"/>
        <v>0.5</v>
      </c>
      <c r="BE7" s="6">
        <f t="shared" si="8"/>
        <v>1</v>
      </c>
      <c r="BF7" s="6">
        <f t="shared" si="8"/>
        <v>0.5</v>
      </c>
      <c r="BG7" s="6">
        <f t="shared" si="8"/>
        <v>0</v>
      </c>
      <c r="BH7" s="6">
        <f t="shared" si="8"/>
        <v>1</v>
      </c>
      <c r="BI7" s="6">
        <f t="shared" si="8"/>
        <v>1</v>
      </c>
      <c r="BJ7" s="6">
        <f t="shared" si="8"/>
        <v>0.5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0.5</v>
      </c>
      <c r="BP7" s="6">
        <f t="shared" si="9"/>
        <v>1.5</v>
      </c>
      <c r="BQ7" s="6">
        <f t="shared" si="9"/>
        <v>2</v>
      </c>
      <c r="BR7" s="6">
        <f t="shared" si="9"/>
        <v>2</v>
      </c>
      <c r="BS7" s="6">
        <f t="shared" si="9"/>
        <v>3</v>
      </c>
      <c r="BT7" s="6">
        <f t="shared" si="9"/>
        <v>4</v>
      </c>
      <c r="BU7" s="6">
        <f t="shared" si="9"/>
        <v>4.5</v>
      </c>
      <c r="BV7" s="6">
        <f t="shared" si="9"/>
        <v>4.5</v>
      </c>
      <c r="BW7" s="6">
        <f t="shared" si="9"/>
        <v>4.5</v>
      </c>
    </row>
    <row r="8" spans="1:75" x14ac:dyDescent="0.25">
      <c r="A8" s="24">
        <f t="shared" si="10"/>
        <v>4</v>
      </c>
      <c r="B8" s="25">
        <v>5</v>
      </c>
      <c r="C8" s="25" t="s">
        <v>139</v>
      </c>
      <c r="D8" s="67">
        <v>8690627</v>
      </c>
      <c r="E8" s="67"/>
      <c r="F8" s="25">
        <v>234</v>
      </c>
      <c r="H8" s="27">
        <f t="shared" si="0"/>
        <v>1</v>
      </c>
      <c r="I8" s="27">
        <f t="shared" si="0"/>
        <v>0</v>
      </c>
      <c r="J8" s="27">
        <f t="shared" si="0"/>
        <v>0</v>
      </c>
      <c r="K8" s="27">
        <f t="shared" si="0"/>
        <v>0.5</v>
      </c>
      <c r="L8" s="26" t="str">
        <f t="shared" si="0"/>
        <v/>
      </c>
      <c r="M8" s="27">
        <f t="shared" si="0"/>
        <v>1</v>
      </c>
      <c r="N8" s="27">
        <f t="shared" si="0"/>
        <v>0.5</v>
      </c>
      <c r="O8" s="27">
        <f t="shared" si="0"/>
        <v>1</v>
      </c>
      <c r="P8" s="28"/>
      <c r="Q8" s="53"/>
      <c r="R8" s="58">
        <f t="shared" si="1"/>
        <v>4</v>
      </c>
      <c r="S8" s="8">
        <f t="shared" si="11"/>
        <v>12.5</v>
      </c>
      <c r="T8" s="8">
        <f t="shared" si="12"/>
        <v>4</v>
      </c>
      <c r="U8" s="14"/>
      <c r="V8" s="30"/>
      <c r="W8" s="31">
        <v>5</v>
      </c>
      <c r="X8" s="31" t="str">
        <f t="shared" si="13"/>
        <v>Ahmed Sahin</v>
      </c>
      <c r="Y8" s="32">
        <v>3</v>
      </c>
      <c r="Z8" s="33" t="str">
        <f t="shared" si="28"/>
        <v>Matthijs Brons</v>
      </c>
      <c r="AA8" s="59">
        <f t="shared" si="14"/>
        <v>4</v>
      </c>
      <c r="AB8" s="34">
        <f t="shared" si="15"/>
        <v>13.5</v>
      </c>
      <c r="AC8" s="12">
        <f t="shared" si="16"/>
        <v>11.5</v>
      </c>
      <c r="AD8" s="34">
        <f t="shared" si="3"/>
        <v>25.5</v>
      </c>
      <c r="AE8" s="35">
        <f t="shared" si="4"/>
        <v>245</v>
      </c>
      <c r="AF8" s="56"/>
      <c r="AG8" s="61">
        <f t="shared" si="17"/>
        <v>1</v>
      </c>
      <c r="AH8" s="62">
        <f t="shared" si="18"/>
        <v>21</v>
      </c>
      <c r="AI8" s="61">
        <f t="shared" si="5"/>
        <v>1</v>
      </c>
      <c r="AJ8" s="62">
        <f t="shared" si="19"/>
        <v>64</v>
      </c>
      <c r="AK8" s="61">
        <f t="shared" si="20"/>
        <v>0</v>
      </c>
      <c r="AL8" s="56">
        <f t="shared" si="21"/>
        <v>64</v>
      </c>
      <c r="AM8" s="56"/>
      <c r="AN8" s="56">
        <f t="shared" si="22"/>
        <v>4</v>
      </c>
      <c r="AO8" s="56">
        <f t="shared" si="23"/>
        <v>4</v>
      </c>
      <c r="AP8" s="56">
        <f t="shared" si="24"/>
        <v>36</v>
      </c>
      <c r="AQ8" s="56">
        <f t="shared" si="25"/>
        <v>4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8</v>
      </c>
      <c r="AZ8" s="39">
        <f t="shared" si="7"/>
        <v>8.75</v>
      </c>
      <c r="BA8" s="39">
        <f t="shared" si="26"/>
        <v>20</v>
      </c>
      <c r="BC8" s="6">
        <v>5</v>
      </c>
      <c r="BD8" s="6">
        <f t="shared" si="8"/>
        <v>0.5</v>
      </c>
      <c r="BE8" s="6">
        <f t="shared" si="8"/>
        <v>0</v>
      </c>
      <c r="BF8" s="6">
        <f t="shared" si="8"/>
        <v>0</v>
      </c>
      <c r="BG8" s="6">
        <f t="shared" si="8"/>
        <v>1</v>
      </c>
      <c r="BH8" s="6">
        <f t="shared" si="8"/>
        <v>0.5</v>
      </c>
      <c r="BI8" s="6">
        <f t="shared" si="8"/>
        <v>1</v>
      </c>
      <c r="BJ8" s="6">
        <f t="shared" si="8"/>
        <v>1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0.5</v>
      </c>
      <c r="BP8" s="6">
        <f t="shared" si="9"/>
        <v>0.5</v>
      </c>
      <c r="BQ8" s="6">
        <f t="shared" si="9"/>
        <v>0.5</v>
      </c>
      <c r="BR8" s="6">
        <f t="shared" si="9"/>
        <v>1.5</v>
      </c>
      <c r="BS8" s="6">
        <f t="shared" si="9"/>
        <v>2</v>
      </c>
      <c r="BT8" s="6">
        <f t="shared" si="9"/>
        <v>3</v>
      </c>
      <c r="BU8" s="6">
        <f t="shared" si="9"/>
        <v>4</v>
      </c>
      <c r="BV8" s="6">
        <f t="shared" si="9"/>
        <v>4</v>
      </c>
      <c r="BW8" s="6">
        <f t="shared" si="9"/>
        <v>4</v>
      </c>
    </row>
    <row r="9" spans="1:75" x14ac:dyDescent="0.25">
      <c r="A9" s="24">
        <f t="shared" si="10"/>
        <v>6</v>
      </c>
      <c r="B9" s="25">
        <v>6</v>
      </c>
      <c r="C9" s="25" t="s">
        <v>140</v>
      </c>
      <c r="D9" s="67">
        <v>8681266</v>
      </c>
      <c r="E9" s="67"/>
      <c r="F9" s="25">
        <v>231</v>
      </c>
      <c r="H9" s="27">
        <f t="shared" si="0"/>
        <v>1</v>
      </c>
      <c r="I9" s="27">
        <f t="shared" si="0"/>
        <v>1</v>
      </c>
      <c r="J9" s="27">
        <f t="shared" si="0"/>
        <v>0.5</v>
      </c>
      <c r="K9" s="27">
        <f t="shared" si="0"/>
        <v>0.5</v>
      </c>
      <c r="L9" s="27">
        <f t="shared" si="0"/>
        <v>0</v>
      </c>
      <c r="M9" s="26" t="str">
        <f t="shared" si="0"/>
        <v/>
      </c>
      <c r="N9" s="27">
        <f t="shared" si="0"/>
        <v>0.5</v>
      </c>
      <c r="O9" s="27">
        <f t="shared" si="0"/>
        <v>0</v>
      </c>
      <c r="P9" s="28"/>
      <c r="Q9" s="53"/>
      <c r="R9" s="58">
        <f t="shared" si="1"/>
        <v>3.5</v>
      </c>
      <c r="S9" s="8">
        <f t="shared" si="11"/>
        <v>11</v>
      </c>
      <c r="T9" s="8">
        <f t="shared" si="12"/>
        <v>6</v>
      </c>
      <c r="U9" s="14"/>
      <c r="V9" s="30"/>
      <c r="W9" s="31">
        <v>6</v>
      </c>
      <c r="X9" s="31" t="str">
        <f t="shared" si="13"/>
        <v>Koen Stadegaard</v>
      </c>
      <c r="Y9" s="32">
        <v>5</v>
      </c>
      <c r="Z9" s="33" t="str">
        <f t="shared" si="28"/>
        <v>Koen Stadegaard</v>
      </c>
      <c r="AA9" s="59">
        <f t="shared" si="14"/>
        <v>3.5</v>
      </c>
      <c r="AB9" s="34">
        <f t="shared" si="15"/>
        <v>8</v>
      </c>
      <c r="AC9" s="12">
        <f t="shared" si="16"/>
        <v>11</v>
      </c>
      <c r="AD9" s="34">
        <f t="shared" si="3"/>
        <v>20</v>
      </c>
      <c r="AE9" s="35">
        <f t="shared" si="4"/>
        <v>234</v>
      </c>
      <c r="AF9" s="56"/>
      <c r="AG9" s="61">
        <f t="shared" si="17"/>
        <v>0</v>
      </c>
      <c r="AH9" s="62">
        <f t="shared" si="18"/>
        <v>17.5</v>
      </c>
      <c r="AI9" s="61">
        <f t="shared" si="5"/>
        <v>0</v>
      </c>
      <c r="AJ9" s="62">
        <f t="shared" si="19"/>
        <v>52.5</v>
      </c>
      <c r="AK9" s="61">
        <f t="shared" si="20"/>
        <v>0</v>
      </c>
      <c r="AL9" s="56">
        <f t="shared" si="21"/>
        <v>52.5</v>
      </c>
      <c r="AM9" s="56"/>
      <c r="AN9" s="56">
        <f t="shared" si="22"/>
        <v>2</v>
      </c>
      <c r="AO9" s="56">
        <f t="shared" si="23"/>
        <v>2</v>
      </c>
      <c r="AP9" s="56">
        <f t="shared" si="24"/>
        <v>18</v>
      </c>
      <c r="AQ9" s="56">
        <f t="shared" si="25"/>
        <v>6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13.5</v>
      </c>
      <c r="AZ9" s="39">
        <f t="shared" si="7"/>
        <v>3.5</v>
      </c>
      <c r="BA9" s="39">
        <f t="shared" si="26"/>
        <v>24</v>
      </c>
      <c r="BC9" s="6">
        <v>6</v>
      </c>
      <c r="BD9" s="6">
        <f t="shared" si="8"/>
        <v>0.5</v>
      </c>
      <c r="BE9" s="6">
        <f t="shared" si="8"/>
        <v>1</v>
      </c>
      <c r="BF9" s="6">
        <f t="shared" si="8"/>
        <v>1</v>
      </c>
      <c r="BG9" s="6">
        <f t="shared" si="8"/>
        <v>0.5</v>
      </c>
      <c r="BH9" s="6">
        <f t="shared" si="8"/>
        <v>0</v>
      </c>
      <c r="BI9" s="6">
        <f t="shared" si="8"/>
        <v>0</v>
      </c>
      <c r="BJ9" s="6">
        <f t="shared" si="8"/>
        <v>0.5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0.5</v>
      </c>
      <c r="BP9" s="6">
        <f t="shared" si="9"/>
        <v>1.5</v>
      </c>
      <c r="BQ9" s="6">
        <f t="shared" si="9"/>
        <v>2.5</v>
      </c>
      <c r="BR9" s="6">
        <f t="shared" si="9"/>
        <v>3</v>
      </c>
      <c r="BS9" s="6">
        <f t="shared" si="9"/>
        <v>3</v>
      </c>
      <c r="BT9" s="6">
        <f t="shared" si="9"/>
        <v>3</v>
      </c>
      <c r="BU9" s="6">
        <f t="shared" si="9"/>
        <v>3.5</v>
      </c>
      <c r="BV9" s="6">
        <f t="shared" si="9"/>
        <v>3.5</v>
      </c>
      <c r="BW9" s="6">
        <f t="shared" si="9"/>
        <v>3.5</v>
      </c>
    </row>
    <row r="10" spans="1:75" x14ac:dyDescent="0.25">
      <c r="A10" s="24">
        <f t="shared" si="10"/>
        <v>7</v>
      </c>
      <c r="B10" s="25">
        <v>7</v>
      </c>
      <c r="C10" s="25" t="s">
        <v>141</v>
      </c>
      <c r="D10" s="67">
        <v>8737300</v>
      </c>
      <c r="E10" s="67"/>
      <c r="F10" s="25">
        <v>216</v>
      </c>
      <c r="H10" s="27">
        <f t="shared" si="0"/>
        <v>0</v>
      </c>
      <c r="I10" s="27">
        <f t="shared" si="0"/>
        <v>1</v>
      </c>
      <c r="J10" s="27">
        <f t="shared" si="0"/>
        <v>0.5</v>
      </c>
      <c r="K10" s="27">
        <f t="shared" si="0"/>
        <v>0</v>
      </c>
      <c r="L10" s="27">
        <f t="shared" si="0"/>
        <v>0.5</v>
      </c>
      <c r="M10" s="27">
        <f t="shared" si="0"/>
        <v>0.5</v>
      </c>
      <c r="N10" s="26" t="str">
        <f t="shared" si="0"/>
        <v/>
      </c>
      <c r="O10" s="27">
        <f t="shared" si="0"/>
        <v>0</v>
      </c>
      <c r="P10" s="28"/>
      <c r="Q10" s="53"/>
      <c r="R10" s="58">
        <f t="shared" si="1"/>
        <v>2.5</v>
      </c>
      <c r="S10" s="8">
        <f t="shared" si="11"/>
        <v>9.75</v>
      </c>
      <c r="T10" s="8">
        <f t="shared" si="12"/>
        <v>7</v>
      </c>
      <c r="U10" s="14"/>
      <c r="V10" s="30"/>
      <c r="W10" s="31">
        <v>7</v>
      </c>
      <c r="X10" s="31" t="str">
        <f t="shared" si="13"/>
        <v>Philip Faour</v>
      </c>
      <c r="Y10" s="32">
        <v>4</v>
      </c>
      <c r="Z10" s="33" t="str">
        <f t="shared" si="28"/>
        <v>Philip Faour</v>
      </c>
      <c r="AA10" s="59">
        <f t="shared" si="14"/>
        <v>2.5</v>
      </c>
      <c r="AB10" s="34">
        <f t="shared" si="15"/>
        <v>13</v>
      </c>
      <c r="AC10" s="12">
        <f t="shared" si="16"/>
        <v>9.75</v>
      </c>
      <c r="AD10" s="34">
        <f t="shared" si="3"/>
        <v>26.5</v>
      </c>
      <c r="AE10" s="35">
        <f t="shared" si="4"/>
        <v>236</v>
      </c>
      <c r="AF10" s="56"/>
      <c r="AG10" s="61">
        <f t="shared" si="17"/>
        <v>0</v>
      </c>
      <c r="AH10" s="62">
        <f t="shared" si="18"/>
        <v>12.5</v>
      </c>
      <c r="AI10" s="61">
        <f t="shared" si="5"/>
        <v>0</v>
      </c>
      <c r="AJ10" s="62">
        <f t="shared" si="19"/>
        <v>37.5</v>
      </c>
      <c r="AK10" s="61">
        <f t="shared" si="20"/>
        <v>0</v>
      </c>
      <c r="AL10" s="56">
        <f t="shared" si="21"/>
        <v>37.5</v>
      </c>
      <c r="AM10" s="56"/>
      <c r="AN10" s="56">
        <f t="shared" si="22"/>
        <v>1</v>
      </c>
      <c r="AO10" s="56">
        <f t="shared" si="23"/>
        <v>1</v>
      </c>
      <c r="AP10" s="56">
        <f t="shared" si="24"/>
        <v>9</v>
      </c>
      <c r="AQ10" s="56">
        <f t="shared" si="25"/>
        <v>7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8.5</v>
      </c>
      <c r="AZ10" s="39">
        <f t="shared" si="7"/>
        <v>3.75</v>
      </c>
      <c r="BA10" s="39">
        <f t="shared" si="26"/>
        <v>16</v>
      </c>
      <c r="BC10" s="6">
        <v>7</v>
      </c>
      <c r="BD10" s="6">
        <f t="shared" si="8"/>
        <v>1</v>
      </c>
      <c r="BE10" s="6">
        <f t="shared" si="8"/>
        <v>0</v>
      </c>
      <c r="BF10" s="6">
        <f t="shared" si="8"/>
        <v>0</v>
      </c>
      <c r="BG10" s="6">
        <f t="shared" si="8"/>
        <v>0.5</v>
      </c>
      <c r="BH10" s="6">
        <f t="shared" si="8"/>
        <v>0.5</v>
      </c>
      <c r="BI10" s="6">
        <f t="shared" si="8"/>
        <v>0</v>
      </c>
      <c r="BJ10" s="6">
        <f t="shared" si="8"/>
        <v>0.5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1</v>
      </c>
      <c r="BP10" s="6">
        <f t="shared" si="9"/>
        <v>1</v>
      </c>
      <c r="BQ10" s="6">
        <f t="shared" si="9"/>
        <v>1</v>
      </c>
      <c r="BR10" s="6">
        <f t="shared" si="9"/>
        <v>1.5</v>
      </c>
      <c r="BS10" s="6">
        <f t="shared" si="9"/>
        <v>2</v>
      </c>
      <c r="BT10" s="6">
        <f t="shared" si="9"/>
        <v>2</v>
      </c>
      <c r="BU10" s="6">
        <f t="shared" si="9"/>
        <v>2.5</v>
      </c>
      <c r="BV10" s="6">
        <f t="shared" si="9"/>
        <v>2.5</v>
      </c>
      <c r="BW10" s="6">
        <f t="shared" si="9"/>
        <v>2.5</v>
      </c>
    </row>
    <row r="11" spans="1:75" x14ac:dyDescent="0.25">
      <c r="A11" s="24">
        <f t="shared" si="10"/>
        <v>5</v>
      </c>
      <c r="B11" s="25">
        <v>8</v>
      </c>
      <c r="C11" s="25" t="s">
        <v>142</v>
      </c>
      <c r="D11" s="67">
        <v>8649498</v>
      </c>
      <c r="E11" s="67"/>
      <c r="F11" s="25">
        <v>210</v>
      </c>
      <c r="H11" s="27">
        <f t="shared" si="0"/>
        <v>1</v>
      </c>
      <c r="I11" s="27">
        <f t="shared" si="0"/>
        <v>1</v>
      </c>
      <c r="J11" s="27">
        <f t="shared" si="0"/>
        <v>0</v>
      </c>
      <c r="K11" s="27">
        <f t="shared" si="0"/>
        <v>0</v>
      </c>
      <c r="L11" s="27">
        <f t="shared" si="0"/>
        <v>0</v>
      </c>
      <c r="M11" s="27">
        <f t="shared" si="0"/>
        <v>1</v>
      </c>
      <c r="N11" s="27">
        <f t="shared" si="0"/>
        <v>1</v>
      </c>
      <c r="O11" s="26" t="str">
        <f t="shared" si="0"/>
        <v/>
      </c>
      <c r="P11" s="28"/>
      <c r="Q11" s="53"/>
      <c r="R11" s="58">
        <f t="shared" si="1"/>
        <v>4</v>
      </c>
      <c r="S11" s="8">
        <f t="shared" si="11"/>
        <v>11.5</v>
      </c>
      <c r="T11" s="8">
        <f t="shared" si="12"/>
        <v>5</v>
      </c>
      <c r="U11" s="14"/>
      <c r="V11" s="30"/>
      <c r="W11" s="31">
        <v>8</v>
      </c>
      <c r="X11" s="31" t="str">
        <f t="shared" si="13"/>
        <v>Matthijs Brons</v>
      </c>
      <c r="Y11" s="32">
        <v>8</v>
      </c>
      <c r="Z11" s="33" t="str">
        <f t="shared" si="28"/>
        <v>Ryan Bartelds</v>
      </c>
      <c r="AA11" s="59">
        <f t="shared" si="14"/>
        <v>1.5</v>
      </c>
      <c r="AB11" s="34">
        <f t="shared" si="15"/>
        <v>13</v>
      </c>
      <c r="AC11" s="12">
        <f t="shared" si="16"/>
        <v>4.5</v>
      </c>
      <c r="AD11" s="34">
        <f t="shared" si="3"/>
        <v>25</v>
      </c>
      <c r="AE11" s="35">
        <f t="shared" si="4"/>
        <v>210</v>
      </c>
      <c r="AF11" s="56"/>
      <c r="AG11" s="61">
        <f t="shared" si="17"/>
        <v>1</v>
      </c>
      <c r="AH11" s="62">
        <f t="shared" si="18"/>
        <v>21</v>
      </c>
      <c r="AI11" s="61">
        <f t="shared" si="5"/>
        <v>0</v>
      </c>
      <c r="AJ11" s="62">
        <f t="shared" si="19"/>
        <v>63</v>
      </c>
      <c r="AK11" s="61">
        <f t="shared" si="20"/>
        <v>0</v>
      </c>
      <c r="AL11" s="56">
        <f t="shared" si="21"/>
        <v>63</v>
      </c>
      <c r="AM11" s="56"/>
      <c r="AN11" s="56">
        <f t="shared" si="22"/>
        <v>3</v>
      </c>
      <c r="AO11" s="56">
        <f t="shared" si="23"/>
        <v>3</v>
      </c>
      <c r="AP11" s="56">
        <f t="shared" si="24"/>
        <v>27</v>
      </c>
      <c r="AQ11" s="56">
        <f t="shared" si="25"/>
        <v>5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13</v>
      </c>
      <c r="AZ11" s="39">
        <f t="shared" si="7"/>
        <v>7</v>
      </c>
      <c r="BA11" s="39">
        <f t="shared" si="26"/>
        <v>25</v>
      </c>
      <c r="BC11" s="6">
        <v>8</v>
      </c>
      <c r="BD11" s="6">
        <f t="shared" si="8"/>
        <v>1</v>
      </c>
      <c r="BE11" s="6">
        <f t="shared" si="8"/>
        <v>0</v>
      </c>
      <c r="BF11" s="6">
        <f t="shared" si="8"/>
        <v>1</v>
      </c>
      <c r="BG11" s="6">
        <f t="shared" si="8"/>
        <v>0</v>
      </c>
      <c r="BH11" s="6">
        <f t="shared" si="8"/>
        <v>1</v>
      </c>
      <c r="BI11" s="6">
        <f t="shared" si="8"/>
        <v>1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1</v>
      </c>
      <c r="BP11" s="6">
        <f t="shared" si="9"/>
        <v>1</v>
      </c>
      <c r="BQ11" s="6">
        <f t="shared" si="9"/>
        <v>2</v>
      </c>
      <c r="BR11" s="6">
        <f t="shared" si="9"/>
        <v>2</v>
      </c>
      <c r="BS11" s="6">
        <f t="shared" si="9"/>
        <v>3</v>
      </c>
      <c r="BT11" s="6">
        <f t="shared" si="9"/>
        <v>4</v>
      </c>
      <c r="BU11" s="6">
        <f t="shared" si="9"/>
        <v>4</v>
      </c>
      <c r="BV11" s="6">
        <f t="shared" si="9"/>
        <v>4</v>
      </c>
      <c r="BW11" s="6">
        <f t="shared" si="9"/>
        <v>4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0" t="e">
        <f t="shared" ref="AA12" si="29">VLOOKUP($B12,$A$4:$T$11,18,FALSE)</f>
        <v>#N/A</v>
      </c>
      <c r="AH12" s="63"/>
      <c r="AK12" s="61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 t="e">
        <f t="shared" si="23"/>
        <v>#N/A</v>
      </c>
      <c r="AP12" s="56" t="e">
        <f t="shared" si="24"/>
        <v>#N/A</v>
      </c>
      <c r="AQ12" s="56">
        <f>RANK(AP13,$AP$4:$AP$11,1)</f>
        <v>1</v>
      </c>
    </row>
    <row r="13" spans="1:75" x14ac:dyDescent="0.25">
      <c r="AG13" s="57">
        <f>2*MAX(AG4:AG11)+1</f>
        <v>5</v>
      </c>
      <c r="AH13" s="63"/>
      <c r="AI13" s="57">
        <f>2*MAX(AI4:AI11)+1</f>
        <v>3</v>
      </c>
      <c r="AK13" s="57">
        <f>2*MAX(AK4:AK11)+1</f>
        <v>1</v>
      </c>
      <c r="AX13" s="41" t="s">
        <v>36</v>
      </c>
      <c r="AY13" s="41" t="s">
        <v>0</v>
      </c>
      <c r="AZ13" s="41" t="s">
        <v>1</v>
      </c>
      <c r="BA13" s="41" t="s">
        <v>2</v>
      </c>
      <c r="BC13" s="42" t="s">
        <v>34</v>
      </c>
      <c r="BD13" s="42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Matthijs Brons</v>
      </c>
      <c r="D16" s="46" t="s">
        <v>5</v>
      </c>
      <c r="E16" s="66" t="str">
        <f>VLOOKUP(AZ16,$B$4:$F$11,2,FALSE)</f>
        <v>Ryan Bartelds</v>
      </c>
      <c r="F16" s="66"/>
      <c r="G16" s="66"/>
      <c r="H16" s="66"/>
      <c r="J16" s="66">
        <f>IF(T16="","",VLOOKUP(T16,Configuratie!$B$1:$E$10,3,FALSE))</f>
        <v>1</v>
      </c>
      <c r="K16" s="66"/>
      <c r="L16" s="6" t="s">
        <v>5</v>
      </c>
      <c r="M16" s="66">
        <f>IF(T16="","",VLOOKUP(T16,Configuratie!$B$1:$E$10,4,FALSE))</f>
        <v>0</v>
      </c>
      <c r="N16" s="66"/>
      <c r="R16" s="6" t="str">
        <f>IF(T16="","",VLOOKUP(T16,Configuratie!$B$1:$E$10,2,FALSE))</f>
        <v>1-0</v>
      </c>
      <c r="T16" s="5">
        <v>1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Philip Faour</v>
      </c>
      <c r="D17" s="46" t="s">
        <v>5</v>
      </c>
      <c r="E17" s="66" t="str">
        <f t="shared" ref="E17:E19" si="31">VLOOKUP(AZ17,$B$4:$F$11,2,FALSE)</f>
        <v>Vera Maters *</v>
      </c>
      <c r="F17" s="66"/>
      <c r="G17" s="66"/>
      <c r="H17" s="66"/>
      <c r="J17" s="66">
        <f>IF(T17="","",VLOOKUP(T17,Configuratie!$B$1:$E$10,3,FALSE))</f>
        <v>1</v>
      </c>
      <c r="K17" s="66"/>
      <c r="L17" s="6" t="s">
        <v>5</v>
      </c>
      <c r="M17" s="66">
        <f>IF(T17="","",VLOOKUP(T17,Configuratie!$B$1:$E$10,4,FALSE))</f>
        <v>0</v>
      </c>
      <c r="N17" s="66"/>
      <c r="R17" s="6" t="str">
        <f>IF(T17="","",VLOOKUP(T17,Configuratie!$B$1:$E$10,2,FALSE))</f>
        <v>1-0</v>
      </c>
      <c r="T17" s="5">
        <v>1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Koen Stadegaard</v>
      </c>
      <c r="D18" s="46" t="s">
        <v>5</v>
      </c>
      <c r="E18" s="66" t="str">
        <f t="shared" si="31"/>
        <v>Willem Veldhuizen</v>
      </c>
      <c r="F18" s="66"/>
      <c r="G18" s="66"/>
      <c r="H18" s="66"/>
      <c r="J18" s="66">
        <f>IF(T18="","",VLOOKUP(T18,Configuratie!$B$1:$E$10,3,FALSE))</f>
        <v>0.5</v>
      </c>
      <c r="K18" s="66"/>
      <c r="L18" s="6" t="s">
        <v>5</v>
      </c>
      <c r="M18" s="66">
        <f>IF(T18="","",VLOOKUP(T18,Configuratie!$B$1:$E$10,4,FALSE))</f>
        <v>0.5</v>
      </c>
      <c r="N18" s="66"/>
      <c r="R18" s="6" t="str">
        <f>IF(T18="","",VLOOKUP(T18,Configuratie!$B$1:$E$10,2,FALSE))</f>
        <v>½-½</v>
      </c>
      <c r="T18" s="5">
        <v>2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Ahmed Sahin</v>
      </c>
      <c r="D19" s="46" t="s">
        <v>5</v>
      </c>
      <c r="E19" s="66" t="str">
        <f t="shared" si="31"/>
        <v>Jochem Kuijvenhoven</v>
      </c>
      <c r="F19" s="66"/>
      <c r="G19" s="66"/>
      <c r="H19" s="66"/>
      <c r="J19" s="66">
        <f>IF(T19="","",VLOOKUP(T19,Configuratie!$B$1:$E$10,3,FALSE))</f>
        <v>0.5</v>
      </c>
      <c r="K19" s="66"/>
      <c r="L19" s="6" t="s">
        <v>5</v>
      </c>
      <c r="M19" s="66">
        <f>IF(T19="","",VLOOKUP(T19,Configuratie!$B$1:$E$10,4,FALSE))</f>
        <v>0.5</v>
      </c>
      <c r="N19" s="66"/>
      <c r="R19" s="6" t="str">
        <f>IF(T19="","",VLOOKUP(T19,Configuratie!$B$1:$E$10,2,FALSE))</f>
        <v>½-½</v>
      </c>
      <c r="T19" s="5">
        <v>2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Matthijs Brons</v>
      </c>
      <c r="D22" s="46" t="s">
        <v>5</v>
      </c>
      <c r="E22" s="66" t="str">
        <f>VLOOKUP(AZ22,$B$4:$F$11,2,FALSE)</f>
        <v>Jochem Kuijvenhoven</v>
      </c>
      <c r="F22" s="66"/>
      <c r="G22" s="66"/>
      <c r="H22" s="66"/>
      <c r="J22" s="66">
        <f>IF(T22="","",VLOOKUP(T22,Configuratie!$B$1:$E$10,3,FALSE))</f>
        <v>0</v>
      </c>
      <c r="K22" s="66"/>
      <c r="L22" s="6" t="s">
        <v>5</v>
      </c>
      <c r="M22" s="66">
        <f>IF(T22="","",VLOOKUP(T22,Configuratie!$B$1:$E$10,4,FALSE))</f>
        <v>1</v>
      </c>
      <c r="N22" s="66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1</v>
      </c>
      <c r="BF22" s="6">
        <f t="shared" si="32"/>
        <v>0.5</v>
      </c>
      <c r="BG22" s="6">
        <f>J22*BF22</f>
        <v>0</v>
      </c>
      <c r="BH22" s="6">
        <f>M22*BE22</f>
        <v>1</v>
      </c>
    </row>
    <row r="23" spans="2:60" x14ac:dyDescent="0.25">
      <c r="B23" s="6">
        <v>2</v>
      </c>
      <c r="C23" s="6" t="str">
        <f>VLOOKUP(AY23,$B$4:$F$11,2,FALSE)</f>
        <v>Willem Veldhuizen</v>
      </c>
      <c r="D23" s="46" t="s">
        <v>5</v>
      </c>
      <c r="E23" s="66" t="str">
        <f t="shared" ref="E23:E25" si="33">VLOOKUP(AZ23,$B$4:$F$11,2,FALSE)</f>
        <v>Ahmed Sahin</v>
      </c>
      <c r="F23" s="66"/>
      <c r="G23" s="66"/>
      <c r="H23" s="66"/>
      <c r="J23" s="66">
        <f>IF(T23="","",VLOOKUP(T23,Configuratie!$B$1:$E$10,3,FALSE))</f>
        <v>1</v>
      </c>
      <c r="K23" s="66"/>
      <c r="L23" s="6" t="s">
        <v>5</v>
      </c>
      <c r="M23" s="66">
        <f>IF(T23="","",VLOOKUP(T23,Configuratie!$B$1:$E$10,4,FALSE))</f>
        <v>0</v>
      </c>
      <c r="N23" s="66"/>
      <c r="R23" s="6" t="str">
        <f>IF(T23="","",VLOOKUP(T23,Configuratie!$B$1:$E$10,2,FALSE))</f>
        <v>1-0</v>
      </c>
      <c r="T23" s="5">
        <v>1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8">
        <f>AY23*100+AZ23</f>
        <v>305</v>
      </c>
      <c r="BD23" s="48">
        <f>AZ23*100+AY23</f>
        <v>503</v>
      </c>
      <c r="BE23" s="6">
        <f t="shared" si="32"/>
        <v>0.5</v>
      </c>
      <c r="BF23" s="6">
        <f t="shared" si="32"/>
        <v>0.5</v>
      </c>
      <c r="BG23" s="6">
        <f>J23*BF23</f>
        <v>0.5</v>
      </c>
      <c r="BH23" s="6">
        <f>M23*BE23</f>
        <v>0</v>
      </c>
    </row>
    <row r="24" spans="2:60" x14ac:dyDescent="0.25">
      <c r="B24" s="6">
        <v>3</v>
      </c>
      <c r="C24" s="6" t="str">
        <f>VLOOKUP(AY24,$B$4:$F$11,2,FALSE)</f>
        <v>Vera Maters *</v>
      </c>
      <c r="D24" s="46" t="s">
        <v>5</v>
      </c>
      <c r="E24" s="66" t="str">
        <f t="shared" si="33"/>
        <v>Koen Stadegaard</v>
      </c>
      <c r="F24" s="66"/>
      <c r="G24" s="66"/>
      <c r="H24" s="66"/>
      <c r="J24" s="66">
        <f>IF(T24="","",VLOOKUP(T24,Configuratie!$B$1:$E$10,3,FALSE))</f>
        <v>0</v>
      </c>
      <c r="K24" s="66"/>
      <c r="L24" s="6" t="s">
        <v>5</v>
      </c>
      <c r="M24" s="66">
        <f>IF(T24="","",VLOOKUP(T24,Configuratie!$B$1:$E$10,4,FALSE))</f>
        <v>1</v>
      </c>
      <c r="N24" s="66"/>
      <c r="R24" s="6" t="str">
        <f>IF(T24="","",VLOOKUP(T24,Configuratie!$B$1:$E$10,2,FALSE))</f>
        <v>0-1</v>
      </c>
      <c r="T24" s="5">
        <v>0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0.5</v>
      </c>
      <c r="BG24" s="6">
        <f>J24*BF24</f>
        <v>0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Ryan Bartelds</v>
      </c>
      <c r="D25" s="46" t="s">
        <v>5</v>
      </c>
      <c r="E25" s="66" t="str">
        <f t="shared" si="33"/>
        <v>Philip Faour</v>
      </c>
      <c r="F25" s="66"/>
      <c r="G25" s="66"/>
      <c r="H25" s="66"/>
      <c r="J25" s="66">
        <f>IF(T25="","",VLOOKUP(T25,Configuratie!$B$1:$E$10,3,FALSE))</f>
        <v>1</v>
      </c>
      <c r="K25" s="66"/>
      <c r="L25" s="6" t="s">
        <v>5</v>
      </c>
      <c r="M25" s="66">
        <f>IF(T25="","",VLOOKUP(T25,Configuratie!$B$1:$E$10,4,FALSE))</f>
        <v>0</v>
      </c>
      <c r="N25" s="66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1</v>
      </c>
      <c r="BG25" s="6">
        <f>J25*BF25</f>
        <v>1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Philip Faour</v>
      </c>
      <c r="D28" s="46" t="s">
        <v>5</v>
      </c>
      <c r="E28" s="66" t="str">
        <f>VLOOKUP(AZ28,$B$4:$F$11,2,FALSE)</f>
        <v>Matthijs Brons</v>
      </c>
      <c r="F28" s="66"/>
      <c r="G28" s="66"/>
      <c r="H28" s="66"/>
      <c r="J28" s="66">
        <f>IF(T28="","",VLOOKUP(T28,Configuratie!$B$1:$E$10,3,FALSE))</f>
        <v>0</v>
      </c>
      <c r="K28" s="66"/>
      <c r="L28" s="6" t="s">
        <v>5</v>
      </c>
      <c r="M28" s="66">
        <f>IF(T28="","",VLOOKUP(T28,Configuratie!$B$1:$E$10,4,FALSE))</f>
        <v>1</v>
      </c>
      <c r="N28" s="66"/>
      <c r="R28" s="6" t="str">
        <f>IF(T28="","",VLOOKUP(T28,Configuratie!$B$1:$E$10,2,FALSE))</f>
        <v>0-1</v>
      </c>
      <c r="T28" s="5">
        <v>0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1</v>
      </c>
      <c r="BF28" s="6">
        <f t="shared" si="35"/>
        <v>1</v>
      </c>
      <c r="BG28" s="6">
        <f>J28*BF28</f>
        <v>0</v>
      </c>
      <c r="BH28" s="6">
        <f>M28*BE28</f>
        <v>1</v>
      </c>
    </row>
    <row r="29" spans="2:60" x14ac:dyDescent="0.25">
      <c r="B29" s="6">
        <v>2</v>
      </c>
      <c r="C29" s="6" t="str">
        <f>VLOOKUP(AY29,$B$4:$F$11,2,FALSE)</f>
        <v>Koen Stadegaard</v>
      </c>
      <c r="D29" s="46" t="s">
        <v>5</v>
      </c>
      <c r="E29" s="66" t="str">
        <f>VLOOKUP(AZ29,$B$4:$F$11,2,FALSE)</f>
        <v>Ryan Bartelds</v>
      </c>
      <c r="F29" s="66"/>
      <c r="G29" s="66"/>
      <c r="H29" s="66"/>
      <c r="J29" s="66">
        <f>IF(T29="","",VLOOKUP(T29,Configuratie!$B$1:$E$10,3,FALSE))</f>
        <v>1</v>
      </c>
      <c r="K29" s="66"/>
      <c r="L29" s="6" t="s">
        <v>5</v>
      </c>
      <c r="M29" s="66">
        <f>IF(T29="","",VLOOKUP(T29,Configuratie!$B$1:$E$10,4,FALSE))</f>
        <v>0</v>
      </c>
      <c r="N29" s="66"/>
      <c r="R29" s="6" t="str">
        <f>IF(T29="","",VLOOKUP(T29,Configuratie!$B$1:$E$10,2,FALSE))</f>
        <v>1-0</v>
      </c>
      <c r="T29" s="5">
        <v>1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8">
        <f>AY29*100+AZ29</f>
        <v>601</v>
      </c>
      <c r="BD29" s="48">
        <f>AZ29*100+AY29</f>
        <v>106</v>
      </c>
      <c r="BE29" s="6">
        <f t="shared" si="35"/>
        <v>1.5</v>
      </c>
      <c r="BF29" s="6">
        <f t="shared" si="35"/>
        <v>1</v>
      </c>
      <c r="BG29" s="6">
        <f>J29*BF29</f>
        <v>1</v>
      </c>
      <c r="BH29" s="6">
        <f>M29*BE29</f>
        <v>0</v>
      </c>
    </row>
    <row r="30" spans="2:60" x14ac:dyDescent="0.25">
      <c r="B30" s="6">
        <v>3</v>
      </c>
      <c r="C30" s="6" t="str">
        <f>VLOOKUP(AY30,$B$4:$F$11,2,FALSE)</f>
        <v>Ahmed Sahin</v>
      </c>
      <c r="D30" s="46" t="s">
        <v>5</v>
      </c>
      <c r="E30" s="66" t="str">
        <f>VLOOKUP(AZ30,$B$4:$F$11,2,FALSE)</f>
        <v>Vera Maters *</v>
      </c>
      <c r="F30" s="66"/>
      <c r="G30" s="66"/>
      <c r="H30" s="66"/>
      <c r="J30" s="66">
        <f>IF(T30="","",VLOOKUP(T30,Configuratie!$B$1:$E$10,3,FALSE))</f>
        <v>0</v>
      </c>
      <c r="K30" s="66"/>
      <c r="L30" s="6" t="s">
        <v>5</v>
      </c>
      <c r="M30" s="66">
        <f>IF(T30="","",VLOOKUP(T30,Configuratie!$B$1:$E$10,4,FALSE))</f>
        <v>1</v>
      </c>
      <c r="N30" s="66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8">
        <f>AY30*100+AZ30</f>
        <v>502</v>
      </c>
      <c r="BD30" s="48">
        <f>AZ30*100+AY30</f>
        <v>205</v>
      </c>
      <c r="BE30" s="6">
        <f t="shared" si="35"/>
        <v>0.5</v>
      </c>
      <c r="BF30" s="6">
        <f t="shared" si="35"/>
        <v>0</v>
      </c>
      <c r="BG30" s="6">
        <f>J30*BF30</f>
        <v>0</v>
      </c>
      <c r="BH30" s="6">
        <f>M30*BE30</f>
        <v>0.5</v>
      </c>
    </row>
    <row r="31" spans="2:60" x14ac:dyDescent="0.25">
      <c r="B31" s="6">
        <v>4</v>
      </c>
      <c r="C31" s="6" t="str">
        <f>VLOOKUP(AY31,$B$4:$F$11,2,FALSE)</f>
        <v>Jochem Kuijvenhoven</v>
      </c>
      <c r="D31" s="46" t="s">
        <v>5</v>
      </c>
      <c r="E31" s="66" t="str">
        <f>VLOOKUP(AZ31,$B$4:$F$11,2,FALSE)</f>
        <v>Willem Veldhuizen</v>
      </c>
      <c r="F31" s="66"/>
      <c r="G31" s="66"/>
      <c r="H31" s="66"/>
      <c r="J31" s="66">
        <f>IF(T31="","",VLOOKUP(T31,Configuratie!$B$1:$E$10,3,FALSE))</f>
        <v>0.5</v>
      </c>
      <c r="K31" s="66"/>
      <c r="L31" s="6" t="s">
        <v>5</v>
      </c>
      <c r="M31" s="66">
        <f>IF(T31="","",VLOOKUP(T31,Configuratie!$B$1:$E$10,4,FALSE))</f>
        <v>0.5</v>
      </c>
      <c r="N31" s="66"/>
      <c r="R31" s="6" t="str">
        <f>IF(T31="","",VLOOKUP(T31,Configuratie!$B$1:$E$10,2,FALSE))</f>
        <v>½-½</v>
      </c>
      <c r="T31" s="5">
        <v>2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8">
        <f>AY31*100+AZ31</f>
        <v>403</v>
      </c>
      <c r="BD31" s="48">
        <f>AZ31*100+AY31</f>
        <v>304</v>
      </c>
      <c r="BE31" s="6">
        <f t="shared" si="35"/>
        <v>1.5</v>
      </c>
      <c r="BF31" s="6">
        <f t="shared" si="35"/>
        <v>1.5</v>
      </c>
      <c r="BG31" s="6">
        <f>J31*BF31</f>
        <v>0.75</v>
      </c>
      <c r="BH31" s="6">
        <f>M31*BE31</f>
        <v>0.75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Matthijs Brons</v>
      </c>
      <c r="D34" s="46" t="s">
        <v>5</v>
      </c>
      <c r="E34" s="66" t="str">
        <f>VLOOKUP(AZ34,$B$4:$F$11,2,FALSE)</f>
        <v>Willem Veldhuizen</v>
      </c>
      <c r="F34" s="66"/>
      <c r="G34" s="66"/>
      <c r="H34" s="66"/>
      <c r="J34" s="66">
        <f>IF(T34="","",VLOOKUP(T34,Configuratie!$B$1:$E$10,3,FALSE))</f>
        <v>0</v>
      </c>
      <c r="K34" s="66"/>
      <c r="L34" s="6" t="s">
        <v>5</v>
      </c>
      <c r="M34" s="66">
        <f>IF(T34="","",VLOOKUP(T34,Configuratie!$B$1:$E$10,4,FALSE))</f>
        <v>1</v>
      </c>
      <c r="N34" s="66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2</v>
      </c>
      <c r="BF34" s="6">
        <f t="shared" si="37"/>
        <v>2</v>
      </c>
      <c r="BG34" s="6">
        <f>J34*BF34</f>
        <v>0</v>
      </c>
      <c r="BH34" s="6">
        <f>M34*BE34</f>
        <v>2</v>
      </c>
    </row>
    <row r="35" spans="2:60" x14ac:dyDescent="0.25">
      <c r="B35" s="6">
        <v>2</v>
      </c>
      <c r="C35" s="6" t="str">
        <f>VLOOKUP(AY35,$B$4:$F$11,2,FALSE)</f>
        <v>Vera Maters *</v>
      </c>
      <c r="D35" s="46" t="s">
        <v>5</v>
      </c>
      <c r="E35" s="66" t="str">
        <f>VLOOKUP(AZ35,$B$4:$F$11,2,FALSE)</f>
        <v>Jochem Kuijvenhoven</v>
      </c>
      <c r="F35" s="66"/>
      <c r="G35" s="66"/>
      <c r="H35" s="66"/>
      <c r="J35" s="66">
        <f>IF(T35="","",VLOOKUP(T35,Configuratie!$B$1:$E$10,3,FALSE))</f>
        <v>1</v>
      </c>
      <c r="K35" s="66"/>
      <c r="L35" s="6" t="s">
        <v>5</v>
      </c>
      <c r="M35" s="66">
        <f>IF(T35="","",VLOOKUP(T35,Configuratie!$B$1:$E$10,4,FALSE))</f>
        <v>0</v>
      </c>
      <c r="N35" s="66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8">
        <f>AY35*100+AZ35</f>
        <v>204</v>
      </c>
      <c r="BD35" s="48">
        <f>AZ35*100+AY35</f>
        <v>402</v>
      </c>
      <c r="BE35" s="6">
        <f t="shared" si="37"/>
        <v>1</v>
      </c>
      <c r="BF35" s="6">
        <f t="shared" si="37"/>
        <v>2</v>
      </c>
      <c r="BG35" s="6">
        <f>J35*BF35</f>
        <v>2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Ryan Bartelds</v>
      </c>
      <c r="D36" s="46" t="s">
        <v>5</v>
      </c>
      <c r="E36" s="66" t="str">
        <f>VLOOKUP(AZ36,$B$4:$F$11,2,FALSE)</f>
        <v>Ahmed Sahin</v>
      </c>
      <c r="F36" s="66"/>
      <c r="G36" s="66"/>
      <c r="H36" s="66"/>
      <c r="J36" s="66">
        <f>IF(T36="","",VLOOKUP(T36,Configuratie!$B$1:$E$10,3,FALSE))</f>
        <v>0</v>
      </c>
      <c r="K36" s="66"/>
      <c r="L36" s="6" t="s">
        <v>5</v>
      </c>
      <c r="M36" s="66">
        <f>IF(T36="","",VLOOKUP(T36,Configuratie!$B$1:$E$10,4,FALSE))</f>
        <v>1</v>
      </c>
      <c r="N36" s="66"/>
      <c r="R36" s="6" t="str">
        <f>IF(T36="","",VLOOKUP(T36,Configuratie!$B$1:$E$10,2,FALSE))</f>
        <v>0-1</v>
      </c>
      <c r="T36" s="5">
        <v>0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8">
        <f>AY36*100+AZ36</f>
        <v>105</v>
      </c>
      <c r="BD36" s="48">
        <f>AZ36*100+AY36</f>
        <v>501</v>
      </c>
      <c r="BE36" s="6">
        <f t="shared" si="37"/>
        <v>1</v>
      </c>
      <c r="BF36" s="6">
        <f t="shared" si="37"/>
        <v>0.5</v>
      </c>
      <c r="BG36" s="6">
        <f>J36*BF36</f>
        <v>0</v>
      </c>
      <c r="BH36" s="6">
        <f>M36*BE36</f>
        <v>1</v>
      </c>
    </row>
    <row r="37" spans="2:60" x14ac:dyDescent="0.25">
      <c r="B37" s="6">
        <v>4</v>
      </c>
      <c r="C37" s="6" t="str">
        <f>VLOOKUP(AY37,$B$4:$F$11,2,FALSE)</f>
        <v>Philip Faour</v>
      </c>
      <c r="D37" s="46" t="s">
        <v>5</v>
      </c>
      <c r="E37" s="66" t="str">
        <f>VLOOKUP(AZ37,$B$4:$F$11,2,FALSE)</f>
        <v>Koen Stadegaard</v>
      </c>
      <c r="F37" s="66"/>
      <c r="G37" s="66"/>
      <c r="H37" s="66"/>
      <c r="J37" s="66">
        <f>IF(T37="","",VLOOKUP(T37,Configuratie!$B$1:$E$10,3,FALSE))</f>
        <v>0.5</v>
      </c>
      <c r="K37" s="66"/>
      <c r="L37" s="6" t="s">
        <v>5</v>
      </c>
      <c r="M37" s="66">
        <f>IF(T37="","",VLOOKUP(T37,Configuratie!$B$1:$E$10,4,FALSE))</f>
        <v>0.5</v>
      </c>
      <c r="N37" s="66"/>
      <c r="R37" s="6" t="str">
        <f>IF(T37="","",VLOOKUP(T37,Configuratie!$B$1:$E$10,2,FALSE))</f>
        <v>½-½</v>
      </c>
      <c r="T37" s="5">
        <v>2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8">
        <f>AY37*100+AZ37</f>
        <v>706</v>
      </c>
      <c r="BD37" s="48">
        <f>AZ37*100+AY37</f>
        <v>607</v>
      </c>
      <c r="BE37" s="6">
        <f t="shared" si="37"/>
        <v>1</v>
      </c>
      <c r="BF37" s="6">
        <f t="shared" si="37"/>
        <v>2.5</v>
      </c>
      <c r="BG37" s="6">
        <f>J37*BF37</f>
        <v>1.25</v>
      </c>
      <c r="BH37" s="6">
        <f>M37*BE37</f>
        <v>0.5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Koen Stadegaard</v>
      </c>
      <c r="D40" s="46" t="s">
        <v>5</v>
      </c>
      <c r="E40" s="66" t="str">
        <f>VLOOKUP(AZ40,$B$4:$F$11,2,FALSE)</f>
        <v>Matthijs Brons</v>
      </c>
      <c r="F40" s="66"/>
      <c r="G40" s="66"/>
      <c r="H40" s="66"/>
      <c r="J40" s="66">
        <f>IF(T40="","",VLOOKUP(T40,Configuratie!$B$1:$E$10,3,FALSE))</f>
        <v>0</v>
      </c>
      <c r="K40" s="66"/>
      <c r="L40" s="6" t="s">
        <v>5</v>
      </c>
      <c r="M40" s="66">
        <f>IF(T40="","",VLOOKUP(T40,Configuratie!$B$1:$E$10,4,FALSE))</f>
        <v>1</v>
      </c>
      <c r="N40" s="66"/>
      <c r="R40" s="6" t="str">
        <f>IF(T40="","",VLOOKUP(T40,Configuratie!$B$1:$E$10,2,FALSE))</f>
        <v>0-1</v>
      </c>
      <c r="T40" s="5">
        <v>0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3</v>
      </c>
      <c r="BF40" s="6">
        <f t="shared" si="39"/>
        <v>2</v>
      </c>
      <c r="BG40" s="6">
        <f>J40*BF40</f>
        <v>0</v>
      </c>
      <c r="BH40" s="6">
        <f>M40*BE40</f>
        <v>3</v>
      </c>
    </row>
    <row r="41" spans="2:60" x14ac:dyDescent="0.25">
      <c r="B41" s="6">
        <v>2</v>
      </c>
      <c r="C41" s="6" t="str">
        <f>VLOOKUP(AY41,$B$4:$F$11,2,FALSE)</f>
        <v>Ahmed Sahin</v>
      </c>
      <c r="D41" s="46" t="s">
        <v>5</v>
      </c>
      <c r="E41" s="66" t="str">
        <f>VLOOKUP(AZ41,$B$4:$F$11,2,FALSE)</f>
        <v>Philip Faour</v>
      </c>
      <c r="F41" s="66"/>
      <c r="G41" s="66"/>
      <c r="H41" s="66"/>
      <c r="J41" s="66">
        <f>IF(T41="","",VLOOKUP(T41,Configuratie!$B$1:$E$10,3,FALSE))</f>
        <v>0.5</v>
      </c>
      <c r="K41" s="66"/>
      <c r="L41" s="6" t="s">
        <v>5</v>
      </c>
      <c r="M41" s="66">
        <f>IF(T41="","",VLOOKUP(T41,Configuratie!$B$1:$E$10,4,FALSE))</f>
        <v>0.5</v>
      </c>
      <c r="N41" s="66"/>
      <c r="R41" s="6" t="str">
        <f>IF(T41="","",VLOOKUP(T41,Configuratie!$B$1:$E$10,2,FALSE))</f>
        <v>½-½</v>
      </c>
      <c r="T41" s="5">
        <v>2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8">
        <f>AY41*100+AZ41</f>
        <v>507</v>
      </c>
      <c r="BD41" s="48">
        <f>AZ41*100+AY41</f>
        <v>705</v>
      </c>
      <c r="BE41" s="6">
        <f t="shared" si="39"/>
        <v>1.5</v>
      </c>
      <c r="BF41" s="6">
        <f t="shared" si="39"/>
        <v>1.5</v>
      </c>
      <c r="BG41" s="6">
        <f>J41*BF41</f>
        <v>0.75</v>
      </c>
      <c r="BH41" s="6">
        <f>M41*BE41</f>
        <v>0.75</v>
      </c>
    </row>
    <row r="42" spans="2:60" x14ac:dyDescent="0.25">
      <c r="B42" s="6">
        <v>3</v>
      </c>
      <c r="C42" s="6" t="str">
        <f>VLOOKUP(AY42,$B$4:$F$11,2,FALSE)</f>
        <v>Jochem Kuijvenhoven</v>
      </c>
      <c r="D42" s="46" t="s">
        <v>5</v>
      </c>
      <c r="E42" s="66" t="str">
        <f>VLOOKUP(AZ42,$B$4:$F$11,2,FALSE)</f>
        <v>Ryan Bartelds</v>
      </c>
      <c r="F42" s="66"/>
      <c r="G42" s="66"/>
      <c r="H42" s="66"/>
      <c r="J42" s="66">
        <f>IF(T42="","",VLOOKUP(T42,Configuratie!$B$1:$E$10,3,FALSE))</f>
        <v>1</v>
      </c>
      <c r="K42" s="66"/>
      <c r="L42" s="6" t="s">
        <v>5</v>
      </c>
      <c r="M42" s="66">
        <f>IF(T42="","",VLOOKUP(T42,Configuratie!$B$1:$E$10,4,FALSE))</f>
        <v>0</v>
      </c>
      <c r="N42" s="66"/>
      <c r="R42" s="6" t="str">
        <f>IF(T42="","",VLOOKUP(T42,Configuratie!$B$1:$E$10,2,FALSE))</f>
        <v>1-0</v>
      </c>
      <c r="T42" s="5">
        <v>1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8">
        <f>AY42*100+AZ42</f>
        <v>401</v>
      </c>
      <c r="BD42" s="48">
        <f>AZ42*100+AY42</f>
        <v>104</v>
      </c>
      <c r="BE42" s="6">
        <f t="shared" si="39"/>
        <v>2</v>
      </c>
      <c r="BF42" s="6">
        <f t="shared" si="39"/>
        <v>1</v>
      </c>
      <c r="BG42" s="6">
        <f>J42*BF42</f>
        <v>1</v>
      </c>
      <c r="BH42" s="6">
        <f>M42*BE42</f>
        <v>0</v>
      </c>
    </row>
    <row r="43" spans="2:60" x14ac:dyDescent="0.25">
      <c r="B43" s="6">
        <v>4</v>
      </c>
      <c r="C43" s="6" t="str">
        <f>VLOOKUP(AY43,$B$4:$F$11,2,FALSE)</f>
        <v>Willem Veldhuizen</v>
      </c>
      <c r="D43" s="46" t="s">
        <v>5</v>
      </c>
      <c r="E43" s="66" t="str">
        <f>VLOOKUP(AZ43,$B$4:$F$11,2,FALSE)</f>
        <v>Vera Maters *</v>
      </c>
      <c r="F43" s="66"/>
      <c r="G43" s="66"/>
      <c r="H43" s="66"/>
      <c r="J43" s="66">
        <f>IF(T43="","",VLOOKUP(T43,Configuratie!$B$1:$E$10,3,FALSE))</f>
        <v>0</v>
      </c>
      <c r="K43" s="66"/>
      <c r="L43" s="6" t="s">
        <v>5</v>
      </c>
      <c r="M43" s="66">
        <f>IF(T43="","",VLOOKUP(T43,Configuratie!$B$1:$E$10,4,FALSE))</f>
        <v>1</v>
      </c>
      <c r="N43" s="66"/>
      <c r="R43" s="6" t="str">
        <f>IF(T43="","",VLOOKUP(T43,Configuratie!$B$1:$E$10,2,FALSE))</f>
        <v>0-1</v>
      </c>
      <c r="T43" s="5">
        <v>0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8">
        <f>AY43*100+AZ43</f>
        <v>302</v>
      </c>
      <c r="BD43" s="48">
        <f>AZ43*100+AY43</f>
        <v>203</v>
      </c>
      <c r="BE43" s="6">
        <f t="shared" si="39"/>
        <v>3</v>
      </c>
      <c r="BF43" s="6">
        <f t="shared" si="39"/>
        <v>2</v>
      </c>
      <c r="BG43" s="6">
        <f>J43*BF43</f>
        <v>0</v>
      </c>
      <c r="BH43" s="6">
        <f>M43*BE43</f>
        <v>3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Matthijs Brons</v>
      </c>
      <c r="D46" s="46" t="s">
        <v>5</v>
      </c>
      <c r="E46" s="66" t="str">
        <f>VLOOKUP(AZ46,$B$4:$F$11,2,FALSE)</f>
        <v>Vera Maters *</v>
      </c>
      <c r="F46" s="66"/>
      <c r="G46" s="66"/>
      <c r="H46" s="66"/>
      <c r="J46" s="66">
        <f>IF(T46="","",VLOOKUP(T46,Configuratie!$B$1:$E$10,3,FALSE))</f>
        <v>1</v>
      </c>
      <c r="K46" s="66"/>
      <c r="L46" s="6" t="s">
        <v>5</v>
      </c>
      <c r="M46" s="66">
        <f>IF(T46="","",VLOOKUP(T46,Configuratie!$B$1:$E$10,4,FALSE))</f>
        <v>0</v>
      </c>
      <c r="N46" s="66"/>
      <c r="R46" s="6" t="str">
        <f>IF(T46="","",VLOOKUP(T46,Configuratie!$B$1:$E$10,2,FALSE))</f>
        <v>1-0</v>
      </c>
      <c r="T46" s="5">
        <v>1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3</v>
      </c>
      <c r="BF46" s="6">
        <f t="shared" si="41"/>
        <v>3</v>
      </c>
      <c r="BG46" s="6">
        <f>J46*BF46</f>
        <v>3</v>
      </c>
      <c r="BH46" s="6">
        <f>M46*BE46</f>
        <v>0</v>
      </c>
    </row>
    <row r="47" spans="2:60" x14ac:dyDescent="0.25">
      <c r="B47" s="6">
        <v>2</v>
      </c>
      <c r="C47" s="6" t="str">
        <f>VLOOKUP(AY47,$B$4:$F$11,2,FALSE)</f>
        <v>Ryan Bartelds</v>
      </c>
      <c r="D47" s="46" t="s">
        <v>5</v>
      </c>
      <c r="E47" s="66" t="str">
        <f>VLOOKUP(AZ47,$B$4:$F$11,2,FALSE)</f>
        <v>Willem Veldhuizen</v>
      </c>
      <c r="F47" s="66"/>
      <c r="G47" s="66"/>
      <c r="H47" s="66"/>
      <c r="J47" s="66">
        <f>IF(T47="","",VLOOKUP(T47,Configuratie!$B$1:$E$10,3,FALSE))</f>
        <v>0.5</v>
      </c>
      <c r="K47" s="66"/>
      <c r="L47" s="6" t="s">
        <v>5</v>
      </c>
      <c r="M47" s="66">
        <f>IF(T47="","",VLOOKUP(T47,Configuratie!$B$1:$E$10,4,FALSE))</f>
        <v>0.5</v>
      </c>
      <c r="N47" s="66"/>
      <c r="R47" s="6" t="str">
        <f>IF(T47="","",VLOOKUP(T47,Configuratie!$B$1:$E$10,2,FALSE))</f>
        <v>½-½</v>
      </c>
      <c r="T47" s="5">
        <v>2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8">
        <f>AY47*100+AZ47</f>
        <v>103</v>
      </c>
      <c r="BD47" s="48">
        <f>AZ47*100+AY47</f>
        <v>301</v>
      </c>
      <c r="BE47" s="6">
        <f t="shared" si="41"/>
        <v>1</v>
      </c>
      <c r="BF47" s="6">
        <f t="shared" si="41"/>
        <v>3</v>
      </c>
      <c r="BG47" s="6">
        <f>J47*BF47</f>
        <v>1.5</v>
      </c>
      <c r="BH47" s="6">
        <f>M47*BE47</f>
        <v>0.5</v>
      </c>
    </row>
    <row r="48" spans="2:60" x14ac:dyDescent="0.25">
      <c r="B48" s="6">
        <v>3</v>
      </c>
      <c r="C48" s="6" t="str">
        <f>VLOOKUP(AY48,$B$4:$F$11,2,FALSE)</f>
        <v>Philip Faour</v>
      </c>
      <c r="D48" s="46" t="s">
        <v>5</v>
      </c>
      <c r="E48" s="66" t="str">
        <f>VLOOKUP(AZ48,$B$4:$F$11,2,FALSE)</f>
        <v>Jochem Kuijvenhoven</v>
      </c>
      <c r="F48" s="66"/>
      <c r="G48" s="66"/>
      <c r="H48" s="66"/>
      <c r="J48" s="66">
        <f>IF(T48="","",VLOOKUP(T48,Configuratie!$B$1:$E$10,3,FALSE))</f>
        <v>0</v>
      </c>
      <c r="K48" s="66"/>
      <c r="L48" s="6" t="s">
        <v>5</v>
      </c>
      <c r="M48" s="66">
        <f>IF(T48="","",VLOOKUP(T48,Configuratie!$B$1:$E$10,4,FALSE))</f>
        <v>1</v>
      </c>
      <c r="N48" s="66"/>
      <c r="R48" s="6" t="str">
        <f>IF(T48="","",VLOOKUP(T48,Configuratie!$B$1:$E$10,2,FALSE))</f>
        <v>0-1</v>
      </c>
      <c r="T48" s="5">
        <v>0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8">
        <f>AY48*100+AZ48</f>
        <v>704</v>
      </c>
      <c r="BD48" s="48">
        <f>AZ48*100+AY48</f>
        <v>407</v>
      </c>
      <c r="BE48" s="6">
        <f t="shared" si="41"/>
        <v>2</v>
      </c>
      <c r="BF48" s="6">
        <f t="shared" si="41"/>
        <v>3</v>
      </c>
      <c r="BG48" s="6">
        <f>J48*BF48</f>
        <v>0</v>
      </c>
      <c r="BH48" s="6">
        <f>M48*BE48</f>
        <v>2</v>
      </c>
    </row>
    <row r="49" spans="2:60" x14ac:dyDescent="0.25">
      <c r="B49" s="6">
        <v>4</v>
      </c>
      <c r="C49" s="6" t="str">
        <f>VLOOKUP(AY49,$B$4:$F$11,2,FALSE)</f>
        <v>Koen Stadegaard</v>
      </c>
      <c r="D49" s="46" t="s">
        <v>5</v>
      </c>
      <c r="E49" s="66" t="str">
        <f>VLOOKUP(AZ49,$B$4:$F$11,2,FALSE)</f>
        <v>Ahmed Sahin</v>
      </c>
      <c r="F49" s="66"/>
      <c r="G49" s="66"/>
      <c r="H49" s="66"/>
      <c r="J49" s="66">
        <f>IF(T49="","",VLOOKUP(T49,Configuratie!$B$1:$E$10,3,FALSE))</f>
        <v>0</v>
      </c>
      <c r="K49" s="66"/>
      <c r="L49" s="6" t="s">
        <v>5</v>
      </c>
      <c r="M49" s="66">
        <f>IF(T49="","",VLOOKUP(T49,Configuratie!$B$1:$E$10,4,FALSE))</f>
        <v>1</v>
      </c>
      <c r="N49" s="66"/>
      <c r="R49" s="6" t="str">
        <f>IF(T49="","",VLOOKUP(T49,Configuratie!$B$1:$E$10,2,FALSE))</f>
        <v>0-1</v>
      </c>
      <c r="T49" s="5">
        <v>0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8">
        <f>AY49*100+AZ49</f>
        <v>605</v>
      </c>
      <c r="BD49" s="48">
        <f>AZ49*100+AY49</f>
        <v>506</v>
      </c>
      <c r="BE49" s="6">
        <f t="shared" si="41"/>
        <v>3</v>
      </c>
      <c r="BF49" s="6">
        <f t="shared" si="41"/>
        <v>2</v>
      </c>
      <c r="BG49" s="6">
        <f>J49*BF49</f>
        <v>0</v>
      </c>
      <c r="BH49" s="6">
        <f>M49*BE49</f>
        <v>3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Ahmed Sahin</v>
      </c>
      <c r="D52" s="46" t="s">
        <v>5</v>
      </c>
      <c r="E52" s="66" t="str">
        <f>VLOOKUP(AZ52,$B$4:$F$11,2,FALSE)</f>
        <v>Matthijs Brons</v>
      </c>
      <c r="F52" s="66"/>
      <c r="G52" s="66"/>
      <c r="H52" s="66"/>
      <c r="J52" s="66">
        <f>IF(T52="","",VLOOKUP(T52,Configuratie!$B$1:$E$10,3,FALSE))</f>
        <v>1</v>
      </c>
      <c r="K52" s="66"/>
      <c r="L52" s="6" t="s">
        <v>5</v>
      </c>
      <c r="M52" s="66">
        <f>IF(T52="","",VLOOKUP(T52,Configuratie!$B$1:$E$10,4,FALSE))</f>
        <v>0</v>
      </c>
      <c r="N52" s="66"/>
      <c r="R52" s="6" t="str">
        <f>IF(T52="","",VLOOKUP(T52,Configuratie!$B$1:$E$10,2,FALSE))</f>
        <v>1-0</v>
      </c>
      <c r="T52" s="5">
        <v>1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3</v>
      </c>
      <c r="BF52" s="6">
        <f t="shared" si="43"/>
        <v>4</v>
      </c>
      <c r="BG52" s="6">
        <f>J52*BF52</f>
        <v>4</v>
      </c>
      <c r="BH52" s="6">
        <f>M52*BE52</f>
        <v>0</v>
      </c>
    </row>
    <row r="53" spans="2:60" x14ac:dyDescent="0.25">
      <c r="B53" s="6">
        <v>2</v>
      </c>
      <c r="C53" s="6" t="str">
        <f>VLOOKUP(AY53,$B$4:$F$11,2,FALSE)</f>
        <v>Jochem Kuijvenhoven</v>
      </c>
      <c r="D53" s="46" t="s">
        <v>5</v>
      </c>
      <c r="E53" s="66" t="str">
        <f>VLOOKUP(AZ53,$B$4:$F$11,2,FALSE)</f>
        <v>Koen Stadegaard</v>
      </c>
      <c r="F53" s="66"/>
      <c r="G53" s="66"/>
      <c r="H53" s="66"/>
      <c r="J53" s="66">
        <f>IF(T53="","",VLOOKUP(T53,Configuratie!$B$1:$E$10,3,FALSE))</f>
        <v>0.5</v>
      </c>
      <c r="K53" s="66"/>
      <c r="L53" s="6" t="s">
        <v>5</v>
      </c>
      <c r="M53" s="66">
        <f>IF(T53="","",VLOOKUP(T53,Configuratie!$B$1:$E$10,4,FALSE))</f>
        <v>0.5</v>
      </c>
      <c r="N53" s="66"/>
      <c r="R53" s="6" t="str">
        <f>IF(T53="","",VLOOKUP(T53,Configuratie!$B$1:$E$10,2,FALSE))</f>
        <v>½-½</v>
      </c>
      <c r="T53" s="5">
        <v>2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8">
        <f>AY53*100+AZ53</f>
        <v>406</v>
      </c>
      <c r="BD53" s="48">
        <f>AZ53*100+AY53</f>
        <v>604</v>
      </c>
      <c r="BE53" s="6">
        <f t="shared" si="43"/>
        <v>4</v>
      </c>
      <c r="BF53" s="6">
        <f t="shared" si="43"/>
        <v>3</v>
      </c>
      <c r="BG53" s="6">
        <f>J53*BF53</f>
        <v>1.5</v>
      </c>
      <c r="BH53" s="6">
        <f>M53*BE53</f>
        <v>2</v>
      </c>
    </row>
    <row r="54" spans="2:60" x14ac:dyDescent="0.25">
      <c r="B54" s="6">
        <v>3</v>
      </c>
      <c r="C54" s="6" t="str">
        <f>VLOOKUP(AY54,$B$4:$F$11,2,FALSE)</f>
        <v>Willem Veldhuizen</v>
      </c>
      <c r="D54" s="46" t="s">
        <v>5</v>
      </c>
      <c r="E54" s="66" t="str">
        <f>VLOOKUP(AZ54,$B$4:$F$11,2,FALSE)</f>
        <v>Philip Faour</v>
      </c>
      <c r="F54" s="66"/>
      <c r="G54" s="66"/>
      <c r="H54" s="66"/>
      <c r="J54" s="66">
        <f>IF(T54="","",VLOOKUP(T54,Configuratie!$B$1:$E$10,3,FALSE))</f>
        <v>0.5</v>
      </c>
      <c r="K54" s="66"/>
      <c r="L54" s="6" t="s">
        <v>5</v>
      </c>
      <c r="M54" s="66">
        <f>IF(T54="","",VLOOKUP(T54,Configuratie!$B$1:$E$10,4,FALSE))</f>
        <v>0.5</v>
      </c>
      <c r="N54" s="66"/>
      <c r="R54" s="6" t="str">
        <f>IF(T54="","",VLOOKUP(T54,Configuratie!$B$1:$E$10,2,FALSE))</f>
        <v>½-½</v>
      </c>
      <c r="T54" s="5">
        <v>2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8">
        <f>AY54*100+AZ54</f>
        <v>307</v>
      </c>
      <c r="BD54" s="48">
        <f>AZ54*100+AY54</f>
        <v>703</v>
      </c>
      <c r="BE54" s="6">
        <f t="shared" si="43"/>
        <v>3.5</v>
      </c>
      <c r="BF54" s="6">
        <f t="shared" si="43"/>
        <v>2</v>
      </c>
      <c r="BG54" s="6">
        <f>J54*BF54</f>
        <v>1</v>
      </c>
      <c r="BH54" s="6">
        <f>M54*BE54</f>
        <v>1.75</v>
      </c>
    </row>
    <row r="55" spans="2:60" x14ac:dyDescent="0.25">
      <c r="B55" s="6">
        <v>4</v>
      </c>
      <c r="C55" s="6" t="str">
        <f>VLOOKUP(AY55,$B$4:$F$11,2,FALSE)</f>
        <v>Vera Maters *</v>
      </c>
      <c r="D55" s="46" t="s">
        <v>5</v>
      </c>
      <c r="E55" s="66" t="str">
        <f>VLOOKUP(AZ55,$B$4:$F$11,2,FALSE)</f>
        <v>Ryan Bartelds</v>
      </c>
      <c r="F55" s="66"/>
      <c r="G55" s="66"/>
      <c r="H55" s="66"/>
      <c r="J55" s="66">
        <f>IF(T55="","",VLOOKUP(T55,Configuratie!$B$1:$E$10,3,FALSE))</f>
        <v>1</v>
      </c>
      <c r="K55" s="66"/>
      <c r="L55" s="6" t="s">
        <v>5</v>
      </c>
      <c r="M55" s="66">
        <f>IF(T55="","",VLOOKUP(T55,Configuratie!$B$1:$E$10,4,FALSE))</f>
        <v>0</v>
      </c>
      <c r="N55" s="66"/>
      <c r="R55" s="6" t="str">
        <f>IF(T55="","",VLOOKUP(T55,Configuratie!$B$1:$E$10,2,FALSE))</f>
        <v>1-0</v>
      </c>
      <c r="T55" s="5">
        <v>1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8">
        <f>AY55*100+AZ55</f>
        <v>201</v>
      </c>
      <c r="BD55" s="48">
        <f>AZ55*100+AY55</f>
        <v>102</v>
      </c>
      <c r="BE55" s="6">
        <f t="shared" si="43"/>
        <v>3</v>
      </c>
      <c r="BF55" s="6">
        <f t="shared" si="43"/>
        <v>1.5</v>
      </c>
      <c r="BG55" s="6">
        <f>J55*BF55</f>
        <v>1.5</v>
      </c>
      <c r="BH55" s="6">
        <f>M55*BE55</f>
        <v>0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7" priority="4" stopIfTrue="1" operator="between">
      <formula>0</formula>
      <formula>1</formula>
    </cfRule>
  </conditionalFormatting>
  <conditionalFormatting sqref="T4:U11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 verticalCentered="1"/>
  <pageMargins left="0.7" right="0.7" top="0.75" bottom="0.75" header="0.3" footer="0.3"/>
  <pageSetup scale="57" orientation="portrait" r:id="rId1"/>
  <colBreaks count="2" manualBreakCount="2">
    <brk id="20" max="1048575" man="1"/>
    <brk id="19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X55"/>
  <sheetViews>
    <sheetView view="pageBreakPreview" topLeftCell="A16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hidden="1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6" width="9.140625" style="6" hidden="1" customWidth="1" collapsed="1"/>
    <col min="77" max="77" width="9.140625" style="6" customWidth="1" collapsed="1"/>
    <col min="78" max="16384" width="9.140625" style="6" collapsed="1"/>
  </cols>
  <sheetData>
    <row r="1" spans="1:75" ht="26.25" x14ac:dyDescent="0.4">
      <c r="A1" s="24">
        <v>8</v>
      </c>
      <c r="B1" s="68" t="s">
        <v>29</v>
      </c>
      <c r="C1" s="68"/>
      <c r="D1" s="68"/>
      <c r="E1" s="68"/>
      <c r="F1" s="68"/>
      <c r="G1" s="71" t="s">
        <v>143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15"/>
      <c r="T1" s="15"/>
      <c r="U1" s="15"/>
      <c r="V1" s="15"/>
      <c r="W1" s="69" t="str">
        <f>"UITSLAG " &amp; G1</f>
        <v>UITSLAG Groep M</v>
      </c>
      <c r="X1" s="70"/>
      <c r="Y1" s="70"/>
      <c r="Z1" s="70"/>
      <c r="AA1" s="70"/>
      <c r="AB1" s="70"/>
      <c r="AC1" s="70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70" t="s">
        <v>20</v>
      </c>
      <c r="BE2" s="70"/>
      <c r="BF2" s="70"/>
      <c r="BG2" s="70"/>
      <c r="BH2" s="70"/>
      <c r="BI2" s="70"/>
      <c r="BJ2" s="70"/>
      <c r="BK2" s="70"/>
      <c r="BL2" s="70"/>
      <c r="BM2" s="17"/>
      <c r="BN2" s="18"/>
      <c r="BO2" s="70" t="s">
        <v>21</v>
      </c>
      <c r="BP2" s="70"/>
      <c r="BQ2" s="70"/>
      <c r="BR2" s="70"/>
      <c r="BS2" s="70"/>
      <c r="BT2" s="70"/>
      <c r="BU2" s="70"/>
      <c r="BV2" s="70"/>
      <c r="BW2" s="70"/>
    </row>
    <row r="3" spans="1:75" x14ac:dyDescent="0.25">
      <c r="B3" s="19" t="s">
        <v>4</v>
      </c>
      <c r="C3" s="19" t="s">
        <v>6</v>
      </c>
      <c r="D3" s="72" t="s">
        <v>7</v>
      </c>
      <c r="E3" s="7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5</v>
      </c>
      <c r="B4" s="25">
        <v>1</v>
      </c>
      <c r="C4" s="25" t="s">
        <v>144</v>
      </c>
      <c r="D4" s="67">
        <v>8659288</v>
      </c>
      <c r="E4" s="67"/>
      <c r="F4" s="25">
        <v>207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1</v>
      </c>
      <c r="J4" s="27">
        <f t="shared" si="0"/>
        <v>0</v>
      </c>
      <c r="K4" s="27">
        <f t="shared" si="0"/>
        <v>1</v>
      </c>
      <c r="L4" s="27">
        <f t="shared" si="0"/>
        <v>0.5</v>
      </c>
      <c r="M4" s="27">
        <f t="shared" si="0"/>
        <v>1</v>
      </c>
      <c r="N4" s="27">
        <f t="shared" si="0"/>
        <v>0</v>
      </c>
      <c r="O4" s="27">
        <f t="shared" si="0"/>
        <v>0</v>
      </c>
      <c r="P4" s="28"/>
      <c r="Q4" s="53"/>
      <c r="R4" s="58">
        <f t="shared" ref="R4:R11" si="1">SUM(H4:Q4)</f>
        <v>3.5</v>
      </c>
      <c r="S4" s="8">
        <f>IF(H4="",0,H4)*$R$4+IF(I4="",0,I4)*$R$5+IF(J4="",0,J4)*$R$6+IF(K4="",0,K4)*$R$7+IF(L4="",0,L4)*$R$8+IF(M4="",0,M4)*$R$9+IF(N4="",0,N4)*$R$10+IF(O4="",0,O4)*$R$11</f>
        <v>11.5</v>
      </c>
      <c r="T4" s="8">
        <f>AQ4</f>
        <v>5</v>
      </c>
      <c r="U4" s="14"/>
      <c r="V4" s="30"/>
      <c r="W4" s="31">
        <v>1</v>
      </c>
      <c r="X4" s="31" t="str">
        <f>C4</f>
        <v>Luka Da costa Fernandes</v>
      </c>
      <c r="Y4" s="32">
        <v>2</v>
      </c>
      <c r="Z4" s="33" t="str">
        <f>IF(ISNA(VLOOKUP(B4,$A$4:$T$11,3,FALSE)),C4,VLOOKUP(B4,$A$4:$T$11,3,FALSE))</f>
        <v>Tim Schopman</v>
      </c>
      <c r="AA4" s="59">
        <f>IF(ISNA(VLOOKUP($B4,$A$4:$T$11,18,FALSE)),0,VLOOKUP($B4,$A$4:$T$11,18,FALSE))</f>
        <v>5.5</v>
      </c>
      <c r="AB4" s="60">
        <f t="shared" ref="AB4" si="2">VLOOKUP($B4,$A$4:$T$11,18,FALSE)</f>
        <v>5.5</v>
      </c>
      <c r="AC4" s="12">
        <f>IF(ISNA(VLOOKUP($B4,$A$4:$T$11,19,FALSE)),0,VLOOKUP($B4,$A$4:$T$11,19,FALSE))</f>
        <v>17.5</v>
      </c>
      <c r="AD4" s="34">
        <f t="shared" ref="AD4:AD11" si="3">VLOOKUP($Y4,$AX$4:$BA$11,4,FALSE)</f>
        <v>30.5</v>
      </c>
      <c r="AE4" s="35">
        <f t="shared" ref="AE4:AE11" si="4">VLOOKUP($Y4,$B$4:$R$11,5,FALSE)</f>
        <v>195</v>
      </c>
      <c r="AF4" s="56"/>
      <c r="AG4" s="61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2">
        <f>$AG$13*R4+AG4</f>
        <v>14</v>
      </c>
      <c r="AI4" s="61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2">
        <f>$AI$13*AH4+AI4</f>
        <v>14</v>
      </c>
      <c r="AK4" s="61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14</v>
      </c>
      <c r="AM4" s="56"/>
      <c r="AN4" s="56">
        <f>RANK(AL4,$AL$4:$AL$11,1)-1</f>
        <v>3</v>
      </c>
      <c r="AO4" s="56">
        <f>RANK(S4,$S$4:$S$11,1)-1</f>
        <v>3</v>
      </c>
      <c r="AP4" s="56">
        <f>8*AN4+AO4</f>
        <v>27</v>
      </c>
      <c r="AQ4" s="56">
        <f>RANK(AP4,$AP$4:$AP$11)</f>
        <v>5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7.5</v>
      </c>
      <c r="AZ4" s="39">
        <f t="shared" ref="AZ4:AZ11" si="7">SUMIF($AY$13:$AY$55,B4,$BG$13:$BG$55)+SUMIF($AZ$13:$AZ$55,B4,$BH$13:$BH$55)</f>
        <v>8</v>
      </c>
      <c r="BA4" s="39">
        <f>SUM(BO4:BW4)</f>
        <v>18</v>
      </c>
      <c r="BC4" s="6">
        <v>1</v>
      </c>
      <c r="BD4" s="6">
        <f t="shared" ref="BD4:BL11" si="8">SUMIFS($J$16:$J$55,$AY$16:$AY$55,$BC4,$AX$16:$AX$55,BD$3)+SUMIFS($M$16:$M$55,$AZ$16:$AZ$55,$BC4,$AX$16:$AX$55,BD$3)</f>
        <v>0</v>
      </c>
      <c r="BE4" s="6">
        <f t="shared" si="8"/>
        <v>0</v>
      </c>
      <c r="BF4" s="6">
        <f t="shared" si="8"/>
        <v>1</v>
      </c>
      <c r="BG4" s="6">
        <f t="shared" si="8"/>
        <v>0.5</v>
      </c>
      <c r="BH4" s="6">
        <f t="shared" si="8"/>
        <v>1</v>
      </c>
      <c r="BI4" s="6">
        <f t="shared" si="8"/>
        <v>0</v>
      </c>
      <c r="BJ4" s="6">
        <f t="shared" si="8"/>
        <v>1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1</v>
      </c>
      <c r="BR4" s="6">
        <f t="shared" si="9"/>
        <v>1.5</v>
      </c>
      <c r="BS4" s="6">
        <f t="shared" si="9"/>
        <v>2.5</v>
      </c>
      <c r="BT4" s="6">
        <f t="shared" si="9"/>
        <v>2.5</v>
      </c>
      <c r="BU4" s="6">
        <f t="shared" si="9"/>
        <v>3.5</v>
      </c>
      <c r="BV4" s="6">
        <f t="shared" si="9"/>
        <v>3.5</v>
      </c>
      <c r="BW4" s="6">
        <f t="shared" si="9"/>
        <v>3.5</v>
      </c>
    </row>
    <row r="5" spans="1:75" x14ac:dyDescent="0.25">
      <c r="A5" s="24">
        <f t="shared" ref="A5:A12" si="10">T5</f>
        <v>2</v>
      </c>
      <c r="B5" s="25">
        <v>2</v>
      </c>
      <c r="C5" s="25" t="s">
        <v>145</v>
      </c>
      <c r="D5" s="67">
        <v>8742371</v>
      </c>
      <c r="E5" s="67"/>
      <c r="F5" s="25">
        <v>195</v>
      </c>
      <c r="H5" s="27">
        <f t="shared" si="0"/>
        <v>0</v>
      </c>
      <c r="I5" s="26" t="str">
        <f t="shared" si="0"/>
        <v/>
      </c>
      <c r="J5" s="27">
        <f t="shared" si="0"/>
        <v>0</v>
      </c>
      <c r="K5" s="27">
        <f t="shared" si="0"/>
        <v>1</v>
      </c>
      <c r="L5" s="27">
        <f t="shared" si="0"/>
        <v>0.5</v>
      </c>
      <c r="M5" s="27">
        <f t="shared" si="0"/>
        <v>1</v>
      </c>
      <c r="N5" s="27">
        <f t="shared" si="0"/>
        <v>1</v>
      </c>
      <c r="O5" s="27">
        <f t="shared" si="0"/>
        <v>1</v>
      </c>
      <c r="P5" s="28"/>
      <c r="Q5" s="53"/>
      <c r="R5" s="58">
        <f t="shared" si="1"/>
        <v>4.5</v>
      </c>
      <c r="S5" s="8">
        <f t="shared" ref="S5:S11" si="11">IF(H5="",0,H5)*$R$4+IF(I5="",0,I5)*$R$5+IF(J5="",0,J5)*$R$6+IF(K5="",0,K5)*$R$7+IF(L5="",0,L5)*$R$8+IF(M5="",0,M5)*$R$9+IF(N5="",0,N5)*$R$10+IF(O5="",0,O5)*$R$11</f>
        <v>13.5</v>
      </c>
      <c r="T5" s="8">
        <f t="shared" ref="T5:T12" si="12">AQ5</f>
        <v>2</v>
      </c>
      <c r="U5" s="14"/>
      <c r="V5" s="30"/>
      <c r="W5" s="31">
        <v>2</v>
      </c>
      <c r="X5" s="31" t="str">
        <f t="shared" ref="X5:X11" si="13">C5</f>
        <v>Joris Diepenbroek</v>
      </c>
      <c r="Y5" s="32">
        <v>7</v>
      </c>
      <c r="Z5" s="33" t="str">
        <f>IF(ISNA(VLOOKUP(B5,$A$4:$T$11,3,FALSE)),C5,VLOOKUP(B5,$A$4:$T$11,3,FALSE))</f>
        <v>Joris Diepenbroek</v>
      </c>
      <c r="AA5" s="59">
        <f t="shared" ref="AA5:AA11" si="14">IF(ISNA(VLOOKUP($B5,$A$4:$T$11,18,FALSE)),0,VLOOKUP($B5,$A$4:$T$11,18,FALSE))</f>
        <v>4.5</v>
      </c>
      <c r="AB5" s="34">
        <f t="shared" ref="AB5:AB11" si="15">VLOOKUP($Y5,$AX$4:$BA$11,2,FALSE)</f>
        <v>14.5</v>
      </c>
      <c r="AC5" s="12">
        <f t="shared" ref="AC5:AC11" si="16">IF(ISNA(VLOOKUP($B5,$A$4:$T$11,19,FALSE)),0,VLOOKUP($B5,$A$4:$T$11,19,FALSE))</f>
        <v>13.5</v>
      </c>
      <c r="AD5" s="34">
        <f t="shared" si="3"/>
        <v>28</v>
      </c>
      <c r="AE5" s="35">
        <f t="shared" si="4"/>
        <v>159</v>
      </c>
      <c r="AF5" s="56"/>
      <c r="AG5" s="61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1</v>
      </c>
      <c r="AH5" s="62">
        <f t="shared" ref="AH5:AH11" si="18">$AG$13*R5+AG5</f>
        <v>19</v>
      </c>
      <c r="AI5" s="61">
        <f t="shared" si="5"/>
        <v>0</v>
      </c>
      <c r="AJ5" s="62">
        <f t="shared" ref="AJ5:AJ11" si="19">$AI$13*AH5+AI5</f>
        <v>19</v>
      </c>
      <c r="AK5" s="61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19</v>
      </c>
      <c r="AM5" s="56"/>
      <c r="AN5" s="56">
        <f t="shared" ref="AN5:AN11" si="22">RANK(AL5,$AL$4:$AL$11,1)-1</f>
        <v>6</v>
      </c>
      <c r="AO5" s="56">
        <f t="shared" ref="AO5:AO12" si="23">RANK(S5,$S$4:$S$11,1)-1</f>
        <v>6</v>
      </c>
      <c r="AP5" s="56">
        <f t="shared" ref="AP5:AP12" si="24">8*AN5+AO5</f>
        <v>54</v>
      </c>
      <c r="AQ5" s="56">
        <f t="shared" ref="AQ5:AQ11" si="25">RANK(AP5,$AP$4:$AP$11)</f>
        <v>2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17</v>
      </c>
      <c r="AZ5" s="39">
        <f t="shared" si="7"/>
        <v>4.25</v>
      </c>
      <c r="BA5" s="39">
        <f t="shared" ref="BA5:BA11" si="26">SUM(BO5:BW5)</f>
        <v>30.5</v>
      </c>
      <c r="BC5" s="6">
        <v>2</v>
      </c>
      <c r="BD5" s="6">
        <f t="shared" si="8"/>
        <v>1</v>
      </c>
      <c r="BE5" s="6">
        <f t="shared" si="8"/>
        <v>1</v>
      </c>
      <c r="BF5" s="6">
        <f t="shared" si="8"/>
        <v>0.5</v>
      </c>
      <c r="BG5" s="6">
        <f t="shared" si="8"/>
        <v>1</v>
      </c>
      <c r="BH5" s="6">
        <f t="shared" si="8"/>
        <v>0</v>
      </c>
      <c r="BI5" s="6">
        <f t="shared" si="8"/>
        <v>1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1</v>
      </c>
      <c r="BP5" s="6">
        <f t="shared" si="9"/>
        <v>2</v>
      </c>
      <c r="BQ5" s="6">
        <f t="shared" si="9"/>
        <v>2.5</v>
      </c>
      <c r="BR5" s="6">
        <f t="shared" si="9"/>
        <v>3.5</v>
      </c>
      <c r="BS5" s="6">
        <f t="shared" si="9"/>
        <v>3.5</v>
      </c>
      <c r="BT5" s="6">
        <f t="shared" si="9"/>
        <v>4.5</v>
      </c>
      <c r="BU5" s="6">
        <f t="shared" si="9"/>
        <v>4.5</v>
      </c>
      <c r="BV5" s="6">
        <f t="shared" si="9"/>
        <v>4.5</v>
      </c>
      <c r="BW5" s="6">
        <f t="shared" si="9"/>
        <v>4.5</v>
      </c>
    </row>
    <row r="6" spans="1:75" x14ac:dyDescent="0.25">
      <c r="A6" s="24">
        <f t="shared" si="10"/>
        <v>1</v>
      </c>
      <c r="B6" s="25">
        <v>3</v>
      </c>
      <c r="C6" s="25" t="s">
        <v>146</v>
      </c>
      <c r="D6" s="67">
        <v>8698954</v>
      </c>
      <c r="E6" s="67"/>
      <c r="F6" s="25">
        <v>172</v>
      </c>
      <c r="H6" s="27">
        <f t="shared" si="0"/>
        <v>1</v>
      </c>
      <c r="I6" s="27">
        <f t="shared" si="0"/>
        <v>1</v>
      </c>
      <c r="J6" s="26" t="str">
        <f t="shared" si="0"/>
        <v/>
      </c>
      <c r="K6" s="27">
        <f t="shared" si="0"/>
        <v>0</v>
      </c>
      <c r="L6" s="27">
        <f t="shared" si="0"/>
        <v>1</v>
      </c>
      <c r="M6" s="27">
        <f t="shared" si="0"/>
        <v>0.5</v>
      </c>
      <c r="N6" s="27">
        <f t="shared" si="0"/>
        <v>1</v>
      </c>
      <c r="O6" s="27">
        <f t="shared" si="0"/>
        <v>1</v>
      </c>
      <c r="P6" s="28"/>
      <c r="Q6" s="53"/>
      <c r="R6" s="58">
        <f t="shared" si="1"/>
        <v>5.5</v>
      </c>
      <c r="S6" s="8">
        <f t="shared" si="11"/>
        <v>17.5</v>
      </c>
      <c r="T6" s="9">
        <f>AQ6</f>
        <v>1</v>
      </c>
      <c r="U6" s="10"/>
      <c r="V6" s="30"/>
      <c r="W6" s="31">
        <v>3</v>
      </c>
      <c r="X6" s="31" t="str">
        <f t="shared" si="13"/>
        <v>Tim Schopman</v>
      </c>
      <c r="Y6" s="32">
        <v>1</v>
      </c>
      <c r="Z6" s="33" t="str">
        <f t="shared" ref="Z6:Z12" si="28">IF(ISNA(VLOOKUP(B6,$A$4:$T$11,3,FALSE)),C6,VLOOKUP(B6,$A$4:$T$11,3,FALSE))</f>
        <v>Tristan van Kappen</v>
      </c>
      <c r="AA6" s="59">
        <f t="shared" si="14"/>
        <v>4.5</v>
      </c>
      <c r="AB6" s="34">
        <f t="shared" si="15"/>
        <v>7.5</v>
      </c>
      <c r="AC6" s="12">
        <f t="shared" si="16"/>
        <v>11.5</v>
      </c>
      <c r="AD6" s="34">
        <f t="shared" si="3"/>
        <v>18</v>
      </c>
      <c r="AE6" s="35">
        <f t="shared" si="4"/>
        <v>207</v>
      </c>
      <c r="AF6" s="56"/>
      <c r="AG6" s="61">
        <f t="shared" si="17"/>
        <v>0</v>
      </c>
      <c r="AH6" s="62">
        <f t="shared" si="18"/>
        <v>22</v>
      </c>
      <c r="AI6" s="61">
        <f t="shared" si="5"/>
        <v>0</v>
      </c>
      <c r="AJ6" s="62">
        <f t="shared" si="19"/>
        <v>22</v>
      </c>
      <c r="AK6" s="61">
        <f t="shared" si="20"/>
        <v>0</v>
      </c>
      <c r="AL6" s="56">
        <f t="shared" si="21"/>
        <v>22</v>
      </c>
      <c r="AM6" s="56"/>
      <c r="AN6" s="56">
        <f t="shared" si="22"/>
        <v>7</v>
      </c>
      <c r="AO6" s="56">
        <f t="shared" si="23"/>
        <v>7</v>
      </c>
      <c r="AP6" s="56">
        <f t="shared" si="24"/>
        <v>63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14</v>
      </c>
      <c r="AZ6" s="39">
        <f t="shared" si="7"/>
        <v>12</v>
      </c>
      <c r="BA6" s="39">
        <f t="shared" si="26"/>
        <v>30.5</v>
      </c>
      <c r="BC6" s="6">
        <v>3</v>
      </c>
      <c r="BD6" s="6">
        <f t="shared" si="8"/>
        <v>0.5</v>
      </c>
      <c r="BE6" s="6">
        <f t="shared" si="8"/>
        <v>1</v>
      </c>
      <c r="BF6" s="6">
        <f t="shared" si="8"/>
        <v>0</v>
      </c>
      <c r="BG6" s="6">
        <f t="shared" si="8"/>
        <v>1</v>
      </c>
      <c r="BH6" s="6">
        <f t="shared" si="8"/>
        <v>1</v>
      </c>
      <c r="BI6" s="6">
        <f t="shared" si="8"/>
        <v>1</v>
      </c>
      <c r="BJ6" s="6">
        <f t="shared" si="8"/>
        <v>1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0.5</v>
      </c>
      <c r="BP6" s="6">
        <f t="shared" si="9"/>
        <v>1.5</v>
      </c>
      <c r="BQ6" s="6">
        <f t="shared" si="9"/>
        <v>1.5</v>
      </c>
      <c r="BR6" s="6">
        <f t="shared" si="9"/>
        <v>2.5</v>
      </c>
      <c r="BS6" s="6">
        <f t="shared" si="9"/>
        <v>3.5</v>
      </c>
      <c r="BT6" s="6">
        <f t="shared" si="9"/>
        <v>4.5</v>
      </c>
      <c r="BU6" s="6">
        <f t="shared" si="9"/>
        <v>5.5</v>
      </c>
      <c r="BV6" s="6">
        <f t="shared" si="9"/>
        <v>5.5</v>
      </c>
      <c r="BW6" s="6">
        <f t="shared" si="9"/>
        <v>5.5</v>
      </c>
    </row>
    <row r="7" spans="1:75" x14ac:dyDescent="0.25">
      <c r="A7" s="24">
        <f t="shared" si="10"/>
        <v>4</v>
      </c>
      <c r="B7" s="25">
        <v>4</v>
      </c>
      <c r="C7" s="25" t="s">
        <v>147</v>
      </c>
      <c r="D7" s="67">
        <v>8628488</v>
      </c>
      <c r="E7" s="67"/>
      <c r="F7" s="25">
        <v>170</v>
      </c>
      <c r="H7" s="27">
        <f t="shared" si="0"/>
        <v>0</v>
      </c>
      <c r="I7" s="27">
        <f t="shared" si="0"/>
        <v>0</v>
      </c>
      <c r="J7" s="27">
        <f t="shared" si="0"/>
        <v>1</v>
      </c>
      <c r="K7" s="26" t="str">
        <f t="shared" si="0"/>
        <v/>
      </c>
      <c r="L7" s="27">
        <f t="shared" si="0"/>
        <v>0.5</v>
      </c>
      <c r="M7" s="27">
        <f t="shared" si="0"/>
        <v>1</v>
      </c>
      <c r="N7" s="27">
        <f t="shared" si="0"/>
        <v>0.5</v>
      </c>
      <c r="O7" s="27">
        <f t="shared" si="0"/>
        <v>1</v>
      </c>
      <c r="P7" s="28"/>
      <c r="Q7" s="53"/>
      <c r="R7" s="58">
        <f t="shared" si="1"/>
        <v>4</v>
      </c>
      <c r="S7" s="8">
        <f t="shared" si="11"/>
        <v>12.75</v>
      </c>
      <c r="T7" s="8">
        <f t="shared" si="12"/>
        <v>4</v>
      </c>
      <c r="U7" s="14"/>
      <c r="V7" s="30"/>
      <c r="W7" s="31">
        <v>4</v>
      </c>
      <c r="X7" s="31" t="str">
        <f t="shared" si="13"/>
        <v>Tim Biljardt</v>
      </c>
      <c r="Y7" s="32">
        <v>6</v>
      </c>
      <c r="Z7" s="33" t="str">
        <f t="shared" si="28"/>
        <v>Tim Biljardt</v>
      </c>
      <c r="AA7" s="59">
        <f t="shared" si="14"/>
        <v>4</v>
      </c>
      <c r="AB7" s="34">
        <f t="shared" si="15"/>
        <v>5.5</v>
      </c>
      <c r="AC7" s="12">
        <f t="shared" si="16"/>
        <v>12.75</v>
      </c>
      <c r="AD7" s="34">
        <f t="shared" si="3"/>
        <v>11.5</v>
      </c>
      <c r="AE7" s="35">
        <f t="shared" si="4"/>
        <v>166</v>
      </c>
      <c r="AF7" s="56"/>
      <c r="AG7" s="61">
        <f t="shared" si="17"/>
        <v>0</v>
      </c>
      <c r="AH7" s="62">
        <f t="shared" si="18"/>
        <v>16</v>
      </c>
      <c r="AI7" s="61">
        <f t="shared" si="5"/>
        <v>0</v>
      </c>
      <c r="AJ7" s="62">
        <f t="shared" si="19"/>
        <v>16</v>
      </c>
      <c r="AK7" s="61">
        <f t="shared" si="20"/>
        <v>0</v>
      </c>
      <c r="AL7" s="56">
        <f t="shared" si="21"/>
        <v>16</v>
      </c>
      <c r="AM7" s="56"/>
      <c r="AN7" s="56">
        <f t="shared" si="22"/>
        <v>4</v>
      </c>
      <c r="AO7" s="56">
        <f t="shared" si="23"/>
        <v>5</v>
      </c>
      <c r="AP7" s="56">
        <f t="shared" si="24"/>
        <v>37</v>
      </c>
      <c r="AQ7" s="56">
        <f t="shared" si="25"/>
        <v>4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12.5</v>
      </c>
      <c r="AZ7" s="39">
        <f t="shared" si="7"/>
        <v>6.5</v>
      </c>
      <c r="BA7" s="39">
        <f t="shared" si="26"/>
        <v>24.5</v>
      </c>
      <c r="BC7" s="6">
        <v>4</v>
      </c>
      <c r="BD7" s="6">
        <f t="shared" si="8"/>
        <v>0.5</v>
      </c>
      <c r="BE7" s="6">
        <f t="shared" si="8"/>
        <v>1</v>
      </c>
      <c r="BF7" s="6">
        <f t="shared" si="8"/>
        <v>1</v>
      </c>
      <c r="BG7" s="6">
        <f t="shared" si="8"/>
        <v>0</v>
      </c>
      <c r="BH7" s="6">
        <f t="shared" si="8"/>
        <v>0</v>
      </c>
      <c r="BI7" s="6">
        <f t="shared" si="8"/>
        <v>0.5</v>
      </c>
      <c r="BJ7" s="6">
        <f t="shared" si="8"/>
        <v>1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0.5</v>
      </c>
      <c r="BP7" s="6">
        <f t="shared" si="9"/>
        <v>1.5</v>
      </c>
      <c r="BQ7" s="6">
        <f t="shared" si="9"/>
        <v>2.5</v>
      </c>
      <c r="BR7" s="6">
        <f t="shared" si="9"/>
        <v>2.5</v>
      </c>
      <c r="BS7" s="6">
        <f t="shared" si="9"/>
        <v>2.5</v>
      </c>
      <c r="BT7" s="6">
        <f t="shared" si="9"/>
        <v>3</v>
      </c>
      <c r="BU7" s="6">
        <f t="shared" si="9"/>
        <v>4</v>
      </c>
      <c r="BV7" s="6">
        <f t="shared" si="9"/>
        <v>4</v>
      </c>
      <c r="BW7" s="6">
        <f t="shared" si="9"/>
        <v>4</v>
      </c>
    </row>
    <row r="8" spans="1:75" x14ac:dyDescent="0.25">
      <c r="A8" s="24">
        <f t="shared" si="10"/>
        <v>8</v>
      </c>
      <c r="B8" s="25">
        <v>5</v>
      </c>
      <c r="C8" s="25" t="s">
        <v>148</v>
      </c>
      <c r="D8" s="67">
        <v>8636507</v>
      </c>
      <c r="E8" s="67"/>
      <c r="F8" s="25">
        <v>166</v>
      </c>
      <c r="H8" s="27">
        <f t="shared" si="0"/>
        <v>0.5</v>
      </c>
      <c r="I8" s="27">
        <f t="shared" si="0"/>
        <v>0.5</v>
      </c>
      <c r="J8" s="27">
        <f t="shared" si="0"/>
        <v>0</v>
      </c>
      <c r="K8" s="27">
        <f t="shared" si="0"/>
        <v>0.5</v>
      </c>
      <c r="L8" s="26" t="str">
        <f t="shared" si="0"/>
        <v/>
      </c>
      <c r="M8" s="27">
        <f t="shared" si="0"/>
        <v>0.5</v>
      </c>
      <c r="N8" s="27">
        <f t="shared" si="0"/>
        <v>0</v>
      </c>
      <c r="O8" s="27">
        <f t="shared" si="0"/>
        <v>0</v>
      </c>
      <c r="P8" s="28"/>
      <c r="Q8" s="53"/>
      <c r="R8" s="58">
        <f t="shared" si="1"/>
        <v>2</v>
      </c>
      <c r="S8" s="8">
        <f t="shared" si="11"/>
        <v>7</v>
      </c>
      <c r="T8" s="8">
        <f t="shared" si="12"/>
        <v>8</v>
      </c>
      <c r="U8" s="14"/>
      <c r="V8" s="30"/>
      <c r="W8" s="31">
        <v>5</v>
      </c>
      <c r="X8" s="31" t="str">
        <f t="shared" si="13"/>
        <v>Seger Endendijk</v>
      </c>
      <c r="Y8" s="32">
        <v>3</v>
      </c>
      <c r="Z8" s="33" t="str">
        <f t="shared" si="28"/>
        <v>Luka Da costa Fernandes</v>
      </c>
      <c r="AA8" s="59">
        <f t="shared" si="14"/>
        <v>3.5</v>
      </c>
      <c r="AB8" s="34">
        <f t="shared" si="15"/>
        <v>14</v>
      </c>
      <c r="AC8" s="12">
        <f t="shared" si="16"/>
        <v>11.5</v>
      </c>
      <c r="AD8" s="34">
        <f t="shared" si="3"/>
        <v>30.5</v>
      </c>
      <c r="AE8" s="35">
        <f t="shared" si="4"/>
        <v>172</v>
      </c>
      <c r="AF8" s="56"/>
      <c r="AG8" s="61">
        <f t="shared" si="17"/>
        <v>0.5</v>
      </c>
      <c r="AH8" s="62">
        <f t="shared" si="18"/>
        <v>8.5</v>
      </c>
      <c r="AI8" s="61">
        <f t="shared" si="5"/>
        <v>0</v>
      </c>
      <c r="AJ8" s="62">
        <f t="shared" si="19"/>
        <v>8.5</v>
      </c>
      <c r="AK8" s="61">
        <f t="shared" si="20"/>
        <v>0</v>
      </c>
      <c r="AL8" s="56">
        <f t="shared" si="21"/>
        <v>8.5</v>
      </c>
      <c r="AM8" s="56"/>
      <c r="AN8" s="56">
        <f t="shared" si="22"/>
        <v>0</v>
      </c>
      <c r="AO8" s="56">
        <f t="shared" si="23"/>
        <v>2</v>
      </c>
      <c r="AP8" s="56">
        <f t="shared" si="24"/>
        <v>2</v>
      </c>
      <c r="AQ8" s="56">
        <f t="shared" si="25"/>
        <v>8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7</v>
      </c>
      <c r="AZ8" s="39">
        <f t="shared" si="7"/>
        <v>2.25</v>
      </c>
      <c r="BA8" s="39">
        <f t="shared" si="26"/>
        <v>13</v>
      </c>
      <c r="BC8" s="6">
        <v>5</v>
      </c>
      <c r="BD8" s="6">
        <f t="shared" si="8"/>
        <v>0.5</v>
      </c>
      <c r="BE8" s="6">
        <f t="shared" si="8"/>
        <v>0</v>
      </c>
      <c r="BF8" s="6">
        <f t="shared" si="8"/>
        <v>0.5</v>
      </c>
      <c r="BG8" s="6">
        <f t="shared" si="8"/>
        <v>0.5</v>
      </c>
      <c r="BH8" s="6">
        <f t="shared" si="8"/>
        <v>0</v>
      </c>
      <c r="BI8" s="6">
        <f t="shared" si="8"/>
        <v>0.5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0.5</v>
      </c>
      <c r="BP8" s="6">
        <f t="shared" si="9"/>
        <v>0.5</v>
      </c>
      <c r="BQ8" s="6">
        <f t="shared" si="9"/>
        <v>1</v>
      </c>
      <c r="BR8" s="6">
        <f t="shared" si="9"/>
        <v>1.5</v>
      </c>
      <c r="BS8" s="6">
        <f t="shared" si="9"/>
        <v>1.5</v>
      </c>
      <c r="BT8" s="6">
        <f t="shared" si="9"/>
        <v>2</v>
      </c>
      <c r="BU8" s="6">
        <f t="shared" si="9"/>
        <v>2</v>
      </c>
      <c r="BV8" s="6">
        <f t="shared" si="9"/>
        <v>2</v>
      </c>
      <c r="BW8" s="6">
        <f t="shared" si="9"/>
        <v>2</v>
      </c>
    </row>
    <row r="9" spans="1:75" x14ac:dyDescent="0.25">
      <c r="A9" s="24">
        <f t="shared" si="10"/>
        <v>6</v>
      </c>
      <c r="B9" s="25">
        <v>6</v>
      </c>
      <c r="C9" s="25" t="s">
        <v>149</v>
      </c>
      <c r="D9" s="67">
        <v>8726619</v>
      </c>
      <c r="E9" s="67"/>
      <c r="F9" s="25">
        <v>166</v>
      </c>
      <c r="H9" s="27">
        <f t="shared" si="0"/>
        <v>0</v>
      </c>
      <c r="I9" s="27">
        <f t="shared" si="0"/>
        <v>0</v>
      </c>
      <c r="J9" s="27">
        <f t="shared" si="0"/>
        <v>0.5</v>
      </c>
      <c r="K9" s="27">
        <f t="shared" si="0"/>
        <v>0</v>
      </c>
      <c r="L9" s="27">
        <f t="shared" si="0"/>
        <v>0.5</v>
      </c>
      <c r="M9" s="26" t="str">
        <f t="shared" si="0"/>
        <v/>
      </c>
      <c r="N9" s="27">
        <f t="shared" si="0"/>
        <v>0</v>
      </c>
      <c r="O9" s="27">
        <f t="shared" si="0"/>
        <v>1</v>
      </c>
      <c r="P9" s="28"/>
      <c r="Q9" s="53"/>
      <c r="R9" s="58">
        <f t="shared" si="1"/>
        <v>2</v>
      </c>
      <c r="S9" s="8">
        <f t="shared" si="11"/>
        <v>5.75</v>
      </c>
      <c r="T9" s="8">
        <f t="shared" si="12"/>
        <v>6</v>
      </c>
      <c r="U9" s="14"/>
      <c r="V9" s="30"/>
      <c r="W9" s="31">
        <v>6</v>
      </c>
      <c r="X9" s="31" t="str">
        <f t="shared" si="13"/>
        <v>Wesley de Grijs</v>
      </c>
      <c r="Y9" s="32">
        <v>5</v>
      </c>
      <c r="Z9" s="33" t="str">
        <f t="shared" si="28"/>
        <v>Wesley de Grijs</v>
      </c>
      <c r="AA9" s="59">
        <f t="shared" si="14"/>
        <v>2</v>
      </c>
      <c r="AB9" s="34">
        <f t="shared" si="15"/>
        <v>7</v>
      </c>
      <c r="AC9" s="12">
        <f t="shared" si="16"/>
        <v>5.75</v>
      </c>
      <c r="AD9" s="34">
        <f t="shared" si="3"/>
        <v>13</v>
      </c>
      <c r="AE9" s="35">
        <f t="shared" si="4"/>
        <v>166</v>
      </c>
      <c r="AF9" s="56"/>
      <c r="AG9" s="61">
        <f t="shared" si="17"/>
        <v>1.5</v>
      </c>
      <c r="AH9" s="62">
        <f t="shared" si="18"/>
        <v>9.5</v>
      </c>
      <c r="AI9" s="61">
        <f t="shared" si="5"/>
        <v>0</v>
      </c>
      <c r="AJ9" s="62">
        <f t="shared" si="19"/>
        <v>9.5</v>
      </c>
      <c r="AK9" s="61">
        <f t="shared" si="20"/>
        <v>0</v>
      </c>
      <c r="AL9" s="56">
        <f t="shared" si="21"/>
        <v>9.5</v>
      </c>
      <c r="AM9" s="56"/>
      <c r="AN9" s="56">
        <f t="shared" si="22"/>
        <v>2</v>
      </c>
      <c r="AO9" s="56">
        <f t="shared" si="23"/>
        <v>1</v>
      </c>
      <c r="AP9" s="56">
        <f t="shared" si="24"/>
        <v>17</v>
      </c>
      <c r="AQ9" s="56">
        <f t="shared" si="25"/>
        <v>6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5.5</v>
      </c>
      <c r="AZ9" s="39">
        <f t="shared" si="7"/>
        <v>1.75</v>
      </c>
      <c r="BA9" s="39">
        <f t="shared" si="26"/>
        <v>11.5</v>
      </c>
      <c r="BC9" s="6">
        <v>6</v>
      </c>
      <c r="BD9" s="6">
        <f t="shared" si="8"/>
        <v>0.5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1</v>
      </c>
      <c r="BI9" s="6">
        <f t="shared" si="8"/>
        <v>0.5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0.5</v>
      </c>
      <c r="BP9" s="6">
        <f t="shared" si="9"/>
        <v>0.5</v>
      </c>
      <c r="BQ9" s="6">
        <f t="shared" si="9"/>
        <v>0.5</v>
      </c>
      <c r="BR9" s="6">
        <f t="shared" si="9"/>
        <v>0.5</v>
      </c>
      <c r="BS9" s="6">
        <f t="shared" si="9"/>
        <v>1.5</v>
      </c>
      <c r="BT9" s="6">
        <f t="shared" si="9"/>
        <v>2</v>
      </c>
      <c r="BU9" s="6">
        <f t="shared" si="9"/>
        <v>2</v>
      </c>
      <c r="BV9" s="6">
        <f t="shared" si="9"/>
        <v>2</v>
      </c>
      <c r="BW9" s="6">
        <f t="shared" si="9"/>
        <v>2</v>
      </c>
    </row>
    <row r="10" spans="1:75" x14ac:dyDescent="0.25">
      <c r="A10" s="24">
        <f t="shared" si="10"/>
        <v>3</v>
      </c>
      <c r="B10" s="25">
        <v>7</v>
      </c>
      <c r="C10" s="25" t="s">
        <v>150</v>
      </c>
      <c r="D10" s="67">
        <v>8633988</v>
      </c>
      <c r="E10" s="67"/>
      <c r="F10" s="25">
        <v>159</v>
      </c>
      <c r="H10" s="27">
        <f t="shared" si="0"/>
        <v>1</v>
      </c>
      <c r="I10" s="27">
        <f t="shared" si="0"/>
        <v>0</v>
      </c>
      <c r="J10" s="27">
        <f t="shared" si="0"/>
        <v>0</v>
      </c>
      <c r="K10" s="27">
        <f t="shared" si="0"/>
        <v>0.5</v>
      </c>
      <c r="L10" s="27">
        <f t="shared" si="0"/>
        <v>1</v>
      </c>
      <c r="M10" s="27">
        <f t="shared" si="0"/>
        <v>1</v>
      </c>
      <c r="N10" s="26" t="str">
        <f t="shared" si="0"/>
        <v/>
      </c>
      <c r="O10" s="27">
        <f t="shared" si="0"/>
        <v>1</v>
      </c>
      <c r="P10" s="28"/>
      <c r="Q10" s="53"/>
      <c r="R10" s="58">
        <f t="shared" si="1"/>
        <v>4.5</v>
      </c>
      <c r="S10" s="8">
        <f t="shared" si="11"/>
        <v>11.5</v>
      </c>
      <c r="T10" s="8">
        <f t="shared" si="12"/>
        <v>3</v>
      </c>
      <c r="U10" s="14"/>
      <c r="V10" s="30"/>
      <c r="W10" s="31">
        <v>7</v>
      </c>
      <c r="X10" s="31" t="str">
        <f t="shared" si="13"/>
        <v>Tristan van Kappen</v>
      </c>
      <c r="Y10" s="32">
        <v>4</v>
      </c>
      <c r="Z10" s="33" t="str">
        <f t="shared" si="28"/>
        <v>Kevin Beute</v>
      </c>
      <c r="AA10" s="59">
        <f t="shared" si="14"/>
        <v>2</v>
      </c>
      <c r="AB10" s="34">
        <f t="shared" si="15"/>
        <v>12.5</v>
      </c>
      <c r="AC10" s="12">
        <f t="shared" si="16"/>
        <v>5.5</v>
      </c>
      <c r="AD10" s="34">
        <f t="shared" si="3"/>
        <v>24.5</v>
      </c>
      <c r="AE10" s="35">
        <f t="shared" si="4"/>
        <v>170</v>
      </c>
      <c r="AF10" s="56"/>
      <c r="AG10" s="61">
        <f t="shared" si="17"/>
        <v>0</v>
      </c>
      <c r="AH10" s="62">
        <f t="shared" si="18"/>
        <v>18</v>
      </c>
      <c r="AI10" s="61">
        <f t="shared" si="5"/>
        <v>0</v>
      </c>
      <c r="AJ10" s="62">
        <f t="shared" si="19"/>
        <v>18</v>
      </c>
      <c r="AK10" s="61">
        <f t="shared" si="20"/>
        <v>0</v>
      </c>
      <c r="AL10" s="56">
        <f t="shared" si="21"/>
        <v>18</v>
      </c>
      <c r="AM10" s="56"/>
      <c r="AN10" s="56">
        <f t="shared" si="22"/>
        <v>5</v>
      </c>
      <c r="AO10" s="56">
        <f t="shared" si="23"/>
        <v>3</v>
      </c>
      <c r="AP10" s="56">
        <f t="shared" si="24"/>
        <v>43</v>
      </c>
      <c r="AQ10" s="56">
        <f t="shared" si="25"/>
        <v>3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14.5</v>
      </c>
      <c r="AZ10" s="39">
        <f t="shared" si="7"/>
        <v>4.25</v>
      </c>
      <c r="BA10" s="39">
        <f t="shared" si="26"/>
        <v>28</v>
      </c>
      <c r="BC10" s="6">
        <v>7</v>
      </c>
      <c r="BD10" s="6">
        <f t="shared" si="8"/>
        <v>0</v>
      </c>
      <c r="BE10" s="6">
        <f t="shared" si="8"/>
        <v>1</v>
      </c>
      <c r="BF10" s="6">
        <f t="shared" si="8"/>
        <v>1</v>
      </c>
      <c r="BG10" s="6">
        <f t="shared" si="8"/>
        <v>1</v>
      </c>
      <c r="BH10" s="6">
        <f t="shared" si="8"/>
        <v>1</v>
      </c>
      <c r="BI10" s="6">
        <f t="shared" si="8"/>
        <v>0.5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1</v>
      </c>
      <c r="BQ10" s="6">
        <f t="shared" si="9"/>
        <v>2</v>
      </c>
      <c r="BR10" s="6">
        <f t="shared" si="9"/>
        <v>3</v>
      </c>
      <c r="BS10" s="6">
        <f t="shared" si="9"/>
        <v>4</v>
      </c>
      <c r="BT10" s="6">
        <f t="shared" si="9"/>
        <v>4.5</v>
      </c>
      <c r="BU10" s="6">
        <f t="shared" si="9"/>
        <v>4.5</v>
      </c>
      <c r="BV10" s="6">
        <f t="shared" si="9"/>
        <v>4.5</v>
      </c>
      <c r="BW10" s="6">
        <f t="shared" si="9"/>
        <v>4.5</v>
      </c>
    </row>
    <row r="11" spans="1:75" x14ac:dyDescent="0.25">
      <c r="A11" s="24">
        <f t="shared" si="10"/>
        <v>7</v>
      </c>
      <c r="B11" s="25">
        <v>8</v>
      </c>
      <c r="C11" s="25" t="s">
        <v>151</v>
      </c>
      <c r="D11" s="67">
        <v>8689637</v>
      </c>
      <c r="E11" s="67"/>
      <c r="F11" s="25">
        <v>119</v>
      </c>
      <c r="H11" s="27">
        <f t="shared" si="0"/>
        <v>1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1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53"/>
      <c r="R11" s="58">
        <f t="shared" si="1"/>
        <v>2</v>
      </c>
      <c r="S11" s="8">
        <f t="shared" si="11"/>
        <v>5.5</v>
      </c>
      <c r="T11" s="8">
        <f t="shared" si="12"/>
        <v>7</v>
      </c>
      <c r="U11" s="14"/>
      <c r="V11" s="30"/>
      <c r="W11" s="31">
        <v>8</v>
      </c>
      <c r="X11" s="31" t="str">
        <f t="shared" si="13"/>
        <v>Kevin Beute</v>
      </c>
      <c r="Y11" s="32">
        <v>8</v>
      </c>
      <c r="Z11" s="33" t="str">
        <f t="shared" si="28"/>
        <v>Seger Endendijk</v>
      </c>
      <c r="AA11" s="59">
        <f t="shared" si="14"/>
        <v>2</v>
      </c>
      <c r="AB11" s="34">
        <f t="shared" si="15"/>
        <v>6</v>
      </c>
      <c r="AC11" s="12">
        <f t="shared" si="16"/>
        <v>7</v>
      </c>
      <c r="AD11" s="34">
        <f t="shared" si="3"/>
        <v>12</v>
      </c>
      <c r="AE11" s="35">
        <f t="shared" si="4"/>
        <v>119</v>
      </c>
      <c r="AF11" s="56"/>
      <c r="AG11" s="61">
        <f t="shared" si="17"/>
        <v>1</v>
      </c>
      <c r="AH11" s="62">
        <f t="shared" si="18"/>
        <v>9</v>
      </c>
      <c r="AI11" s="61">
        <f t="shared" si="5"/>
        <v>0</v>
      </c>
      <c r="AJ11" s="62">
        <f t="shared" si="19"/>
        <v>9</v>
      </c>
      <c r="AK11" s="61">
        <f t="shared" si="20"/>
        <v>0</v>
      </c>
      <c r="AL11" s="56">
        <f t="shared" si="21"/>
        <v>9</v>
      </c>
      <c r="AM11" s="56"/>
      <c r="AN11" s="56">
        <f t="shared" si="22"/>
        <v>1</v>
      </c>
      <c r="AO11" s="56">
        <f t="shared" si="23"/>
        <v>0</v>
      </c>
      <c r="AP11" s="56">
        <f t="shared" si="24"/>
        <v>8</v>
      </c>
      <c r="AQ11" s="56">
        <f t="shared" si="25"/>
        <v>7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6</v>
      </c>
      <c r="AZ11" s="39">
        <f t="shared" si="7"/>
        <v>2</v>
      </c>
      <c r="BA11" s="39">
        <f t="shared" si="26"/>
        <v>12</v>
      </c>
      <c r="BC11" s="6">
        <v>8</v>
      </c>
      <c r="BD11" s="6">
        <f t="shared" si="8"/>
        <v>1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1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1</v>
      </c>
      <c r="BP11" s="6">
        <f t="shared" si="9"/>
        <v>1</v>
      </c>
      <c r="BQ11" s="6">
        <f t="shared" si="9"/>
        <v>1</v>
      </c>
      <c r="BR11" s="6">
        <f t="shared" si="9"/>
        <v>1</v>
      </c>
      <c r="BS11" s="6">
        <f t="shared" si="9"/>
        <v>1</v>
      </c>
      <c r="BT11" s="6">
        <f t="shared" si="9"/>
        <v>1</v>
      </c>
      <c r="BU11" s="6">
        <f t="shared" si="9"/>
        <v>2</v>
      </c>
      <c r="BV11" s="6">
        <f t="shared" si="9"/>
        <v>2</v>
      </c>
      <c r="BW11" s="6">
        <f t="shared" si="9"/>
        <v>2</v>
      </c>
    </row>
    <row r="12" spans="1:75" hidden="1" x14ac:dyDescent="0.25">
      <c r="A12" s="6" t="e">
        <f t="shared" si="10"/>
        <v>#N/A</v>
      </c>
      <c r="T12" s="10" t="e">
        <f t="shared" si="12"/>
        <v>#N/A</v>
      </c>
      <c r="U12" s="10"/>
      <c r="Z12" s="33">
        <f t="shared" si="28"/>
        <v>0</v>
      </c>
      <c r="AA12" s="60" t="e">
        <f t="shared" ref="AA12" si="29">VLOOKUP($B12,$A$4:$T$11,18,FALSE)</f>
        <v>#N/A</v>
      </c>
      <c r="AH12" s="63"/>
      <c r="AK12" s="61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 t="e">
        <f t="shared" si="23"/>
        <v>#N/A</v>
      </c>
      <c r="AP12" s="56" t="e">
        <f t="shared" si="24"/>
        <v>#N/A</v>
      </c>
      <c r="AQ12" s="56" t="e">
        <f>RANK(AP13,$AP$4:$AP$11,1)</f>
        <v>#N/A</v>
      </c>
    </row>
    <row r="13" spans="1:75" x14ac:dyDescent="0.25">
      <c r="AG13" s="57">
        <f>2*MAX(AG4:AG11)+1</f>
        <v>4</v>
      </c>
      <c r="AH13" s="63"/>
      <c r="AI13" s="57">
        <f>2*MAX(AI4:AI11)+1</f>
        <v>1</v>
      </c>
      <c r="AK13" s="57">
        <f>2*MAX(AK4:AK11)+1</f>
        <v>1</v>
      </c>
      <c r="AX13" s="41" t="s">
        <v>36</v>
      </c>
      <c r="AY13" s="41" t="s">
        <v>0</v>
      </c>
      <c r="AZ13" s="41" t="s">
        <v>1</v>
      </c>
      <c r="BA13" s="41" t="s">
        <v>2</v>
      </c>
      <c r="BC13" s="42" t="s">
        <v>34</v>
      </c>
      <c r="BD13" s="42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Kevin Beute</v>
      </c>
      <c r="D16" s="46" t="s">
        <v>5</v>
      </c>
      <c r="E16" s="66" t="str">
        <f>VLOOKUP(AZ16,$B$4:$F$11,2,FALSE)</f>
        <v>Luka Da costa Fernandes</v>
      </c>
      <c r="F16" s="66"/>
      <c r="G16" s="66"/>
      <c r="H16" s="66"/>
      <c r="J16" s="66">
        <f>IF(T16="","",VLOOKUP(T16,Configuratie!$B$1:$E$10,3,FALSE))</f>
        <v>1</v>
      </c>
      <c r="K16" s="66"/>
      <c r="L16" s="6" t="s">
        <v>5</v>
      </c>
      <c r="M16" s="66">
        <f>IF(T16="","",VLOOKUP(T16,Configuratie!$B$1:$E$10,4,FALSE))</f>
        <v>0</v>
      </c>
      <c r="N16" s="66"/>
      <c r="R16" s="6" t="str">
        <f>IF(T16="","",VLOOKUP(T16,Configuratie!$B$1:$E$10,2,FALSE))</f>
        <v>1-0</v>
      </c>
      <c r="T16" s="5">
        <v>1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Tristan van Kappen</v>
      </c>
      <c r="D17" s="46" t="s">
        <v>5</v>
      </c>
      <c r="E17" s="66" t="str">
        <f t="shared" ref="E17:E19" si="31">VLOOKUP(AZ17,$B$4:$F$11,2,FALSE)</f>
        <v>Joris Diepenbroek</v>
      </c>
      <c r="F17" s="66"/>
      <c r="G17" s="66"/>
      <c r="H17" s="66"/>
      <c r="J17" s="66">
        <f>IF(T17="","",VLOOKUP(T17,Configuratie!$B$1:$E$10,3,FALSE))</f>
        <v>0</v>
      </c>
      <c r="K17" s="66"/>
      <c r="L17" s="6" t="s">
        <v>5</v>
      </c>
      <c r="M17" s="66">
        <f>IF(T17="","",VLOOKUP(T17,Configuratie!$B$1:$E$10,4,FALSE))</f>
        <v>1</v>
      </c>
      <c r="N17" s="66"/>
      <c r="R17" s="6" t="str">
        <f>IF(T17="","",VLOOKUP(T17,Configuratie!$B$1:$E$10,2,FALSE))</f>
        <v>0-1</v>
      </c>
      <c r="T17" s="5">
        <v>0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Wesley de Grijs</v>
      </c>
      <c r="D18" s="46" t="s">
        <v>5</v>
      </c>
      <c r="E18" s="66" t="str">
        <f t="shared" si="31"/>
        <v>Tim Schopman</v>
      </c>
      <c r="F18" s="66"/>
      <c r="G18" s="66"/>
      <c r="H18" s="66"/>
      <c r="J18" s="66">
        <f>IF(T18="","",VLOOKUP(T18,Configuratie!$B$1:$E$10,3,FALSE))</f>
        <v>0.5</v>
      </c>
      <c r="K18" s="66"/>
      <c r="L18" s="6" t="s">
        <v>5</v>
      </c>
      <c r="M18" s="66">
        <f>IF(T18="","",VLOOKUP(T18,Configuratie!$B$1:$E$10,4,FALSE))</f>
        <v>0.5</v>
      </c>
      <c r="N18" s="66"/>
      <c r="R18" s="6" t="str">
        <f>IF(T18="","",VLOOKUP(T18,Configuratie!$B$1:$E$10,2,FALSE))</f>
        <v>½-½</v>
      </c>
      <c r="T18" s="5">
        <v>2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Seger Endendijk</v>
      </c>
      <c r="D19" s="46" t="s">
        <v>5</v>
      </c>
      <c r="E19" s="66" t="str">
        <f t="shared" si="31"/>
        <v>Tim Biljardt</v>
      </c>
      <c r="F19" s="66"/>
      <c r="G19" s="66"/>
      <c r="H19" s="66"/>
      <c r="J19" s="66">
        <f>IF(T19="","",VLOOKUP(T19,Configuratie!$B$1:$E$10,3,FALSE))</f>
        <v>0.5</v>
      </c>
      <c r="K19" s="66"/>
      <c r="L19" s="6" t="s">
        <v>5</v>
      </c>
      <c r="M19" s="66">
        <f>IF(T19="","",VLOOKUP(T19,Configuratie!$B$1:$E$10,4,FALSE))</f>
        <v>0.5</v>
      </c>
      <c r="N19" s="66"/>
      <c r="R19" s="6" t="str">
        <f>IF(T19="","",VLOOKUP(T19,Configuratie!$B$1:$E$10,2,FALSE))</f>
        <v>½-½</v>
      </c>
      <c r="T19" s="5">
        <v>2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Kevin Beute</v>
      </c>
      <c r="D22" s="46" t="s">
        <v>5</v>
      </c>
      <c r="E22" s="66" t="str">
        <f>VLOOKUP(AZ22,$B$4:$F$11,2,FALSE)</f>
        <v>Tim Biljardt</v>
      </c>
      <c r="F22" s="66"/>
      <c r="G22" s="66"/>
      <c r="H22" s="66"/>
      <c r="J22" s="66">
        <f>IF(T22="","",VLOOKUP(T22,Configuratie!$B$1:$E$10,3,FALSE))</f>
        <v>0</v>
      </c>
      <c r="K22" s="66"/>
      <c r="L22" s="6" t="s">
        <v>5</v>
      </c>
      <c r="M22" s="66">
        <f>IF(T22="","",VLOOKUP(T22,Configuratie!$B$1:$E$10,4,FALSE))</f>
        <v>1</v>
      </c>
      <c r="N22" s="66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1</v>
      </c>
      <c r="BF22" s="6">
        <f t="shared" si="32"/>
        <v>0.5</v>
      </c>
      <c r="BG22" s="6">
        <f>J22*BF22</f>
        <v>0</v>
      </c>
      <c r="BH22" s="6">
        <f>M22*BE22</f>
        <v>1</v>
      </c>
    </row>
    <row r="23" spans="2:60" x14ac:dyDescent="0.25">
      <c r="B23" s="6">
        <v>2</v>
      </c>
      <c r="C23" s="6" t="str">
        <f>VLOOKUP(AY23,$B$4:$F$11,2,FALSE)</f>
        <v>Tim Schopman</v>
      </c>
      <c r="D23" s="46" t="s">
        <v>5</v>
      </c>
      <c r="E23" s="66" t="str">
        <f t="shared" ref="E23:E25" si="33">VLOOKUP(AZ23,$B$4:$F$11,2,FALSE)</f>
        <v>Seger Endendijk</v>
      </c>
      <c r="F23" s="66"/>
      <c r="G23" s="66"/>
      <c r="H23" s="66"/>
      <c r="J23" s="66">
        <f>IF(T23="","",VLOOKUP(T23,Configuratie!$B$1:$E$10,3,FALSE))</f>
        <v>1</v>
      </c>
      <c r="K23" s="66"/>
      <c r="L23" s="6" t="s">
        <v>5</v>
      </c>
      <c r="M23" s="66">
        <f>IF(T23="","",VLOOKUP(T23,Configuratie!$B$1:$E$10,4,FALSE))</f>
        <v>0</v>
      </c>
      <c r="N23" s="66"/>
      <c r="R23" s="6" t="str">
        <f>IF(T23="","",VLOOKUP(T23,Configuratie!$B$1:$E$10,2,FALSE))</f>
        <v>1-0</v>
      </c>
      <c r="T23" s="5">
        <v>1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8">
        <f>AY23*100+AZ23</f>
        <v>305</v>
      </c>
      <c r="BD23" s="48">
        <f>AZ23*100+AY23</f>
        <v>503</v>
      </c>
      <c r="BE23" s="6">
        <f t="shared" si="32"/>
        <v>0.5</v>
      </c>
      <c r="BF23" s="6">
        <f t="shared" si="32"/>
        <v>0.5</v>
      </c>
      <c r="BG23" s="6">
        <f>J23*BF23</f>
        <v>0.5</v>
      </c>
      <c r="BH23" s="6">
        <f>M23*BE23</f>
        <v>0</v>
      </c>
    </row>
    <row r="24" spans="2:60" x14ac:dyDescent="0.25">
      <c r="B24" s="6">
        <v>3</v>
      </c>
      <c r="C24" s="6" t="str">
        <f>VLOOKUP(AY24,$B$4:$F$11,2,FALSE)</f>
        <v>Joris Diepenbroek</v>
      </c>
      <c r="D24" s="46" t="s">
        <v>5</v>
      </c>
      <c r="E24" s="66" t="str">
        <f t="shared" si="33"/>
        <v>Wesley de Grijs</v>
      </c>
      <c r="F24" s="66"/>
      <c r="G24" s="66"/>
      <c r="H24" s="66"/>
      <c r="J24" s="66">
        <f>IF(T24="","",VLOOKUP(T24,Configuratie!$B$1:$E$10,3,FALSE))</f>
        <v>1</v>
      </c>
      <c r="K24" s="66"/>
      <c r="L24" s="6" t="s">
        <v>5</v>
      </c>
      <c r="M24" s="66">
        <f>IF(T24="","",VLOOKUP(T24,Configuratie!$B$1:$E$10,4,FALSE))</f>
        <v>0</v>
      </c>
      <c r="N24" s="66"/>
      <c r="R24" s="6" t="str">
        <f>IF(T24="","",VLOOKUP(T24,Configuratie!$B$1:$E$10,2,FALSE))</f>
        <v>1-0</v>
      </c>
      <c r="T24" s="5">
        <v>1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8">
        <f>AY24*100+AZ24</f>
        <v>206</v>
      </c>
      <c r="BD24" s="48">
        <f>AZ24*100+AY24</f>
        <v>602</v>
      </c>
      <c r="BE24" s="6">
        <f t="shared" si="32"/>
        <v>1</v>
      </c>
      <c r="BF24" s="6">
        <f t="shared" si="32"/>
        <v>0.5</v>
      </c>
      <c r="BG24" s="6">
        <f>J24*BF24</f>
        <v>0.5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Luka Da costa Fernandes</v>
      </c>
      <c r="D25" s="46" t="s">
        <v>5</v>
      </c>
      <c r="E25" s="66" t="str">
        <f t="shared" si="33"/>
        <v>Tristan van Kappen</v>
      </c>
      <c r="F25" s="66"/>
      <c r="G25" s="66"/>
      <c r="H25" s="66"/>
      <c r="J25" s="66">
        <f>IF(T25="","",VLOOKUP(T25,Configuratie!$B$1:$E$10,3,FALSE))</f>
        <v>0</v>
      </c>
      <c r="K25" s="66"/>
      <c r="L25" s="6" t="s">
        <v>5</v>
      </c>
      <c r="M25" s="66">
        <f>IF(T25="","",VLOOKUP(T25,Configuratie!$B$1:$E$10,4,FALSE))</f>
        <v>1</v>
      </c>
      <c r="N25" s="66"/>
      <c r="R25" s="6" t="str">
        <f>IF(T25="","",VLOOKUP(T25,Configuratie!$B$1:$E$10,2,FALSE))</f>
        <v>0-1</v>
      </c>
      <c r="T25" s="5">
        <v>0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0</v>
      </c>
      <c r="BG25" s="6">
        <f>J25*BF25</f>
        <v>0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Tristan van Kappen</v>
      </c>
      <c r="D28" s="46" t="s">
        <v>5</v>
      </c>
      <c r="E28" s="66" t="str">
        <f>VLOOKUP(AZ28,$B$4:$F$11,2,FALSE)</f>
        <v>Kevin Beute</v>
      </c>
      <c r="F28" s="66"/>
      <c r="G28" s="66"/>
      <c r="H28" s="66"/>
      <c r="J28" s="66">
        <f>IF(T28="","",VLOOKUP(T28,Configuratie!$B$1:$E$10,3,FALSE))</f>
        <v>1</v>
      </c>
      <c r="K28" s="66"/>
      <c r="L28" s="6" t="s">
        <v>5</v>
      </c>
      <c r="M28" s="66">
        <f>IF(T28="","",VLOOKUP(T28,Configuratie!$B$1:$E$10,4,FALSE))</f>
        <v>0</v>
      </c>
      <c r="N28" s="66"/>
      <c r="R28" s="6" t="str">
        <f>IF(T28="","",VLOOKUP(T28,Configuratie!$B$1:$E$10,2,FALSE))</f>
        <v>1-0</v>
      </c>
      <c r="T28" s="5">
        <v>1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1</v>
      </c>
      <c r="BF28" s="6">
        <f t="shared" si="35"/>
        <v>1</v>
      </c>
      <c r="BG28" s="6">
        <f>J28*BF28</f>
        <v>1</v>
      </c>
      <c r="BH28" s="6">
        <f>M28*BE28</f>
        <v>0</v>
      </c>
    </row>
    <row r="29" spans="2:60" x14ac:dyDescent="0.25">
      <c r="B29" s="6">
        <v>2</v>
      </c>
      <c r="C29" s="6" t="str">
        <f>VLOOKUP(AY29,$B$4:$F$11,2,FALSE)</f>
        <v>Wesley de Grijs</v>
      </c>
      <c r="D29" s="46" t="s">
        <v>5</v>
      </c>
      <c r="E29" s="66" t="str">
        <f>VLOOKUP(AZ29,$B$4:$F$11,2,FALSE)</f>
        <v>Luka Da costa Fernandes</v>
      </c>
      <c r="F29" s="66"/>
      <c r="G29" s="66"/>
      <c r="H29" s="66"/>
      <c r="J29" s="66">
        <f>IF(T29="","",VLOOKUP(T29,Configuratie!$B$1:$E$10,3,FALSE))</f>
        <v>0</v>
      </c>
      <c r="K29" s="66"/>
      <c r="L29" s="6" t="s">
        <v>5</v>
      </c>
      <c r="M29" s="66">
        <f>IF(T29="","",VLOOKUP(T29,Configuratie!$B$1:$E$10,4,FALSE))</f>
        <v>1</v>
      </c>
      <c r="N29" s="66"/>
      <c r="R29" s="6" t="str">
        <f>IF(T29="","",VLOOKUP(T29,Configuratie!$B$1:$E$10,2,FALSE))</f>
        <v>0-1</v>
      </c>
      <c r="T29" s="5">
        <v>0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8">
        <f>AY29*100+AZ29</f>
        <v>601</v>
      </c>
      <c r="BD29" s="48">
        <f>AZ29*100+AY29</f>
        <v>106</v>
      </c>
      <c r="BE29" s="6">
        <f t="shared" si="35"/>
        <v>0.5</v>
      </c>
      <c r="BF29" s="6">
        <f t="shared" si="35"/>
        <v>0</v>
      </c>
      <c r="BG29" s="6">
        <f>J29*BF29</f>
        <v>0</v>
      </c>
      <c r="BH29" s="6">
        <f>M29*BE29</f>
        <v>0.5</v>
      </c>
    </row>
    <row r="30" spans="2:60" x14ac:dyDescent="0.25">
      <c r="B30" s="6">
        <v>3</v>
      </c>
      <c r="C30" s="6" t="str">
        <f>VLOOKUP(AY30,$B$4:$F$11,2,FALSE)</f>
        <v>Seger Endendijk</v>
      </c>
      <c r="D30" s="46" t="s">
        <v>5</v>
      </c>
      <c r="E30" s="66" t="str">
        <f>VLOOKUP(AZ30,$B$4:$F$11,2,FALSE)</f>
        <v>Joris Diepenbroek</v>
      </c>
      <c r="F30" s="66"/>
      <c r="G30" s="66"/>
      <c r="H30" s="66"/>
      <c r="J30" s="66">
        <f>IF(T30="","",VLOOKUP(T30,Configuratie!$B$1:$E$10,3,FALSE))</f>
        <v>0.5</v>
      </c>
      <c r="K30" s="66"/>
      <c r="L30" s="6" t="s">
        <v>5</v>
      </c>
      <c r="M30" s="66">
        <f>IF(T30="","",VLOOKUP(T30,Configuratie!$B$1:$E$10,4,FALSE))</f>
        <v>0.5</v>
      </c>
      <c r="N30" s="66"/>
      <c r="R30" s="6" t="str">
        <f>IF(T30="","",VLOOKUP(T30,Configuratie!$B$1:$E$10,2,FALSE))</f>
        <v>½-½</v>
      </c>
      <c r="T30" s="5">
        <v>2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8">
        <f>AY30*100+AZ30</f>
        <v>502</v>
      </c>
      <c r="BD30" s="48">
        <f>AZ30*100+AY30</f>
        <v>205</v>
      </c>
      <c r="BE30" s="6">
        <f t="shared" si="35"/>
        <v>0.5</v>
      </c>
      <c r="BF30" s="6">
        <f t="shared" si="35"/>
        <v>2</v>
      </c>
      <c r="BG30" s="6">
        <f>J30*BF30</f>
        <v>1</v>
      </c>
      <c r="BH30" s="6">
        <f>M30*BE30</f>
        <v>0.25</v>
      </c>
    </row>
    <row r="31" spans="2:60" x14ac:dyDescent="0.25">
      <c r="B31" s="6">
        <v>4</v>
      </c>
      <c r="C31" s="6" t="str">
        <f>VLOOKUP(AY31,$B$4:$F$11,2,FALSE)</f>
        <v>Tim Biljardt</v>
      </c>
      <c r="D31" s="46" t="s">
        <v>5</v>
      </c>
      <c r="E31" s="66" t="str">
        <f>VLOOKUP(AZ31,$B$4:$F$11,2,FALSE)</f>
        <v>Tim Schopman</v>
      </c>
      <c r="F31" s="66"/>
      <c r="G31" s="66"/>
      <c r="H31" s="66"/>
      <c r="J31" s="66">
        <f>IF(T31="","",VLOOKUP(T31,Configuratie!$B$1:$E$10,3,FALSE))</f>
        <v>1</v>
      </c>
      <c r="K31" s="66"/>
      <c r="L31" s="6" t="s">
        <v>5</v>
      </c>
      <c r="M31" s="66">
        <f>IF(T31="","",VLOOKUP(T31,Configuratie!$B$1:$E$10,4,FALSE))</f>
        <v>0</v>
      </c>
      <c r="N31" s="66"/>
      <c r="R31" s="6" t="str">
        <f>IF(T31="","",VLOOKUP(T31,Configuratie!$B$1:$E$10,2,FALSE))</f>
        <v>1-0</v>
      </c>
      <c r="T31" s="5">
        <v>1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8">
        <f>AY31*100+AZ31</f>
        <v>403</v>
      </c>
      <c r="BD31" s="48">
        <f>AZ31*100+AY31</f>
        <v>304</v>
      </c>
      <c r="BE31" s="6">
        <f t="shared" si="35"/>
        <v>1.5</v>
      </c>
      <c r="BF31" s="6">
        <f t="shared" si="35"/>
        <v>1.5</v>
      </c>
      <c r="BG31" s="6">
        <f>J31*BF31</f>
        <v>1.5</v>
      </c>
      <c r="BH31" s="6">
        <f>M31*BE31</f>
        <v>0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Kevin Beute</v>
      </c>
      <c r="D34" s="46" t="s">
        <v>5</v>
      </c>
      <c r="E34" s="66" t="str">
        <f>VLOOKUP(AZ34,$B$4:$F$11,2,FALSE)</f>
        <v>Tim Schopman</v>
      </c>
      <c r="F34" s="66"/>
      <c r="G34" s="66"/>
      <c r="H34" s="66"/>
      <c r="J34" s="66">
        <f>IF(T34="","",VLOOKUP(T34,Configuratie!$B$1:$E$10,3,FALSE))</f>
        <v>0</v>
      </c>
      <c r="K34" s="66"/>
      <c r="L34" s="6" t="s">
        <v>5</v>
      </c>
      <c r="M34" s="66">
        <f>IF(T34="","",VLOOKUP(T34,Configuratie!$B$1:$E$10,4,FALSE))</f>
        <v>1</v>
      </c>
      <c r="N34" s="66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1</v>
      </c>
      <c r="BF34" s="6">
        <f t="shared" si="37"/>
        <v>1.5</v>
      </c>
      <c r="BG34" s="6">
        <f>J34*BF34</f>
        <v>0</v>
      </c>
      <c r="BH34" s="6">
        <f>M34*BE34</f>
        <v>1</v>
      </c>
    </row>
    <row r="35" spans="2:60" x14ac:dyDescent="0.25">
      <c r="B35" s="6">
        <v>2</v>
      </c>
      <c r="C35" s="6" t="str">
        <f>VLOOKUP(AY35,$B$4:$F$11,2,FALSE)</f>
        <v>Joris Diepenbroek</v>
      </c>
      <c r="D35" s="46" t="s">
        <v>5</v>
      </c>
      <c r="E35" s="66" t="str">
        <f>VLOOKUP(AZ35,$B$4:$F$11,2,FALSE)</f>
        <v>Tim Biljardt</v>
      </c>
      <c r="F35" s="66"/>
      <c r="G35" s="66"/>
      <c r="H35" s="66"/>
      <c r="J35" s="66">
        <f>IF(T35="","",VLOOKUP(T35,Configuratie!$B$1:$E$10,3,FALSE))</f>
        <v>1</v>
      </c>
      <c r="K35" s="66"/>
      <c r="L35" s="6" t="s">
        <v>5</v>
      </c>
      <c r="M35" s="66">
        <f>IF(T35="","",VLOOKUP(T35,Configuratie!$B$1:$E$10,4,FALSE))</f>
        <v>0</v>
      </c>
      <c r="N35" s="66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8">
        <f>AY35*100+AZ35</f>
        <v>204</v>
      </c>
      <c r="BD35" s="48">
        <f>AZ35*100+AY35</f>
        <v>402</v>
      </c>
      <c r="BE35" s="6">
        <f t="shared" si="37"/>
        <v>2.5</v>
      </c>
      <c r="BF35" s="6">
        <f t="shared" si="37"/>
        <v>2.5</v>
      </c>
      <c r="BG35" s="6">
        <f>J35*BF35</f>
        <v>2.5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Luka Da costa Fernandes</v>
      </c>
      <c r="D36" s="46" t="s">
        <v>5</v>
      </c>
      <c r="E36" s="66" t="str">
        <f>VLOOKUP(AZ36,$B$4:$F$11,2,FALSE)</f>
        <v>Seger Endendijk</v>
      </c>
      <c r="F36" s="66"/>
      <c r="G36" s="66"/>
      <c r="H36" s="66"/>
      <c r="J36" s="66">
        <f>IF(T36="","",VLOOKUP(T36,Configuratie!$B$1:$E$10,3,FALSE))</f>
        <v>0.5</v>
      </c>
      <c r="K36" s="66"/>
      <c r="L36" s="6" t="s">
        <v>5</v>
      </c>
      <c r="M36" s="66">
        <f>IF(T36="","",VLOOKUP(T36,Configuratie!$B$1:$E$10,4,FALSE))</f>
        <v>0.5</v>
      </c>
      <c r="N36" s="66"/>
      <c r="R36" s="6" t="str">
        <f>IF(T36="","",VLOOKUP(T36,Configuratie!$B$1:$E$10,2,FALSE))</f>
        <v>½-½</v>
      </c>
      <c r="T36" s="5">
        <v>2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8">
        <f>AY36*100+AZ36</f>
        <v>105</v>
      </c>
      <c r="BD36" s="48">
        <f>AZ36*100+AY36</f>
        <v>501</v>
      </c>
      <c r="BE36" s="6">
        <f t="shared" si="37"/>
        <v>1</v>
      </c>
      <c r="BF36" s="6">
        <f t="shared" si="37"/>
        <v>1</v>
      </c>
      <c r="BG36" s="6">
        <f>J36*BF36</f>
        <v>0.5</v>
      </c>
      <c r="BH36" s="6">
        <f>M36*BE36</f>
        <v>0.5</v>
      </c>
    </row>
    <row r="37" spans="2:60" x14ac:dyDescent="0.25">
      <c r="B37" s="6">
        <v>4</v>
      </c>
      <c r="C37" s="6" t="str">
        <f>VLOOKUP(AY37,$B$4:$F$11,2,FALSE)</f>
        <v>Tristan van Kappen</v>
      </c>
      <c r="D37" s="46" t="s">
        <v>5</v>
      </c>
      <c r="E37" s="66" t="str">
        <f>VLOOKUP(AZ37,$B$4:$F$11,2,FALSE)</f>
        <v>Wesley de Grijs</v>
      </c>
      <c r="F37" s="66"/>
      <c r="G37" s="66"/>
      <c r="H37" s="66"/>
      <c r="J37" s="66">
        <f>IF(T37="","",VLOOKUP(T37,Configuratie!$B$1:$E$10,3,FALSE))</f>
        <v>1</v>
      </c>
      <c r="K37" s="66"/>
      <c r="L37" s="6" t="s">
        <v>5</v>
      </c>
      <c r="M37" s="66">
        <f>IF(T37="","",VLOOKUP(T37,Configuratie!$B$1:$E$10,4,FALSE))</f>
        <v>0</v>
      </c>
      <c r="N37" s="66"/>
      <c r="R37" s="6" t="str">
        <f>IF(T37="","",VLOOKUP(T37,Configuratie!$B$1:$E$10,2,FALSE))</f>
        <v>1-0</v>
      </c>
      <c r="T37" s="5">
        <v>1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8">
        <f>AY37*100+AZ37</f>
        <v>706</v>
      </c>
      <c r="BD37" s="48">
        <f>AZ37*100+AY37</f>
        <v>607</v>
      </c>
      <c r="BE37" s="6">
        <f t="shared" si="37"/>
        <v>2</v>
      </c>
      <c r="BF37" s="6">
        <f t="shared" si="37"/>
        <v>0.5</v>
      </c>
      <c r="BG37" s="6">
        <f>J37*BF37</f>
        <v>0.5</v>
      </c>
      <c r="BH37" s="6">
        <f>M37*BE37</f>
        <v>0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Wesley de Grijs</v>
      </c>
      <c r="D40" s="46" t="s">
        <v>5</v>
      </c>
      <c r="E40" s="66" t="str">
        <f>VLOOKUP(AZ40,$B$4:$F$11,2,FALSE)</f>
        <v>Kevin Beute</v>
      </c>
      <c r="F40" s="66"/>
      <c r="G40" s="66"/>
      <c r="H40" s="66"/>
      <c r="J40" s="66">
        <f>IF(T40="","",VLOOKUP(T40,Configuratie!$B$1:$E$10,3,FALSE))</f>
        <v>1</v>
      </c>
      <c r="K40" s="66"/>
      <c r="L40" s="6" t="s">
        <v>5</v>
      </c>
      <c r="M40" s="66">
        <f>IF(T40="","",VLOOKUP(T40,Configuratie!$B$1:$E$10,4,FALSE))</f>
        <v>0</v>
      </c>
      <c r="N40" s="66"/>
      <c r="R40" s="6" t="str">
        <f>IF(T40="","",VLOOKUP(T40,Configuratie!$B$1:$E$10,2,FALSE))</f>
        <v>1-0</v>
      </c>
      <c r="T40" s="5">
        <v>1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0.5</v>
      </c>
      <c r="BF40" s="6">
        <f t="shared" si="39"/>
        <v>1</v>
      </c>
      <c r="BG40" s="6">
        <f>J40*BF40</f>
        <v>1</v>
      </c>
      <c r="BH40" s="6">
        <f>M40*BE40</f>
        <v>0</v>
      </c>
    </row>
    <row r="41" spans="2:60" x14ac:dyDescent="0.25">
      <c r="B41" s="6">
        <v>2</v>
      </c>
      <c r="C41" s="6" t="str">
        <f>VLOOKUP(AY41,$B$4:$F$11,2,FALSE)</f>
        <v>Seger Endendijk</v>
      </c>
      <c r="D41" s="46" t="s">
        <v>5</v>
      </c>
      <c r="E41" s="66" t="str">
        <f>VLOOKUP(AZ41,$B$4:$F$11,2,FALSE)</f>
        <v>Tristan van Kappen</v>
      </c>
      <c r="F41" s="66"/>
      <c r="G41" s="66"/>
      <c r="H41" s="66"/>
      <c r="J41" s="66">
        <f>IF(T41="","",VLOOKUP(T41,Configuratie!$B$1:$E$10,3,FALSE))</f>
        <v>0</v>
      </c>
      <c r="K41" s="66"/>
      <c r="L41" s="6" t="s">
        <v>5</v>
      </c>
      <c r="M41" s="66">
        <f>IF(T41="","",VLOOKUP(T41,Configuratie!$B$1:$E$10,4,FALSE))</f>
        <v>1</v>
      </c>
      <c r="N41" s="66"/>
      <c r="R41" s="6" t="str">
        <f>IF(T41="","",VLOOKUP(T41,Configuratie!$B$1:$E$10,2,FALSE))</f>
        <v>0-1</v>
      </c>
      <c r="T41" s="5">
        <v>0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8">
        <f>AY41*100+AZ41</f>
        <v>507</v>
      </c>
      <c r="BD41" s="48">
        <f>AZ41*100+AY41</f>
        <v>705</v>
      </c>
      <c r="BE41" s="6">
        <f t="shared" si="39"/>
        <v>1.5</v>
      </c>
      <c r="BF41" s="6">
        <f t="shared" si="39"/>
        <v>3</v>
      </c>
      <c r="BG41" s="6">
        <f>J41*BF41</f>
        <v>0</v>
      </c>
      <c r="BH41" s="6">
        <f>M41*BE41</f>
        <v>1.5</v>
      </c>
    </row>
    <row r="42" spans="2:60" x14ac:dyDescent="0.25">
      <c r="B42" s="6">
        <v>3</v>
      </c>
      <c r="C42" s="6" t="str">
        <f>VLOOKUP(AY42,$B$4:$F$11,2,FALSE)</f>
        <v>Tim Biljardt</v>
      </c>
      <c r="D42" s="46" t="s">
        <v>5</v>
      </c>
      <c r="E42" s="66" t="str">
        <f>VLOOKUP(AZ42,$B$4:$F$11,2,FALSE)</f>
        <v>Luka Da costa Fernandes</v>
      </c>
      <c r="F42" s="66"/>
      <c r="G42" s="66"/>
      <c r="H42" s="66"/>
      <c r="J42" s="66">
        <f>IF(T42="","",VLOOKUP(T42,Configuratie!$B$1:$E$10,3,FALSE))</f>
        <v>0</v>
      </c>
      <c r="K42" s="66"/>
      <c r="L42" s="6" t="s">
        <v>5</v>
      </c>
      <c r="M42" s="66">
        <f>IF(T42="","",VLOOKUP(T42,Configuratie!$B$1:$E$10,4,FALSE))</f>
        <v>1</v>
      </c>
      <c r="N42" s="66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8">
        <f>AY42*100+AZ42</f>
        <v>401</v>
      </c>
      <c r="BD42" s="48">
        <f>AZ42*100+AY42</f>
        <v>104</v>
      </c>
      <c r="BE42" s="6">
        <f t="shared" si="39"/>
        <v>2.5</v>
      </c>
      <c r="BF42" s="6">
        <f t="shared" si="39"/>
        <v>1.5</v>
      </c>
      <c r="BG42" s="6">
        <f>J42*BF42</f>
        <v>0</v>
      </c>
      <c r="BH42" s="6">
        <f>M42*BE42</f>
        <v>2.5</v>
      </c>
    </row>
    <row r="43" spans="2:60" x14ac:dyDescent="0.25">
      <c r="B43" s="6">
        <v>4</v>
      </c>
      <c r="C43" s="6" t="str">
        <f>VLOOKUP(AY43,$B$4:$F$11,2,FALSE)</f>
        <v>Tim Schopman</v>
      </c>
      <c r="D43" s="46" t="s">
        <v>5</v>
      </c>
      <c r="E43" s="66" t="str">
        <f>VLOOKUP(AZ43,$B$4:$F$11,2,FALSE)</f>
        <v>Joris Diepenbroek</v>
      </c>
      <c r="F43" s="66"/>
      <c r="G43" s="66"/>
      <c r="H43" s="66"/>
      <c r="J43" s="66">
        <f>IF(T43="","",VLOOKUP(T43,Configuratie!$B$1:$E$10,3,FALSE))</f>
        <v>1</v>
      </c>
      <c r="K43" s="66"/>
      <c r="L43" s="6" t="s">
        <v>5</v>
      </c>
      <c r="M43" s="66">
        <f>IF(T43="","",VLOOKUP(T43,Configuratie!$B$1:$E$10,4,FALSE))</f>
        <v>0</v>
      </c>
      <c r="N43" s="66"/>
      <c r="R43" s="6" t="str">
        <f>IF(T43="","",VLOOKUP(T43,Configuratie!$B$1:$E$10,2,FALSE))</f>
        <v>1-0</v>
      </c>
      <c r="T43" s="5">
        <v>1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8">
        <f>AY43*100+AZ43</f>
        <v>302</v>
      </c>
      <c r="BD43" s="48">
        <f>AZ43*100+AY43</f>
        <v>203</v>
      </c>
      <c r="BE43" s="6">
        <f t="shared" si="39"/>
        <v>2.5</v>
      </c>
      <c r="BF43" s="6">
        <f t="shared" si="39"/>
        <v>3.5</v>
      </c>
      <c r="BG43" s="6">
        <f>J43*BF43</f>
        <v>3.5</v>
      </c>
      <c r="BH43" s="6">
        <f>M43*BE43</f>
        <v>0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Kevin Beute</v>
      </c>
      <c r="D46" s="46" t="s">
        <v>5</v>
      </c>
      <c r="E46" s="66" t="str">
        <f>VLOOKUP(AZ46,$B$4:$F$11,2,FALSE)</f>
        <v>Joris Diepenbroek</v>
      </c>
      <c r="F46" s="66"/>
      <c r="G46" s="66"/>
      <c r="H46" s="66"/>
      <c r="J46" s="66">
        <f>IF(T46="","",VLOOKUP(T46,Configuratie!$B$1:$E$10,3,FALSE))</f>
        <v>0</v>
      </c>
      <c r="K46" s="66"/>
      <c r="L46" s="6" t="s">
        <v>5</v>
      </c>
      <c r="M46" s="66">
        <f>IF(T46="","",VLOOKUP(T46,Configuratie!$B$1:$E$10,4,FALSE))</f>
        <v>1</v>
      </c>
      <c r="N46" s="66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1</v>
      </c>
      <c r="BF46" s="6">
        <f t="shared" si="41"/>
        <v>3.5</v>
      </c>
      <c r="BG46" s="6">
        <f>J46*BF46</f>
        <v>0</v>
      </c>
      <c r="BH46" s="6">
        <f>M46*BE46</f>
        <v>1</v>
      </c>
    </row>
    <row r="47" spans="2:60" x14ac:dyDescent="0.25">
      <c r="B47" s="6">
        <v>2</v>
      </c>
      <c r="C47" s="6" t="str">
        <f>VLOOKUP(AY47,$B$4:$F$11,2,FALSE)</f>
        <v>Luka Da costa Fernandes</v>
      </c>
      <c r="D47" s="46" t="s">
        <v>5</v>
      </c>
      <c r="E47" s="66" t="str">
        <f>VLOOKUP(AZ47,$B$4:$F$11,2,FALSE)</f>
        <v>Tim Schopman</v>
      </c>
      <c r="F47" s="66"/>
      <c r="G47" s="66"/>
      <c r="H47" s="66"/>
      <c r="J47" s="66">
        <f>IF(T47="","",VLOOKUP(T47,Configuratie!$B$1:$E$10,3,FALSE))</f>
        <v>0</v>
      </c>
      <c r="K47" s="66"/>
      <c r="L47" s="6" t="s">
        <v>5</v>
      </c>
      <c r="M47" s="66">
        <f>IF(T47="","",VLOOKUP(T47,Configuratie!$B$1:$E$10,4,FALSE))</f>
        <v>1</v>
      </c>
      <c r="N47" s="66"/>
      <c r="R47" s="6" t="str">
        <f>IF(T47="","",VLOOKUP(T47,Configuratie!$B$1:$E$10,2,FALSE))</f>
        <v>0-1</v>
      </c>
      <c r="T47" s="5">
        <v>0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8">
        <f>AY47*100+AZ47</f>
        <v>103</v>
      </c>
      <c r="BD47" s="48">
        <f>AZ47*100+AY47</f>
        <v>301</v>
      </c>
      <c r="BE47" s="6">
        <f t="shared" si="41"/>
        <v>2.5</v>
      </c>
      <c r="BF47" s="6">
        <f t="shared" si="41"/>
        <v>3.5</v>
      </c>
      <c r="BG47" s="6">
        <f>J47*BF47</f>
        <v>0</v>
      </c>
      <c r="BH47" s="6">
        <f>M47*BE47</f>
        <v>2.5</v>
      </c>
    </row>
    <row r="48" spans="2:60" x14ac:dyDescent="0.25">
      <c r="B48" s="6">
        <v>3</v>
      </c>
      <c r="C48" s="6" t="str">
        <f>VLOOKUP(AY48,$B$4:$F$11,2,FALSE)</f>
        <v>Tristan van Kappen</v>
      </c>
      <c r="D48" s="46" t="s">
        <v>5</v>
      </c>
      <c r="E48" s="66" t="str">
        <f>VLOOKUP(AZ48,$B$4:$F$11,2,FALSE)</f>
        <v>Tim Biljardt</v>
      </c>
      <c r="F48" s="66"/>
      <c r="G48" s="66"/>
      <c r="H48" s="66"/>
      <c r="J48" s="66">
        <f>IF(T48="","",VLOOKUP(T48,Configuratie!$B$1:$E$10,3,FALSE))</f>
        <v>0.5</v>
      </c>
      <c r="K48" s="66"/>
      <c r="L48" s="6" t="s">
        <v>5</v>
      </c>
      <c r="M48" s="66">
        <f>IF(T48="","",VLOOKUP(T48,Configuratie!$B$1:$E$10,4,FALSE))</f>
        <v>0.5</v>
      </c>
      <c r="N48" s="66"/>
      <c r="R48" s="6" t="str">
        <f>IF(T48="","",VLOOKUP(T48,Configuratie!$B$1:$E$10,2,FALSE))</f>
        <v>½-½</v>
      </c>
      <c r="T48" s="5">
        <v>2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8">
        <f>AY48*100+AZ48</f>
        <v>704</v>
      </c>
      <c r="BD48" s="48">
        <f>AZ48*100+AY48</f>
        <v>407</v>
      </c>
      <c r="BE48" s="6">
        <f t="shared" si="41"/>
        <v>4</v>
      </c>
      <c r="BF48" s="6">
        <f t="shared" si="41"/>
        <v>2.5</v>
      </c>
      <c r="BG48" s="6">
        <f>J48*BF48</f>
        <v>1.25</v>
      </c>
      <c r="BH48" s="6">
        <f>M48*BE48</f>
        <v>2</v>
      </c>
    </row>
    <row r="49" spans="2:60" x14ac:dyDescent="0.25">
      <c r="B49" s="6">
        <v>4</v>
      </c>
      <c r="C49" s="6" t="str">
        <f>VLOOKUP(AY49,$B$4:$F$11,2,FALSE)</f>
        <v>Wesley de Grijs</v>
      </c>
      <c r="D49" s="46" t="s">
        <v>5</v>
      </c>
      <c r="E49" s="66" t="str">
        <f>VLOOKUP(AZ49,$B$4:$F$11,2,FALSE)</f>
        <v>Seger Endendijk</v>
      </c>
      <c r="F49" s="66"/>
      <c r="G49" s="66"/>
      <c r="H49" s="66"/>
      <c r="J49" s="66">
        <f>IF(T49="","",VLOOKUP(T49,Configuratie!$B$1:$E$10,3,FALSE))</f>
        <v>0.5</v>
      </c>
      <c r="K49" s="66"/>
      <c r="L49" s="6" t="s">
        <v>5</v>
      </c>
      <c r="M49" s="66">
        <f>IF(T49="","",VLOOKUP(T49,Configuratie!$B$1:$E$10,4,FALSE))</f>
        <v>0.5</v>
      </c>
      <c r="N49" s="66"/>
      <c r="R49" s="6" t="str">
        <f>IF(T49="","",VLOOKUP(T49,Configuratie!$B$1:$E$10,2,FALSE))</f>
        <v>½-½</v>
      </c>
      <c r="T49" s="5">
        <v>2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8">
        <f>AY49*100+AZ49</f>
        <v>605</v>
      </c>
      <c r="BD49" s="48">
        <f>AZ49*100+AY49</f>
        <v>506</v>
      </c>
      <c r="BE49" s="6">
        <f t="shared" si="41"/>
        <v>1.5</v>
      </c>
      <c r="BF49" s="6">
        <f t="shared" si="41"/>
        <v>1.5</v>
      </c>
      <c r="BG49" s="6">
        <f>J49*BF49</f>
        <v>0.75</v>
      </c>
      <c r="BH49" s="6">
        <f>M49*BE49</f>
        <v>0.75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Seger Endendijk</v>
      </c>
      <c r="D52" s="46" t="s">
        <v>5</v>
      </c>
      <c r="E52" s="66" t="str">
        <f>VLOOKUP(AZ52,$B$4:$F$11,2,FALSE)</f>
        <v>Kevin Beute</v>
      </c>
      <c r="F52" s="66"/>
      <c r="G52" s="66"/>
      <c r="H52" s="66"/>
      <c r="J52" s="66">
        <f>IF(T52="","",VLOOKUP(T52,Configuratie!$B$1:$E$10,3,FALSE))</f>
        <v>0</v>
      </c>
      <c r="K52" s="66"/>
      <c r="L52" s="6" t="s">
        <v>5</v>
      </c>
      <c r="M52" s="66">
        <f>IF(T52="","",VLOOKUP(T52,Configuratie!$B$1:$E$10,4,FALSE))</f>
        <v>1</v>
      </c>
      <c r="N52" s="66"/>
      <c r="R52" s="6" t="str">
        <f>IF(T52="","",VLOOKUP(T52,Configuratie!$B$1:$E$10,2,FALSE))</f>
        <v>0-1</v>
      </c>
      <c r="T52" s="5">
        <v>0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2</v>
      </c>
      <c r="BF52" s="6">
        <f t="shared" si="43"/>
        <v>1</v>
      </c>
      <c r="BG52" s="6">
        <f>J52*BF52</f>
        <v>0</v>
      </c>
      <c r="BH52" s="6">
        <f>M52*BE52</f>
        <v>2</v>
      </c>
    </row>
    <row r="53" spans="2:60" x14ac:dyDescent="0.25">
      <c r="B53" s="6">
        <v>2</v>
      </c>
      <c r="C53" s="6" t="str">
        <f>VLOOKUP(AY53,$B$4:$F$11,2,FALSE)</f>
        <v>Tim Biljardt</v>
      </c>
      <c r="D53" s="46" t="s">
        <v>5</v>
      </c>
      <c r="E53" s="66" t="str">
        <f>VLOOKUP(AZ53,$B$4:$F$11,2,FALSE)</f>
        <v>Wesley de Grijs</v>
      </c>
      <c r="F53" s="66"/>
      <c r="G53" s="66"/>
      <c r="H53" s="66"/>
      <c r="J53" s="66">
        <f>IF(T53="","",VLOOKUP(T53,Configuratie!$B$1:$E$10,3,FALSE))</f>
        <v>1</v>
      </c>
      <c r="K53" s="66"/>
      <c r="L53" s="6" t="s">
        <v>5</v>
      </c>
      <c r="M53" s="66">
        <f>IF(T53="","",VLOOKUP(T53,Configuratie!$B$1:$E$10,4,FALSE))</f>
        <v>0</v>
      </c>
      <c r="N53" s="66"/>
      <c r="R53" s="6" t="str">
        <f>IF(T53="","",VLOOKUP(T53,Configuratie!$B$1:$E$10,2,FALSE))</f>
        <v>1-0</v>
      </c>
      <c r="T53" s="5">
        <v>1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8">
        <f>AY53*100+AZ53</f>
        <v>406</v>
      </c>
      <c r="BD53" s="48">
        <f>AZ53*100+AY53</f>
        <v>604</v>
      </c>
      <c r="BE53" s="6">
        <f t="shared" si="43"/>
        <v>3</v>
      </c>
      <c r="BF53" s="6">
        <f t="shared" si="43"/>
        <v>2</v>
      </c>
      <c r="BG53" s="6">
        <f>J53*BF53</f>
        <v>2</v>
      </c>
      <c r="BH53" s="6">
        <f>M53*BE53</f>
        <v>0</v>
      </c>
    </row>
    <row r="54" spans="2:60" x14ac:dyDescent="0.25">
      <c r="B54" s="6">
        <v>3</v>
      </c>
      <c r="C54" s="6" t="str">
        <f>VLOOKUP(AY54,$B$4:$F$11,2,FALSE)</f>
        <v>Tim Schopman</v>
      </c>
      <c r="D54" s="46" t="s">
        <v>5</v>
      </c>
      <c r="E54" s="66" t="str">
        <f>VLOOKUP(AZ54,$B$4:$F$11,2,FALSE)</f>
        <v>Tristan van Kappen</v>
      </c>
      <c r="F54" s="66"/>
      <c r="G54" s="66"/>
      <c r="H54" s="66"/>
      <c r="J54" s="66">
        <f>IF(T54="","",VLOOKUP(T54,Configuratie!$B$1:$E$10,3,FALSE))</f>
        <v>1</v>
      </c>
      <c r="K54" s="66"/>
      <c r="L54" s="6" t="s">
        <v>5</v>
      </c>
      <c r="M54" s="66">
        <f>IF(T54="","",VLOOKUP(T54,Configuratie!$B$1:$E$10,4,FALSE))</f>
        <v>0</v>
      </c>
      <c r="N54" s="66"/>
      <c r="R54" s="6" t="str">
        <f>IF(T54="","",VLOOKUP(T54,Configuratie!$B$1:$E$10,2,FALSE))</f>
        <v>1-0</v>
      </c>
      <c r="T54" s="5">
        <v>1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8">
        <f>AY54*100+AZ54</f>
        <v>307</v>
      </c>
      <c r="BD54" s="48">
        <f>AZ54*100+AY54</f>
        <v>703</v>
      </c>
      <c r="BE54" s="6">
        <f t="shared" si="43"/>
        <v>4.5</v>
      </c>
      <c r="BF54" s="6">
        <f t="shared" si="43"/>
        <v>4.5</v>
      </c>
      <c r="BG54" s="6">
        <f>J54*BF54</f>
        <v>4.5</v>
      </c>
      <c r="BH54" s="6">
        <f>M54*BE54</f>
        <v>0</v>
      </c>
    </row>
    <row r="55" spans="2:60" x14ac:dyDescent="0.25">
      <c r="B55" s="6">
        <v>4</v>
      </c>
      <c r="C55" s="6" t="str">
        <f>VLOOKUP(AY55,$B$4:$F$11,2,FALSE)</f>
        <v>Joris Diepenbroek</v>
      </c>
      <c r="D55" s="46" t="s">
        <v>5</v>
      </c>
      <c r="E55" s="66" t="str">
        <f>VLOOKUP(AZ55,$B$4:$F$11,2,FALSE)</f>
        <v>Luka Da costa Fernandes</v>
      </c>
      <c r="F55" s="66"/>
      <c r="G55" s="66"/>
      <c r="H55" s="66"/>
      <c r="J55" s="66">
        <f>IF(T55="","",VLOOKUP(T55,Configuratie!$B$1:$E$10,3,FALSE))</f>
        <v>0</v>
      </c>
      <c r="K55" s="66"/>
      <c r="L55" s="6" t="s">
        <v>5</v>
      </c>
      <c r="M55" s="66">
        <f>IF(T55="","",VLOOKUP(T55,Configuratie!$B$1:$E$10,4,FALSE))</f>
        <v>1</v>
      </c>
      <c r="N55" s="66"/>
      <c r="R55" s="6" t="str">
        <f>IF(T55="","",VLOOKUP(T55,Configuratie!$B$1:$E$10,2,FALSE))</f>
        <v>0-1</v>
      </c>
      <c r="T55" s="5">
        <v>0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8">
        <f>AY55*100+AZ55</f>
        <v>201</v>
      </c>
      <c r="BD55" s="48">
        <f>AZ55*100+AY55</f>
        <v>102</v>
      </c>
      <c r="BE55" s="6">
        <f t="shared" si="43"/>
        <v>4.5</v>
      </c>
      <c r="BF55" s="6">
        <f t="shared" si="43"/>
        <v>2.5</v>
      </c>
      <c r="BG55" s="6">
        <f>J55*BF55</f>
        <v>0</v>
      </c>
      <c r="BH55" s="6">
        <f>M55*BE55</f>
        <v>4.5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3" priority="4" stopIfTrue="1" operator="between">
      <formula>0</formula>
      <formula>1</formula>
    </cfRule>
  </conditionalFormatting>
  <conditionalFormatting sqref="T4:U11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 verticalCentered="1"/>
  <pageMargins left="0.7" right="0.7" top="0.75" bottom="0.75" header="0.3" footer="0.3"/>
  <pageSetup scale="57" orientation="portrait" r:id="rId1"/>
  <colBreaks count="2" manualBreakCount="2">
    <brk id="20" max="1048575" man="1"/>
    <brk id="19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 collapsed="1"/>
    <col min="2" max="2" width="13.42578125" customWidth="1" collapsed="1"/>
  </cols>
  <sheetData>
    <row r="1" spans="1:8" ht="26.25" x14ac:dyDescent="0.4">
      <c r="A1" s="65" t="s">
        <v>37</v>
      </c>
      <c r="B1" s="65"/>
      <c r="C1" s="65"/>
      <c r="D1" s="65"/>
      <c r="E1" s="65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64" t="s">
        <v>6</v>
      </c>
      <c r="B3" s="64" t="s">
        <v>7</v>
      </c>
      <c r="C3" s="64" t="s">
        <v>8</v>
      </c>
      <c r="D3" s="64" t="s">
        <v>62</v>
      </c>
      <c r="E3" s="2"/>
      <c r="F3" s="1"/>
      <c r="G3" s="1"/>
      <c r="H3" s="1"/>
    </row>
    <row r="4" spans="1:8" x14ac:dyDescent="0.25">
      <c r="A4" s="3" t="str">
        <f>'Groep A'!C4</f>
        <v>Thomas Beerdsen</v>
      </c>
      <c r="B4" s="3">
        <f>'Groep A'!D4</f>
        <v>8274266</v>
      </c>
      <c r="C4" s="3">
        <f>'Groep A'!F4</f>
        <v>2445</v>
      </c>
      <c r="D4" s="3" t="s">
        <v>63</v>
      </c>
      <c r="E4" s="3"/>
      <c r="F4" s="1"/>
      <c r="G4" s="1"/>
      <c r="H4" s="1"/>
    </row>
    <row r="5" spans="1:8" x14ac:dyDescent="0.25">
      <c r="A5" s="1" t="str">
        <f>'Groep A'!C5</f>
        <v>Max Warmerdam</v>
      </c>
      <c r="B5" s="1">
        <f>'Groep A'!D5</f>
        <v>8413383</v>
      </c>
      <c r="C5" s="1">
        <f>'Groep A'!F5</f>
        <v>2399</v>
      </c>
      <c r="D5" s="1" t="s">
        <v>63</v>
      </c>
      <c r="E5" s="1"/>
      <c r="F5" s="1"/>
      <c r="G5" s="1"/>
      <c r="H5" s="1"/>
    </row>
    <row r="6" spans="1:8" x14ac:dyDescent="0.25">
      <c r="A6" s="1" t="str">
        <f>'Groep A'!C6</f>
        <v>Anna Martinez *</v>
      </c>
      <c r="B6" s="1">
        <f>'Groep A'!D6</f>
        <v>8511250</v>
      </c>
      <c r="C6" s="1">
        <f>'Groep A'!F6</f>
        <v>1836</v>
      </c>
      <c r="D6" s="1" t="s">
        <v>63</v>
      </c>
      <c r="E6" s="1"/>
      <c r="F6" s="1"/>
      <c r="G6" s="1"/>
      <c r="H6" s="1"/>
    </row>
    <row r="7" spans="1:8" x14ac:dyDescent="0.25">
      <c r="A7" s="1" t="str">
        <f>'Groep B'!C4</f>
        <v>Tobias de Vries</v>
      </c>
      <c r="B7" s="1">
        <f>'Groep B'!D4</f>
        <v>8524736</v>
      </c>
      <c r="C7" s="1">
        <f>'Groep B'!F4</f>
        <v>1793</v>
      </c>
      <c r="D7" s="1" t="s">
        <v>68</v>
      </c>
      <c r="E7" s="1"/>
      <c r="F7" s="1"/>
      <c r="G7" s="1"/>
      <c r="H7" s="1"/>
    </row>
    <row r="9" spans="1:8" x14ac:dyDescent="0.25">
      <c r="A9" s="1" t="str">
        <f>'Groep B'!C5</f>
        <v>Willeke Knottnerus *</v>
      </c>
      <c r="B9" s="1">
        <f>'Groep B'!D5</f>
        <v>8295309</v>
      </c>
      <c r="C9" s="1">
        <f>'Groep B'!F5</f>
        <v>1650</v>
      </c>
      <c r="D9" s="1" t="s">
        <v>68</v>
      </c>
      <c r="E9" s="1"/>
      <c r="F9" s="1"/>
      <c r="G9" s="1"/>
      <c r="H9" s="1"/>
    </row>
    <row r="10" spans="1:8" x14ac:dyDescent="0.25">
      <c r="A10" s="1" t="str">
        <f>'Groep B'!C6</f>
        <v>Imre Woest *</v>
      </c>
      <c r="B10" s="1">
        <f>'Groep B'!D6</f>
        <v>8560915</v>
      </c>
      <c r="C10" s="1">
        <f>'Groep B'!F6</f>
        <v>1385</v>
      </c>
      <c r="D10" s="1" t="s">
        <v>68</v>
      </c>
      <c r="E10" s="1"/>
      <c r="F10" s="1"/>
      <c r="G10" s="1"/>
      <c r="H10" s="1"/>
    </row>
    <row r="11" spans="1:8" x14ac:dyDescent="0.25">
      <c r="A11" s="1" t="str">
        <f>'Groep B'!C7</f>
        <v>Saa Albers</v>
      </c>
      <c r="B11" s="1">
        <f>'Groep B'!D7</f>
        <v>8649487</v>
      </c>
      <c r="C11" s="1">
        <f>'Groep B'!F7</f>
        <v>1360</v>
      </c>
      <c r="D11" s="1" t="s">
        <v>68</v>
      </c>
      <c r="E11" s="1"/>
      <c r="F11" s="1"/>
      <c r="G11" s="1"/>
      <c r="H11" s="1"/>
    </row>
    <row r="12" spans="1:8" x14ac:dyDescent="0.25">
      <c r="A12" s="1" t="str">
        <f>'Groep C'!C4</f>
        <v>Ruben de Vries</v>
      </c>
      <c r="B12" s="1">
        <f>'Groep C'!D4</f>
        <v>8360121</v>
      </c>
      <c r="C12" s="1">
        <f>'Groep C'!F4</f>
        <v>1290</v>
      </c>
      <c r="D12" s="1" t="s">
        <v>73</v>
      </c>
      <c r="E12" s="1"/>
      <c r="F12" s="1"/>
      <c r="G12" s="1"/>
      <c r="H12" s="1"/>
    </row>
    <row r="13" spans="1:8" x14ac:dyDescent="0.25">
      <c r="A13" s="1" t="str">
        <f>'Groep C'!C5</f>
        <v>Lennart Molanus</v>
      </c>
      <c r="B13" s="1">
        <f>'Groep C'!D5</f>
        <v>8572927</v>
      </c>
      <c r="C13" s="1">
        <f>'Groep C'!F5</f>
        <v>1290</v>
      </c>
      <c r="D13" s="1" t="s">
        <v>73</v>
      </c>
      <c r="E13" s="1"/>
      <c r="F13" s="1"/>
      <c r="G13" s="1"/>
      <c r="H13" s="1"/>
    </row>
    <row r="14" spans="1:8" x14ac:dyDescent="0.25">
      <c r="A14" s="1" t="str">
        <f>'Groep C'!C6</f>
        <v>Jeffrey van Eek</v>
      </c>
      <c r="B14" s="1">
        <f>'Groep C'!D6</f>
        <v>8419587</v>
      </c>
      <c r="C14" s="1">
        <f>'Groep C'!F6</f>
        <v>1197</v>
      </c>
      <c r="D14" s="1" t="s">
        <v>73</v>
      </c>
      <c r="E14" s="1"/>
      <c r="F14" s="1"/>
      <c r="G14" s="1"/>
      <c r="H14" s="1"/>
    </row>
    <row r="15" spans="1:8" x14ac:dyDescent="0.25">
      <c r="A15" s="1" t="str">
        <f>'Groep C'!C7</f>
        <v>Jim Pronk</v>
      </c>
      <c r="B15" s="1">
        <f>'Groep C'!D7</f>
        <v>8320444</v>
      </c>
      <c r="C15" s="1">
        <f>'Groep C'!F7</f>
        <v>1153</v>
      </c>
      <c r="D15" s="1" t="s">
        <v>73</v>
      </c>
      <c r="E15" s="1"/>
      <c r="F15" s="1"/>
      <c r="G15" s="1"/>
      <c r="H15" s="1"/>
    </row>
    <row r="16" spans="1:8" x14ac:dyDescent="0.25">
      <c r="A16" s="1" t="str">
        <f>'Groep D'!C4</f>
        <v>Floris van Capelleveen</v>
      </c>
      <c r="B16" s="1">
        <f>'Groep D'!D4</f>
        <v>8426165</v>
      </c>
      <c r="C16" s="1">
        <f>'Groep D'!F4</f>
        <v>1120</v>
      </c>
      <c r="D16" s="1" t="s">
        <v>78</v>
      </c>
      <c r="E16" s="1"/>
      <c r="F16" s="1"/>
      <c r="G16" s="1"/>
      <c r="H16" s="1"/>
    </row>
    <row r="17" spans="1:8" x14ac:dyDescent="0.25">
      <c r="A17" s="1" t="str">
        <f>'Groep D'!C5</f>
        <v>Tim Evendijk</v>
      </c>
      <c r="B17" s="1">
        <f>'Groep D'!D5</f>
        <v>8320279</v>
      </c>
      <c r="C17" s="1">
        <f>'Groep D'!F5</f>
        <v>1113</v>
      </c>
      <c r="D17" s="1" t="s">
        <v>78</v>
      </c>
      <c r="E17" s="1"/>
      <c r="F17" s="1"/>
      <c r="G17" s="1"/>
      <c r="H17" s="1"/>
    </row>
    <row r="18" spans="1:8" x14ac:dyDescent="0.25">
      <c r="A18" s="1" t="str">
        <f>'Groep D'!C6</f>
        <v>Lars Boere</v>
      </c>
      <c r="B18" s="1">
        <f>'Groep D'!D6</f>
        <v>8557714</v>
      </c>
      <c r="C18" s="1">
        <f>'Groep D'!F6</f>
        <v>1079</v>
      </c>
      <c r="D18" s="1" t="s">
        <v>78</v>
      </c>
      <c r="E18" s="1"/>
      <c r="F18" s="1"/>
      <c r="G18" s="1"/>
      <c r="H18" s="1"/>
    </row>
    <row r="19" spans="1:8" x14ac:dyDescent="0.25">
      <c r="A19" s="1" t="str">
        <f>'Groep D'!C7</f>
        <v>Marnix van Tol</v>
      </c>
      <c r="B19" s="1">
        <f>'Groep D'!D7</f>
        <v>8496565</v>
      </c>
      <c r="C19" s="1">
        <f>'Groep D'!F7</f>
        <v>1039</v>
      </c>
      <c r="D19" s="1" t="s">
        <v>78</v>
      </c>
      <c r="E19" s="1"/>
      <c r="F19" s="1"/>
      <c r="G19" s="1"/>
      <c r="H19" s="1"/>
    </row>
    <row r="20" spans="1:8" x14ac:dyDescent="0.25">
      <c r="A20" s="1" t="str">
        <f>'Groep E'!C4</f>
        <v>Joab Weseman</v>
      </c>
      <c r="B20" s="1">
        <f>'Groep E'!D4</f>
        <v>8461915</v>
      </c>
      <c r="C20" s="1">
        <f>'Groep E'!F4</f>
        <v>1032</v>
      </c>
      <c r="D20" s="1" t="s">
        <v>83</v>
      </c>
      <c r="E20" s="1"/>
      <c r="F20" s="1"/>
      <c r="G20" s="1"/>
      <c r="H20" s="1"/>
    </row>
    <row r="21" spans="1:8" x14ac:dyDescent="0.25">
      <c r="A21" s="1" t="str">
        <f>'Groep E'!C5</f>
        <v>Florian Molanus</v>
      </c>
      <c r="B21" s="1">
        <f>'Groep E'!D5</f>
        <v>8553358</v>
      </c>
      <c r="C21" s="1">
        <f>'Groep E'!F5</f>
        <v>1019</v>
      </c>
      <c r="D21" s="1" t="s">
        <v>83</v>
      </c>
      <c r="E21" s="1"/>
      <c r="F21" s="1"/>
      <c r="G21" s="1"/>
      <c r="H21" s="1"/>
    </row>
    <row r="22" spans="1:8" x14ac:dyDescent="0.25">
      <c r="A22" s="1" t="str">
        <f>'Groep E'!C6</f>
        <v>Julian van Meegen</v>
      </c>
      <c r="B22" s="1">
        <f>'Groep E'!D6</f>
        <v>8593552</v>
      </c>
      <c r="C22" s="1">
        <f>'Groep E'!F6</f>
        <v>972</v>
      </c>
      <c r="D22" s="1" t="s">
        <v>83</v>
      </c>
      <c r="E22" s="1"/>
      <c r="F22" s="1"/>
      <c r="G22" s="1"/>
      <c r="H22" s="1"/>
    </row>
    <row r="23" spans="1:8" x14ac:dyDescent="0.25">
      <c r="A23" s="1" t="str">
        <f>'Groep E'!C7</f>
        <v>Marjon Landsbergen *</v>
      </c>
      <c r="B23" s="1">
        <f>'Groep E'!D7</f>
        <v>8418256</v>
      </c>
      <c r="C23" s="1">
        <f>'Groep E'!F7</f>
        <v>871</v>
      </c>
      <c r="D23" s="1" t="s">
        <v>83</v>
      </c>
      <c r="E23" s="1"/>
      <c r="F23" s="1"/>
      <c r="G23" s="1"/>
      <c r="H23" s="1"/>
    </row>
    <row r="24" spans="1:8" x14ac:dyDescent="0.25">
      <c r="A24" s="1" t="str">
        <f>'Groep E'!C8</f>
        <v>Hilbert Buijs</v>
      </c>
      <c r="B24" s="1">
        <f>'Groep E'!D8</f>
        <v>8605718</v>
      </c>
      <c r="C24" s="1">
        <f>'Groep E'!F8</f>
        <v>860</v>
      </c>
      <c r="D24" s="1" t="s">
        <v>83</v>
      </c>
      <c r="E24" s="1"/>
      <c r="F24" s="1"/>
      <c r="G24" s="1"/>
      <c r="H24" s="1"/>
    </row>
    <row r="25" spans="1:8" x14ac:dyDescent="0.25">
      <c r="A25" s="1" t="str">
        <f>'Groep E'!C9</f>
        <v>Wouter Wieggers</v>
      </c>
      <c r="B25" s="1">
        <f>'Groep E'!D9</f>
        <v>8621800</v>
      </c>
      <c r="C25" s="1">
        <f>'Groep E'!F9</f>
        <v>846</v>
      </c>
      <c r="D25" s="1" t="s">
        <v>83</v>
      </c>
      <c r="E25" s="1"/>
      <c r="F25" s="1"/>
      <c r="G25" s="1"/>
      <c r="H25" s="1"/>
    </row>
    <row r="26" spans="1:8" x14ac:dyDescent="0.25">
      <c r="A26" s="1" t="str">
        <f>'Groep F'!C4</f>
        <v>Jian van de Pol</v>
      </c>
      <c r="B26" s="1">
        <f>'Groep F'!D4</f>
        <v>8559870</v>
      </c>
      <c r="C26" s="1">
        <f>'Groep F'!F4</f>
        <v>767</v>
      </c>
      <c r="D26" s="1" t="s">
        <v>90</v>
      </c>
      <c r="E26" s="1"/>
      <c r="F26" s="1"/>
      <c r="G26" s="1"/>
      <c r="H26" s="1"/>
    </row>
    <row r="27" spans="1:8" x14ac:dyDescent="0.25">
      <c r="A27" s="1" t="str">
        <f>'Groep F'!C5</f>
        <v>Ivan Engelen</v>
      </c>
      <c r="B27" s="1">
        <f>'Groep F'!D5</f>
        <v>8522019</v>
      </c>
      <c r="C27" s="1">
        <f>'Groep F'!F5</f>
        <v>702</v>
      </c>
      <c r="D27" s="1" t="s">
        <v>90</v>
      </c>
      <c r="E27" s="1"/>
      <c r="F27" s="1"/>
      <c r="G27" s="1"/>
      <c r="H27" s="1"/>
    </row>
    <row r="28" spans="1:8" x14ac:dyDescent="0.25">
      <c r="A28" s="1" t="str">
        <f>'Groep F'!C6</f>
        <v>Bart van Enckevort</v>
      </c>
      <c r="B28" s="1">
        <f>'Groep F'!D6</f>
        <v>8605938</v>
      </c>
      <c r="C28" s="1">
        <f>'Groep F'!F6</f>
        <v>680</v>
      </c>
      <c r="D28" s="1" t="s">
        <v>90</v>
      </c>
      <c r="E28" s="1"/>
      <c r="F28" s="1"/>
      <c r="G28" s="1"/>
      <c r="H28" s="1"/>
    </row>
    <row r="29" spans="1:8" x14ac:dyDescent="0.25">
      <c r="A29" s="1" t="str">
        <f>'Groep F'!C7</f>
        <v>Aristides Buntara</v>
      </c>
      <c r="B29" s="1">
        <f>'Groep F'!D7</f>
        <v>8705785</v>
      </c>
      <c r="C29" s="1">
        <f>'Groep F'!F7</f>
        <v>668</v>
      </c>
      <c r="D29" s="1" t="s">
        <v>90</v>
      </c>
      <c r="E29" s="1"/>
      <c r="F29" s="1"/>
      <c r="G29" s="1"/>
      <c r="H29" s="1"/>
    </row>
    <row r="30" spans="1:8" x14ac:dyDescent="0.25">
      <c r="A30" s="1" t="str">
        <f>'Groep F'!C8</f>
        <v>Fadi el Kasah</v>
      </c>
      <c r="B30" s="1">
        <f>'Groep F'!D8</f>
        <v>8574324</v>
      </c>
      <c r="C30" s="1">
        <f>'Groep F'!F8</f>
        <v>657</v>
      </c>
      <c r="D30" s="1" t="s">
        <v>90</v>
      </c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 t="str">
        <f>'Groep G'!C4</f>
        <v>Rutger van den Berg</v>
      </c>
      <c r="B32" s="1">
        <f>'Groep G'!D4</f>
        <v>8526507</v>
      </c>
      <c r="C32" s="1">
        <f>'Groep G'!F4</f>
        <v>622</v>
      </c>
      <c r="D32" s="1" t="s">
        <v>97</v>
      </c>
      <c r="E32" s="1"/>
      <c r="F32" s="1"/>
      <c r="G32" s="1"/>
      <c r="H32" s="1"/>
    </row>
    <row r="33" spans="1:8" x14ac:dyDescent="0.25">
      <c r="A33" s="1" t="str">
        <f>'Groep G'!C5</f>
        <v>Vigo Stam</v>
      </c>
      <c r="B33" s="1">
        <f>'Groep G'!D5</f>
        <v>8670772</v>
      </c>
      <c r="C33" s="1">
        <f>'Groep G'!F5</f>
        <v>600</v>
      </c>
      <c r="D33" s="1" t="s">
        <v>97</v>
      </c>
      <c r="E33" s="1"/>
      <c r="F33" s="1"/>
      <c r="G33" s="1"/>
      <c r="H33" s="1"/>
    </row>
    <row r="34" spans="1:8" x14ac:dyDescent="0.25">
      <c r="A34" s="1" t="str">
        <f>'Groep G'!C6</f>
        <v>Maikel Simon</v>
      </c>
      <c r="B34" s="1">
        <f>'Groep G'!D6</f>
        <v>8524087</v>
      </c>
      <c r="C34" s="1">
        <f>'Groep G'!F6</f>
        <v>577</v>
      </c>
      <c r="D34" s="1" t="s">
        <v>97</v>
      </c>
      <c r="E34" s="1"/>
      <c r="F34" s="1"/>
      <c r="G34" s="1"/>
      <c r="H34" s="1"/>
    </row>
    <row r="35" spans="1:8" x14ac:dyDescent="0.25">
      <c r="A35" s="1" t="str">
        <f>'Groep G'!C7</f>
        <v>Reijn Aarts</v>
      </c>
      <c r="B35" s="1">
        <f>'Groep G'!D7</f>
        <v>8669551</v>
      </c>
      <c r="C35" s="1">
        <f>'Groep G'!F7</f>
        <v>533</v>
      </c>
      <c r="D35" s="1" t="s">
        <v>97</v>
      </c>
      <c r="E35" s="1"/>
      <c r="F35" s="1"/>
      <c r="G35" s="1"/>
      <c r="H35" s="1"/>
    </row>
    <row r="36" spans="1:8" x14ac:dyDescent="0.25">
      <c r="A36" s="1" t="str">
        <f>'Groep G'!C8</f>
        <v>Noraly Luitjes *</v>
      </c>
      <c r="B36" s="1">
        <f>'Groep G'!D8</f>
        <v>8486654</v>
      </c>
      <c r="C36" s="1">
        <f>'Groep G'!F8</f>
        <v>531</v>
      </c>
      <c r="D36" s="1" t="s">
        <v>97</v>
      </c>
      <c r="E36" s="1"/>
      <c r="F36" s="1"/>
      <c r="G36" s="1"/>
      <c r="H36" s="1"/>
    </row>
    <row r="37" spans="1:8" x14ac:dyDescent="0.25">
      <c r="A37" s="1" t="str">
        <f>'Groep G'!C9</f>
        <v>Mees van Essen</v>
      </c>
      <c r="B37" s="1">
        <f>'Groep G'!D9</f>
        <v>8672312</v>
      </c>
      <c r="C37" s="1">
        <f>'Groep G'!F9</f>
        <v>480</v>
      </c>
      <c r="D37" s="1" t="s">
        <v>97</v>
      </c>
      <c r="E37" s="1"/>
      <c r="F37" s="1"/>
      <c r="G37" s="1"/>
      <c r="H37" s="1"/>
    </row>
    <row r="38" spans="1:8" x14ac:dyDescent="0.25">
      <c r="A38" s="1" t="str">
        <f>'Groep H'!C4</f>
        <v>Erik Smouter</v>
      </c>
      <c r="B38" s="1">
        <f>'Groep H'!D4</f>
        <v>8663182</v>
      </c>
      <c r="C38" s="1">
        <f>'Groep H'!F4</f>
        <v>470</v>
      </c>
      <c r="D38" s="1" t="s">
        <v>104</v>
      </c>
      <c r="E38" s="1"/>
      <c r="F38" s="1"/>
      <c r="G38" s="1"/>
      <c r="H38" s="1"/>
    </row>
    <row r="39" spans="1:8" x14ac:dyDescent="0.25">
      <c r="A39" s="1" t="str">
        <f>'Groep H'!C5</f>
        <v>Aaron Lamers</v>
      </c>
      <c r="B39" s="1">
        <f>'Groep H'!D5</f>
        <v>8657242</v>
      </c>
      <c r="C39" s="1">
        <f>'Groep H'!F5</f>
        <v>456</v>
      </c>
      <c r="D39" s="1" t="s">
        <v>104</v>
      </c>
      <c r="E39" s="1"/>
      <c r="F39" s="1"/>
      <c r="G39" s="1"/>
      <c r="H39" s="1"/>
    </row>
    <row r="40" spans="1:8" x14ac:dyDescent="0.25">
      <c r="A40" s="1" t="str">
        <f>'Groep H'!C6</f>
        <v>Fidel Issa</v>
      </c>
      <c r="B40" s="1">
        <f>'Groep H'!D6</f>
        <v>8615860</v>
      </c>
      <c r="C40" s="1">
        <f>'Groep H'!F6</f>
        <v>447</v>
      </c>
      <c r="D40" s="1" t="s">
        <v>104</v>
      </c>
      <c r="E40" s="1"/>
      <c r="F40" s="1"/>
      <c r="G40" s="1"/>
      <c r="H40" s="1"/>
    </row>
    <row r="41" spans="1:8" x14ac:dyDescent="0.25">
      <c r="A41" s="1" t="str">
        <f>'Groep H'!C7</f>
        <v>Chao Daniels</v>
      </c>
      <c r="B41" s="1">
        <f>'Groep H'!D7</f>
        <v>8531149</v>
      </c>
      <c r="C41" s="1">
        <f>'Groep H'!F7</f>
        <v>444</v>
      </c>
      <c r="D41" s="1" t="s">
        <v>104</v>
      </c>
      <c r="E41" s="1"/>
      <c r="F41" s="1"/>
      <c r="G41" s="1"/>
      <c r="H41" s="1"/>
    </row>
    <row r="42" spans="1:8" x14ac:dyDescent="0.25">
      <c r="A42" s="1" t="str">
        <f>'Groep H'!C8</f>
        <v>Boaz Wierper</v>
      </c>
      <c r="B42" s="1">
        <f>'Groep H'!D8</f>
        <v>8664777</v>
      </c>
      <c r="C42" s="1">
        <f>'Groep H'!F8</f>
        <v>420</v>
      </c>
      <c r="D42" s="1" t="s">
        <v>104</v>
      </c>
      <c r="E42" s="1"/>
      <c r="F42" s="1"/>
      <c r="G42" s="1"/>
      <c r="H42" s="1"/>
    </row>
    <row r="43" spans="1:8" x14ac:dyDescent="0.25">
      <c r="A43" s="1" t="str">
        <f>'Groep H'!C9</f>
        <v>Floris Ros</v>
      </c>
      <c r="B43" s="1">
        <f>'Groep H'!D9</f>
        <v>8492803</v>
      </c>
      <c r="C43" s="1">
        <f>'Groep H'!F9</f>
        <v>369</v>
      </c>
      <c r="D43" s="1" t="s">
        <v>104</v>
      </c>
      <c r="E43" s="1"/>
      <c r="F43" s="1"/>
      <c r="G43" s="1"/>
      <c r="H43" s="1"/>
    </row>
    <row r="44" spans="1:8" x14ac:dyDescent="0.25">
      <c r="A44" s="1" t="str">
        <f>'Groep I'!C4</f>
        <v>Yasin Gokoglan</v>
      </c>
      <c r="B44" s="1">
        <f>'Groep I'!D4</f>
        <v>8535329</v>
      </c>
      <c r="C44" s="1">
        <f>'Groep I'!F4</f>
        <v>367</v>
      </c>
      <c r="D44" s="1" t="s">
        <v>111</v>
      </c>
      <c r="E44" s="1"/>
      <c r="F44" s="1"/>
      <c r="G44" s="1"/>
      <c r="H44" s="1"/>
    </row>
    <row r="45" spans="1:8" x14ac:dyDescent="0.25">
      <c r="A45" s="1" t="str">
        <f>'Groep I'!C5</f>
        <v>Chris Kamperman</v>
      </c>
      <c r="B45" s="1">
        <f>'Groep I'!D5</f>
        <v>8589823</v>
      </c>
      <c r="C45" s="1">
        <f>'Groep I'!F5</f>
        <v>365</v>
      </c>
      <c r="D45" s="1" t="s">
        <v>111</v>
      </c>
      <c r="E45" s="1"/>
      <c r="F45" s="1"/>
      <c r="G45" s="1"/>
      <c r="H45" s="1"/>
    </row>
    <row r="46" spans="1:8" x14ac:dyDescent="0.25">
      <c r="A46" s="1" t="str">
        <f>'Groep I'!C6</f>
        <v>Niels van Wolfswinkel</v>
      </c>
      <c r="B46" s="1">
        <f>'Groep I'!D6</f>
        <v>8659178</v>
      </c>
      <c r="C46" s="1">
        <f>'Groep I'!F6</f>
        <v>356</v>
      </c>
      <c r="D46" s="1" t="s">
        <v>111</v>
      </c>
      <c r="E46" s="1"/>
      <c r="F46" s="1"/>
      <c r="G46" s="1"/>
      <c r="H46" s="1"/>
    </row>
    <row r="47" spans="1:8" x14ac:dyDescent="0.25">
      <c r="A47" s="1" t="str">
        <f>'Groep I'!C7</f>
        <v>�mit �zyilmaz</v>
      </c>
      <c r="B47" s="1">
        <f>'Groep I'!D7</f>
        <v>8647463</v>
      </c>
      <c r="C47" s="1">
        <f>'Groep I'!F7</f>
        <v>346</v>
      </c>
      <c r="D47" s="1" t="s">
        <v>111</v>
      </c>
      <c r="E47" s="1"/>
      <c r="F47" s="1"/>
      <c r="G47" s="1"/>
      <c r="H47" s="1"/>
    </row>
    <row r="48" spans="1:8" x14ac:dyDescent="0.25">
      <c r="A48" s="1" t="str">
        <f>'Groep I'!C8</f>
        <v>Ilias Drysdale</v>
      </c>
      <c r="B48" s="1">
        <f>'Groep I'!D8</f>
        <v>8515881</v>
      </c>
      <c r="C48" s="1">
        <f>'Groep I'!F8</f>
        <v>343</v>
      </c>
      <c r="D48" s="1" t="s">
        <v>111</v>
      </c>
      <c r="E48" s="1"/>
      <c r="F48" s="1"/>
      <c r="G48" s="1"/>
      <c r="H48" s="1"/>
    </row>
    <row r="49" spans="1:8" x14ac:dyDescent="0.25">
      <c r="A49" s="1" t="str">
        <f>'Groep I'!C9</f>
        <v>H�seyin Ersoy</v>
      </c>
      <c r="B49" s="1">
        <f>'Groep I'!D9</f>
        <v>8624880</v>
      </c>
      <c r="C49" s="1">
        <f>'Groep I'!F9</f>
        <v>334</v>
      </c>
      <c r="D49" s="1" t="s">
        <v>111</v>
      </c>
      <c r="E49" s="1"/>
      <c r="F49" s="1"/>
      <c r="G49" s="1"/>
      <c r="H49" s="1"/>
    </row>
    <row r="50" spans="1:8" x14ac:dyDescent="0.25">
      <c r="A50" s="1" t="str">
        <f>'Groep J'!C4</f>
        <v>Danh Nguyen</v>
      </c>
      <c r="B50" s="1">
        <f>'Groep J'!D4</f>
        <v>8631898</v>
      </c>
      <c r="C50" s="1">
        <f>'Groep J'!F4</f>
        <v>312</v>
      </c>
      <c r="D50" s="1" t="s">
        <v>118</v>
      </c>
      <c r="E50" s="1"/>
      <c r="F50" s="1"/>
      <c r="G50" s="1"/>
      <c r="H50" s="1"/>
    </row>
    <row r="51" spans="1:8" x14ac:dyDescent="0.25">
      <c r="A51" s="1" t="str">
        <f>'Groep J'!C5</f>
        <v>Morris Doorn</v>
      </c>
      <c r="B51" s="1">
        <f>'Groep J'!D5</f>
        <v>8579021</v>
      </c>
      <c r="C51" s="1">
        <f>'Groep J'!F5</f>
        <v>301</v>
      </c>
      <c r="D51" s="1" t="s">
        <v>118</v>
      </c>
      <c r="E51" s="1"/>
      <c r="F51" s="1"/>
      <c r="G51" s="1"/>
      <c r="H51" s="1"/>
    </row>
    <row r="52" spans="1:8" x14ac:dyDescent="0.25">
      <c r="A52" s="1" t="str">
        <f>'Groep J'!C6</f>
        <v>Kamil Reinds</v>
      </c>
      <c r="B52" s="1">
        <f>'Groep J'!D6</f>
        <v>8690781</v>
      </c>
      <c r="C52" s="1">
        <f>'Groep J'!F6</f>
        <v>299</v>
      </c>
      <c r="D52" s="1" t="s">
        <v>118</v>
      </c>
      <c r="E52" s="1"/>
      <c r="F52" s="1"/>
      <c r="G52" s="1"/>
      <c r="H52" s="1"/>
    </row>
    <row r="53" spans="1:8" x14ac:dyDescent="0.25">
      <c r="A53" s="1" t="str">
        <f>'Groep J'!C7</f>
        <v>David Veenstra</v>
      </c>
      <c r="B53" s="1">
        <f>'Groep J'!D7</f>
        <v>8674798</v>
      </c>
      <c r="C53" s="1">
        <f>'Groep J'!F7</f>
        <v>295</v>
      </c>
      <c r="D53" s="1" t="s">
        <v>118</v>
      </c>
      <c r="E53" s="1"/>
      <c r="F53" s="1"/>
      <c r="G53" s="1"/>
      <c r="H53" s="1"/>
    </row>
    <row r="54" spans="1:8" x14ac:dyDescent="0.25">
      <c r="A54" s="1" t="str">
        <f>'Groep J'!C8</f>
        <v>Blanca Ordelmans *</v>
      </c>
      <c r="B54" s="1">
        <f>'Groep J'!D8</f>
        <v>8577712</v>
      </c>
      <c r="C54" s="1">
        <f>'Groep J'!F8</f>
        <v>285</v>
      </c>
      <c r="D54" s="1" t="s">
        <v>118</v>
      </c>
      <c r="E54" s="1"/>
      <c r="F54" s="1"/>
      <c r="G54" s="1"/>
      <c r="H54" s="1"/>
    </row>
    <row r="55" spans="1:8" x14ac:dyDescent="0.25">
      <c r="A55" s="1" t="str">
        <f>'Groep J'!C9</f>
        <v>Martin Smouter</v>
      </c>
      <c r="B55" s="1">
        <f>'Groep J'!D9</f>
        <v>8560299</v>
      </c>
      <c r="C55" s="1">
        <f>'Groep J'!F9</f>
        <v>277</v>
      </c>
      <c r="D55" s="1" t="s">
        <v>118</v>
      </c>
      <c r="E55" s="1"/>
      <c r="F55" s="1"/>
      <c r="G55" s="1"/>
      <c r="H55" s="1"/>
    </row>
    <row r="56" spans="1:8" x14ac:dyDescent="0.25">
      <c r="A56" s="1" t="str">
        <f>'Groep K'!C4</f>
        <v>Florens Boelen</v>
      </c>
      <c r="B56" s="1">
        <f>'Groep K'!D4</f>
        <v>8578999</v>
      </c>
      <c r="C56" s="1">
        <f>'Groep K'!F4</f>
        <v>277</v>
      </c>
      <c r="D56" s="1" t="s">
        <v>125</v>
      </c>
      <c r="E56" s="1"/>
      <c r="F56" s="1"/>
      <c r="G56" s="1"/>
      <c r="H56" s="1"/>
    </row>
    <row r="57" spans="1:8" x14ac:dyDescent="0.25">
      <c r="A57" s="1" t="str">
        <f>'Groep K'!C5</f>
        <v>Roj van de Ruitenbeek</v>
      </c>
      <c r="B57" s="1">
        <f>'Groep K'!D5</f>
        <v>8550234</v>
      </c>
      <c r="C57" s="1">
        <f>'Groep K'!F5</f>
        <v>276</v>
      </c>
      <c r="D57" s="1" t="s">
        <v>125</v>
      </c>
      <c r="E57" s="1"/>
      <c r="F57" s="1"/>
      <c r="G57" s="1"/>
      <c r="H57" s="1"/>
    </row>
    <row r="58" spans="1:8" x14ac:dyDescent="0.25">
      <c r="A58" s="1" t="str">
        <f>'Groep K'!C6</f>
        <v>Mathijs de Wolff</v>
      </c>
      <c r="B58" s="1">
        <f>'Groep K'!D6</f>
        <v>8637574</v>
      </c>
      <c r="C58" s="1">
        <f>'Groep K'!F6</f>
        <v>275</v>
      </c>
      <c r="D58" s="1" t="s">
        <v>125</v>
      </c>
      <c r="E58" s="1"/>
      <c r="F58" s="1"/>
      <c r="G58" s="1"/>
      <c r="H58" s="1"/>
    </row>
    <row r="59" spans="1:8" x14ac:dyDescent="0.25">
      <c r="A59" s="1" t="str">
        <f>'Groep K'!C7</f>
        <v>Teun Klein Gunnewiek</v>
      </c>
      <c r="B59" s="1">
        <f>'Groep K'!D7</f>
        <v>8626860</v>
      </c>
      <c r="C59" s="1">
        <f>'Groep K'!F7</f>
        <v>274</v>
      </c>
      <c r="D59" s="1" t="s">
        <v>125</v>
      </c>
      <c r="E59" s="1"/>
      <c r="F59" s="1"/>
      <c r="G59" s="1"/>
      <c r="H59" s="1"/>
    </row>
    <row r="60" spans="1:8" x14ac:dyDescent="0.25">
      <c r="A60" s="1" t="str">
        <f>'Groep K'!C8</f>
        <v>Aron de Blois</v>
      </c>
      <c r="B60" s="1">
        <f>'Groep K'!D8</f>
        <v>8601560</v>
      </c>
      <c r="C60" s="1">
        <f>'Groep K'!F8</f>
        <v>268</v>
      </c>
      <c r="D60" s="1" t="s">
        <v>125</v>
      </c>
      <c r="E60" s="1"/>
      <c r="F60" s="1"/>
      <c r="G60" s="1"/>
      <c r="H60" s="1"/>
    </row>
    <row r="61" spans="1:8" x14ac:dyDescent="0.25">
      <c r="A61" s="1" t="str">
        <f>'Groep K'!C9</f>
        <v>Quinten Kauw a Tjoe</v>
      </c>
      <c r="B61" s="1">
        <f>'Groep K'!D9</f>
        <v>8690616</v>
      </c>
      <c r="C61" s="1">
        <f>'Groep K'!F9</f>
        <v>257</v>
      </c>
      <c r="D61" s="1" t="s">
        <v>125</v>
      </c>
      <c r="E61" s="1"/>
      <c r="F61" s="1"/>
      <c r="G61" s="1"/>
      <c r="H61" s="1"/>
    </row>
    <row r="62" spans="1:8" x14ac:dyDescent="0.25">
      <c r="A62" s="1" t="str">
        <f>'Groep K'!C10</f>
        <v>Elias Axelsson</v>
      </c>
      <c r="B62" s="1">
        <f>'Groep K'!D10</f>
        <v>8711945</v>
      </c>
      <c r="C62" s="1">
        <f>'Groep K'!F10</f>
        <v>254</v>
      </c>
      <c r="D62" s="1" t="s">
        <v>125</v>
      </c>
      <c r="E62" s="1"/>
      <c r="F62" s="1"/>
      <c r="G62" s="1"/>
      <c r="H62" s="1"/>
    </row>
    <row r="63" spans="1:8" x14ac:dyDescent="0.25">
      <c r="A63" s="1" t="str">
        <f>'Groep K'!C11</f>
        <v>Eric Rikken</v>
      </c>
      <c r="B63" s="1">
        <f>'Groep K'!D11</f>
        <v>8659266</v>
      </c>
      <c r="C63" s="1">
        <f>'Groep K'!F11</f>
        <v>252</v>
      </c>
      <c r="D63" s="1" t="s">
        <v>125</v>
      </c>
      <c r="E63" s="1"/>
      <c r="F63" s="1"/>
      <c r="G63" s="1"/>
      <c r="H63" s="1"/>
    </row>
    <row r="64" spans="1:8" x14ac:dyDescent="0.25">
      <c r="A64" s="1" t="str">
        <f>'Groep L'!C4</f>
        <v>Ryan Bartelds</v>
      </c>
      <c r="B64" s="1">
        <f>'Groep L'!D4</f>
        <v>8615167</v>
      </c>
      <c r="C64" s="1">
        <f>'Groep L'!F4</f>
        <v>252</v>
      </c>
      <c r="D64" s="1" t="s">
        <v>134</v>
      </c>
      <c r="E64" s="1"/>
      <c r="F64" s="1"/>
      <c r="G64" s="1"/>
      <c r="H64" s="1"/>
    </row>
    <row r="65" spans="1:8" x14ac:dyDescent="0.25">
      <c r="A65" s="1" t="str">
        <f>'Groep L'!C5</f>
        <v>Vera Maters *</v>
      </c>
      <c r="B65" s="1">
        <f>'Groep L'!D5</f>
        <v>8589900</v>
      </c>
      <c r="C65" s="1">
        <f>'Groep L'!F5</f>
        <v>246</v>
      </c>
      <c r="D65" s="1" t="s">
        <v>134</v>
      </c>
      <c r="E65" s="1"/>
      <c r="F65" s="1"/>
      <c r="G65" s="1"/>
      <c r="H65" s="1"/>
    </row>
    <row r="66" spans="1:8" x14ac:dyDescent="0.25">
      <c r="A66" s="1" t="str">
        <f>'Groep L'!C6</f>
        <v>Willem Veldhuizen</v>
      </c>
      <c r="B66" s="1">
        <f>'Groep L'!D6</f>
        <v>638091</v>
      </c>
      <c r="C66" s="1">
        <f>'Groep L'!F6</f>
        <v>245</v>
      </c>
      <c r="D66" s="1" t="s">
        <v>134</v>
      </c>
      <c r="E66" s="1"/>
      <c r="F66" s="1"/>
      <c r="G66" s="1"/>
      <c r="H66" s="1"/>
    </row>
    <row r="67" spans="1:8" x14ac:dyDescent="0.25">
      <c r="A67" s="1" t="str">
        <f>'Groep L'!C7</f>
        <v>Jochem Kuijvenhoven</v>
      </c>
      <c r="B67" s="1">
        <f>'Groep L'!D7</f>
        <v>8552192</v>
      </c>
      <c r="C67" s="1">
        <f>'Groep L'!F7</f>
        <v>236</v>
      </c>
      <c r="D67" s="1" t="s">
        <v>134</v>
      </c>
      <c r="E67" s="1"/>
      <c r="F67" s="1"/>
      <c r="G67" s="1"/>
      <c r="H67" s="1"/>
    </row>
    <row r="68" spans="1:8" x14ac:dyDescent="0.25">
      <c r="A68" s="1" t="str">
        <f>'Groep L'!C8</f>
        <v>Ahmed Sahin</v>
      </c>
      <c r="B68" s="1">
        <f>'Groep L'!D8</f>
        <v>8690627</v>
      </c>
      <c r="C68" s="1">
        <f>'Groep L'!F8</f>
        <v>234</v>
      </c>
      <c r="D68" s="1" t="s">
        <v>134</v>
      </c>
      <c r="E68" s="1"/>
      <c r="F68" s="1"/>
      <c r="G68" s="1"/>
      <c r="H68" s="1"/>
    </row>
    <row r="69" spans="1:8" x14ac:dyDescent="0.25">
      <c r="A69" s="1" t="str">
        <f>'Groep L'!C9</f>
        <v>Koen Stadegaard</v>
      </c>
      <c r="B69" s="1">
        <f>'Groep L'!D9</f>
        <v>8681266</v>
      </c>
      <c r="C69" s="1">
        <f>'Groep L'!F9</f>
        <v>231</v>
      </c>
      <c r="D69" s="1" t="s">
        <v>134</v>
      </c>
      <c r="E69" s="1"/>
      <c r="F69" s="1"/>
      <c r="G69" s="1"/>
      <c r="H69" s="1"/>
    </row>
    <row r="70" spans="1:8" x14ac:dyDescent="0.25">
      <c r="A70" s="1" t="str">
        <f>'Groep L'!C10</f>
        <v>Philip Faour</v>
      </c>
      <c r="B70" s="1">
        <f>'Groep L'!D10</f>
        <v>8737300</v>
      </c>
      <c r="C70" s="1">
        <f>'Groep L'!F10</f>
        <v>216</v>
      </c>
      <c r="D70" s="1" t="s">
        <v>134</v>
      </c>
      <c r="E70" s="1"/>
      <c r="F70" s="1"/>
      <c r="G70" s="1"/>
      <c r="H70" s="1"/>
    </row>
    <row r="71" spans="1:8" x14ac:dyDescent="0.25">
      <c r="A71" s="1" t="str">
        <f>'Groep L'!C11</f>
        <v>Matthijs Brons</v>
      </c>
      <c r="B71" s="1">
        <f>'Groep L'!D11</f>
        <v>8649498</v>
      </c>
      <c r="C71" s="1">
        <f>'Groep L'!F11</f>
        <v>210</v>
      </c>
      <c r="D71" s="1" t="s">
        <v>134</v>
      </c>
      <c r="E71" s="1"/>
      <c r="F71" s="1"/>
      <c r="G71" s="1"/>
      <c r="H71" s="1"/>
    </row>
    <row r="72" spans="1:8" x14ac:dyDescent="0.25">
      <c r="A72" s="1" t="str">
        <f>'Groep M'!C4</f>
        <v>Luka Da costa Fernandes</v>
      </c>
      <c r="B72" s="1">
        <f>'Groep M'!D4</f>
        <v>8659288</v>
      </c>
      <c r="C72" s="1">
        <f>'Groep M'!F4</f>
        <v>207</v>
      </c>
      <c r="D72" s="1" t="s">
        <v>143</v>
      </c>
      <c r="E72" s="1"/>
      <c r="F72" s="1"/>
      <c r="G72" s="1"/>
      <c r="H72" s="1"/>
    </row>
    <row r="73" spans="1:8" x14ac:dyDescent="0.25">
      <c r="A73" s="1" t="str">
        <f>'Groep M'!C5</f>
        <v>Joris Diepenbroek</v>
      </c>
      <c r="B73" s="1">
        <f>'Groep M'!D5</f>
        <v>8742371</v>
      </c>
      <c r="C73" s="1">
        <f>'Groep M'!F5</f>
        <v>195</v>
      </c>
      <c r="D73" s="1" t="s">
        <v>143</v>
      </c>
      <c r="E73" s="1"/>
      <c r="F73" s="1"/>
      <c r="G73" s="1"/>
      <c r="H73" s="1"/>
    </row>
    <row r="74" spans="1:8" x14ac:dyDescent="0.25">
      <c r="A74" s="1" t="str">
        <f>'Groep M'!C6</f>
        <v>Tim Schopman</v>
      </c>
      <c r="B74" s="1">
        <f>'Groep M'!D6</f>
        <v>8698954</v>
      </c>
      <c r="C74" s="1">
        <f>'Groep M'!F6</f>
        <v>172</v>
      </c>
      <c r="D74" s="1" t="s">
        <v>143</v>
      </c>
      <c r="E74" s="1"/>
      <c r="F74" s="1"/>
      <c r="G74" s="1"/>
      <c r="H74" s="1"/>
    </row>
    <row r="75" spans="1:8" x14ac:dyDescent="0.25">
      <c r="A75" s="1" t="str">
        <f>'Groep M'!C7</f>
        <v>Tim Biljardt</v>
      </c>
      <c r="B75" s="1">
        <f>'Groep M'!D7</f>
        <v>8628488</v>
      </c>
      <c r="C75" s="1">
        <f>'Groep M'!F7</f>
        <v>170</v>
      </c>
      <c r="D75" s="1" t="s">
        <v>143</v>
      </c>
      <c r="E75" s="1"/>
      <c r="F75" s="1"/>
      <c r="G75" s="1"/>
      <c r="H75" s="1"/>
    </row>
    <row r="76" spans="1:8" x14ac:dyDescent="0.25">
      <c r="A76" s="1" t="str">
        <f>'Groep M'!C8</f>
        <v>Seger Endendijk</v>
      </c>
      <c r="B76" s="1">
        <f>'Groep M'!D8</f>
        <v>8636507</v>
      </c>
      <c r="C76" s="1">
        <f>'Groep M'!F8</f>
        <v>166</v>
      </c>
      <c r="D76" s="1" t="s">
        <v>143</v>
      </c>
      <c r="E76" s="1"/>
      <c r="F76" s="1"/>
      <c r="G76" s="1"/>
      <c r="H76" s="1"/>
    </row>
    <row r="77" spans="1:8" x14ac:dyDescent="0.25">
      <c r="A77" s="1" t="str">
        <f>'Groep M'!C9</f>
        <v>Wesley de Grijs</v>
      </c>
      <c r="B77" s="1">
        <f>'Groep M'!D9</f>
        <v>8726619</v>
      </c>
      <c r="C77" s="1">
        <f>'Groep M'!F9</f>
        <v>166</v>
      </c>
      <c r="D77" s="1" t="s">
        <v>143</v>
      </c>
      <c r="E77" s="1"/>
      <c r="F77" s="1"/>
      <c r="G77" s="1"/>
      <c r="H77" s="1"/>
    </row>
    <row r="78" spans="1:8" x14ac:dyDescent="0.25">
      <c r="A78" s="1" t="str">
        <f>'Groep M'!C10</f>
        <v>Tristan van Kappen</v>
      </c>
      <c r="B78" s="1">
        <f>'Groep M'!D10</f>
        <v>8633988</v>
      </c>
      <c r="C78" s="1">
        <f>'Groep M'!F10</f>
        <v>159</v>
      </c>
      <c r="D78" s="1" t="s">
        <v>143</v>
      </c>
      <c r="E78" s="1"/>
      <c r="F78" s="1"/>
      <c r="G78" s="1"/>
      <c r="H78" s="1"/>
    </row>
    <row r="79" spans="1:8" x14ac:dyDescent="0.25">
      <c r="A79" s="1" t="str">
        <f>'Groep M'!C11</f>
        <v>Kevin Beute</v>
      </c>
      <c r="B79" s="1">
        <f>'Groep M'!D11</f>
        <v>8689637</v>
      </c>
      <c r="C79" s="1">
        <f>'Groep M'!F11</f>
        <v>119</v>
      </c>
      <c r="D79" s="1" t="s">
        <v>143</v>
      </c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13</vt:i4>
      </vt:variant>
    </vt:vector>
  </HeadingPairs>
  <TitlesOfParts>
    <vt:vector size="30" baseType="lpstr">
      <vt:lpstr>Groepsindeling</vt:lpstr>
      <vt:lpstr>Deelnemerslijst</vt:lpstr>
      <vt:lpstr>Configuratie</vt:lpstr>
      <vt:lpstr>Groep A</vt:lpstr>
      <vt:lpstr>Groep B</vt:lpstr>
      <vt:lpstr>Groep C</vt:lpstr>
      <vt:lpstr>Groep D</vt:lpstr>
      <vt:lpstr>Groep E</vt:lpstr>
      <vt:lpstr>Groep F</vt:lpstr>
      <vt:lpstr>Groep G</vt:lpstr>
      <vt:lpstr>Groep H</vt:lpstr>
      <vt:lpstr>Groep I</vt:lpstr>
      <vt:lpstr>Groep J</vt:lpstr>
      <vt:lpstr>Groep K</vt:lpstr>
      <vt:lpstr>Groep L</vt:lpstr>
      <vt:lpstr>Groep M</vt:lpstr>
      <vt:lpstr>Deelnemerslijst (naam)</vt:lpstr>
      <vt:lpstr>'Groep A'!Afdrukbereik</vt:lpstr>
      <vt:lpstr>'Groep B'!Afdrukbereik</vt:lpstr>
      <vt:lpstr>'Groep C'!Afdrukbereik</vt:lpstr>
      <vt:lpstr>'Groep D'!Afdrukbereik</vt:lpstr>
      <vt:lpstr>'Groep E'!Afdrukbereik</vt:lpstr>
      <vt:lpstr>'Groep F'!Afdrukbereik</vt:lpstr>
      <vt:lpstr>'Groep G'!Afdrukbereik</vt:lpstr>
      <vt:lpstr>'Groep H'!Afdrukbereik</vt:lpstr>
      <vt:lpstr>'Groep I'!Afdrukbereik</vt:lpstr>
      <vt:lpstr>'Groep J'!Afdrukbereik</vt:lpstr>
      <vt:lpstr>'Groep K'!Afdrukbereik</vt:lpstr>
      <vt:lpstr>'Groep L'!Afdrukbereik</vt:lpstr>
      <vt:lpstr>'Groep M'!Afdrukbereik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2018-06-04T20:02:31Z</cp:lastPrinted>
  <dcterms:created xsi:type="dcterms:W3CDTF">2017-03-20T06:37:04Z</dcterms:created>
  <dcterms:modified xsi:type="dcterms:W3CDTF">2018-06-08T17:03:40Z</dcterms:modified>
</cp:coreProperties>
</file>