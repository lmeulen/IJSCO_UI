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10305" yWindow="-15" windowWidth="10200" windowHeight="7260" activeTab="4"/>
  </bookViews>
  <sheets>
    <sheet name="14" sheetId="8" r:id="rId1"/>
    <sheet name="12" sheetId="9" r:id="rId2"/>
    <sheet name="10" sheetId="1" r:id="rId3"/>
    <sheet name="8" sheetId="2" r:id="rId4"/>
    <sheet name="6" sheetId="3" r:id="rId5"/>
    <sheet name="4" sheetId="4" r:id="rId6"/>
    <sheet name="Groepsindeling" sheetId="6" r:id="rId7"/>
    <sheet name="Deelnemerslijst" sheetId="5" r:id="rId8"/>
    <sheet name="Configuratie" sheetId="7" r:id="rId9"/>
  </sheets>
  <definedNames>
    <definedName name="_xlnm.Print_Area" localSheetId="2">'10'!$B$1:$T$78,'10'!$V$1:$AA$78</definedName>
    <definedName name="_xlnm.Print_Area" localSheetId="0">'14'!$B$1:$X$135,'14'!$Z$1:$AG$17</definedName>
    <definedName name="_xlnm.Print_Area" localSheetId="5">'4'!$B$1:$S$21,'4'!$U$1:$AB$21</definedName>
    <definedName name="_xlnm.Print_Area" localSheetId="4">'6'!$B$1:$T$36,'6'!$V$1:$AA$36</definedName>
    <definedName name="_xlnm.Print_Area" localSheetId="3">'8'!$B$1:$T$55,'8'!$W$1:$AC$55</definedName>
    <definedName name="uitslag1_1">'4'!$S$12</definedName>
    <definedName name="uitslag1_2">'4'!$S$13</definedName>
    <definedName name="uitslag2_1">'4'!$S$16</definedName>
    <definedName name="uitslag2_2">'4'!$S$17</definedName>
    <definedName name="uitslag3_1">'4'!$S$20</definedName>
    <definedName name="uitslag3_2">'4'!$S$21</definedName>
  </definedNames>
  <calcPr calcId="162913"/>
</workbook>
</file>

<file path=xl/calcChain.xml><?xml version="1.0" encoding="utf-8"?>
<calcChain xmlns="http://schemas.openxmlformats.org/spreadsheetml/2006/main">
  <c r="BD135" i="8" l="1"/>
  <c r="BD134" i="8"/>
  <c r="BD133" i="8"/>
  <c r="BD132" i="8"/>
  <c r="BD131" i="8"/>
  <c r="BD130" i="8"/>
  <c r="BD129" i="8"/>
  <c r="BD126" i="8"/>
  <c r="BD125" i="8"/>
  <c r="BD124" i="8"/>
  <c r="BD123" i="8"/>
  <c r="BD122" i="8"/>
  <c r="BD121" i="8"/>
  <c r="BD120" i="8"/>
  <c r="BD117" i="8"/>
  <c r="BD116" i="8"/>
  <c r="BD115" i="8"/>
  <c r="BD114" i="8"/>
  <c r="BD113" i="8"/>
  <c r="BD112" i="8"/>
  <c r="BD111" i="8"/>
  <c r="BD108" i="8"/>
  <c r="BD107" i="8"/>
  <c r="BD106" i="8"/>
  <c r="BD105" i="8"/>
  <c r="BD104" i="8"/>
  <c r="BD103" i="8"/>
  <c r="BD102" i="8"/>
  <c r="BD99" i="8"/>
  <c r="BD98" i="8"/>
  <c r="BD97" i="8"/>
  <c r="BD96" i="8"/>
  <c r="BD95" i="8"/>
  <c r="BD94" i="8"/>
  <c r="BD93" i="8"/>
  <c r="BD90" i="8"/>
  <c r="BD89" i="8"/>
  <c r="BD88" i="8"/>
  <c r="BD87" i="8"/>
  <c r="BD86" i="8"/>
  <c r="BD85" i="8"/>
  <c r="BD84" i="8"/>
  <c r="BD81" i="8"/>
  <c r="BD80" i="8"/>
  <c r="BD79" i="8"/>
  <c r="BD78" i="8"/>
  <c r="BD77" i="8"/>
  <c r="BD76" i="8"/>
  <c r="BD75" i="8"/>
  <c r="BD72" i="8"/>
  <c r="BD71" i="8"/>
  <c r="BD70" i="8"/>
  <c r="BD69" i="8"/>
  <c r="BD68" i="8"/>
  <c r="BD67" i="8"/>
  <c r="BD66" i="8"/>
  <c r="BD63" i="8"/>
  <c r="BD62" i="8"/>
  <c r="BD61" i="8"/>
  <c r="BD60" i="8"/>
  <c r="BD59" i="8"/>
  <c r="BD58" i="8"/>
  <c r="BD57" i="8"/>
  <c r="BD54" i="8"/>
  <c r="BD53" i="8"/>
  <c r="BD52" i="8"/>
  <c r="BD51" i="8"/>
  <c r="BD50" i="8"/>
  <c r="BD49" i="8"/>
  <c r="BD48" i="8"/>
  <c r="BD45" i="8"/>
  <c r="BD44" i="8"/>
  <c r="BD43" i="8"/>
  <c r="BD42" i="8"/>
  <c r="BD41" i="8"/>
  <c r="BD40" i="8"/>
  <c r="BD39" i="8"/>
  <c r="BD36" i="8"/>
  <c r="BD35" i="8"/>
  <c r="BD34" i="8"/>
  <c r="BD33" i="8"/>
  <c r="BD32" i="8"/>
  <c r="BD31" i="8"/>
  <c r="BD30" i="8"/>
  <c r="BC135" i="8"/>
  <c r="BC134" i="8"/>
  <c r="BC133" i="8"/>
  <c r="BC132" i="8"/>
  <c r="BC131" i="8"/>
  <c r="BC130" i="8"/>
  <c r="BC129" i="8"/>
  <c r="BC126" i="8"/>
  <c r="BC125" i="8"/>
  <c r="BC124" i="8"/>
  <c r="BC123" i="8"/>
  <c r="BC122" i="8"/>
  <c r="BC121" i="8"/>
  <c r="BC120" i="8"/>
  <c r="BC117" i="8"/>
  <c r="BC116" i="8"/>
  <c r="BC115" i="8"/>
  <c r="BC114" i="8"/>
  <c r="BC113" i="8"/>
  <c r="BC112" i="8"/>
  <c r="BC111" i="8"/>
  <c r="BC108" i="8"/>
  <c r="BC107" i="8"/>
  <c r="BC106" i="8"/>
  <c r="BC105" i="8"/>
  <c r="BC104" i="8"/>
  <c r="BC103" i="8"/>
  <c r="BC102" i="8"/>
  <c r="BC99" i="8"/>
  <c r="BC98" i="8"/>
  <c r="BC97" i="8"/>
  <c r="BC96" i="8"/>
  <c r="BC95" i="8"/>
  <c r="BC94" i="8"/>
  <c r="BC93" i="8"/>
  <c r="BC90" i="8"/>
  <c r="BC89" i="8"/>
  <c r="BC88" i="8"/>
  <c r="BC87" i="8"/>
  <c r="BC86" i="8"/>
  <c r="BC85" i="8"/>
  <c r="BC84" i="8"/>
  <c r="BC81" i="8"/>
  <c r="BC80" i="8"/>
  <c r="BC79" i="8"/>
  <c r="BC78" i="8"/>
  <c r="BC77" i="8"/>
  <c r="BC76" i="8"/>
  <c r="BC75" i="8"/>
  <c r="BC72" i="8"/>
  <c r="BC71" i="8"/>
  <c r="BC70" i="8"/>
  <c r="BC69" i="8"/>
  <c r="BC68" i="8"/>
  <c r="BC67" i="8"/>
  <c r="BC66" i="8"/>
  <c r="BC63" i="8"/>
  <c r="BC62" i="8"/>
  <c r="BC61" i="8"/>
  <c r="BC60" i="8"/>
  <c r="BC59" i="8"/>
  <c r="BC58" i="8"/>
  <c r="BC57" i="8"/>
  <c r="BC54" i="8"/>
  <c r="BC53" i="8"/>
  <c r="BC52" i="8"/>
  <c r="BC51" i="8"/>
  <c r="BC50" i="8"/>
  <c r="BC49" i="8"/>
  <c r="BC48" i="8"/>
  <c r="BC45" i="8"/>
  <c r="BC44" i="8"/>
  <c r="BC43" i="8"/>
  <c r="BC42" i="8"/>
  <c r="BC41" i="8"/>
  <c r="BC40" i="8"/>
  <c r="BC39" i="8"/>
  <c r="BC31" i="8"/>
  <c r="BC32" i="8"/>
  <c r="BC33" i="8"/>
  <c r="BC34" i="8"/>
  <c r="BC35" i="8"/>
  <c r="BC36" i="8"/>
  <c r="BC30" i="8"/>
  <c r="BD27" i="8"/>
  <c r="BD25" i="8"/>
  <c r="BD26" i="8"/>
  <c r="BD22" i="8"/>
  <c r="BD23" i="8"/>
  <c r="BD24" i="8"/>
  <c r="BD21" i="8"/>
  <c r="BC22" i="8"/>
  <c r="BC23" i="8"/>
  <c r="BC24" i="8"/>
  <c r="BC25" i="8"/>
  <c r="BC26" i="8"/>
  <c r="BC27" i="8"/>
  <c r="BC21" i="8"/>
  <c r="AZ14" i="8"/>
  <c r="AZ15" i="8"/>
  <c r="AZ16" i="8"/>
  <c r="AZ17" i="8"/>
  <c r="AY14" i="8"/>
  <c r="BD14" i="8" s="1"/>
  <c r="BS14" i="8" s="1"/>
  <c r="AY15" i="8"/>
  <c r="BD15" i="8" s="1"/>
  <c r="BS15" i="8" s="1"/>
  <c r="AY16" i="8"/>
  <c r="BD16" i="8" s="1"/>
  <c r="BS16" i="8" s="1"/>
  <c r="AY17" i="8"/>
  <c r="BD17" i="8" s="1"/>
  <c r="BS17" i="8" s="1"/>
  <c r="V135" i="8"/>
  <c r="V134" i="8"/>
  <c r="V133" i="8"/>
  <c r="V132" i="8"/>
  <c r="V131" i="8"/>
  <c r="V130" i="8"/>
  <c r="V129" i="8"/>
  <c r="V126" i="8"/>
  <c r="V125" i="8"/>
  <c r="V124" i="8"/>
  <c r="V123" i="8"/>
  <c r="V122" i="8"/>
  <c r="V121" i="8"/>
  <c r="V120" i="8"/>
  <c r="V117" i="8"/>
  <c r="V116" i="8"/>
  <c r="V115" i="8"/>
  <c r="V114" i="8"/>
  <c r="V113" i="8"/>
  <c r="V112" i="8"/>
  <c r="V111" i="8"/>
  <c r="V108" i="8"/>
  <c r="V107" i="8"/>
  <c r="V106" i="8"/>
  <c r="V105" i="8"/>
  <c r="V104" i="8"/>
  <c r="V103" i="8"/>
  <c r="V102" i="8"/>
  <c r="V99" i="8"/>
  <c r="V98" i="8"/>
  <c r="V97" i="8"/>
  <c r="V96" i="8"/>
  <c r="V95" i="8"/>
  <c r="V94" i="8"/>
  <c r="V93" i="8"/>
  <c r="V90" i="8"/>
  <c r="V89" i="8"/>
  <c r="V88" i="8"/>
  <c r="V87" i="8"/>
  <c r="V86" i="8"/>
  <c r="V85" i="8"/>
  <c r="V84" i="8"/>
  <c r="V81" i="8"/>
  <c r="V80" i="8"/>
  <c r="V79" i="8"/>
  <c r="V78" i="8"/>
  <c r="V77" i="8"/>
  <c r="V76" i="8"/>
  <c r="V75" i="8"/>
  <c r="V72" i="8"/>
  <c r="V71" i="8"/>
  <c r="V70" i="8"/>
  <c r="V69" i="8"/>
  <c r="V68" i="8"/>
  <c r="V67" i="8"/>
  <c r="V66" i="8"/>
  <c r="V63" i="8"/>
  <c r="V62" i="8"/>
  <c r="V61" i="8"/>
  <c r="V60" i="8"/>
  <c r="V59" i="8"/>
  <c r="V58" i="8"/>
  <c r="V57" i="8"/>
  <c r="V54" i="8"/>
  <c r="V53" i="8"/>
  <c r="V52" i="8"/>
  <c r="V51" i="8"/>
  <c r="V50" i="8"/>
  <c r="V49" i="8"/>
  <c r="V48" i="8"/>
  <c r="V45" i="8"/>
  <c r="V44" i="8"/>
  <c r="V43" i="8"/>
  <c r="V42" i="8"/>
  <c r="V41" i="8"/>
  <c r="V40" i="8"/>
  <c r="V39" i="8"/>
  <c r="V36" i="8"/>
  <c r="V35" i="8"/>
  <c r="V34" i="8"/>
  <c r="V33" i="8"/>
  <c r="V32" i="8"/>
  <c r="V31" i="8"/>
  <c r="V30" i="8"/>
  <c r="V22" i="8"/>
  <c r="V23" i="8"/>
  <c r="V24" i="8"/>
  <c r="V25" i="8"/>
  <c r="V26" i="8"/>
  <c r="V27" i="8"/>
  <c r="V21" i="8"/>
  <c r="M135" i="8"/>
  <c r="M134" i="8"/>
  <c r="M133" i="8"/>
  <c r="M132" i="8"/>
  <c r="M131" i="8"/>
  <c r="M130" i="8"/>
  <c r="M129" i="8"/>
  <c r="M126" i="8"/>
  <c r="M125" i="8"/>
  <c r="M124" i="8"/>
  <c r="M123" i="8"/>
  <c r="M122" i="8"/>
  <c r="M121" i="8"/>
  <c r="M120" i="8"/>
  <c r="M117" i="8"/>
  <c r="M116" i="8"/>
  <c r="M115" i="8"/>
  <c r="M114" i="8"/>
  <c r="M113" i="8"/>
  <c r="M112" i="8"/>
  <c r="M111" i="8"/>
  <c r="M108" i="8"/>
  <c r="M107" i="8"/>
  <c r="M106" i="8"/>
  <c r="M105" i="8"/>
  <c r="M104" i="8"/>
  <c r="M103" i="8"/>
  <c r="M102" i="8"/>
  <c r="M99" i="8"/>
  <c r="M98" i="8"/>
  <c r="M97" i="8"/>
  <c r="M96" i="8"/>
  <c r="M95" i="8"/>
  <c r="M94" i="8"/>
  <c r="M93" i="8"/>
  <c r="M90" i="8"/>
  <c r="M89" i="8"/>
  <c r="M88" i="8"/>
  <c r="M87" i="8"/>
  <c r="M86" i="8"/>
  <c r="M85" i="8"/>
  <c r="M84" i="8"/>
  <c r="M81" i="8"/>
  <c r="M80" i="8"/>
  <c r="M79" i="8"/>
  <c r="M78" i="8"/>
  <c r="M77" i="8"/>
  <c r="M76" i="8"/>
  <c r="M75" i="8"/>
  <c r="M72" i="8"/>
  <c r="M71" i="8"/>
  <c r="M70" i="8"/>
  <c r="M69" i="8"/>
  <c r="M68" i="8"/>
  <c r="M67" i="8"/>
  <c r="M66" i="8"/>
  <c r="M63" i="8"/>
  <c r="M62" i="8"/>
  <c r="M61" i="8"/>
  <c r="M60" i="8"/>
  <c r="M59" i="8"/>
  <c r="M58" i="8"/>
  <c r="M57" i="8"/>
  <c r="M54" i="8"/>
  <c r="M53" i="8"/>
  <c r="M52" i="8"/>
  <c r="M51" i="8"/>
  <c r="M50" i="8"/>
  <c r="M49" i="8"/>
  <c r="M48" i="8"/>
  <c r="M45" i="8"/>
  <c r="M44" i="8"/>
  <c r="M43" i="8"/>
  <c r="M42" i="8"/>
  <c r="M41" i="8"/>
  <c r="M40" i="8"/>
  <c r="M39" i="8"/>
  <c r="M36" i="8"/>
  <c r="M35" i="8"/>
  <c r="M34" i="8"/>
  <c r="M33" i="8"/>
  <c r="M32" i="8"/>
  <c r="M31" i="8"/>
  <c r="M30" i="8"/>
  <c r="M22" i="8"/>
  <c r="M23" i="8"/>
  <c r="M24" i="8"/>
  <c r="M25" i="8"/>
  <c r="M26" i="8"/>
  <c r="M27" i="8"/>
  <c r="M21" i="8"/>
  <c r="J130" i="8"/>
  <c r="BA130" i="8" s="1"/>
  <c r="J131" i="8"/>
  <c r="BA131" i="8" s="1"/>
  <c r="J132" i="8"/>
  <c r="J133" i="8"/>
  <c r="BA133" i="8" s="1"/>
  <c r="J134" i="8"/>
  <c r="BA134" i="8" s="1"/>
  <c r="J135" i="8"/>
  <c r="BA135" i="8" s="1"/>
  <c r="J129" i="8"/>
  <c r="J121" i="8"/>
  <c r="BA121" i="8" s="1"/>
  <c r="J122" i="8"/>
  <c r="BA122" i="8" s="1"/>
  <c r="J123" i="8"/>
  <c r="J124" i="8"/>
  <c r="BA124" i="8" s="1"/>
  <c r="J125" i="8"/>
  <c r="BA125" i="8" s="1"/>
  <c r="J126" i="8"/>
  <c r="BA126" i="8" s="1"/>
  <c r="J120" i="8"/>
  <c r="BA120" i="8" s="1"/>
  <c r="J112" i="8"/>
  <c r="J113" i="8"/>
  <c r="BA113" i="8" s="1"/>
  <c r="J114" i="8"/>
  <c r="BA114" i="8" s="1"/>
  <c r="J115" i="8"/>
  <c r="BA115" i="8" s="1"/>
  <c r="J116" i="8"/>
  <c r="J117" i="8"/>
  <c r="BA117" i="8" s="1"/>
  <c r="J111" i="8"/>
  <c r="BA111" i="8" s="1"/>
  <c r="J103" i="8"/>
  <c r="J104" i="8"/>
  <c r="BA104" i="8" s="1"/>
  <c r="J105" i="8"/>
  <c r="BA105" i="8" s="1"/>
  <c r="J106" i="8"/>
  <c r="BA106" i="8" s="1"/>
  <c r="J107" i="8"/>
  <c r="J108" i="8"/>
  <c r="BA108" i="8" s="1"/>
  <c r="J102" i="8"/>
  <c r="J94" i="8"/>
  <c r="BA94" i="8" s="1"/>
  <c r="J95" i="8"/>
  <c r="BA95" i="8" s="1"/>
  <c r="J96" i="8"/>
  <c r="J97" i="8"/>
  <c r="J98" i="8"/>
  <c r="BA98" i="8" s="1"/>
  <c r="J99" i="8"/>
  <c r="BA99" i="8" s="1"/>
  <c r="J93" i="8"/>
  <c r="J85" i="8"/>
  <c r="BA85" i="8" s="1"/>
  <c r="J86" i="8"/>
  <c r="BA86" i="8" s="1"/>
  <c r="J87" i="8"/>
  <c r="J88" i="8"/>
  <c r="BA88" i="8" s="1"/>
  <c r="J89" i="8"/>
  <c r="BA89" i="8" s="1"/>
  <c r="J90" i="8"/>
  <c r="BA90" i="8" s="1"/>
  <c r="J84" i="8"/>
  <c r="BA84" i="8" s="1"/>
  <c r="J76" i="8"/>
  <c r="J77" i="8"/>
  <c r="BA77" i="8" s="1"/>
  <c r="J78" i="8"/>
  <c r="BA78" i="8" s="1"/>
  <c r="J79" i="8"/>
  <c r="BA79" i="8" s="1"/>
  <c r="J80" i="8"/>
  <c r="J81" i="8"/>
  <c r="BA81" i="8" s="1"/>
  <c r="J75" i="8"/>
  <c r="BA75" i="8" s="1"/>
  <c r="J67" i="8"/>
  <c r="J68" i="8"/>
  <c r="BA68" i="8" s="1"/>
  <c r="J69" i="8"/>
  <c r="BA69" i="8" s="1"/>
  <c r="J70" i="8"/>
  <c r="BA70" i="8" s="1"/>
  <c r="J71" i="8"/>
  <c r="J72" i="8"/>
  <c r="BA72" i="8" s="1"/>
  <c r="J66" i="8"/>
  <c r="J58" i="8"/>
  <c r="BA58" i="8" s="1"/>
  <c r="J59" i="8"/>
  <c r="BA59" i="8" s="1"/>
  <c r="J60" i="8"/>
  <c r="J61" i="8"/>
  <c r="BA61" i="8" s="1"/>
  <c r="J62" i="8"/>
  <c r="BA62" i="8" s="1"/>
  <c r="J63" i="8"/>
  <c r="BA63" i="8" s="1"/>
  <c r="J57" i="8"/>
  <c r="J49" i="8"/>
  <c r="J50" i="8"/>
  <c r="BA50" i="8" s="1"/>
  <c r="J51" i="8"/>
  <c r="J52" i="8"/>
  <c r="BA52" i="8" s="1"/>
  <c r="J53" i="8"/>
  <c r="BA53" i="8" s="1"/>
  <c r="J54" i="8"/>
  <c r="BA54" i="8" s="1"/>
  <c r="J48" i="8"/>
  <c r="BA48" i="8" s="1"/>
  <c r="J40" i="8"/>
  <c r="J41" i="8"/>
  <c r="BA41" i="8" s="1"/>
  <c r="J42" i="8"/>
  <c r="BA42" i="8" s="1"/>
  <c r="J43" i="8"/>
  <c r="BA43" i="8" s="1"/>
  <c r="J44" i="8"/>
  <c r="J45" i="8"/>
  <c r="BA45" i="8" s="1"/>
  <c r="J39" i="8"/>
  <c r="BA39" i="8" s="1"/>
  <c r="J31" i="8"/>
  <c r="J32" i="8"/>
  <c r="BA32" i="8" s="1"/>
  <c r="J33" i="8"/>
  <c r="BA33" i="8" s="1"/>
  <c r="J34" i="8"/>
  <c r="BA34" i="8" s="1"/>
  <c r="J35" i="8"/>
  <c r="J36" i="8"/>
  <c r="BA36" i="8" s="1"/>
  <c r="J30" i="8"/>
  <c r="J22" i="8"/>
  <c r="BA22" i="8" s="1"/>
  <c r="J23" i="8"/>
  <c r="BA23" i="8" s="1"/>
  <c r="J24" i="8"/>
  <c r="J25" i="8"/>
  <c r="J26" i="8"/>
  <c r="BA26" i="8" s="1"/>
  <c r="J27" i="8"/>
  <c r="BA27" i="8" s="1"/>
  <c r="J21" i="8"/>
  <c r="BA31" i="8" l="1"/>
  <c r="BA21" i="8"/>
  <c r="BA93" i="8"/>
  <c r="BA129" i="8"/>
  <c r="BA35" i="8"/>
  <c r="BA51" i="8"/>
  <c r="BA71" i="8"/>
  <c r="BA67" i="8"/>
  <c r="BA87" i="8"/>
  <c r="BA107" i="8"/>
  <c r="BA123" i="8"/>
  <c r="BA132" i="8"/>
  <c r="BA116" i="8"/>
  <c r="BA112" i="8"/>
  <c r="BA102" i="8"/>
  <c r="BA103" i="8"/>
  <c r="BA97" i="8"/>
  <c r="BA96" i="8"/>
  <c r="BA80" i="8"/>
  <c r="BA76" i="8"/>
  <c r="BA66" i="8"/>
  <c r="BA60" i="8"/>
  <c r="BA57" i="8"/>
  <c r="BA49" i="8"/>
  <c r="BA44" i="8"/>
  <c r="BA40" i="8"/>
  <c r="BA30" i="8"/>
  <c r="BA25" i="8"/>
  <c r="BA24" i="8"/>
  <c r="U4" i="8"/>
  <c r="Q5" i="8"/>
  <c r="Q7" i="8"/>
  <c r="Q4" i="8"/>
  <c r="J5" i="8"/>
  <c r="T4" i="8"/>
  <c r="P4" i="8"/>
  <c r="L4" i="8"/>
  <c r="T5" i="8"/>
  <c r="P5" i="8"/>
  <c r="L5" i="8"/>
  <c r="L6" i="8"/>
  <c r="T6" i="8"/>
  <c r="P6" i="8"/>
  <c r="M8" i="8"/>
  <c r="S7" i="8"/>
  <c r="N7" i="8"/>
  <c r="T8" i="8"/>
  <c r="P8" i="8"/>
  <c r="U9" i="8"/>
  <c r="Q9" i="8"/>
  <c r="U10" i="8"/>
  <c r="Q10" i="8"/>
  <c r="T11" i="8"/>
  <c r="S13" i="8"/>
  <c r="S14" i="8"/>
  <c r="T13" i="8"/>
  <c r="H17" i="8"/>
  <c r="H13" i="8"/>
  <c r="H9" i="8"/>
  <c r="I6" i="8"/>
  <c r="I14" i="8"/>
  <c r="I10" i="8"/>
  <c r="J7" i="8"/>
  <c r="J14" i="8"/>
  <c r="J10" i="8"/>
  <c r="K17" i="8"/>
  <c r="K13" i="8"/>
  <c r="K9" i="8"/>
  <c r="L15" i="8"/>
  <c r="L11" i="8"/>
  <c r="M16" i="8"/>
  <c r="M12" i="8"/>
  <c r="N16" i="8"/>
  <c r="N12" i="8"/>
  <c r="O15" i="8"/>
  <c r="P17" i="8"/>
  <c r="Q14" i="8"/>
  <c r="R15" i="8"/>
  <c r="S17" i="8"/>
  <c r="O4" i="8"/>
  <c r="S5" i="8"/>
  <c r="O5" i="8"/>
  <c r="K5" i="8"/>
  <c r="L7" i="8"/>
  <c r="S6" i="8"/>
  <c r="O6" i="8"/>
  <c r="N8" i="8"/>
  <c r="R7" i="8"/>
  <c r="N9" i="8"/>
  <c r="S8" i="8"/>
  <c r="O8" i="8"/>
  <c r="T9" i="8"/>
  <c r="P9" i="8"/>
  <c r="T10" i="8"/>
  <c r="Q12" i="8"/>
  <c r="S11" i="8"/>
  <c r="U12" i="8"/>
  <c r="U14" i="8"/>
  <c r="T15" i="8"/>
  <c r="H16" i="8"/>
  <c r="H12" i="8"/>
  <c r="H8" i="8"/>
  <c r="I17" i="8"/>
  <c r="I13" i="8"/>
  <c r="I9" i="8"/>
  <c r="J17" i="8"/>
  <c r="J13" i="8"/>
  <c r="J9" i="8"/>
  <c r="K16" i="8"/>
  <c r="K12" i="8"/>
  <c r="L9" i="8"/>
  <c r="L14" i="8"/>
  <c r="L10" i="8"/>
  <c r="M15" i="8"/>
  <c r="M11" i="8"/>
  <c r="N15" i="8"/>
  <c r="O12" i="8"/>
  <c r="O14" i="8"/>
  <c r="P16" i="8"/>
  <c r="Q17" i="8"/>
  <c r="R17" i="8"/>
  <c r="T17" i="8"/>
  <c r="S4" i="8"/>
  <c r="K4" i="8"/>
  <c r="R4" i="8"/>
  <c r="N4" i="8"/>
  <c r="J4" i="8"/>
  <c r="R5" i="8"/>
  <c r="N5" i="8"/>
  <c r="U5" i="8"/>
  <c r="M7" i="8"/>
  <c r="R6" i="8"/>
  <c r="N6" i="8"/>
  <c r="U7" i="8"/>
  <c r="P7" i="8"/>
  <c r="O9" i="8"/>
  <c r="R8" i="8"/>
  <c r="O10" i="8"/>
  <c r="S9" i="8"/>
  <c r="P11" i="8"/>
  <c r="S10" i="8"/>
  <c r="R12" i="8"/>
  <c r="R11" i="8"/>
  <c r="T12" i="8"/>
  <c r="T14" i="8"/>
  <c r="U15" i="8"/>
  <c r="H15" i="8"/>
  <c r="H11" i="8"/>
  <c r="H7" i="8"/>
  <c r="I16" i="8"/>
  <c r="I12" i="8"/>
  <c r="I8" i="8"/>
  <c r="J16" i="8"/>
  <c r="J12" i="8"/>
  <c r="J8" i="8"/>
  <c r="K15" i="8"/>
  <c r="K11" i="8"/>
  <c r="L17" i="8"/>
  <c r="L13" i="8"/>
  <c r="M10" i="8"/>
  <c r="M14" i="8"/>
  <c r="N11" i="8"/>
  <c r="N14" i="8"/>
  <c r="O17" i="8"/>
  <c r="O13" i="8"/>
  <c r="P15" i="8"/>
  <c r="Q16" i="8"/>
  <c r="R16" i="8"/>
  <c r="U16" i="8"/>
  <c r="M4" i="8"/>
  <c r="M5" i="8"/>
  <c r="K6" i="8"/>
  <c r="U6" i="8"/>
  <c r="Q6" i="8"/>
  <c r="M6" i="8"/>
  <c r="T7" i="8"/>
  <c r="O7" i="8"/>
  <c r="U8" i="8"/>
  <c r="Q8" i="8"/>
  <c r="P10" i="8"/>
  <c r="R9" i="8"/>
  <c r="Q11" i="8"/>
  <c r="R10" i="8"/>
  <c r="U11" i="8"/>
  <c r="R13" i="8"/>
  <c r="S12" i="8"/>
  <c r="U13" i="8"/>
  <c r="H5" i="8"/>
  <c r="H14" i="8"/>
  <c r="H10" i="8"/>
  <c r="H6" i="8"/>
  <c r="I15" i="8"/>
  <c r="I11" i="8"/>
  <c r="I7" i="8"/>
  <c r="J15" i="8"/>
  <c r="J11" i="8"/>
  <c r="K8" i="8"/>
  <c r="K14" i="8"/>
  <c r="K10" i="8"/>
  <c r="L16" i="8"/>
  <c r="L12" i="8"/>
  <c r="M17" i="8"/>
  <c r="M13" i="8"/>
  <c r="N17" i="8"/>
  <c r="N13" i="8"/>
  <c r="O16" i="8"/>
  <c r="P13" i="8"/>
  <c r="P14" i="8"/>
  <c r="Q15" i="8"/>
  <c r="S16" i="8"/>
  <c r="I4" i="8"/>
  <c r="BN17" i="8"/>
  <c r="BP17" i="8"/>
  <c r="BO17" i="8"/>
  <c r="BP16" i="8"/>
  <c r="BM15" i="8"/>
  <c r="BN14" i="8"/>
  <c r="BO16" i="8"/>
  <c r="BP15" i="8"/>
  <c r="BM14" i="8"/>
  <c r="BM17" i="8"/>
  <c r="BN16" i="8"/>
  <c r="BO15" i="8"/>
  <c r="BP14" i="8"/>
  <c r="BM16" i="8"/>
  <c r="BN15" i="8"/>
  <c r="BO14" i="8"/>
  <c r="BL17" i="8"/>
  <c r="BH17" i="8"/>
  <c r="BK16" i="8"/>
  <c r="BG16" i="8"/>
  <c r="BJ15" i="8"/>
  <c r="BF15" i="8"/>
  <c r="BI14" i="8"/>
  <c r="BK17" i="8"/>
  <c r="BG17" i="8"/>
  <c r="BJ16" i="8"/>
  <c r="BF16" i="8"/>
  <c r="BI15" i="8"/>
  <c r="BL14" i="8"/>
  <c r="BH14" i="8"/>
  <c r="BJ17" i="8"/>
  <c r="BF17" i="8"/>
  <c r="BI16" i="8"/>
  <c r="BL15" i="8"/>
  <c r="BH15" i="8"/>
  <c r="BK14" i="8"/>
  <c r="BG14" i="8"/>
  <c r="BE16" i="8"/>
  <c r="BT16" i="8" s="1"/>
  <c r="BI17" i="8"/>
  <c r="BL16" i="8"/>
  <c r="BH16" i="8"/>
  <c r="BK15" i="8"/>
  <c r="BG15" i="8"/>
  <c r="BJ14" i="8"/>
  <c r="BF14" i="8"/>
  <c r="BE14" i="8"/>
  <c r="BT14" i="8" s="1"/>
  <c r="BE17" i="8"/>
  <c r="BT17" i="8" s="1"/>
  <c r="BE15" i="8"/>
  <c r="BT15" i="8" s="1"/>
  <c r="E135" i="8"/>
  <c r="C135" i="8"/>
  <c r="E134" i="8"/>
  <c r="C134" i="8"/>
  <c r="E133" i="8"/>
  <c r="C133" i="8"/>
  <c r="E132" i="8"/>
  <c r="C132" i="8"/>
  <c r="E131" i="8"/>
  <c r="C131" i="8"/>
  <c r="E130" i="8"/>
  <c r="C130" i="8"/>
  <c r="E129" i="8"/>
  <c r="C129" i="8"/>
  <c r="E126" i="8"/>
  <c r="C126" i="8"/>
  <c r="E125" i="8"/>
  <c r="C125" i="8"/>
  <c r="E124" i="8"/>
  <c r="C124" i="8"/>
  <c r="E123" i="8"/>
  <c r="C123" i="8"/>
  <c r="E122" i="8"/>
  <c r="C122" i="8"/>
  <c r="E121" i="8"/>
  <c r="C121" i="8"/>
  <c r="E120" i="8"/>
  <c r="C120" i="8"/>
  <c r="E117" i="8"/>
  <c r="C117" i="8"/>
  <c r="E116" i="8"/>
  <c r="C116" i="8"/>
  <c r="E115" i="8"/>
  <c r="C115" i="8"/>
  <c r="E114" i="8"/>
  <c r="C114" i="8"/>
  <c r="E113" i="8"/>
  <c r="C113" i="8"/>
  <c r="E112" i="8"/>
  <c r="C112" i="8"/>
  <c r="E111" i="8"/>
  <c r="C111" i="8"/>
  <c r="C102" i="8"/>
  <c r="E108" i="8"/>
  <c r="C108" i="8"/>
  <c r="E107" i="8"/>
  <c r="C107" i="8"/>
  <c r="E106" i="8"/>
  <c r="C106" i="8"/>
  <c r="E105" i="8"/>
  <c r="C105" i="8"/>
  <c r="E104" i="8"/>
  <c r="C104" i="8"/>
  <c r="E103" i="8"/>
  <c r="C103" i="8"/>
  <c r="E102" i="8"/>
  <c r="E99" i="8"/>
  <c r="E98" i="8"/>
  <c r="E97" i="8"/>
  <c r="E96" i="8"/>
  <c r="E95" i="8"/>
  <c r="E94" i="8"/>
  <c r="E93" i="8"/>
  <c r="C94" i="8"/>
  <c r="C95" i="8"/>
  <c r="C96" i="8"/>
  <c r="C97" i="8"/>
  <c r="C98" i="8"/>
  <c r="C99" i="8"/>
  <c r="C93" i="8"/>
  <c r="C85" i="8"/>
  <c r="C86" i="8"/>
  <c r="C87" i="8"/>
  <c r="C88" i="8"/>
  <c r="C89" i="8"/>
  <c r="C90" i="8"/>
  <c r="C84" i="8"/>
  <c r="E90" i="8"/>
  <c r="E89" i="8"/>
  <c r="E88" i="8"/>
  <c r="E87" i="8"/>
  <c r="E86" i="8"/>
  <c r="E85" i="8"/>
  <c r="E84" i="8"/>
  <c r="E81" i="8"/>
  <c r="E80" i="8"/>
  <c r="E79" i="8"/>
  <c r="E78" i="8"/>
  <c r="E77" i="8"/>
  <c r="E76" i="8"/>
  <c r="E75" i="8"/>
  <c r="C81" i="8"/>
  <c r="C76" i="8"/>
  <c r="C77" i="8"/>
  <c r="C78" i="8"/>
  <c r="C79" i="8"/>
  <c r="C80" i="8"/>
  <c r="C75" i="8"/>
  <c r="C67" i="8"/>
  <c r="C68" i="8"/>
  <c r="C69" i="8"/>
  <c r="C70" i="8"/>
  <c r="C71" i="8"/>
  <c r="C72" i="8"/>
  <c r="C66" i="8"/>
  <c r="E72" i="8"/>
  <c r="E71" i="8"/>
  <c r="E70" i="8"/>
  <c r="E69" i="8"/>
  <c r="E68" i="8"/>
  <c r="E67" i="8"/>
  <c r="E66" i="8"/>
  <c r="E63" i="8"/>
  <c r="E62" i="8"/>
  <c r="E61" i="8"/>
  <c r="E60" i="8"/>
  <c r="E59" i="8"/>
  <c r="E58" i="8"/>
  <c r="E57" i="8"/>
  <c r="C58" i="8"/>
  <c r="C59" i="8"/>
  <c r="C60" i="8"/>
  <c r="C61" i="8"/>
  <c r="C62" i="8"/>
  <c r="C63" i="8"/>
  <c r="C57" i="8"/>
  <c r="C54" i="8"/>
  <c r="C53" i="8"/>
  <c r="C52" i="8"/>
  <c r="C51" i="8"/>
  <c r="C50" i="8"/>
  <c r="C49" i="8"/>
  <c r="C48" i="8"/>
  <c r="E54" i="8"/>
  <c r="E53" i="8"/>
  <c r="E52" i="8"/>
  <c r="E51" i="8"/>
  <c r="E50" i="8"/>
  <c r="E49" i="8"/>
  <c r="E48" i="8"/>
  <c r="E45" i="8"/>
  <c r="E44" i="8"/>
  <c r="E43" i="8"/>
  <c r="E42" i="8"/>
  <c r="E41" i="8"/>
  <c r="E40" i="8"/>
  <c r="C40" i="8"/>
  <c r="C41" i="8"/>
  <c r="C42" i="8"/>
  <c r="C43" i="8"/>
  <c r="C44" i="8"/>
  <c r="C45" i="8"/>
  <c r="C39" i="8"/>
  <c r="E39" i="8"/>
  <c r="E36" i="8"/>
  <c r="E35" i="8"/>
  <c r="E34" i="8"/>
  <c r="E33" i="8"/>
  <c r="E32" i="8"/>
  <c r="E31" i="8"/>
  <c r="E30" i="8"/>
  <c r="C31" i="8"/>
  <c r="C32" i="8"/>
  <c r="C33" i="8"/>
  <c r="C34" i="8"/>
  <c r="C35" i="8"/>
  <c r="C36" i="8"/>
  <c r="C30" i="8"/>
  <c r="E27" i="8"/>
  <c r="E26" i="8"/>
  <c r="E25" i="8"/>
  <c r="E24" i="8"/>
  <c r="E23" i="8"/>
  <c r="E22" i="8"/>
  <c r="E21" i="8"/>
  <c r="C22" i="8"/>
  <c r="C23" i="8"/>
  <c r="C24" i="8"/>
  <c r="C25" i="8"/>
  <c r="C26" i="8"/>
  <c r="C27" i="8"/>
  <c r="C21" i="8"/>
  <c r="BA82" i="8"/>
  <c r="BA74" i="8"/>
  <c r="BA73" i="8"/>
  <c r="BA65" i="8"/>
  <c r="BA64" i="8"/>
  <c r="BA56" i="8"/>
  <c r="BA47" i="8"/>
  <c r="BA46" i="8"/>
  <c r="BA38" i="8"/>
  <c r="BA37" i="8"/>
  <c r="BA29" i="8"/>
  <c r="BA28" i="8"/>
  <c r="BH24" i="8"/>
  <c r="BG24" i="8"/>
  <c r="BH23" i="8"/>
  <c r="BG23" i="8"/>
  <c r="BH22" i="8"/>
  <c r="BG22" i="8"/>
  <c r="BH21" i="8"/>
  <c r="BG21" i="8"/>
  <c r="AZ13" i="8"/>
  <c r="AY13" i="8"/>
  <c r="AZ12" i="8"/>
  <c r="AY12" i="8"/>
  <c r="AZ11" i="8"/>
  <c r="AY11" i="8"/>
  <c r="AZ10" i="8"/>
  <c r="AY10" i="8"/>
  <c r="AZ9" i="8"/>
  <c r="AY9" i="8"/>
  <c r="AZ8" i="8"/>
  <c r="AY8" i="8"/>
  <c r="AZ7" i="8"/>
  <c r="AY7" i="8"/>
  <c r="AZ6" i="8"/>
  <c r="AY6" i="8"/>
  <c r="AZ5" i="8"/>
  <c r="AY5" i="8"/>
  <c r="AZ4" i="8"/>
  <c r="AY4" i="8"/>
  <c r="BJ7" i="8" l="1"/>
  <c r="BN7" i="8"/>
  <c r="BO7" i="8"/>
  <c r="BP7" i="8"/>
  <c r="BM7" i="8"/>
  <c r="BK6" i="8"/>
  <c r="BO6" i="8"/>
  <c r="BP6" i="8"/>
  <c r="BM6" i="8"/>
  <c r="BN6" i="8"/>
  <c r="BI10" i="8"/>
  <c r="BO10" i="8"/>
  <c r="BP10" i="8"/>
  <c r="BM10" i="8"/>
  <c r="BN10" i="8"/>
  <c r="BI4" i="8"/>
  <c r="BM4" i="8"/>
  <c r="BN4" i="8"/>
  <c r="BO4" i="8"/>
  <c r="BP4" i="8"/>
  <c r="BI8" i="8"/>
  <c r="BM8" i="8"/>
  <c r="BN8" i="8"/>
  <c r="BO8" i="8"/>
  <c r="BP8" i="8"/>
  <c r="BJ11" i="8"/>
  <c r="BN11" i="8"/>
  <c r="BO11" i="8"/>
  <c r="BP11" i="8"/>
  <c r="BM11" i="8"/>
  <c r="BI12" i="8"/>
  <c r="BM12" i="8"/>
  <c r="BN12" i="8"/>
  <c r="BO12" i="8"/>
  <c r="BP12" i="8"/>
  <c r="BL13" i="8"/>
  <c r="BP13" i="8"/>
  <c r="BM13" i="8"/>
  <c r="BN13" i="8"/>
  <c r="BO13" i="8"/>
  <c r="BE5" i="8"/>
  <c r="BP5" i="8"/>
  <c r="BM5" i="8"/>
  <c r="BN5" i="8"/>
  <c r="BO5" i="8"/>
  <c r="BF9" i="8"/>
  <c r="BP9" i="8"/>
  <c r="BM9" i="8"/>
  <c r="BN9" i="8"/>
  <c r="BO9" i="8"/>
  <c r="BU15" i="8"/>
  <c r="BV15" i="8" s="1"/>
  <c r="BW15" i="8" s="1"/>
  <c r="BX15" i="8" s="1"/>
  <c r="BY15" i="8" s="1"/>
  <c r="BZ15" i="8" s="1"/>
  <c r="CA15" i="8" s="1"/>
  <c r="CB15" i="8" s="1"/>
  <c r="CC15" i="8" s="1"/>
  <c r="CD15" i="8" s="1"/>
  <c r="CE15" i="8" s="1"/>
  <c r="BU17" i="8"/>
  <c r="BV17" i="8" s="1"/>
  <c r="BW17" i="8" s="1"/>
  <c r="BX17" i="8" s="1"/>
  <c r="BY17" i="8" s="1"/>
  <c r="BZ17" i="8" s="1"/>
  <c r="CA17" i="8" s="1"/>
  <c r="CB17" i="8" s="1"/>
  <c r="CC17" i="8" s="1"/>
  <c r="CD17" i="8" s="1"/>
  <c r="CE17" i="8" s="1"/>
  <c r="BU14" i="8"/>
  <c r="BV14" i="8" s="1"/>
  <c r="BW14" i="8" s="1"/>
  <c r="BX14" i="8" s="1"/>
  <c r="BY14" i="8" s="1"/>
  <c r="BZ14" i="8" s="1"/>
  <c r="CA14" i="8" s="1"/>
  <c r="CB14" i="8" s="1"/>
  <c r="CC14" i="8" s="1"/>
  <c r="CD14" i="8" s="1"/>
  <c r="CE14" i="8" s="1"/>
  <c r="BU16" i="8"/>
  <c r="BV16" i="8" s="1"/>
  <c r="BW16" i="8" s="1"/>
  <c r="BX16" i="8" s="1"/>
  <c r="BY16" i="8" s="1"/>
  <c r="BZ16" i="8" s="1"/>
  <c r="CA16" i="8" s="1"/>
  <c r="CB16" i="8" s="1"/>
  <c r="CC16" i="8" s="1"/>
  <c r="CD16" i="8" s="1"/>
  <c r="CE16" i="8" s="1"/>
  <c r="BK8" i="8"/>
  <c r="BE9" i="8"/>
  <c r="BG12" i="8"/>
  <c r="BK11" i="8"/>
  <c r="BL11" i="8"/>
  <c r="BK4" i="8"/>
  <c r="BD11" i="8"/>
  <c r="BS11" i="8" s="1"/>
  <c r="BJ4" i="8"/>
  <c r="BD4" i="8"/>
  <c r="BS4" i="8" s="1"/>
  <c r="BG7" i="8"/>
  <c r="BF4" i="8"/>
  <c r="BK7" i="8"/>
  <c r="BG11" i="8"/>
  <c r="BH6" i="8"/>
  <c r="BL4" i="8"/>
  <c r="BG4" i="8"/>
  <c r="BJ6" i="8"/>
  <c r="BF8" i="8"/>
  <c r="BH4" i="8"/>
  <c r="BD6" i="8"/>
  <c r="BS6" i="8" s="1"/>
  <c r="BL6" i="8"/>
  <c r="BG8" i="8"/>
  <c r="BE10" i="8"/>
  <c r="BH11" i="8"/>
  <c r="BK12" i="8"/>
  <c r="BF6" i="8"/>
  <c r="BJ8" i="8"/>
  <c r="BI5" i="8"/>
  <c r="BF5" i="8"/>
  <c r="BJ5" i="8"/>
  <c r="BE6" i="8"/>
  <c r="BI6" i="8"/>
  <c r="BD7" i="8"/>
  <c r="BS7" i="8" s="1"/>
  <c r="BH7" i="8"/>
  <c r="BL7" i="8"/>
  <c r="BK10" i="8"/>
  <c r="BG10" i="8"/>
  <c r="BJ10" i="8"/>
  <c r="BF10" i="8"/>
  <c r="BH10" i="8"/>
  <c r="BK5" i="8"/>
  <c r="BE7" i="8"/>
  <c r="BL9" i="8"/>
  <c r="BH9" i="8"/>
  <c r="BD9" i="8"/>
  <c r="BS9" i="8" s="1"/>
  <c r="BK9" i="8"/>
  <c r="BG9" i="8"/>
  <c r="BI9" i="8"/>
  <c r="BG5" i="8"/>
  <c r="BI7" i="8"/>
  <c r="BE4" i="8"/>
  <c r="BD5" i="8"/>
  <c r="BS5" i="8" s="1"/>
  <c r="BH5" i="8"/>
  <c r="BL5" i="8"/>
  <c r="BG6" i="8"/>
  <c r="BF7" i="8"/>
  <c r="BJ9" i="8"/>
  <c r="BD10" i="8"/>
  <c r="BS10" i="8" s="1"/>
  <c r="BL10" i="8"/>
  <c r="BF12" i="8"/>
  <c r="BJ12" i="8"/>
  <c r="BE13" i="8"/>
  <c r="BI13" i="8"/>
  <c r="BF13" i="8"/>
  <c r="BJ13" i="8"/>
  <c r="BD8" i="8"/>
  <c r="BS8" i="8" s="1"/>
  <c r="BH8" i="8"/>
  <c r="BL8" i="8"/>
  <c r="BE11" i="8"/>
  <c r="BI11" i="8"/>
  <c r="BD12" i="8"/>
  <c r="BS12" i="8" s="1"/>
  <c r="BH12" i="8"/>
  <c r="BL12" i="8"/>
  <c r="BG13" i="8"/>
  <c r="BK13" i="8"/>
  <c r="BE8" i="8"/>
  <c r="BF11" i="8"/>
  <c r="BE12" i="8"/>
  <c r="BD13" i="8"/>
  <c r="BS13" i="8" s="1"/>
  <c r="BH13" i="8"/>
  <c r="U17" i="8"/>
  <c r="T16" i="8"/>
  <c r="S15" i="8"/>
  <c r="V15" i="8" s="1"/>
  <c r="R14" i="8"/>
  <c r="Q13" i="8"/>
  <c r="BH20" i="8" s="1"/>
  <c r="P12" i="8"/>
  <c r="O11" i="8"/>
  <c r="V11" i="8" s="1"/>
  <c r="N10" i="8"/>
  <c r="M9" i="8"/>
  <c r="L8" i="8"/>
  <c r="K7" i="8"/>
  <c r="V7" i="8" s="1"/>
  <c r="J6" i="8"/>
  <c r="I5" i="8"/>
  <c r="H4" i="8"/>
  <c r="AB1" i="8"/>
  <c r="U1" i="9"/>
  <c r="V4" i="8" l="1"/>
  <c r="BA16" i="8"/>
  <c r="BA17" i="8"/>
  <c r="BA14" i="8"/>
  <c r="BA15" i="8"/>
  <c r="BE78" i="8"/>
  <c r="BH78" i="8" s="1"/>
  <c r="BF71" i="8"/>
  <c r="BG71" i="8" s="1"/>
  <c r="BE65" i="8"/>
  <c r="BH65" i="8" s="1"/>
  <c r="BF56" i="8"/>
  <c r="BG56" i="8" s="1"/>
  <c r="BE52" i="8"/>
  <c r="BH52" i="8" s="1"/>
  <c r="BF41" i="8"/>
  <c r="BG41" i="8" s="1"/>
  <c r="BF38" i="8"/>
  <c r="BG38" i="8" s="1"/>
  <c r="BE28" i="8"/>
  <c r="BH28" i="8" s="1"/>
  <c r="BT6" i="8"/>
  <c r="BU6" i="8" s="1"/>
  <c r="BV6" i="8" s="1"/>
  <c r="BW6" i="8" s="1"/>
  <c r="BX6" i="8" s="1"/>
  <c r="BY6" i="8" s="1"/>
  <c r="BZ6" i="8" s="1"/>
  <c r="CA6" i="8" s="1"/>
  <c r="CB6" i="8" s="1"/>
  <c r="CC6" i="8" s="1"/>
  <c r="CD6" i="8" s="1"/>
  <c r="CE6" i="8" s="1"/>
  <c r="BT4" i="8"/>
  <c r="BU4" i="8" s="1"/>
  <c r="BV4" i="8" s="1"/>
  <c r="BW4" i="8" s="1"/>
  <c r="BX4" i="8" s="1"/>
  <c r="BY4" i="8" s="1"/>
  <c r="BZ4" i="8" s="1"/>
  <c r="CA4" i="8" s="1"/>
  <c r="CB4" i="8" s="1"/>
  <c r="CC4" i="8" s="1"/>
  <c r="CD4" i="8" s="1"/>
  <c r="CE4" i="8" s="1"/>
  <c r="BT11" i="8"/>
  <c r="BU11" i="8" s="1"/>
  <c r="BV11" i="8" s="1"/>
  <c r="BW11" i="8" s="1"/>
  <c r="BX11" i="8" s="1"/>
  <c r="BY11" i="8" s="1"/>
  <c r="BZ11" i="8" s="1"/>
  <c r="CA11" i="8" s="1"/>
  <c r="CB11" i="8" s="1"/>
  <c r="CC11" i="8" s="1"/>
  <c r="CD11" i="8" s="1"/>
  <c r="CE11" i="8" s="1"/>
  <c r="BE73" i="8"/>
  <c r="BH73" i="8" s="1"/>
  <c r="BT10" i="8"/>
  <c r="BU10" i="8" s="1"/>
  <c r="BV10" i="8" s="1"/>
  <c r="BW10" i="8" s="1"/>
  <c r="BX10" i="8" s="1"/>
  <c r="BY10" i="8" s="1"/>
  <c r="BZ10" i="8" s="1"/>
  <c r="CA10" i="8" s="1"/>
  <c r="CB10" i="8" s="1"/>
  <c r="CC10" i="8" s="1"/>
  <c r="CD10" i="8" s="1"/>
  <c r="CE10" i="8" s="1"/>
  <c r="BE30" i="8"/>
  <c r="BH30" i="8" s="1"/>
  <c r="BE44" i="8"/>
  <c r="BH44" i="8" s="1"/>
  <c r="BF52" i="8"/>
  <c r="BG52" i="8" s="1"/>
  <c r="BF62" i="8"/>
  <c r="BG62" i="8" s="1"/>
  <c r="BF73" i="8"/>
  <c r="BG73" i="8" s="1"/>
  <c r="BE29" i="8"/>
  <c r="BH29" i="8" s="1"/>
  <c r="BE43" i="8"/>
  <c r="BH43" i="8" s="1"/>
  <c r="BE57" i="8"/>
  <c r="BH57" i="8" s="1"/>
  <c r="BE71" i="8"/>
  <c r="BH71" i="8" s="1"/>
  <c r="BE35" i="8"/>
  <c r="BH35" i="8" s="1"/>
  <c r="BE49" i="8"/>
  <c r="BH49" i="8" s="1"/>
  <c r="BE63" i="8"/>
  <c r="BH63" i="8" s="1"/>
  <c r="BF78" i="8"/>
  <c r="BG78" i="8" s="1"/>
  <c r="BE34" i="8"/>
  <c r="BH34" i="8" s="1"/>
  <c r="BF42" i="8"/>
  <c r="BG42" i="8" s="1"/>
  <c r="BE55" i="8"/>
  <c r="BH55" i="8" s="1"/>
  <c r="BE66" i="8"/>
  <c r="BH66" i="8" s="1"/>
  <c r="BE76" i="8"/>
  <c r="BH76" i="8" s="1"/>
  <c r="BT9" i="8"/>
  <c r="BU9" i="8" s="1"/>
  <c r="BV9" i="8" s="1"/>
  <c r="BW9" i="8" s="1"/>
  <c r="BX9" i="8" s="1"/>
  <c r="BY9" i="8" s="1"/>
  <c r="BZ9" i="8" s="1"/>
  <c r="CA9" i="8" s="1"/>
  <c r="CB9" i="8" s="1"/>
  <c r="CC9" i="8" s="1"/>
  <c r="CD9" i="8" s="1"/>
  <c r="CE9" i="8" s="1"/>
  <c r="BT7" i="8"/>
  <c r="BU7" i="8" s="1"/>
  <c r="BV7" i="8" s="1"/>
  <c r="BW7" i="8" s="1"/>
  <c r="BX7" i="8" s="1"/>
  <c r="BY7" i="8" s="1"/>
  <c r="BZ7" i="8" s="1"/>
  <c r="CA7" i="8" s="1"/>
  <c r="CB7" i="8" s="1"/>
  <c r="CC7" i="8" s="1"/>
  <c r="CD7" i="8" s="1"/>
  <c r="CE7" i="8" s="1"/>
  <c r="BF31" i="8"/>
  <c r="BG31" i="8" s="1"/>
  <c r="BF45" i="8"/>
  <c r="BG45" i="8" s="1"/>
  <c r="BF55" i="8"/>
  <c r="BG55" i="8" s="1"/>
  <c r="BF66" i="8"/>
  <c r="BG66" i="8" s="1"/>
  <c r="BF76" i="8"/>
  <c r="BG76" i="8" s="1"/>
  <c r="BF30" i="8"/>
  <c r="BG30" i="8" s="1"/>
  <c r="BF44" i="8"/>
  <c r="BG44" i="8" s="1"/>
  <c r="BF58" i="8"/>
  <c r="BG58" i="8" s="1"/>
  <c r="BF72" i="8"/>
  <c r="BG72" i="8" s="1"/>
  <c r="BF36" i="8"/>
  <c r="BG36" i="8" s="1"/>
  <c r="BF50" i="8"/>
  <c r="BG50" i="8" s="1"/>
  <c r="BF64" i="8"/>
  <c r="BG64" i="8" s="1"/>
  <c r="BE27" i="8"/>
  <c r="BH27" i="8" s="1"/>
  <c r="BF35" i="8"/>
  <c r="BG35" i="8" s="1"/>
  <c r="BE45" i="8"/>
  <c r="BH45" i="8" s="1"/>
  <c r="BE59" i="8"/>
  <c r="BH59" i="8" s="1"/>
  <c r="BE69" i="8"/>
  <c r="BH69" i="8" s="1"/>
  <c r="BF77" i="8"/>
  <c r="BG77" i="8" s="1"/>
  <c r="BG20" i="8"/>
  <c r="BT13" i="8"/>
  <c r="BU13" i="8" s="1"/>
  <c r="BV13" i="8" s="1"/>
  <c r="BW13" i="8" s="1"/>
  <c r="BX13" i="8" s="1"/>
  <c r="BY13" i="8" s="1"/>
  <c r="BZ13" i="8" s="1"/>
  <c r="CA13" i="8" s="1"/>
  <c r="CB13" i="8" s="1"/>
  <c r="CC13" i="8" s="1"/>
  <c r="CD13" i="8" s="1"/>
  <c r="CE13" i="8" s="1"/>
  <c r="BT12" i="8"/>
  <c r="BU12" i="8" s="1"/>
  <c r="BV12" i="8" s="1"/>
  <c r="BW12" i="8" s="1"/>
  <c r="BX12" i="8" s="1"/>
  <c r="BY12" i="8" s="1"/>
  <c r="BZ12" i="8" s="1"/>
  <c r="CA12" i="8" s="1"/>
  <c r="CB12" i="8" s="1"/>
  <c r="CC12" i="8" s="1"/>
  <c r="CD12" i="8" s="1"/>
  <c r="CE12" i="8" s="1"/>
  <c r="BT5" i="8"/>
  <c r="BU5" i="8" s="1"/>
  <c r="BV5" i="8" s="1"/>
  <c r="BW5" i="8" s="1"/>
  <c r="BX5" i="8" s="1"/>
  <c r="BY5" i="8" s="1"/>
  <c r="BZ5" i="8" s="1"/>
  <c r="CA5" i="8" s="1"/>
  <c r="CB5" i="8" s="1"/>
  <c r="CC5" i="8" s="1"/>
  <c r="CD5" i="8" s="1"/>
  <c r="CE5" i="8" s="1"/>
  <c r="BF34" i="8"/>
  <c r="BG34" i="8" s="1"/>
  <c r="BF48" i="8"/>
  <c r="BG48" i="8" s="1"/>
  <c r="BE58" i="8"/>
  <c r="BH58" i="8" s="1"/>
  <c r="BF69" i="8"/>
  <c r="BG69" i="8" s="1"/>
  <c r="BE79" i="8"/>
  <c r="BH79" i="8" s="1"/>
  <c r="BE36" i="8"/>
  <c r="BH36" i="8" s="1"/>
  <c r="BE50" i="8"/>
  <c r="BH50" i="8" s="1"/>
  <c r="BE64" i="8"/>
  <c r="BH64" i="8" s="1"/>
  <c r="BF79" i="8"/>
  <c r="BG79" i="8" s="1"/>
  <c r="BE42" i="8"/>
  <c r="BH42" i="8" s="1"/>
  <c r="BE56" i="8"/>
  <c r="BH56" i="8" s="1"/>
  <c r="BE70" i="8"/>
  <c r="BH70" i="8" s="1"/>
  <c r="BF28" i="8"/>
  <c r="BG28" i="8" s="1"/>
  <c r="BE38" i="8"/>
  <c r="BH38" i="8" s="1"/>
  <c r="BE48" i="8"/>
  <c r="BH48" i="8" s="1"/>
  <c r="BE62" i="8"/>
  <c r="BH62" i="8" s="1"/>
  <c r="BF70" i="8"/>
  <c r="BG70" i="8" s="1"/>
  <c r="BE80" i="8"/>
  <c r="BH80" i="8" s="1"/>
  <c r="BT8" i="8"/>
  <c r="BU8" i="8" s="1"/>
  <c r="BV8" i="8" s="1"/>
  <c r="BW8" i="8" s="1"/>
  <c r="BX8" i="8" s="1"/>
  <c r="BY8" i="8" s="1"/>
  <c r="BZ8" i="8" s="1"/>
  <c r="CA8" i="8" s="1"/>
  <c r="CB8" i="8" s="1"/>
  <c r="CC8" i="8" s="1"/>
  <c r="CD8" i="8" s="1"/>
  <c r="CE8" i="8" s="1"/>
  <c r="BF27" i="8"/>
  <c r="BG27" i="8" s="1"/>
  <c r="BE37" i="8"/>
  <c r="BH37" i="8" s="1"/>
  <c r="BE51" i="8"/>
  <c r="BH51" i="8" s="1"/>
  <c r="BF59" i="8"/>
  <c r="BG59" i="8" s="1"/>
  <c r="BE72" i="8"/>
  <c r="BH72" i="8" s="1"/>
  <c r="BF80" i="8"/>
  <c r="BG80" i="8" s="1"/>
  <c r="BF37" i="8"/>
  <c r="BG37" i="8" s="1"/>
  <c r="BF51" i="8"/>
  <c r="BG51" i="8" s="1"/>
  <c r="BF65" i="8"/>
  <c r="BG65" i="8" s="1"/>
  <c r="BF29" i="8"/>
  <c r="BG29" i="8" s="1"/>
  <c r="BF43" i="8"/>
  <c r="BG43" i="8" s="1"/>
  <c r="BF57" i="8"/>
  <c r="BG57" i="8" s="1"/>
  <c r="BE77" i="8"/>
  <c r="BH77" i="8" s="1"/>
  <c r="BE31" i="8"/>
  <c r="BH31" i="8" s="1"/>
  <c r="BE41" i="8"/>
  <c r="BH41" i="8" s="1"/>
  <c r="BF49" i="8"/>
  <c r="BG49" i="8" s="1"/>
  <c r="BF63" i="8"/>
  <c r="BG63" i="8" s="1"/>
  <c r="V14" i="8"/>
  <c r="V10" i="8"/>
  <c r="V6" i="8"/>
  <c r="V5" i="8"/>
  <c r="V9" i="8"/>
  <c r="V13" i="8"/>
  <c r="V17" i="8"/>
  <c r="V8" i="8"/>
  <c r="V12" i="8"/>
  <c r="V16" i="8"/>
  <c r="R78" i="1"/>
  <c r="R77" i="1"/>
  <c r="R76" i="1"/>
  <c r="R75" i="1"/>
  <c r="R74" i="1"/>
  <c r="R71" i="1"/>
  <c r="R70" i="1"/>
  <c r="R69" i="1"/>
  <c r="R68" i="1"/>
  <c r="R67" i="1"/>
  <c r="R64" i="1"/>
  <c r="R63" i="1"/>
  <c r="R62" i="1"/>
  <c r="R61" i="1"/>
  <c r="R60" i="1"/>
  <c r="R57" i="1"/>
  <c r="R56" i="1"/>
  <c r="R55" i="1"/>
  <c r="R54" i="1"/>
  <c r="R53" i="1"/>
  <c r="R50" i="1"/>
  <c r="R49" i="1"/>
  <c r="R48" i="1"/>
  <c r="R47" i="1"/>
  <c r="R46" i="1"/>
  <c r="R43" i="1"/>
  <c r="R42" i="1"/>
  <c r="R41" i="1"/>
  <c r="R40" i="1"/>
  <c r="R39" i="1"/>
  <c r="R36" i="1"/>
  <c r="R35" i="1"/>
  <c r="R34" i="1"/>
  <c r="R33" i="1"/>
  <c r="R32" i="1"/>
  <c r="R29" i="1"/>
  <c r="R28" i="1"/>
  <c r="R27" i="1"/>
  <c r="R26" i="1"/>
  <c r="R25" i="1"/>
  <c r="R19" i="1"/>
  <c r="R20" i="1"/>
  <c r="R21" i="1"/>
  <c r="R22" i="1"/>
  <c r="R18" i="1"/>
  <c r="M78" i="1"/>
  <c r="M77" i="1"/>
  <c r="M76" i="1"/>
  <c r="M75" i="1"/>
  <c r="M74" i="1"/>
  <c r="M71" i="1"/>
  <c r="M70" i="1"/>
  <c r="M69" i="1"/>
  <c r="M68" i="1"/>
  <c r="M67" i="1"/>
  <c r="M64" i="1"/>
  <c r="M63" i="1"/>
  <c r="M62" i="1"/>
  <c r="M61" i="1"/>
  <c r="M60" i="1"/>
  <c r="M57" i="1"/>
  <c r="M56" i="1"/>
  <c r="M55" i="1"/>
  <c r="M54" i="1"/>
  <c r="M53" i="1"/>
  <c r="M50" i="1"/>
  <c r="M49" i="1"/>
  <c r="M48" i="1"/>
  <c r="M47" i="1"/>
  <c r="M46" i="1"/>
  <c r="M43" i="1"/>
  <c r="M42" i="1"/>
  <c r="M41" i="1"/>
  <c r="M40" i="1"/>
  <c r="M39" i="1"/>
  <c r="M36" i="1"/>
  <c r="M35" i="1"/>
  <c r="M34" i="1"/>
  <c r="M33" i="1"/>
  <c r="M32" i="1"/>
  <c r="M29" i="1"/>
  <c r="M28" i="1"/>
  <c r="M27" i="1"/>
  <c r="M26" i="1"/>
  <c r="M25" i="1"/>
  <c r="M19" i="1"/>
  <c r="M20" i="1"/>
  <c r="M21" i="1"/>
  <c r="M22" i="1"/>
  <c r="M18" i="1"/>
  <c r="J78" i="1"/>
  <c r="J77" i="1"/>
  <c r="J76" i="1"/>
  <c r="J75" i="1"/>
  <c r="J74" i="1"/>
  <c r="J71" i="1"/>
  <c r="J70" i="1"/>
  <c r="J69" i="1"/>
  <c r="J68" i="1"/>
  <c r="J67" i="1"/>
  <c r="J64" i="1"/>
  <c r="J63" i="1"/>
  <c r="J62" i="1"/>
  <c r="J61" i="1"/>
  <c r="J60" i="1"/>
  <c r="J57" i="1"/>
  <c r="J56" i="1"/>
  <c r="J55" i="1"/>
  <c r="J54" i="1"/>
  <c r="J53" i="1"/>
  <c r="J50" i="1"/>
  <c r="J49" i="1"/>
  <c r="J48" i="1"/>
  <c r="J47" i="1"/>
  <c r="J46" i="1"/>
  <c r="J43" i="1"/>
  <c r="J42" i="1"/>
  <c r="J41" i="1"/>
  <c r="J40" i="1"/>
  <c r="J39" i="1"/>
  <c r="J36" i="1"/>
  <c r="J35" i="1"/>
  <c r="J34" i="1"/>
  <c r="J33" i="1"/>
  <c r="J32" i="1"/>
  <c r="J29" i="1"/>
  <c r="J28" i="1"/>
  <c r="J27" i="1"/>
  <c r="J26" i="1"/>
  <c r="J25" i="1"/>
  <c r="J19" i="1"/>
  <c r="J20" i="1"/>
  <c r="J21" i="1"/>
  <c r="J22" i="1"/>
  <c r="J18" i="1"/>
  <c r="R55" i="2"/>
  <c r="R54" i="2"/>
  <c r="R53" i="2"/>
  <c r="R52" i="2"/>
  <c r="R49" i="2"/>
  <c r="R48" i="2"/>
  <c r="R47" i="2"/>
  <c r="R46" i="2"/>
  <c r="R43" i="2"/>
  <c r="R42" i="2"/>
  <c r="R41" i="2"/>
  <c r="R40" i="2"/>
  <c r="R37" i="2"/>
  <c r="R36" i="2"/>
  <c r="R35" i="2"/>
  <c r="R34" i="2"/>
  <c r="R31" i="2"/>
  <c r="R30" i="2"/>
  <c r="R29" i="2"/>
  <c r="R28" i="2"/>
  <c r="R25" i="2"/>
  <c r="R24" i="2"/>
  <c r="R23" i="2"/>
  <c r="R22" i="2"/>
  <c r="R17" i="2"/>
  <c r="R18" i="2"/>
  <c r="R19" i="2"/>
  <c r="R16" i="2"/>
  <c r="M55" i="2"/>
  <c r="M54" i="2"/>
  <c r="M53" i="2"/>
  <c r="M52" i="2"/>
  <c r="M49" i="2"/>
  <c r="M48" i="2"/>
  <c r="M47" i="2"/>
  <c r="M46" i="2"/>
  <c r="M43" i="2"/>
  <c r="M42" i="2"/>
  <c r="M41" i="2"/>
  <c r="M40" i="2"/>
  <c r="M37" i="2"/>
  <c r="M36" i="2"/>
  <c r="M35" i="2"/>
  <c r="M34" i="2"/>
  <c r="M31" i="2"/>
  <c r="M30" i="2"/>
  <c r="M29" i="2"/>
  <c r="M28" i="2"/>
  <c r="M25" i="2"/>
  <c r="M24" i="2"/>
  <c r="M23" i="2"/>
  <c r="M22" i="2"/>
  <c r="M17" i="2"/>
  <c r="M18" i="2"/>
  <c r="M19" i="2"/>
  <c r="M16" i="2"/>
  <c r="J55" i="2"/>
  <c r="J54" i="2"/>
  <c r="J53" i="2"/>
  <c r="J52" i="2"/>
  <c r="J49" i="2"/>
  <c r="J48" i="2"/>
  <c r="J47" i="2"/>
  <c r="J46" i="2"/>
  <c r="J43" i="2"/>
  <c r="J42" i="2"/>
  <c r="J41" i="2"/>
  <c r="J40" i="2"/>
  <c r="J37" i="2"/>
  <c r="J36" i="2"/>
  <c r="J35" i="2"/>
  <c r="J34" i="2"/>
  <c r="J31" i="2"/>
  <c r="J30" i="2"/>
  <c r="J29" i="2"/>
  <c r="J28" i="2"/>
  <c r="J25" i="2"/>
  <c r="J24" i="2"/>
  <c r="J23" i="2"/>
  <c r="J22" i="2"/>
  <c r="J17" i="2"/>
  <c r="J18" i="2"/>
  <c r="J19" i="2"/>
  <c r="J16" i="2"/>
  <c r="R36" i="3"/>
  <c r="R35" i="3"/>
  <c r="R34" i="3"/>
  <c r="R31" i="3"/>
  <c r="R30" i="3"/>
  <c r="R29" i="3"/>
  <c r="R26" i="3"/>
  <c r="R25" i="3"/>
  <c r="R24" i="3"/>
  <c r="R21" i="3"/>
  <c r="R20" i="3"/>
  <c r="R19" i="3"/>
  <c r="R15" i="3"/>
  <c r="R16" i="3"/>
  <c r="R14" i="3"/>
  <c r="M36" i="3"/>
  <c r="M35" i="3"/>
  <c r="M34" i="3"/>
  <c r="M31" i="3"/>
  <c r="M30" i="3"/>
  <c r="M29" i="3"/>
  <c r="M26" i="3"/>
  <c r="M25" i="3"/>
  <c r="M24" i="3"/>
  <c r="M21" i="3"/>
  <c r="M20" i="3"/>
  <c r="M19" i="3"/>
  <c r="M15" i="3"/>
  <c r="M16" i="3"/>
  <c r="M14" i="3"/>
  <c r="J36" i="3"/>
  <c r="J35" i="3"/>
  <c r="J34" i="3"/>
  <c r="J31" i="3"/>
  <c r="J30" i="3"/>
  <c r="J29" i="3"/>
  <c r="J26" i="3"/>
  <c r="J25" i="3"/>
  <c r="J24" i="3"/>
  <c r="J21" i="3"/>
  <c r="J20" i="3"/>
  <c r="J19" i="3"/>
  <c r="J15" i="3"/>
  <c r="J16" i="3"/>
  <c r="J14" i="3"/>
  <c r="J16" i="4"/>
  <c r="Q21" i="4"/>
  <c r="Q20" i="4"/>
  <c r="Q17" i="4"/>
  <c r="Q16" i="4"/>
  <c r="Q13" i="4"/>
  <c r="Q12" i="4"/>
  <c r="N21" i="4"/>
  <c r="N20" i="4"/>
  <c r="N17" i="4"/>
  <c r="N16" i="4"/>
  <c r="N13" i="4"/>
  <c r="N12" i="4"/>
  <c r="J21" i="4"/>
  <c r="J20" i="4"/>
  <c r="J17" i="4"/>
  <c r="J13" i="4"/>
  <c r="J12" i="4"/>
  <c r="AI17" i="8" l="1"/>
  <c r="AI6" i="8"/>
  <c r="AI12" i="8"/>
  <c r="W4" i="8"/>
  <c r="AD4" i="8" s="1"/>
  <c r="AI9" i="8"/>
  <c r="AI8" i="8"/>
  <c r="AI5" i="8"/>
  <c r="AI11" i="8"/>
  <c r="AI7" i="8"/>
  <c r="AI16" i="8"/>
  <c r="AI13" i="8"/>
  <c r="AI10" i="8"/>
  <c r="AI14" i="8"/>
  <c r="AI15" i="8"/>
  <c r="AI4" i="8"/>
  <c r="W14" i="8"/>
  <c r="W5" i="8"/>
  <c r="W15" i="8"/>
  <c r="W13" i="8"/>
  <c r="W7" i="8"/>
  <c r="W11" i="8"/>
  <c r="W9" i="8"/>
  <c r="W12" i="8"/>
  <c r="W16" i="8"/>
  <c r="W10" i="8"/>
  <c r="W17" i="8"/>
  <c r="W6" i="8"/>
  <c r="W8" i="8"/>
  <c r="BA13" i="8"/>
  <c r="BA12" i="8"/>
  <c r="BA6" i="8"/>
  <c r="BA8" i="8"/>
  <c r="BA9" i="8"/>
  <c r="BA10" i="8"/>
  <c r="BA11" i="8"/>
  <c r="BA4" i="8"/>
  <c r="BA5" i="8"/>
  <c r="BA7" i="8"/>
  <c r="V1" i="1"/>
  <c r="AW79" i="1"/>
  <c r="AW72" i="1"/>
  <c r="AW65" i="1"/>
  <c r="AW58" i="1"/>
  <c r="AW51" i="1"/>
  <c r="AW44" i="1"/>
  <c r="AW37" i="1"/>
  <c r="AW30" i="1"/>
  <c r="AW23" i="1"/>
  <c r="V1" i="3"/>
  <c r="AQ17" i="8" l="1"/>
  <c r="AG4" i="8"/>
  <c r="AF4" i="8"/>
  <c r="AQ9" i="8"/>
  <c r="AD9" i="8"/>
  <c r="AG9" i="8"/>
  <c r="AF9" i="8"/>
  <c r="AQ11" i="8"/>
  <c r="AG11" i="8"/>
  <c r="AF11" i="8"/>
  <c r="AD11" i="8"/>
  <c r="AQ8" i="8"/>
  <c r="AF8" i="8"/>
  <c r="AD8" i="8"/>
  <c r="AG8" i="8"/>
  <c r="AQ16" i="8"/>
  <c r="AF16" i="8"/>
  <c r="AD16" i="8"/>
  <c r="AG16" i="8"/>
  <c r="AQ7" i="8"/>
  <c r="AG7" i="8"/>
  <c r="AF7" i="8"/>
  <c r="AD7" i="8"/>
  <c r="AQ14" i="8"/>
  <c r="AG14" i="8"/>
  <c r="AF14" i="8"/>
  <c r="AD14" i="8"/>
  <c r="AQ15" i="8"/>
  <c r="AD15" i="8"/>
  <c r="AG15" i="8"/>
  <c r="AF15" i="8"/>
  <c r="AQ10" i="8"/>
  <c r="AG10" i="8"/>
  <c r="AF10" i="8"/>
  <c r="AD10" i="8"/>
  <c r="AQ6" i="8"/>
  <c r="AG6" i="8"/>
  <c r="AF6" i="8"/>
  <c r="AD6" i="8"/>
  <c r="AQ12" i="8"/>
  <c r="AD12" i="8"/>
  <c r="AF12" i="8"/>
  <c r="AG12" i="8"/>
  <c r="AQ13" i="8"/>
  <c r="AG13" i="8"/>
  <c r="AF13" i="8"/>
  <c r="AG17" i="8"/>
  <c r="AD13" i="8"/>
  <c r="AF17" i="8"/>
  <c r="AD17" i="8"/>
  <c r="AI18" i="8"/>
  <c r="AQ5" i="8"/>
  <c r="AD5" i="8"/>
  <c r="AG5" i="8"/>
  <c r="AF5" i="8"/>
  <c r="AQ4" i="8"/>
  <c r="U1" i="4"/>
  <c r="S8" i="4"/>
  <c r="AJ7" i="8" l="1"/>
  <c r="AJ11" i="8"/>
  <c r="AJ15" i="8"/>
  <c r="AJ8" i="8"/>
  <c r="AJ12" i="8"/>
  <c r="AJ16" i="8"/>
  <c r="AJ5" i="8"/>
  <c r="AJ9" i="8"/>
  <c r="AJ13" i="8"/>
  <c r="AJ17" i="8"/>
  <c r="AJ6" i="8"/>
  <c r="AJ10" i="8"/>
  <c r="AJ14" i="8"/>
  <c r="AJ4" i="8"/>
  <c r="W1" i="2"/>
  <c r="AK17" i="8" l="1"/>
  <c r="AK4" i="8"/>
  <c r="AK11" i="8"/>
  <c r="AK13" i="8"/>
  <c r="AK7" i="8"/>
  <c r="AK10" i="8"/>
  <c r="AK9" i="8"/>
  <c r="AK8" i="8"/>
  <c r="AK16" i="8"/>
  <c r="AK14" i="8"/>
  <c r="AK12" i="8"/>
  <c r="AK6" i="8"/>
  <c r="AK5" i="8"/>
  <c r="AK15" i="8"/>
  <c r="X5" i="2"/>
  <c r="X6" i="2"/>
  <c r="X7" i="2"/>
  <c r="X8" i="2"/>
  <c r="X9" i="2"/>
  <c r="X10" i="2"/>
  <c r="X11" i="2"/>
  <c r="X4" i="2"/>
  <c r="E23" i="2"/>
  <c r="E24" i="2"/>
  <c r="E25" i="2"/>
  <c r="E22" i="2"/>
  <c r="E17" i="2"/>
  <c r="E18" i="2"/>
  <c r="E19" i="2"/>
  <c r="E16" i="2"/>
  <c r="C17" i="2"/>
  <c r="C18" i="2"/>
  <c r="C19" i="2"/>
  <c r="C16" i="2"/>
  <c r="AK18" i="8" l="1"/>
  <c r="AL8" i="8" s="1"/>
  <c r="AS21" i="4"/>
  <c r="AS20" i="4"/>
  <c r="AS12" i="4"/>
  <c r="AW53" i="1"/>
  <c r="AW47" i="1"/>
  <c r="AW41" i="1"/>
  <c r="AW19" i="1"/>
  <c r="AL7" i="8" l="1"/>
  <c r="AL5" i="8"/>
  <c r="AL17" i="8"/>
  <c r="AL15" i="8"/>
  <c r="AL14" i="8"/>
  <c r="AL13" i="8"/>
  <c r="AL12" i="8"/>
  <c r="AL6" i="8"/>
  <c r="AL4" i="8"/>
  <c r="AL16" i="8"/>
  <c r="AL11" i="8"/>
  <c r="AL10" i="8"/>
  <c r="AL9" i="8"/>
  <c r="AW28" i="1"/>
  <c r="AW34" i="1"/>
  <c r="AW50" i="1"/>
  <c r="AW62" i="1"/>
  <c r="AW68" i="1"/>
  <c r="AW74" i="1"/>
  <c r="AW78" i="1"/>
  <c r="AW75" i="1"/>
  <c r="AW69" i="1"/>
  <c r="AW63" i="1"/>
  <c r="AW57" i="1"/>
  <c r="AW56" i="1"/>
  <c r="AW46" i="1"/>
  <c r="AW40" i="1"/>
  <c r="AW35" i="1"/>
  <c r="AW22" i="1"/>
  <c r="AW18" i="1"/>
  <c r="AW32" i="1"/>
  <c r="AW54" i="1"/>
  <c r="AW64" i="1"/>
  <c r="AW76" i="1"/>
  <c r="AW48" i="1"/>
  <c r="AW77" i="1"/>
  <c r="AW71" i="1"/>
  <c r="AW70" i="1"/>
  <c r="AW67" i="1"/>
  <c r="AW61" i="1"/>
  <c r="AW60" i="1"/>
  <c r="AW55" i="1"/>
  <c r="AW49" i="1"/>
  <c r="AW43" i="1"/>
  <c r="AW42" i="1"/>
  <c r="AW39" i="1"/>
  <c r="AW36" i="1"/>
  <c r="AW33" i="1"/>
  <c r="AW26" i="1"/>
  <c r="AW21" i="1"/>
  <c r="AW20" i="1"/>
  <c r="AW27" i="1"/>
  <c r="AW25" i="1"/>
  <c r="AW29" i="1"/>
  <c r="AS17" i="4"/>
  <c r="AS16" i="4"/>
  <c r="AS13" i="4"/>
  <c r="BA55" i="2"/>
  <c r="BA54" i="2"/>
  <c r="BA53" i="2"/>
  <c r="BA52" i="2"/>
  <c r="BA48" i="2"/>
  <c r="BA47" i="2"/>
  <c r="BA43" i="2"/>
  <c r="BA41" i="2"/>
  <c r="BA37" i="2"/>
  <c r="BA35" i="2"/>
  <c r="BA30" i="2"/>
  <c r="BA29" i="2"/>
  <c r="BA28" i="2"/>
  <c r="BA25" i="2"/>
  <c r="BA24" i="2"/>
  <c r="BA23" i="2"/>
  <c r="AM10" i="8" l="1"/>
  <c r="AM6" i="8"/>
  <c r="AM12" i="8"/>
  <c r="AM15" i="8"/>
  <c r="AM16" i="8"/>
  <c r="AM7" i="8"/>
  <c r="AM13" i="8"/>
  <c r="AM17" i="8"/>
  <c r="AM8" i="8"/>
  <c r="AM11" i="8"/>
  <c r="AM14" i="8"/>
  <c r="AM5" i="8"/>
  <c r="AM9" i="8"/>
  <c r="AM4" i="8"/>
  <c r="BA46" i="2"/>
  <c r="BA16" i="2"/>
  <c r="BA49" i="2"/>
  <c r="BA40" i="2"/>
  <c r="BA36" i="2"/>
  <c r="BA34" i="2"/>
  <c r="BA22" i="2"/>
  <c r="BA18" i="2"/>
  <c r="BA31" i="2"/>
  <c r="BA42" i="2"/>
  <c r="BA19" i="2"/>
  <c r="BA17" i="2"/>
  <c r="AW36" i="3"/>
  <c r="AW34" i="3"/>
  <c r="AW30" i="3"/>
  <c r="AW29" i="3"/>
  <c r="AW26" i="3"/>
  <c r="AW24" i="3"/>
  <c r="AW21" i="3"/>
  <c r="AW20" i="3"/>
  <c r="AM18" i="8" l="1"/>
  <c r="AW19" i="3"/>
  <c r="AW35" i="3"/>
  <c r="AW25" i="3"/>
  <c r="AW31" i="3"/>
  <c r="AW14" i="3"/>
  <c r="AW15" i="3"/>
  <c r="AW16" i="3"/>
  <c r="AV21" i="4"/>
  <c r="AU21" i="4"/>
  <c r="E21" i="4"/>
  <c r="C21" i="4"/>
  <c r="AV20" i="4"/>
  <c r="AU20" i="4"/>
  <c r="E20" i="4"/>
  <c r="C20" i="4"/>
  <c r="AV17" i="4"/>
  <c r="AU17" i="4"/>
  <c r="E17" i="4"/>
  <c r="C17" i="4"/>
  <c r="AV16" i="4"/>
  <c r="AU16" i="4"/>
  <c r="E16" i="4"/>
  <c r="C16" i="4"/>
  <c r="AZ13" i="4"/>
  <c r="AY13" i="4"/>
  <c r="AV13" i="4"/>
  <c r="AU13" i="4"/>
  <c r="E13" i="4"/>
  <c r="C13" i="4"/>
  <c r="AZ12" i="4"/>
  <c r="AY12" i="4"/>
  <c r="AV12" i="4"/>
  <c r="AU12" i="4"/>
  <c r="E12" i="4"/>
  <c r="C12" i="4"/>
  <c r="AB6" i="4"/>
  <c r="BD7" i="4"/>
  <c r="BC7" i="4"/>
  <c r="BB7" i="4"/>
  <c r="BA7" i="4"/>
  <c r="AZ7" i="4"/>
  <c r="AY7" i="4"/>
  <c r="AX7" i="4"/>
  <c r="AW7" i="4"/>
  <c r="AV7" i="4"/>
  <c r="BG7" i="4" s="1"/>
  <c r="AB7" i="4"/>
  <c r="BD6" i="4"/>
  <c r="BC6" i="4"/>
  <c r="BB6" i="4"/>
  <c r="BA6" i="4"/>
  <c r="AZ6" i="4"/>
  <c r="AY6" i="4"/>
  <c r="AX6" i="4"/>
  <c r="AW6" i="4"/>
  <c r="AV6" i="4"/>
  <c r="BG6" i="4" s="1"/>
  <c r="BD5" i="4"/>
  <c r="BC5" i="4"/>
  <c r="BB5" i="4"/>
  <c r="BA5" i="4"/>
  <c r="AZ5" i="4"/>
  <c r="AY5" i="4"/>
  <c r="AX5" i="4"/>
  <c r="AW5" i="4"/>
  <c r="AV5" i="4"/>
  <c r="BG5" i="4" s="1"/>
  <c r="AB4" i="4"/>
  <c r="BD4" i="4"/>
  <c r="BC4" i="4"/>
  <c r="BB4" i="4"/>
  <c r="BA4" i="4"/>
  <c r="AZ4" i="4"/>
  <c r="AY4" i="4"/>
  <c r="AX4" i="4"/>
  <c r="AW4" i="4"/>
  <c r="AV4" i="4"/>
  <c r="BG4" i="4" s="1"/>
  <c r="AB5" i="4"/>
  <c r="AC7" i="3"/>
  <c r="AZ36" i="3"/>
  <c r="AY36" i="3"/>
  <c r="E36" i="3"/>
  <c r="C36" i="3"/>
  <c r="AZ35" i="3"/>
  <c r="AY35" i="3"/>
  <c r="E35" i="3"/>
  <c r="C35" i="3"/>
  <c r="AZ34" i="3"/>
  <c r="AY34" i="3"/>
  <c r="E34" i="3"/>
  <c r="C34" i="3"/>
  <c r="AZ31" i="3"/>
  <c r="AY31" i="3"/>
  <c r="E31" i="3"/>
  <c r="C31" i="3"/>
  <c r="AZ30" i="3"/>
  <c r="AY30" i="3"/>
  <c r="E30" i="3"/>
  <c r="C30" i="3"/>
  <c r="AZ29" i="3"/>
  <c r="AY29" i="3"/>
  <c r="E29" i="3"/>
  <c r="C29" i="3"/>
  <c r="AZ26" i="3"/>
  <c r="AY26" i="3"/>
  <c r="E26" i="3"/>
  <c r="C26" i="3"/>
  <c r="AZ25" i="3"/>
  <c r="AY25" i="3"/>
  <c r="E25" i="3"/>
  <c r="C25" i="3"/>
  <c r="AZ24" i="3"/>
  <c r="AY24" i="3"/>
  <c r="E24" i="3"/>
  <c r="C24" i="3"/>
  <c r="AZ21" i="3"/>
  <c r="AY21" i="3"/>
  <c r="E21" i="3"/>
  <c r="C21" i="3"/>
  <c r="AZ20" i="3"/>
  <c r="AY20" i="3"/>
  <c r="E20" i="3"/>
  <c r="C20" i="3"/>
  <c r="AZ19" i="3"/>
  <c r="AY19" i="3"/>
  <c r="E19" i="3"/>
  <c r="C19" i="3"/>
  <c r="BD16" i="3"/>
  <c r="BC16" i="3"/>
  <c r="AZ16" i="3"/>
  <c r="AY16" i="3"/>
  <c r="E16" i="3"/>
  <c r="C16" i="3"/>
  <c r="BD15" i="3"/>
  <c r="BC15" i="3"/>
  <c r="AZ15" i="3"/>
  <c r="AY15" i="3"/>
  <c r="E15" i="3"/>
  <c r="C15" i="3"/>
  <c r="BD14" i="3"/>
  <c r="BC14" i="3"/>
  <c r="AZ14" i="3"/>
  <c r="AY14" i="3"/>
  <c r="E14" i="3"/>
  <c r="C14" i="3"/>
  <c r="BH9" i="3"/>
  <c r="BG9" i="3"/>
  <c r="BF9" i="3"/>
  <c r="BE9" i="3"/>
  <c r="BD9" i="3"/>
  <c r="BC9" i="3"/>
  <c r="BB9" i="3"/>
  <c r="BA9" i="3"/>
  <c r="AZ9" i="3"/>
  <c r="BK9" i="3" s="1"/>
  <c r="AC5" i="3"/>
  <c r="BH8" i="3"/>
  <c r="BG8" i="3"/>
  <c r="BF8" i="3"/>
  <c r="BE8" i="3"/>
  <c r="BD8" i="3"/>
  <c r="BC8" i="3"/>
  <c r="BB8" i="3"/>
  <c r="BA8" i="3"/>
  <c r="AZ8" i="3"/>
  <c r="BK8" i="3" s="1"/>
  <c r="AC8" i="3"/>
  <c r="BH7" i="3"/>
  <c r="BG7" i="3"/>
  <c r="BF7" i="3"/>
  <c r="BE7" i="3"/>
  <c r="BD7" i="3"/>
  <c r="BC7" i="3"/>
  <c r="BB7" i="3"/>
  <c r="BA7" i="3"/>
  <c r="AZ7" i="3"/>
  <c r="BK7" i="3" s="1"/>
  <c r="AC9" i="3"/>
  <c r="BH6" i="3"/>
  <c r="BG6" i="3"/>
  <c r="BF6" i="3"/>
  <c r="BE6" i="3"/>
  <c r="BD6" i="3"/>
  <c r="BC6" i="3"/>
  <c r="BB6" i="3"/>
  <c r="BA6" i="3"/>
  <c r="AZ6" i="3"/>
  <c r="BK6" i="3" s="1"/>
  <c r="AC4" i="3"/>
  <c r="BH5" i="3"/>
  <c r="BG5" i="3"/>
  <c r="BF5" i="3"/>
  <c r="BE5" i="3"/>
  <c r="BD5" i="3"/>
  <c r="BC5" i="3"/>
  <c r="BB5" i="3"/>
  <c r="BA5" i="3"/>
  <c r="AZ5" i="3"/>
  <c r="BK5" i="3" s="1"/>
  <c r="BH4" i="3"/>
  <c r="BG4" i="3"/>
  <c r="BF4" i="3"/>
  <c r="BE4" i="3"/>
  <c r="BD4" i="3"/>
  <c r="BC4" i="3"/>
  <c r="BB4" i="3"/>
  <c r="BA4" i="3"/>
  <c r="AZ4" i="3"/>
  <c r="BK4" i="3" s="1"/>
  <c r="BA21" i="3" s="1"/>
  <c r="AC6" i="3"/>
  <c r="BD55" i="2"/>
  <c r="BC55" i="2"/>
  <c r="E55" i="2"/>
  <c r="C55" i="2"/>
  <c r="BD54" i="2"/>
  <c r="BC54" i="2"/>
  <c r="E54" i="2"/>
  <c r="C54" i="2"/>
  <c r="BD53" i="2"/>
  <c r="BC53" i="2"/>
  <c r="E53" i="2"/>
  <c r="C53" i="2"/>
  <c r="BD52" i="2"/>
  <c r="BC52" i="2"/>
  <c r="E52" i="2"/>
  <c r="C52" i="2"/>
  <c r="BD49" i="2"/>
  <c r="BC49" i="2"/>
  <c r="E49" i="2"/>
  <c r="C49" i="2"/>
  <c r="BD48" i="2"/>
  <c r="BC48" i="2"/>
  <c r="E48" i="2"/>
  <c r="C48" i="2"/>
  <c r="BD47" i="2"/>
  <c r="BC47" i="2"/>
  <c r="E47" i="2"/>
  <c r="C47" i="2"/>
  <c r="BD46" i="2"/>
  <c r="BC46" i="2"/>
  <c r="E46" i="2"/>
  <c r="C46" i="2"/>
  <c r="BD43" i="2"/>
  <c r="BC43" i="2"/>
  <c r="E43" i="2"/>
  <c r="C43" i="2"/>
  <c r="BD42" i="2"/>
  <c r="BC42" i="2"/>
  <c r="E42" i="2"/>
  <c r="C42" i="2"/>
  <c r="BD41" i="2"/>
  <c r="BC41" i="2"/>
  <c r="E41" i="2"/>
  <c r="C41" i="2"/>
  <c r="BD40" i="2"/>
  <c r="BC40" i="2"/>
  <c r="E40" i="2"/>
  <c r="C40" i="2"/>
  <c r="BD37" i="2"/>
  <c r="BC37" i="2"/>
  <c r="E37" i="2"/>
  <c r="C37" i="2"/>
  <c r="BD36" i="2"/>
  <c r="BC36" i="2"/>
  <c r="E36" i="2"/>
  <c r="C36" i="2"/>
  <c r="BD35" i="2"/>
  <c r="BC35" i="2"/>
  <c r="E35" i="2"/>
  <c r="C35" i="2"/>
  <c r="BD34" i="2"/>
  <c r="BC34" i="2"/>
  <c r="E34" i="2"/>
  <c r="C34" i="2"/>
  <c r="BD31" i="2"/>
  <c r="BC31" i="2"/>
  <c r="E31" i="2"/>
  <c r="C31" i="2"/>
  <c r="BD30" i="2"/>
  <c r="BC30" i="2"/>
  <c r="E30" i="2"/>
  <c r="C30" i="2"/>
  <c r="BD29" i="2"/>
  <c r="BC29" i="2"/>
  <c r="E29" i="2"/>
  <c r="C29" i="2"/>
  <c r="BD28" i="2"/>
  <c r="BC28" i="2"/>
  <c r="E28" i="2"/>
  <c r="C28" i="2"/>
  <c r="BD25" i="2"/>
  <c r="BC25" i="2"/>
  <c r="C25" i="2"/>
  <c r="BD24" i="2"/>
  <c r="BC24" i="2"/>
  <c r="C24" i="2"/>
  <c r="BD23" i="2"/>
  <c r="BC23" i="2"/>
  <c r="C23" i="2"/>
  <c r="BD22" i="2"/>
  <c r="BC22" i="2"/>
  <c r="C22" i="2"/>
  <c r="BH19" i="2"/>
  <c r="BG19" i="2"/>
  <c r="BD19" i="2"/>
  <c r="BC19" i="2"/>
  <c r="BH18" i="2"/>
  <c r="BG18" i="2"/>
  <c r="BD18" i="2"/>
  <c r="BC18" i="2"/>
  <c r="BH17" i="2"/>
  <c r="BG17" i="2"/>
  <c r="BD17" i="2"/>
  <c r="BC17" i="2"/>
  <c r="BH16" i="2"/>
  <c r="BG16" i="2"/>
  <c r="BD16" i="2"/>
  <c r="BC16" i="2"/>
  <c r="AE6" i="2"/>
  <c r="BL11" i="2"/>
  <c r="BK11" i="2"/>
  <c r="BJ11" i="2"/>
  <c r="BI11" i="2"/>
  <c r="BH11" i="2"/>
  <c r="BG11" i="2"/>
  <c r="BF11" i="2"/>
  <c r="BE11" i="2"/>
  <c r="BD11" i="2"/>
  <c r="BO11" i="2" s="1"/>
  <c r="AE10" i="2"/>
  <c r="BL10" i="2"/>
  <c r="BK10" i="2"/>
  <c r="BJ10" i="2"/>
  <c r="BI10" i="2"/>
  <c r="BH10" i="2"/>
  <c r="BG10" i="2"/>
  <c r="BF10" i="2"/>
  <c r="BE10" i="2"/>
  <c r="BD10" i="2"/>
  <c r="BO10" i="2" s="1"/>
  <c r="AE8" i="2"/>
  <c r="BL9" i="2"/>
  <c r="BK9" i="2"/>
  <c r="BJ9" i="2"/>
  <c r="BI9" i="2"/>
  <c r="BH9" i="2"/>
  <c r="BG9" i="2"/>
  <c r="BF9" i="2"/>
  <c r="BE9" i="2"/>
  <c r="BD9" i="2"/>
  <c r="BO9" i="2" s="1"/>
  <c r="AE9" i="2"/>
  <c r="BL8" i="2"/>
  <c r="BK8" i="2"/>
  <c r="BJ8" i="2"/>
  <c r="BI8" i="2"/>
  <c r="BH8" i="2"/>
  <c r="BG8" i="2"/>
  <c r="BF8" i="2"/>
  <c r="BE8" i="2"/>
  <c r="BD8" i="2"/>
  <c r="BO8" i="2" s="1"/>
  <c r="BL7" i="2"/>
  <c r="BK7" i="2"/>
  <c r="BJ7" i="2"/>
  <c r="BI7" i="2"/>
  <c r="BH7" i="2"/>
  <c r="BG7" i="2"/>
  <c r="BF7" i="2"/>
  <c r="BE7" i="2"/>
  <c r="BD7" i="2"/>
  <c r="BO7" i="2" s="1"/>
  <c r="AE5" i="2"/>
  <c r="BL6" i="2"/>
  <c r="BK6" i="2"/>
  <c r="BJ6" i="2"/>
  <c r="BI6" i="2"/>
  <c r="BH6" i="2"/>
  <c r="BG6" i="2"/>
  <c r="BF6" i="2"/>
  <c r="BE6" i="2"/>
  <c r="BD6" i="2"/>
  <c r="BO6" i="2" s="1"/>
  <c r="AE4" i="2"/>
  <c r="BL5" i="2"/>
  <c r="BK5" i="2"/>
  <c r="BJ5" i="2"/>
  <c r="BI5" i="2"/>
  <c r="BH5" i="2"/>
  <c r="BG5" i="2"/>
  <c r="BF5" i="2"/>
  <c r="BE5" i="2"/>
  <c r="BD5" i="2"/>
  <c r="BO5" i="2" s="1"/>
  <c r="AE11" i="2"/>
  <c r="BL4" i="2"/>
  <c r="BK4" i="2"/>
  <c r="BJ4" i="2"/>
  <c r="BI4" i="2"/>
  <c r="BH4" i="2"/>
  <c r="BG4" i="2"/>
  <c r="BF4" i="2"/>
  <c r="BE4" i="2"/>
  <c r="BD4" i="2"/>
  <c r="BO4" i="2" s="1"/>
  <c r="AE7" i="2"/>
  <c r="I4" i="2" l="1"/>
  <c r="M4" i="4"/>
  <c r="I4" i="3"/>
  <c r="AN5" i="8"/>
  <c r="AN6" i="8"/>
  <c r="AN7" i="8"/>
  <c r="AN12" i="8"/>
  <c r="AN9" i="8"/>
  <c r="AN10" i="8"/>
  <c r="AN16" i="8"/>
  <c r="AN11" i="8"/>
  <c r="AN13" i="8"/>
  <c r="AN14" i="8"/>
  <c r="AN15" i="8"/>
  <c r="AN17" i="8"/>
  <c r="AN4" i="8"/>
  <c r="AN8" i="8"/>
  <c r="O4" i="2"/>
  <c r="H4" i="2"/>
  <c r="L8" i="2"/>
  <c r="I5" i="2"/>
  <c r="M9" i="2"/>
  <c r="J6" i="2"/>
  <c r="N10" i="2"/>
  <c r="K7" i="2"/>
  <c r="O11" i="2"/>
  <c r="K8" i="2"/>
  <c r="L7" i="2"/>
  <c r="J4" i="2"/>
  <c r="H6" i="2"/>
  <c r="I7" i="2"/>
  <c r="K5" i="2"/>
  <c r="M4" i="2"/>
  <c r="H9" i="2"/>
  <c r="M6" i="2"/>
  <c r="J9" i="2"/>
  <c r="N6" i="2"/>
  <c r="J10" i="2"/>
  <c r="N7" i="2"/>
  <c r="K10" i="2"/>
  <c r="K4" i="2"/>
  <c r="H7" i="2"/>
  <c r="L4" i="2"/>
  <c r="H8" i="2"/>
  <c r="I8" i="2"/>
  <c r="L5" i="2"/>
  <c r="M5" i="2"/>
  <c r="I9" i="2"/>
  <c r="I10" i="2"/>
  <c r="N5" i="2"/>
  <c r="H5" i="2"/>
  <c r="M8" i="2"/>
  <c r="L9" i="2"/>
  <c r="I6" i="2"/>
  <c r="J5" i="2"/>
  <c r="M10" i="2"/>
  <c r="N9" i="2"/>
  <c r="J7" i="2"/>
  <c r="K6" i="2"/>
  <c r="N4" i="2"/>
  <c r="H10" i="2"/>
  <c r="M7" i="2"/>
  <c r="K9" i="2"/>
  <c r="N8" i="2"/>
  <c r="L10" i="2"/>
  <c r="J8" i="2"/>
  <c r="L6" i="2"/>
  <c r="H11" i="2"/>
  <c r="O8" i="2"/>
  <c r="L11" i="2"/>
  <c r="O5" i="2"/>
  <c r="I11" i="2"/>
  <c r="M11" i="2"/>
  <c r="O9" i="2"/>
  <c r="J11" i="2"/>
  <c r="O6" i="2"/>
  <c r="N11" i="2"/>
  <c r="O10" i="2"/>
  <c r="O7" i="2"/>
  <c r="K11" i="2"/>
  <c r="N4" i="4"/>
  <c r="O4" i="4"/>
  <c r="P5" i="4"/>
  <c r="N6" i="4"/>
  <c r="P7" i="4"/>
  <c r="AW16" i="4"/>
  <c r="AX17" i="4"/>
  <c r="AY17" i="4" s="1"/>
  <c r="BH6" i="4"/>
  <c r="BH7" i="4"/>
  <c r="AX16" i="4"/>
  <c r="AY16" i="4" s="1"/>
  <c r="BH4" i="4"/>
  <c r="BH5" i="4"/>
  <c r="AW17" i="4"/>
  <c r="M5" i="4"/>
  <c r="O6" i="4"/>
  <c r="M7" i="4"/>
  <c r="P4" i="4"/>
  <c r="N5" i="4"/>
  <c r="P6" i="4"/>
  <c r="N7" i="4"/>
  <c r="O5" i="4"/>
  <c r="M6" i="4"/>
  <c r="O7" i="4"/>
  <c r="BB20" i="3"/>
  <c r="BC20" i="3" s="1"/>
  <c r="BB19" i="3"/>
  <c r="BC19" i="3" s="1"/>
  <c r="BA20" i="3"/>
  <c r="BD20" i="3" s="1"/>
  <c r="BA19" i="3"/>
  <c r="BD19" i="3" s="1"/>
  <c r="I9" i="3"/>
  <c r="BL5" i="3"/>
  <c r="BL6" i="3"/>
  <c r="BM6" i="3" s="1"/>
  <c r="BN6" i="3" s="1"/>
  <c r="I8" i="3"/>
  <c r="K9" i="3"/>
  <c r="K8" i="3"/>
  <c r="K7" i="3"/>
  <c r="K6" i="3"/>
  <c r="K5" i="3"/>
  <c r="K4" i="3"/>
  <c r="J9" i="3"/>
  <c r="J8" i="3"/>
  <c r="J7" i="3"/>
  <c r="J6" i="3"/>
  <c r="J5" i="3"/>
  <c r="J4" i="3"/>
  <c r="L9" i="3"/>
  <c r="L8" i="3"/>
  <c r="L6" i="3"/>
  <c r="L4" i="3"/>
  <c r="H9" i="3"/>
  <c r="H8" i="3"/>
  <c r="H7" i="3"/>
  <c r="H6" i="3"/>
  <c r="H5" i="3"/>
  <c r="H4" i="3"/>
  <c r="M9" i="3"/>
  <c r="M8" i="3"/>
  <c r="M7" i="3"/>
  <c r="M6" i="3"/>
  <c r="M5" i="3"/>
  <c r="M4" i="3"/>
  <c r="L7" i="3"/>
  <c r="L5" i="3"/>
  <c r="I6" i="3"/>
  <c r="I5" i="3"/>
  <c r="I7" i="3"/>
  <c r="BD21" i="3"/>
  <c r="BB21" i="3"/>
  <c r="BC21" i="3" s="1"/>
  <c r="BL4" i="3"/>
  <c r="BL7" i="3"/>
  <c r="BL8" i="3"/>
  <c r="BL9" i="3"/>
  <c r="BF23" i="2"/>
  <c r="BG23" i="2" s="1"/>
  <c r="BE23" i="2"/>
  <c r="BH23" i="2" s="1"/>
  <c r="BE25" i="2"/>
  <c r="BP8" i="2"/>
  <c r="BQ8" i="2" s="1"/>
  <c r="BP7" i="2"/>
  <c r="BF24" i="2"/>
  <c r="BG24" i="2" s="1"/>
  <c r="BF25" i="2"/>
  <c r="BG25" i="2" s="1"/>
  <c r="BP11" i="2"/>
  <c r="BE24" i="2"/>
  <c r="BP4" i="2"/>
  <c r="BP5" i="2"/>
  <c r="BP6" i="2"/>
  <c r="BF22" i="2"/>
  <c r="BG22" i="2" s="1"/>
  <c r="BP9" i="2"/>
  <c r="BE22" i="2"/>
  <c r="BP10" i="2"/>
  <c r="AC8" i="1"/>
  <c r="AC7" i="1"/>
  <c r="AC11" i="1"/>
  <c r="AC10" i="1"/>
  <c r="AC13" i="1"/>
  <c r="AC9" i="1"/>
  <c r="AC5" i="1"/>
  <c r="AC12" i="1"/>
  <c r="AC6" i="1"/>
  <c r="AC4" i="1"/>
  <c r="BD22" i="1"/>
  <c r="BC22" i="1"/>
  <c r="BD21" i="1"/>
  <c r="BC21" i="1"/>
  <c r="BD20" i="1"/>
  <c r="BC20" i="1"/>
  <c r="BD19" i="1"/>
  <c r="BC19" i="1"/>
  <c r="BD18" i="1"/>
  <c r="BC18" i="1"/>
  <c r="BH13" i="1"/>
  <c r="BH12" i="1"/>
  <c r="BH11" i="1"/>
  <c r="BH10" i="1"/>
  <c r="BH9" i="1"/>
  <c r="BH8" i="1"/>
  <c r="BH7" i="1"/>
  <c r="BH6" i="1"/>
  <c r="BH5" i="1"/>
  <c r="BH4" i="1"/>
  <c r="BG13" i="1"/>
  <c r="BG12" i="1"/>
  <c r="BG11" i="1"/>
  <c r="BG10" i="1"/>
  <c r="BG9" i="1"/>
  <c r="BG8" i="1"/>
  <c r="BG7" i="1"/>
  <c r="BG6" i="1"/>
  <c r="BG5" i="1"/>
  <c r="BG4" i="1"/>
  <c r="BF13" i="1"/>
  <c r="BF12" i="1"/>
  <c r="BF11" i="1"/>
  <c r="BF10" i="1"/>
  <c r="BF9" i="1"/>
  <c r="BF8" i="1"/>
  <c r="BF7" i="1"/>
  <c r="BF6" i="1"/>
  <c r="BF5" i="1"/>
  <c r="BF4" i="1"/>
  <c r="BE13" i="1"/>
  <c r="BE12" i="1"/>
  <c r="BE11" i="1"/>
  <c r="BE10" i="1"/>
  <c r="BE9" i="1"/>
  <c r="BE8" i="1"/>
  <c r="BE7" i="1"/>
  <c r="BE6" i="1"/>
  <c r="BE5" i="1"/>
  <c r="BE4" i="1"/>
  <c r="BD13" i="1"/>
  <c r="BD12" i="1"/>
  <c r="BD11" i="1"/>
  <c r="BD10" i="1"/>
  <c r="BD9" i="1"/>
  <c r="BD8" i="1"/>
  <c r="BD7" i="1"/>
  <c r="BD6" i="1"/>
  <c r="BD5" i="1"/>
  <c r="BD4" i="1"/>
  <c r="BC13" i="1"/>
  <c r="BC12" i="1"/>
  <c r="BC11" i="1"/>
  <c r="BC10" i="1"/>
  <c r="BC9" i="1"/>
  <c r="BC8" i="1"/>
  <c r="BC7" i="1"/>
  <c r="BC6" i="1"/>
  <c r="BC5" i="1"/>
  <c r="BC4" i="1"/>
  <c r="BB13" i="1"/>
  <c r="BB12" i="1"/>
  <c r="BB11" i="1"/>
  <c r="BB10" i="1"/>
  <c r="BB9" i="1"/>
  <c r="BB8" i="1"/>
  <c r="BB7" i="1"/>
  <c r="BB6" i="1"/>
  <c r="BB5" i="1"/>
  <c r="BB4" i="1"/>
  <c r="BA13" i="1"/>
  <c r="BA12" i="1"/>
  <c r="BA11" i="1"/>
  <c r="BA10" i="1"/>
  <c r="BA9" i="1"/>
  <c r="BA8" i="1"/>
  <c r="BA7" i="1"/>
  <c r="BA6" i="1"/>
  <c r="BA5" i="1"/>
  <c r="BA4" i="1"/>
  <c r="AZ13" i="1"/>
  <c r="BK13" i="1" s="1"/>
  <c r="AZ12" i="1"/>
  <c r="BK12" i="1" s="1"/>
  <c r="BA28" i="1" s="1"/>
  <c r="AZ11" i="1"/>
  <c r="BK11" i="1" s="1"/>
  <c r="BA27" i="1" s="1"/>
  <c r="AZ10" i="1"/>
  <c r="BK10" i="1" s="1"/>
  <c r="BA26" i="1" s="1"/>
  <c r="AZ9" i="1"/>
  <c r="BK9" i="1" s="1"/>
  <c r="AZ8" i="1"/>
  <c r="BK8" i="1" s="1"/>
  <c r="AZ7" i="1"/>
  <c r="BK7" i="1" s="1"/>
  <c r="BB27" i="1" s="1"/>
  <c r="BC27" i="1" s="1"/>
  <c r="AZ6" i="1"/>
  <c r="BK6" i="1" s="1"/>
  <c r="BB28" i="1" s="1"/>
  <c r="BC28" i="1" s="1"/>
  <c r="AZ5" i="1"/>
  <c r="BK5" i="1" s="1"/>
  <c r="AZ4" i="1"/>
  <c r="BK4" i="1" s="1"/>
  <c r="AZ78" i="1"/>
  <c r="AY78" i="1"/>
  <c r="AZ77" i="1"/>
  <c r="AY77" i="1"/>
  <c r="AZ76" i="1"/>
  <c r="AY76" i="1"/>
  <c r="AZ75" i="1"/>
  <c r="AY75" i="1"/>
  <c r="AZ74" i="1"/>
  <c r="AY74" i="1"/>
  <c r="AZ71" i="1"/>
  <c r="AY71" i="1"/>
  <c r="AZ70" i="1"/>
  <c r="AY70" i="1"/>
  <c r="AZ69" i="1"/>
  <c r="AY69" i="1"/>
  <c r="AZ68" i="1"/>
  <c r="AY68" i="1"/>
  <c r="AZ67" i="1"/>
  <c r="AY67" i="1"/>
  <c r="AZ64" i="1"/>
  <c r="AY64" i="1"/>
  <c r="AZ63" i="1"/>
  <c r="AY63" i="1"/>
  <c r="AZ62" i="1"/>
  <c r="AY62" i="1"/>
  <c r="AZ61" i="1"/>
  <c r="AY61" i="1"/>
  <c r="AZ60" i="1"/>
  <c r="AY60" i="1"/>
  <c r="AZ57" i="1"/>
  <c r="AY57" i="1"/>
  <c r="AZ56" i="1"/>
  <c r="AY56" i="1"/>
  <c r="AZ55" i="1"/>
  <c r="AY55" i="1"/>
  <c r="AZ54" i="1"/>
  <c r="AY54" i="1"/>
  <c r="AZ53" i="1"/>
  <c r="AY53" i="1"/>
  <c r="AZ50" i="1"/>
  <c r="AY50" i="1"/>
  <c r="AZ49" i="1"/>
  <c r="AY49" i="1"/>
  <c r="AZ48" i="1"/>
  <c r="AY48" i="1"/>
  <c r="AZ47" i="1"/>
  <c r="AY47" i="1"/>
  <c r="AZ46" i="1"/>
  <c r="AY46" i="1"/>
  <c r="AZ43" i="1"/>
  <c r="AY43" i="1"/>
  <c r="AZ42" i="1"/>
  <c r="AY42" i="1"/>
  <c r="AZ41" i="1"/>
  <c r="AY41" i="1"/>
  <c r="AZ40" i="1"/>
  <c r="AY40" i="1"/>
  <c r="AZ39" i="1"/>
  <c r="AY39" i="1"/>
  <c r="AZ36" i="1"/>
  <c r="AY36" i="1"/>
  <c r="AZ35" i="1"/>
  <c r="AY35" i="1"/>
  <c r="AZ34" i="1"/>
  <c r="AY34" i="1"/>
  <c r="AZ33" i="1"/>
  <c r="AY33" i="1"/>
  <c r="AZ32" i="1"/>
  <c r="AY32" i="1"/>
  <c r="AZ29" i="1"/>
  <c r="AY29" i="1"/>
  <c r="AZ28" i="1"/>
  <c r="AY28" i="1"/>
  <c r="AZ27" i="1"/>
  <c r="AY27" i="1"/>
  <c r="AZ26" i="1"/>
  <c r="AY26" i="1"/>
  <c r="AZ25" i="1"/>
  <c r="AY25" i="1"/>
  <c r="AZ22" i="1"/>
  <c r="AY22" i="1"/>
  <c r="AZ21" i="1"/>
  <c r="AY21" i="1"/>
  <c r="AZ20" i="1"/>
  <c r="AY20" i="1"/>
  <c r="AZ19" i="1"/>
  <c r="AY19" i="1"/>
  <c r="AZ18" i="1"/>
  <c r="AY18" i="1"/>
  <c r="E57" i="1"/>
  <c r="C57" i="1"/>
  <c r="E56" i="1"/>
  <c r="C56" i="1"/>
  <c r="E55" i="1"/>
  <c r="C55" i="1"/>
  <c r="E54" i="1"/>
  <c r="C54" i="1"/>
  <c r="E53" i="1"/>
  <c r="C53" i="1"/>
  <c r="E50" i="1"/>
  <c r="C50" i="1"/>
  <c r="E49" i="1"/>
  <c r="C49" i="1"/>
  <c r="E48" i="1"/>
  <c r="C48" i="1"/>
  <c r="E47" i="1"/>
  <c r="C47" i="1"/>
  <c r="E46" i="1"/>
  <c r="C46" i="1"/>
  <c r="E43" i="1"/>
  <c r="C43" i="1"/>
  <c r="E42" i="1"/>
  <c r="C42" i="1"/>
  <c r="E41" i="1"/>
  <c r="C41" i="1"/>
  <c r="E40" i="1"/>
  <c r="C40" i="1"/>
  <c r="E39" i="1"/>
  <c r="C39" i="1"/>
  <c r="E36" i="1"/>
  <c r="C36" i="1"/>
  <c r="E35" i="1"/>
  <c r="C35" i="1"/>
  <c r="E34" i="1"/>
  <c r="C34" i="1"/>
  <c r="E33" i="1"/>
  <c r="C33" i="1"/>
  <c r="E32" i="1"/>
  <c r="C32" i="1"/>
  <c r="E29" i="1"/>
  <c r="C29" i="1"/>
  <c r="E28" i="1"/>
  <c r="C28" i="1"/>
  <c r="E27" i="1"/>
  <c r="C27" i="1"/>
  <c r="E26" i="1"/>
  <c r="C26" i="1"/>
  <c r="E25" i="1"/>
  <c r="C25" i="1"/>
  <c r="E78" i="1"/>
  <c r="C78" i="1"/>
  <c r="E77" i="1"/>
  <c r="C77" i="1"/>
  <c r="E76" i="1"/>
  <c r="C76" i="1"/>
  <c r="E75" i="1"/>
  <c r="C75" i="1"/>
  <c r="E74" i="1"/>
  <c r="C74" i="1"/>
  <c r="E71" i="1"/>
  <c r="C71" i="1"/>
  <c r="E70" i="1"/>
  <c r="C70" i="1"/>
  <c r="E69" i="1"/>
  <c r="C69" i="1"/>
  <c r="E68" i="1"/>
  <c r="C68" i="1"/>
  <c r="E67" i="1"/>
  <c r="C67" i="1"/>
  <c r="E64" i="1"/>
  <c r="C64" i="1"/>
  <c r="E63" i="1"/>
  <c r="C63" i="1"/>
  <c r="E62" i="1"/>
  <c r="C62" i="1"/>
  <c r="E61" i="1"/>
  <c r="C61" i="1"/>
  <c r="E60" i="1"/>
  <c r="C60" i="1"/>
  <c r="E22" i="1"/>
  <c r="E21" i="1"/>
  <c r="E20" i="1"/>
  <c r="E19" i="1"/>
  <c r="E18" i="1"/>
  <c r="C19" i="1"/>
  <c r="C20" i="1"/>
  <c r="C21" i="1"/>
  <c r="C22" i="1"/>
  <c r="C18" i="1"/>
  <c r="I4" i="1" l="1"/>
  <c r="AP17" i="8"/>
  <c r="AR17" i="8" s="1"/>
  <c r="AP11" i="8"/>
  <c r="AR11" i="8" s="1"/>
  <c r="AP12" i="8"/>
  <c r="AR12" i="8" s="1"/>
  <c r="AP15" i="8"/>
  <c r="AR15" i="8" s="1"/>
  <c r="AP16" i="8"/>
  <c r="AR16" i="8" s="1"/>
  <c r="AP7" i="8"/>
  <c r="AR7" i="8" s="1"/>
  <c r="AP8" i="8"/>
  <c r="AR8" i="8" s="1"/>
  <c r="AP14" i="8"/>
  <c r="AR14" i="8" s="1"/>
  <c r="AP10" i="8"/>
  <c r="AR10" i="8" s="1"/>
  <c r="AP6" i="8"/>
  <c r="AR6" i="8" s="1"/>
  <c r="AP4" i="8"/>
  <c r="AR4" i="8" s="1"/>
  <c r="AP13" i="8"/>
  <c r="AR13" i="8" s="1"/>
  <c r="AP9" i="8"/>
  <c r="AR9" i="8" s="1"/>
  <c r="AP5" i="8"/>
  <c r="AR5" i="8" s="1"/>
  <c r="Q6" i="4"/>
  <c r="Q5" i="4"/>
  <c r="Q7" i="4"/>
  <c r="Q4" i="4"/>
  <c r="BF30" i="2"/>
  <c r="BG30" i="2" s="1"/>
  <c r="BH25" i="2"/>
  <c r="R7" i="3"/>
  <c r="R4" i="3"/>
  <c r="R8" i="3"/>
  <c r="R6" i="3"/>
  <c r="R5" i="3"/>
  <c r="R9" i="3"/>
  <c r="AZ17" i="4"/>
  <c r="AX21" i="4"/>
  <c r="AY21" i="4" s="1"/>
  <c r="BI4" i="4"/>
  <c r="AZ16" i="4"/>
  <c r="AX20" i="4"/>
  <c r="AY20" i="4" s="1"/>
  <c r="BI7" i="4"/>
  <c r="BI6" i="4"/>
  <c r="AW21" i="4"/>
  <c r="AW20" i="4"/>
  <c r="BI5" i="4"/>
  <c r="BA25" i="3"/>
  <c r="BD25" i="3" s="1"/>
  <c r="BM5" i="3"/>
  <c r="BA24" i="3"/>
  <c r="BD24" i="3" s="1"/>
  <c r="BM8" i="3"/>
  <c r="BB26" i="3"/>
  <c r="BC26" i="3" s="1"/>
  <c r="BB25" i="3"/>
  <c r="BC25" i="3" s="1"/>
  <c r="BM4" i="3"/>
  <c r="BM9" i="3"/>
  <c r="BB24" i="3"/>
  <c r="BC24" i="3" s="1"/>
  <c r="BA26" i="3"/>
  <c r="BM7" i="3"/>
  <c r="BO6" i="3"/>
  <c r="BE31" i="2"/>
  <c r="BH31" i="2" s="1"/>
  <c r="R11" i="2"/>
  <c r="R9" i="2"/>
  <c r="R8" i="2"/>
  <c r="R5" i="2"/>
  <c r="BE30" i="2"/>
  <c r="BQ7" i="2"/>
  <c r="BF36" i="2" s="1"/>
  <c r="BG36" i="2" s="1"/>
  <c r="R10" i="2"/>
  <c r="BF28" i="2"/>
  <c r="BG28" i="2" s="1"/>
  <c r="R6" i="2"/>
  <c r="BQ4" i="2"/>
  <c r="BF29" i="2"/>
  <c r="BG29" i="2" s="1"/>
  <c r="BH24" i="2"/>
  <c r="BH22" i="2"/>
  <c r="BQ9" i="2"/>
  <c r="BR8" i="2"/>
  <c r="R7" i="2"/>
  <c r="BE28" i="2"/>
  <c r="BQ5" i="2"/>
  <c r="BF31" i="2"/>
  <c r="BG31" i="2" s="1"/>
  <c r="BQ11" i="2"/>
  <c r="BQ10" i="2"/>
  <c r="BE29" i="2"/>
  <c r="BQ6" i="2"/>
  <c r="R4" i="2"/>
  <c r="BA29" i="1"/>
  <c r="BD27" i="1"/>
  <c r="BD28" i="1"/>
  <c r="BB26" i="1"/>
  <c r="BC26" i="1" s="1"/>
  <c r="BD26" i="1"/>
  <c r="BA25" i="1"/>
  <c r="BB25" i="1"/>
  <c r="BC25" i="1" s="1"/>
  <c r="BB29" i="1"/>
  <c r="BC29" i="1" s="1"/>
  <c r="Q13" i="1"/>
  <c r="H4" i="1"/>
  <c r="L4" i="1"/>
  <c r="P4" i="1"/>
  <c r="J5" i="1"/>
  <c r="N5" i="1"/>
  <c r="H6" i="1"/>
  <c r="L6" i="1"/>
  <c r="P6" i="1"/>
  <c r="J7" i="1"/>
  <c r="N7" i="1"/>
  <c r="H8" i="1"/>
  <c r="L8" i="1"/>
  <c r="P8" i="1"/>
  <c r="J9" i="1"/>
  <c r="N9" i="1"/>
  <c r="H10" i="1"/>
  <c r="L10" i="1"/>
  <c r="P10" i="1"/>
  <c r="J11" i="1"/>
  <c r="N11" i="1"/>
  <c r="H12" i="1"/>
  <c r="L12" i="1"/>
  <c r="P12" i="1"/>
  <c r="J13" i="1"/>
  <c r="N13" i="1"/>
  <c r="M4" i="1"/>
  <c r="Q4" i="1"/>
  <c r="K5" i="1"/>
  <c r="O5" i="1"/>
  <c r="I6" i="1"/>
  <c r="M6" i="1"/>
  <c r="Q6" i="1"/>
  <c r="K7" i="1"/>
  <c r="O7" i="1"/>
  <c r="I8" i="1"/>
  <c r="M8" i="1"/>
  <c r="Q8" i="1"/>
  <c r="K9" i="1"/>
  <c r="O9" i="1"/>
  <c r="I10" i="1"/>
  <c r="M10" i="1"/>
  <c r="Q10" i="1"/>
  <c r="K11" i="1"/>
  <c r="O11" i="1"/>
  <c r="I12" i="1"/>
  <c r="M12" i="1"/>
  <c r="Q12" i="1"/>
  <c r="K13" i="1"/>
  <c r="O13" i="1"/>
  <c r="J4" i="1"/>
  <c r="N4" i="1"/>
  <c r="H5" i="1"/>
  <c r="L5" i="1"/>
  <c r="P5" i="1"/>
  <c r="J6" i="1"/>
  <c r="N6" i="1"/>
  <c r="H7" i="1"/>
  <c r="L7" i="1"/>
  <c r="P7" i="1"/>
  <c r="J8" i="1"/>
  <c r="N8" i="1"/>
  <c r="H9" i="1"/>
  <c r="L9" i="1"/>
  <c r="P9" i="1"/>
  <c r="J10" i="1"/>
  <c r="N10" i="1"/>
  <c r="H11" i="1"/>
  <c r="L11" i="1"/>
  <c r="P11" i="1"/>
  <c r="J12" i="1"/>
  <c r="N12" i="1"/>
  <c r="H13" i="1"/>
  <c r="L13" i="1"/>
  <c r="P13" i="1"/>
  <c r="K4" i="1"/>
  <c r="O4" i="1"/>
  <c r="I5" i="1"/>
  <c r="M5" i="1"/>
  <c r="Q5" i="1"/>
  <c r="K6" i="1"/>
  <c r="O6" i="1"/>
  <c r="I7" i="1"/>
  <c r="M7" i="1"/>
  <c r="Q7" i="1"/>
  <c r="K8" i="1"/>
  <c r="O8" i="1"/>
  <c r="I9" i="1"/>
  <c r="M9" i="1"/>
  <c r="Q9" i="1"/>
  <c r="K10" i="1"/>
  <c r="O10" i="1"/>
  <c r="I11" i="1"/>
  <c r="M11" i="1"/>
  <c r="Q11" i="1"/>
  <c r="K12" i="1"/>
  <c r="O12" i="1"/>
  <c r="I13" i="1"/>
  <c r="M13" i="1"/>
  <c r="BL5" i="1"/>
  <c r="BL9" i="1"/>
  <c r="BL13" i="1"/>
  <c r="BL6" i="1"/>
  <c r="BL10" i="1"/>
  <c r="BL7" i="1"/>
  <c r="BL11" i="1"/>
  <c r="BL4" i="1"/>
  <c r="BL8" i="1"/>
  <c r="BL12" i="1"/>
  <c r="AD5" i="4" l="1"/>
  <c r="AD6" i="4"/>
  <c r="AD4" i="4"/>
  <c r="AD7" i="4"/>
  <c r="AS9" i="8"/>
  <c r="X9" i="8" s="1"/>
  <c r="A9" i="8" s="1"/>
  <c r="AS13" i="8"/>
  <c r="X13" i="8" s="1"/>
  <c r="A13" i="8" s="1"/>
  <c r="AS10" i="8"/>
  <c r="X10" i="8" s="1"/>
  <c r="A10" i="8" s="1"/>
  <c r="AS16" i="8"/>
  <c r="X16" i="8" s="1"/>
  <c r="A16" i="8" s="1"/>
  <c r="AS7" i="8"/>
  <c r="X7" i="8" s="1"/>
  <c r="A7" i="8" s="1"/>
  <c r="AS15" i="8"/>
  <c r="X15" i="8" s="1"/>
  <c r="A15" i="8" s="1"/>
  <c r="AS4" i="8"/>
  <c r="X4" i="8" s="1"/>
  <c r="A4" i="8" s="1"/>
  <c r="AS14" i="8"/>
  <c r="X14" i="8" s="1"/>
  <c r="A14" i="8" s="1"/>
  <c r="AS12" i="8"/>
  <c r="X12" i="8" s="1"/>
  <c r="A12" i="8" s="1"/>
  <c r="AS6" i="8"/>
  <c r="X6" i="8" s="1"/>
  <c r="A6" i="8" s="1"/>
  <c r="AS5" i="8"/>
  <c r="X5" i="8" s="1"/>
  <c r="A5" i="8" s="1"/>
  <c r="AS17" i="8"/>
  <c r="X17" i="8" s="1"/>
  <c r="A17" i="8" s="1"/>
  <c r="AS8" i="8"/>
  <c r="X8" i="8" s="1"/>
  <c r="A8" i="8" s="1"/>
  <c r="AS11" i="8"/>
  <c r="X11" i="8" s="1"/>
  <c r="A11" i="8" s="1"/>
  <c r="AE8" i="3"/>
  <c r="AE9" i="3"/>
  <c r="AE4" i="3"/>
  <c r="AE5" i="3"/>
  <c r="AE7" i="3"/>
  <c r="AE6" i="3"/>
  <c r="S8" i="3"/>
  <c r="S4" i="3"/>
  <c r="S9" i="3"/>
  <c r="S7" i="3"/>
  <c r="S5" i="3"/>
  <c r="S6" i="3"/>
  <c r="R5" i="4"/>
  <c r="R8" i="4"/>
  <c r="AL8" i="4" s="1"/>
  <c r="R4" i="4"/>
  <c r="R6" i="4"/>
  <c r="R7" i="4"/>
  <c r="S4" i="2"/>
  <c r="AG4" i="2"/>
  <c r="AG9" i="2"/>
  <c r="AG6" i="2"/>
  <c r="AG11" i="2"/>
  <c r="AG7" i="2"/>
  <c r="AG5" i="2"/>
  <c r="AG10" i="2"/>
  <c r="AG8" i="2"/>
  <c r="S5" i="2"/>
  <c r="S10" i="2"/>
  <c r="S9" i="2"/>
  <c r="S6" i="2"/>
  <c r="S8" i="2"/>
  <c r="S7" i="2"/>
  <c r="S11" i="2"/>
  <c r="AZ20" i="4"/>
  <c r="AZ21" i="4"/>
  <c r="BJ6" i="4"/>
  <c r="BJ4" i="4"/>
  <c r="BJ5" i="4"/>
  <c r="BJ7" i="4"/>
  <c r="BN5" i="3"/>
  <c r="BD26" i="3"/>
  <c r="BB29" i="3"/>
  <c r="BC29" i="3" s="1"/>
  <c r="BN9" i="3"/>
  <c r="BA29" i="3"/>
  <c r="BA30" i="3"/>
  <c r="BN7" i="3"/>
  <c r="BA34" i="3" s="1"/>
  <c r="BD34" i="3" s="1"/>
  <c r="BB31" i="3"/>
  <c r="BC31" i="3" s="1"/>
  <c r="BB30" i="3"/>
  <c r="BC30" i="3" s="1"/>
  <c r="BN8" i="3"/>
  <c r="BA31" i="3"/>
  <c r="BN4" i="3"/>
  <c r="BP6" i="3"/>
  <c r="BE36" i="2"/>
  <c r="BH29" i="2"/>
  <c r="BS8" i="2"/>
  <c r="BH30" i="2"/>
  <c r="BR5" i="2"/>
  <c r="BE34" i="2"/>
  <c r="BR10" i="2"/>
  <c r="BF34" i="2"/>
  <c r="BG34" i="2" s="1"/>
  <c r="BH28" i="2"/>
  <c r="BE37" i="2"/>
  <c r="BR4" i="2"/>
  <c r="BR6" i="2"/>
  <c r="BR11" i="2"/>
  <c r="BE35" i="2"/>
  <c r="BF35" i="2"/>
  <c r="BG35" i="2" s="1"/>
  <c r="BR9" i="2"/>
  <c r="BR7" i="2"/>
  <c r="BE42" i="2" s="1"/>
  <c r="BF37" i="2"/>
  <c r="BG37" i="2" s="1"/>
  <c r="BD25" i="1"/>
  <c r="BM4" i="1"/>
  <c r="BB33" i="1"/>
  <c r="BC33" i="1" s="1"/>
  <c r="BM6" i="1"/>
  <c r="BA33" i="1"/>
  <c r="BM12" i="1"/>
  <c r="BB34" i="1"/>
  <c r="BC34" i="1" s="1"/>
  <c r="BM7" i="1"/>
  <c r="BA34" i="1"/>
  <c r="BM9" i="1"/>
  <c r="BA36" i="1"/>
  <c r="BM8" i="1"/>
  <c r="BA35" i="1"/>
  <c r="BM10" i="1"/>
  <c r="BB36" i="1"/>
  <c r="BC36" i="1" s="1"/>
  <c r="BM5" i="1"/>
  <c r="BA32" i="1"/>
  <c r="BD29" i="1"/>
  <c r="BM11" i="1"/>
  <c r="BB35" i="1"/>
  <c r="BC35" i="1" s="1"/>
  <c r="BM13" i="1"/>
  <c r="BB32" i="1"/>
  <c r="BC32" i="1" s="1"/>
  <c r="R10" i="1"/>
  <c r="R11" i="1"/>
  <c r="R4" i="1"/>
  <c r="R12" i="1"/>
  <c r="R6" i="1"/>
  <c r="R5" i="1"/>
  <c r="R9" i="1"/>
  <c r="R8" i="1"/>
  <c r="R13" i="1"/>
  <c r="R7" i="1"/>
  <c r="AB5" i="8" l="1"/>
  <c r="AB9" i="8"/>
  <c r="AB13" i="8"/>
  <c r="AB17" i="8"/>
  <c r="AB11" i="8"/>
  <c r="AB8" i="8"/>
  <c r="AB12" i="8"/>
  <c r="AB6" i="8"/>
  <c r="AB10" i="8"/>
  <c r="AB14" i="8"/>
  <c r="AB4" i="8"/>
  <c r="AB7" i="8"/>
  <c r="AB15" i="8"/>
  <c r="AB16" i="8"/>
  <c r="AD9" i="4"/>
  <c r="AE5" i="4" s="1"/>
  <c r="AE17" i="8"/>
  <c r="AE6" i="8"/>
  <c r="AC8" i="8"/>
  <c r="AE11" i="8"/>
  <c r="AC13" i="8"/>
  <c r="AC6" i="8"/>
  <c r="AE13" i="8"/>
  <c r="AC15" i="8"/>
  <c r="AE4" i="8"/>
  <c r="AE7" i="8"/>
  <c r="AE16" i="8"/>
  <c r="AE5" i="8"/>
  <c r="AC7" i="8"/>
  <c r="AE10" i="8"/>
  <c r="AC12" i="8"/>
  <c r="AE15" i="8"/>
  <c r="AC17" i="8"/>
  <c r="AE8" i="8"/>
  <c r="AC10" i="8"/>
  <c r="AC9" i="8"/>
  <c r="AC4" i="8"/>
  <c r="AE9" i="8"/>
  <c r="AC11" i="8"/>
  <c r="AE14" i="8"/>
  <c r="AC16" i="8"/>
  <c r="AC5" i="8"/>
  <c r="AE12" i="8"/>
  <c r="AC14" i="8"/>
  <c r="AE7" i="1"/>
  <c r="AE5" i="1"/>
  <c r="AE8" i="1"/>
  <c r="AE13" i="1"/>
  <c r="AE6" i="1"/>
  <c r="AE10" i="1"/>
  <c r="AE12" i="1"/>
  <c r="AE9" i="1"/>
  <c r="AE4" i="1"/>
  <c r="AE11" i="1"/>
  <c r="S14" i="1"/>
  <c r="S8" i="1"/>
  <c r="S11" i="1"/>
  <c r="S9" i="1"/>
  <c r="S4" i="1"/>
  <c r="S6" i="1"/>
  <c r="S13" i="1"/>
  <c r="S12" i="1"/>
  <c r="S7" i="1"/>
  <c r="S10" i="1"/>
  <c r="S5" i="1"/>
  <c r="AM7" i="3"/>
  <c r="AM6" i="3"/>
  <c r="AM4" i="3"/>
  <c r="AE11" i="3"/>
  <c r="AM5" i="3"/>
  <c r="AM8" i="3"/>
  <c r="AM9" i="3"/>
  <c r="AL6" i="4"/>
  <c r="AL4" i="4"/>
  <c r="AL7" i="4"/>
  <c r="AL5" i="4"/>
  <c r="BF43" i="2"/>
  <c r="BG43" i="2" s="1"/>
  <c r="BH36" i="2"/>
  <c r="AO11" i="2"/>
  <c r="AO9" i="2"/>
  <c r="AG13" i="2"/>
  <c r="AO7" i="2"/>
  <c r="AO10" i="2"/>
  <c r="AO8" i="2"/>
  <c r="AO5" i="2"/>
  <c r="AO6" i="2"/>
  <c r="AO12" i="2"/>
  <c r="AP12" i="2" s="1"/>
  <c r="AO4" i="2"/>
  <c r="BK5" i="4"/>
  <c r="BL5" i="4" s="1"/>
  <c r="BM5" i="4" s="1"/>
  <c r="BN5" i="4" s="1"/>
  <c r="BO5" i="4" s="1"/>
  <c r="AR7" i="4"/>
  <c r="BK4" i="4"/>
  <c r="AR6" i="4"/>
  <c r="BK7" i="4"/>
  <c r="BL7" i="4" s="1"/>
  <c r="BM7" i="4" s="1"/>
  <c r="BN7" i="4" s="1"/>
  <c r="BO7" i="4" s="1"/>
  <c r="BK6" i="4"/>
  <c r="BB35" i="3"/>
  <c r="BC35" i="3" s="1"/>
  <c r="BO5" i="3"/>
  <c r="BD31" i="3"/>
  <c r="BB34" i="3"/>
  <c r="BC34" i="3" s="1"/>
  <c r="BO4" i="3"/>
  <c r="BB36" i="3"/>
  <c r="BC36" i="3" s="1"/>
  <c r="BD30" i="3"/>
  <c r="BQ6" i="3"/>
  <c r="BA36" i="3"/>
  <c r="BO8" i="3"/>
  <c r="BO7" i="3"/>
  <c r="BA35" i="3"/>
  <c r="BD29" i="3"/>
  <c r="BO9" i="3"/>
  <c r="BH34" i="2"/>
  <c r="BF41" i="2"/>
  <c r="BG41" i="2" s="1"/>
  <c r="BS5" i="2"/>
  <c r="BS4" i="2"/>
  <c r="BE47" i="2" s="1"/>
  <c r="BF42" i="2"/>
  <c r="BG42" i="2" s="1"/>
  <c r="BH35" i="2"/>
  <c r="BS6" i="2"/>
  <c r="BE40" i="2"/>
  <c r="BH37" i="2"/>
  <c r="BS10" i="2"/>
  <c r="BT8" i="2"/>
  <c r="BE43" i="2"/>
  <c r="BS9" i="2"/>
  <c r="BE41" i="2"/>
  <c r="BS7" i="2"/>
  <c r="BF49" i="2" s="1"/>
  <c r="BG49" i="2" s="1"/>
  <c r="BS11" i="2"/>
  <c r="BF40" i="2"/>
  <c r="BG40" i="2" s="1"/>
  <c r="BH42" i="2"/>
  <c r="BN11" i="1"/>
  <c r="BA40" i="1"/>
  <c r="BN10" i="1"/>
  <c r="BB39" i="1"/>
  <c r="BC39" i="1" s="1"/>
  <c r="BD33" i="1"/>
  <c r="BD36" i="1"/>
  <c r="BN7" i="1"/>
  <c r="BB42" i="1"/>
  <c r="BC42" i="1" s="1"/>
  <c r="BN6" i="1"/>
  <c r="BB43" i="1"/>
  <c r="BC43" i="1" s="1"/>
  <c r="BN13" i="1"/>
  <c r="BA39" i="1"/>
  <c r="BD32" i="1"/>
  <c r="BD35" i="1"/>
  <c r="BN9" i="1"/>
  <c r="BB40" i="1"/>
  <c r="BC40" i="1" s="1"/>
  <c r="BN5" i="1"/>
  <c r="BA43" i="1"/>
  <c r="BD43" i="1" s="1"/>
  <c r="BN8" i="1"/>
  <c r="BB41" i="1"/>
  <c r="BC41" i="1" s="1"/>
  <c r="BD34" i="1"/>
  <c r="BN12" i="1"/>
  <c r="BA41" i="1"/>
  <c r="BN4" i="1"/>
  <c r="BA42" i="1"/>
  <c r="AE6" i="4" l="1"/>
  <c r="AE7" i="4"/>
  <c r="AE4" i="4"/>
  <c r="AH8" i="2"/>
  <c r="AH4" i="2"/>
  <c r="AM10" i="1"/>
  <c r="AM7" i="1"/>
  <c r="AM4" i="1"/>
  <c r="AM12" i="1"/>
  <c r="AM9" i="1"/>
  <c r="AM5" i="1"/>
  <c r="AM13" i="1"/>
  <c r="AM11" i="1"/>
  <c r="AE15" i="1"/>
  <c r="AM6" i="1"/>
  <c r="AM8" i="1"/>
  <c r="AF7" i="3"/>
  <c r="AF4" i="3"/>
  <c r="AF8" i="3"/>
  <c r="AF9" i="3"/>
  <c r="AF5" i="3"/>
  <c r="AF6" i="3"/>
  <c r="AH10" i="2"/>
  <c r="AH11" i="2"/>
  <c r="AH6" i="2"/>
  <c r="AH7" i="2"/>
  <c r="AH9" i="2"/>
  <c r="AH5" i="2"/>
  <c r="AQ4" i="4"/>
  <c r="AS7" i="4"/>
  <c r="AA4" i="4" s="1"/>
  <c r="AR4" i="4"/>
  <c r="BL4" i="4"/>
  <c r="BM4" i="4" s="1"/>
  <c r="BN4" i="4" s="1"/>
  <c r="BO4" i="4" s="1"/>
  <c r="AR5" i="4"/>
  <c r="AQ7" i="4"/>
  <c r="BL6" i="4"/>
  <c r="BM6" i="4" s="1"/>
  <c r="BN6" i="4" s="1"/>
  <c r="BO6" i="4" s="1"/>
  <c r="AS6" i="4" s="1"/>
  <c r="AA5" i="4" s="1"/>
  <c r="AQ6" i="4"/>
  <c r="AQ5" i="4"/>
  <c r="AS5" i="4"/>
  <c r="AA6" i="4" s="1"/>
  <c r="BP5" i="3"/>
  <c r="AV8" i="3"/>
  <c r="BP9" i="3"/>
  <c r="BP7" i="3"/>
  <c r="BD36" i="3"/>
  <c r="BD35" i="3"/>
  <c r="BR6" i="3"/>
  <c r="BS6" i="3" s="1"/>
  <c r="BP4" i="3"/>
  <c r="BP8" i="3"/>
  <c r="AU6" i="3"/>
  <c r="Z7" i="3" s="1"/>
  <c r="BT9" i="2"/>
  <c r="BF48" i="2"/>
  <c r="BG48" i="2" s="1"/>
  <c r="BE48" i="2"/>
  <c r="BT4" i="2"/>
  <c r="BH47" i="2"/>
  <c r="BT7" i="2"/>
  <c r="BE53" i="2" s="1"/>
  <c r="BH43" i="2"/>
  <c r="BH40" i="2"/>
  <c r="BF46" i="2"/>
  <c r="BG46" i="2" s="1"/>
  <c r="BT11" i="2"/>
  <c r="BH41" i="2"/>
  <c r="BU8" i="2"/>
  <c r="BF47" i="2"/>
  <c r="BG47" i="2" s="1"/>
  <c r="BT10" i="2"/>
  <c r="BT6" i="2"/>
  <c r="BE46" i="2"/>
  <c r="BE49" i="2"/>
  <c r="BT5" i="2"/>
  <c r="BD39" i="1"/>
  <c r="BO11" i="1"/>
  <c r="BB50" i="1"/>
  <c r="BC50" i="1" s="1"/>
  <c r="BO12" i="1"/>
  <c r="BB49" i="1"/>
  <c r="BC49" i="1" s="1"/>
  <c r="BO8" i="1"/>
  <c r="BA48" i="1"/>
  <c r="BO13" i="1"/>
  <c r="BB46" i="1"/>
  <c r="BC46" i="1" s="1"/>
  <c r="BO7" i="1"/>
  <c r="BA47" i="1"/>
  <c r="BD42" i="1"/>
  <c r="BO4" i="1"/>
  <c r="BB48" i="1"/>
  <c r="BC48" i="1" s="1"/>
  <c r="BO5" i="1"/>
  <c r="BB47" i="1"/>
  <c r="BC47" i="1" s="1"/>
  <c r="BO6" i="1"/>
  <c r="BA46" i="1"/>
  <c r="BD40" i="1"/>
  <c r="BD41" i="1"/>
  <c r="BO9" i="1"/>
  <c r="BA49" i="1"/>
  <c r="BO10" i="1"/>
  <c r="BA50" i="1"/>
  <c r="AF5" i="1" l="1"/>
  <c r="AF9" i="1"/>
  <c r="AF13" i="1"/>
  <c r="AF6" i="1"/>
  <c r="AF10" i="1"/>
  <c r="AF4" i="1"/>
  <c r="AF7" i="1"/>
  <c r="AF11" i="1"/>
  <c r="AF8" i="1"/>
  <c r="AF12" i="1"/>
  <c r="AG9" i="3"/>
  <c r="AG8" i="3"/>
  <c r="AG6" i="3"/>
  <c r="AG4" i="3"/>
  <c r="AG5" i="3"/>
  <c r="AG7" i="3"/>
  <c r="AI10" i="2"/>
  <c r="AI8" i="2"/>
  <c r="AI9" i="2"/>
  <c r="AI11" i="2"/>
  <c r="AI4" i="2"/>
  <c r="AI6" i="2"/>
  <c r="AI5" i="2"/>
  <c r="AI7" i="2"/>
  <c r="AS4" i="4"/>
  <c r="AA7" i="4" s="1"/>
  <c r="BQ5" i="3"/>
  <c r="BR5" i="3" s="1"/>
  <c r="BS5" i="3" s="1"/>
  <c r="AW5" i="3" s="1"/>
  <c r="BQ9" i="3"/>
  <c r="AV7" i="3"/>
  <c r="BQ7" i="3"/>
  <c r="BQ8" i="3"/>
  <c r="BR8" i="3" s="1"/>
  <c r="BS8" i="3" s="1"/>
  <c r="BQ4" i="3"/>
  <c r="BR4" i="3" s="1"/>
  <c r="BS4" i="3" s="1"/>
  <c r="AW4" i="3" s="1"/>
  <c r="AW6" i="3"/>
  <c r="AB8" i="3" s="1"/>
  <c r="BH46" i="2"/>
  <c r="BV8" i="2"/>
  <c r="BU11" i="2"/>
  <c r="BE52" i="2"/>
  <c r="BU7" i="2"/>
  <c r="BE55" i="2"/>
  <c r="BU10" i="2"/>
  <c r="BH53" i="2"/>
  <c r="BE54" i="2"/>
  <c r="BU9" i="2"/>
  <c r="BF54" i="2"/>
  <c r="BG54" i="2" s="1"/>
  <c r="BU5" i="2"/>
  <c r="BF55" i="2"/>
  <c r="BU4" i="2"/>
  <c r="BH49" i="2"/>
  <c r="BF52" i="2"/>
  <c r="BG52" i="2" s="1"/>
  <c r="BU6" i="2"/>
  <c r="BF53" i="2"/>
  <c r="BG53" i="2" s="1"/>
  <c r="BH48" i="2"/>
  <c r="BP9" i="1"/>
  <c r="BB55" i="1"/>
  <c r="BC55" i="1" s="1"/>
  <c r="BP13" i="1"/>
  <c r="BA53" i="1"/>
  <c r="BP8" i="1"/>
  <c r="BB56" i="1"/>
  <c r="BC56" i="1" s="1"/>
  <c r="BD50" i="1"/>
  <c r="BP10" i="1"/>
  <c r="BB54" i="1"/>
  <c r="BC54" i="1" s="1"/>
  <c r="BP6" i="1"/>
  <c r="BA57" i="1"/>
  <c r="BD57" i="1" s="1"/>
  <c r="BP5" i="1"/>
  <c r="BA56" i="1"/>
  <c r="BP7" i="1"/>
  <c r="BB57" i="1"/>
  <c r="BC57" i="1" s="1"/>
  <c r="BD49" i="1"/>
  <c r="BD48" i="1"/>
  <c r="BP12" i="1"/>
  <c r="BA54" i="1"/>
  <c r="BD46" i="1"/>
  <c r="BP4" i="1"/>
  <c r="BA55" i="1"/>
  <c r="BD47" i="1"/>
  <c r="BP11" i="1"/>
  <c r="BB53" i="1"/>
  <c r="BC53" i="1" s="1"/>
  <c r="AF7" i="4" l="1"/>
  <c r="AF6" i="4"/>
  <c r="AG8" i="1"/>
  <c r="AG11" i="1"/>
  <c r="AG6" i="1"/>
  <c r="AG7" i="1"/>
  <c r="AG13" i="1"/>
  <c r="AG12" i="1"/>
  <c r="AG4" i="1"/>
  <c r="AG9" i="1"/>
  <c r="AG10" i="1"/>
  <c r="AG5" i="1"/>
  <c r="AG11" i="3"/>
  <c r="AF5" i="4"/>
  <c r="AF4" i="4"/>
  <c r="BG55" i="2"/>
  <c r="AY4" i="2"/>
  <c r="AI13" i="2"/>
  <c r="AJ4" i="2" s="1"/>
  <c r="AV9" i="3"/>
  <c r="AU5" i="3"/>
  <c r="Z8" i="3" s="1"/>
  <c r="BR7" i="3"/>
  <c r="BS7" i="3" s="1"/>
  <c r="BR9" i="3"/>
  <c r="BS9" i="3" s="1"/>
  <c r="AW8" i="3"/>
  <c r="AB5" i="3" s="1"/>
  <c r="AV6" i="3"/>
  <c r="AU8" i="3"/>
  <c r="Z5" i="3" s="1"/>
  <c r="AV5" i="3"/>
  <c r="AU9" i="3"/>
  <c r="Z4" i="3" s="1"/>
  <c r="AU4" i="3"/>
  <c r="Z9" i="3" s="1"/>
  <c r="AU7" i="3"/>
  <c r="Z6" i="3" s="1"/>
  <c r="BV4" i="2"/>
  <c r="BV5" i="2"/>
  <c r="BH54" i="2"/>
  <c r="BV10" i="2"/>
  <c r="BH52" i="2"/>
  <c r="BW8" i="2"/>
  <c r="BA8" i="2" s="1"/>
  <c r="AD9" i="2" s="1"/>
  <c r="BH55" i="2"/>
  <c r="BV11" i="2"/>
  <c r="BV6" i="2"/>
  <c r="BV9" i="2"/>
  <c r="BV7" i="2"/>
  <c r="BD54" i="1"/>
  <c r="BQ12" i="1"/>
  <c r="BB64" i="1"/>
  <c r="BC64" i="1" s="1"/>
  <c r="BQ4" i="1"/>
  <c r="BB63" i="1"/>
  <c r="BC63" i="1" s="1"/>
  <c r="BQ5" i="1"/>
  <c r="BB62" i="1"/>
  <c r="BC62" i="1" s="1"/>
  <c r="BQ13" i="1"/>
  <c r="BB60" i="1"/>
  <c r="BC60" i="1" s="1"/>
  <c r="BQ10" i="1"/>
  <c r="BA63" i="1"/>
  <c r="BQ7" i="1"/>
  <c r="BA60" i="1"/>
  <c r="BQ8" i="1"/>
  <c r="BA61" i="1"/>
  <c r="BQ11" i="1"/>
  <c r="BA64" i="1"/>
  <c r="BD55" i="1"/>
  <c r="BD56" i="1"/>
  <c r="BQ6" i="1"/>
  <c r="BB61" i="1"/>
  <c r="BC61" i="1" s="1"/>
  <c r="BD53" i="1"/>
  <c r="BQ9" i="1"/>
  <c r="BA62" i="1"/>
  <c r="AF9" i="4" l="1"/>
  <c r="AG7" i="4" s="1"/>
  <c r="AG15" i="1"/>
  <c r="AH6" i="3"/>
  <c r="AH9" i="3"/>
  <c r="AH4" i="3"/>
  <c r="AH5" i="3"/>
  <c r="AH7" i="3"/>
  <c r="AH8" i="3"/>
  <c r="AJ10" i="2"/>
  <c r="AJ8" i="2"/>
  <c r="AJ6" i="2"/>
  <c r="AJ5" i="2"/>
  <c r="AJ11" i="2"/>
  <c r="AJ9" i="2"/>
  <c r="AJ7" i="2"/>
  <c r="AV4" i="3"/>
  <c r="AW9" i="3"/>
  <c r="AW7" i="3"/>
  <c r="BW11" i="2"/>
  <c r="BA11" i="2" s="1"/>
  <c r="AD11" i="2" s="1"/>
  <c r="BW7" i="2"/>
  <c r="BA7" i="2" s="1"/>
  <c r="AD10" i="2" s="1"/>
  <c r="BW9" i="2"/>
  <c r="BA9" i="2" s="1"/>
  <c r="AD7" i="2" s="1"/>
  <c r="AY8" i="2"/>
  <c r="AB9" i="2" s="1"/>
  <c r="BW4" i="2"/>
  <c r="BA4" i="2" s="1"/>
  <c r="AD6" i="2" s="1"/>
  <c r="BW6" i="2"/>
  <c r="BA6" i="2" s="1"/>
  <c r="AD8" i="2" s="1"/>
  <c r="BW10" i="2"/>
  <c r="BA10" i="2" s="1"/>
  <c r="AD5" i="2" s="1"/>
  <c r="BW5" i="2"/>
  <c r="BA5" i="2" s="1"/>
  <c r="AD4" i="2" s="1"/>
  <c r="BR9" i="1"/>
  <c r="BB70" i="1"/>
  <c r="BC70" i="1" s="1"/>
  <c r="BR6" i="1"/>
  <c r="BA70" i="1"/>
  <c r="BR12" i="1"/>
  <c r="BB67" i="1"/>
  <c r="BC67" i="1" s="1"/>
  <c r="BD61" i="1"/>
  <c r="BR7" i="1"/>
  <c r="BA71" i="1"/>
  <c r="BD71" i="1" s="1"/>
  <c r="BD64" i="1"/>
  <c r="BR8" i="1"/>
  <c r="BB71" i="1"/>
  <c r="BC71" i="1" s="1"/>
  <c r="BR4" i="1"/>
  <c r="BA68" i="1"/>
  <c r="BD60" i="1"/>
  <c r="BR10" i="1"/>
  <c r="BB69" i="1"/>
  <c r="BC69" i="1" s="1"/>
  <c r="BD62" i="1"/>
  <c r="BR11" i="1"/>
  <c r="BB68" i="1"/>
  <c r="BC68" i="1" s="1"/>
  <c r="BD63" i="1"/>
  <c r="BR13" i="1"/>
  <c r="BA67" i="1"/>
  <c r="BR5" i="1"/>
  <c r="BA69" i="1"/>
  <c r="AK5" i="2" l="1"/>
  <c r="AK6" i="2"/>
  <c r="AK9" i="2"/>
  <c r="AK8" i="2"/>
  <c r="AK11" i="2"/>
  <c r="AK10" i="2"/>
  <c r="AG6" i="4"/>
  <c r="AG5" i="4"/>
  <c r="AG4" i="4"/>
  <c r="AB7" i="3"/>
  <c r="AB6" i="3"/>
  <c r="AB9" i="3"/>
  <c r="AB4" i="3"/>
  <c r="AK4" i="2"/>
  <c r="AK7" i="2" s="1"/>
  <c r="AH5" i="1"/>
  <c r="AI5" i="1" s="1"/>
  <c r="AH9" i="1"/>
  <c r="AI9" i="1" s="1"/>
  <c r="AJ9" i="1" s="1"/>
  <c r="AH13" i="1"/>
  <c r="AI13" i="1" s="1"/>
  <c r="AH6" i="1"/>
  <c r="AI6" i="1" s="1"/>
  <c r="AH10" i="1"/>
  <c r="AI10" i="1" s="1"/>
  <c r="AH4" i="1"/>
  <c r="AI4" i="1" s="1"/>
  <c r="AH7" i="1"/>
  <c r="AI7" i="1" s="1"/>
  <c r="AH11" i="1"/>
  <c r="AI11" i="1" s="1"/>
  <c r="AJ5" i="1"/>
  <c r="AH8" i="1"/>
  <c r="AI8" i="1" s="1"/>
  <c r="AH12" i="1"/>
  <c r="AI12" i="1" s="1"/>
  <c r="AI5" i="3"/>
  <c r="AI4" i="3"/>
  <c r="AI8" i="3"/>
  <c r="AI9" i="3"/>
  <c r="AI7" i="3"/>
  <c r="AI6" i="3"/>
  <c r="AZ11" i="2"/>
  <c r="AZ4" i="2"/>
  <c r="AZ10" i="2"/>
  <c r="AZ8" i="2"/>
  <c r="AY10" i="2"/>
  <c r="AB5" i="2" s="1"/>
  <c r="AY5" i="2"/>
  <c r="AZ9" i="2"/>
  <c r="AY7" i="2"/>
  <c r="AB10" i="2" s="1"/>
  <c r="AZ7" i="2"/>
  <c r="AY9" i="2"/>
  <c r="AB7" i="2" s="1"/>
  <c r="AB6" i="2"/>
  <c r="AZ6" i="2"/>
  <c r="AY11" i="2"/>
  <c r="AB11" i="2" s="1"/>
  <c r="AY6" i="2"/>
  <c r="AB8" i="2" s="1"/>
  <c r="BD67" i="1"/>
  <c r="BS11" i="1"/>
  <c r="AW11" i="1" s="1"/>
  <c r="BA77" i="1"/>
  <c r="BD68" i="1"/>
  <c r="BS8" i="1"/>
  <c r="AW8" i="1" s="1"/>
  <c r="BA74" i="1"/>
  <c r="BD69" i="1"/>
  <c r="BS10" i="1"/>
  <c r="AW10" i="1" s="1"/>
  <c r="BA76" i="1"/>
  <c r="BS4" i="1"/>
  <c r="AW4" i="1" s="1"/>
  <c r="BB78" i="1"/>
  <c r="BC78" i="1" s="1"/>
  <c r="BS7" i="1"/>
  <c r="AW7" i="1" s="1"/>
  <c r="BB75" i="1"/>
  <c r="BC75" i="1" s="1"/>
  <c r="BS12" i="1"/>
  <c r="AW12" i="1" s="1"/>
  <c r="BA78" i="1"/>
  <c r="BS6" i="1"/>
  <c r="AW6" i="1" s="1"/>
  <c r="BB76" i="1"/>
  <c r="BC76" i="1" s="1"/>
  <c r="BS13" i="1"/>
  <c r="AW13" i="1" s="1"/>
  <c r="BB74" i="1"/>
  <c r="BC74" i="1" s="1"/>
  <c r="BS5" i="1"/>
  <c r="AW5" i="1" s="1"/>
  <c r="BB77" i="1"/>
  <c r="BC77" i="1" s="1"/>
  <c r="BD70" i="1"/>
  <c r="BS9" i="1"/>
  <c r="AW9" i="1" s="1"/>
  <c r="BA75" i="1"/>
  <c r="AK12" i="2" l="1"/>
  <c r="AJ13" i="1"/>
  <c r="AH4" i="4"/>
  <c r="AH7" i="4"/>
  <c r="AH5" i="4"/>
  <c r="AH6" i="4"/>
  <c r="AB7" i="1"/>
  <c r="AJ12" i="1"/>
  <c r="AJ8" i="1"/>
  <c r="AJ11" i="1"/>
  <c r="AI15" i="1"/>
  <c r="AJ7" i="1"/>
  <c r="AJ4" i="1"/>
  <c r="AJ10" i="1"/>
  <c r="AJ6" i="1"/>
  <c r="AB5" i="1"/>
  <c r="AB11" i="1"/>
  <c r="AI11" i="3"/>
  <c r="AK13" i="2"/>
  <c r="AL6" i="2" s="1"/>
  <c r="AZ5" i="2"/>
  <c r="AB13" i="1"/>
  <c r="AB10" i="1"/>
  <c r="AB6" i="1"/>
  <c r="AB12" i="1"/>
  <c r="AB4" i="1"/>
  <c r="AB8" i="1"/>
  <c r="AB9" i="1"/>
  <c r="AU4" i="1"/>
  <c r="AV10" i="1"/>
  <c r="BD78" i="1"/>
  <c r="AU10" i="1"/>
  <c r="BD77" i="1"/>
  <c r="AV5" i="1" s="1"/>
  <c r="AU12" i="1"/>
  <c r="AU7" i="1"/>
  <c r="AU5" i="1"/>
  <c r="AU13" i="1"/>
  <c r="AU6" i="1"/>
  <c r="AV12" i="1"/>
  <c r="AV9" i="1"/>
  <c r="AV8" i="1"/>
  <c r="AV11" i="1"/>
  <c r="BD75" i="1"/>
  <c r="AV7" i="1" s="1"/>
  <c r="AU8" i="1"/>
  <c r="BD76" i="1"/>
  <c r="AU11" i="1"/>
  <c r="BD74" i="1"/>
  <c r="AV13" i="1" s="1"/>
  <c r="AU9" i="1"/>
  <c r="AH9" i="4" l="1"/>
  <c r="AI4" i="4" s="1"/>
  <c r="AL6" i="1"/>
  <c r="AN6" i="1" s="1"/>
  <c r="AL10" i="1"/>
  <c r="AN10" i="1" s="1"/>
  <c r="AL13" i="1"/>
  <c r="AN13" i="1" s="1"/>
  <c r="AL11" i="1"/>
  <c r="AN11" i="1" s="1"/>
  <c r="AL12" i="1"/>
  <c r="AN12" i="1" s="1"/>
  <c r="AL4" i="1"/>
  <c r="AN4" i="1" s="1"/>
  <c r="AL8" i="1"/>
  <c r="AN8" i="1" s="1"/>
  <c r="AL9" i="1"/>
  <c r="AN9" i="1" s="1"/>
  <c r="AL7" i="1"/>
  <c r="AN7" i="1" s="1"/>
  <c r="AL5" i="1"/>
  <c r="AN5" i="1" s="1"/>
  <c r="AJ5" i="3"/>
  <c r="AJ7" i="3"/>
  <c r="AJ9" i="3"/>
  <c r="AJ8" i="3"/>
  <c r="AJ6" i="3"/>
  <c r="AJ4" i="3"/>
  <c r="AL5" i="2"/>
  <c r="AL10" i="2"/>
  <c r="AL11" i="2"/>
  <c r="AL4" i="2"/>
  <c r="AL8" i="2"/>
  <c r="AL7" i="2"/>
  <c r="AL9" i="2"/>
  <c r="Z11" i="1"/>
  <c r="Z4" i="1"/>
  <c r="Z6" i="1"/>
  <c r="Z10" i="1"/>
  <c r="Z12" i="1"/>
  <c r="Z8" i="1"/>
  <c r="Z5" i="1"/>
  <c r="Z13" i="1"/>
  <c r="Z9" i="1"/>
  <c r="Z7" i="1"/>
  <c r="AV6" i="1"/>
  <c r="AV4" i="1"/>
  <c r="AI6" i="4" l="1"/>
  <c r="AI5" i="4"/>
  <c r="AI7" i="4"/>
  <c r="AO7" i="1"/>
  <c r="T7" i="1" s="1"/>
  <c r="A7" i="1" s="1"/>
  <c r="AO9" i="1"/>
  <c r="T9" i="1" s="1"/>
  <c r="A9" i="1" s="1"/>
  <c r="AO11" i="1"/>
  <c r="T11" i="1" s="1"/>
  <c r="A11" i="1" s="1"/>
  <c r="AO8" i="1"/>
  <c r="T8" i="1" s="1"/>
  <c r="A8" i="1" s="1"/>
  <c r="AO13" i="1"/>
  <c r="T13" i="1" s="1"/>
  <c r="A13" i="1" s="1"/>
  <c r="AO5" i="1"/>
  <c r="T5" i="1" s="1"/>
  <c r="A5" i="1" s="1"/>
  <c r="AO4" i="1"/>
  <c r="T4" i="1" s="1"/>
  <c r="A4" i="1" s="1"/>
  <c r="AO14" i="1"/>
  <c r="AO6" i="1"/>
  <c r="T6" i="1" s="1"/>
  <c r="A6" i="1" s="1"/>
  <c r="AO12" i="1"/>
  <c r="T12" i="1" s="1"/>
  <c r="A12" i="1" s="1"/>
  <c r="AO10" i="1"/>
  <c r="T10" i="1" s="1"/>
  <c r="A10" i="1" s="1"/>
  <c r="AL8" i="3"/>
  <c r="AN8" i="3" s="1"/>
  <c r="AL9" i="3"/>
  <c r="AN9" i="3" s="1"/>
  <c r="AL4" i="3"/>
  <c r="AN4" i="3" s="1"/>
  <c r="AL7" i="3"/>
  <c r="AN7" i="3" s="1"/>
  <c r="AL6" i="3"/>
  <c r="AN6" i="3" s="1"/>
  <c r="AL5" i="3"/>
  <c r="AN5" i="3" s="1"/>
  <c r="AN11" i="2"/>
  <c r="AP11" i="2" s="1"/>
  <c r="AN9" i="2"/>
  <c r="AP9" i="2" s="1"/>
  <c r="AN5" i="2"/>
  <c r="AP5" i="2" s="1"/>
  <c r="AN7" i="2"/>
  <c r="AP7" i="2" s="1"/>
  <c r="AN10" i="2"/>
  <c r="AP10" i="2" s="1"/>
  <c r="AN8" i="2"/>
  <c r="AP8" i="2" s="1"/>
  <c r="AN6" i="2"/>
  <c r="AP6" i="2" s="1"/>
  <c r="AN4" i="2"/>
  <c r="AP4" i="2" s="1"/>
  <c r="X7" i="1" l="1"/>
  <c r="X11" i="1"/>
  <c r="X5" i="1"/>
  <c r="X13" i="1"/>
  <c r="X6" i="1"/>
  <c r="X4" i="1"/>
  <c r="X8" i="1"/>
  <c r="X12" i="1"/>
  <c r="X9" i="1"/>
  <c r="X10" i="1"/>
  <c r="AK5" i="4"/>
  <c r="AM5" i="4" s="1"/>
  <c r="AK7" i="4"/>
  <c r="AM7" i="4" s="1"/>
  <c r="AK6" i="4"/>
  <c r="AM6" i="4" s="1"/>
  <c r="AK4" i="4"/>
  <c r="AM4" i="4" s="1"/>
  <c r="AA4" i="1"/>
  <c r="Y4" i="1"/>
  <c r="Y8" i="1"/>
  <c r="Y6" i="1"/>
  <c r="Y10" i="1"/>
  <c r="AA9" i="1"/>
  <c r="Y11" i="1"/>
  <c r="AA8" i="1"/>
  <c r="Y13" i="1"/>
  <c r="AA13" i="1"/>
  <c r="AA11" i="1"/>
  <c r="Y14" i="1"/>
  <c r="AA6" i="1"/>
  <c r="Y9" i="1"/>
  <c r="Y7" i="1"/>
  <c r="AA7" i="1"/>
  <c r="Y5" i="1"/>
  <c r="AA5" i="1"/>
  <c r="Y12" i="1"/>
  <c r="AA12" i="1"/>
  <c r="AA10" i="1"/>
  <c r="AO4" i="3"/>
  <c r="T4" i="3" s="1"/>
  <c r="A4" i="3" s="1"/>
  <c r="AO7" i="3"/>
  <c r="T7" i="3" s="1"/>
  <c r="A7" i="3" s="1"/>
  <c r="AO5" i="3"/>
  <c r="T5" i="3" s="1"/>
  <c r="A5" i="3" s="1"/>
  <c r="AO9" i="3"/>
  <c r="T9" i="3" s="1"/>
  <c r="A9" i="3" s="1"/>
  <c r="AO6" i="3"/>
  <c r="T6" i="3" s="1"/>
  <c r="A6" i="3" s="1"/>
  <c r="AO8" i="3"/>
  <c r="T8" i="3" s="1"/>
  <c r="A8" i="3" s="1"/>
  <c r="AQ9" i="2"/>
  <c r="T9" i="2" s="1"/>
  <c r="A9" i="2" s="1"/>
  <c r="AQ4" i="2"/>
  <c r="T4" i="2" s="1"/>
  <c r="A4" i="2" s="1"/>
  <c r="AQ12" i="2"/>
  <c r="T12" i="2" s="1"/>
  <c r="A12" i="2" s="1"/>
  <c r="AQ11" i="2"/>
  <c r="T11" i="2" s="1"/>
  <c r="A11" i="2" s="1"/>
  <c r="AQ10" i="2"/>
  <c r="T10" i="2" s="1"/>
  <c r="A10" i="2" s="1"/>
  <c r="AQ5" i="2"/>
  <c r="T5" i="2" s="1"/>
  <c r="A5" i="2" s="1"/>
  <c r="AQ7" i="2"/>
  <c r="T7" i="2" s="1"/>
  <c r="A7" i="2" s="1"/>
  <c r="AQ6" i="2"/>
  <c r="T6" i="2" s="1"/>
  <c r="A6" i="2" s="1"/>
  <c r="AQ8" i="2"/>
  <c r="T8" i="2" s="1"/>
  <c r="A8" i="2" s="1"/>
  <c r="X5" i="3" l="1"/>
  <c r="X9" i="3"/>
  <c r="X6" i="3"/>
  <c r="X4" i="3"/>
  <c r="X7" i="3"/>
  <c r="X8" i="3"/>
  <c r="Z4" i="2"/>
  <c r="Z5" i="2"/>
  <c r="Z9" i="2"/>
  <c r="Z6" i="2"/>
  <c r="Z10" i="2"/>
  <c r="Z8" i="2"/>
  <c r="Z7" i="2"/>
  <c r="Z11" i="2"/>
  <c r="AN7" i="4"/>
  <c r="S7" i="4" s="1"/>
  <c r="A7" i="4" s="1"/>
  <c r="AN4" i="4"/>
  <c r="S4" i="4" s="1"/>
  <c r="A4" i="4" s="1"/>
  <c r="AN5" i="4"/>
  <c r="S5" i="4" s="1"/>
  <c r="A5" i="4" s="1"/>
  <c r="AN6" i="4"/>
  <c r="S6" i="4" s="1"/>
  <c r="A6" i="4" s="1"/>
  <c r="AA5" i="3"/>
  <c r="AA4" i="3"/>
  <c r="Y6" i="3"/>
  <c r="AA8" i="3"/>
  <c r="AA9" i="3"/>
  <c r="Y7" i="3"/>
  <c r="AA6" i="3"/>
  <c r="Y5" i="3"/>
  <c r="Y4" i="3"/>
  <c r="X10" i="3"/>
  <c r="AA7" i="3"/>
  <c r="Y8" i="3"/>
  <c r="Y9" i="3"/>
  <c r="AC5" i="2"/>
  <c r="AC9" i="2"/>
  <c r="AA5" i="2"/>
  <c r="AA9" i="2"/>
  <c r="AC6" i="2"/>
  <c r="AC10" i="2"/>
  <c r="AA6" i="2"/>
  <c r="AA10" i="2"/>
  <c r="AC7" i="2"/>
  <c r="AC11" i="2"/>
  <c r="AA7" i="2"/>
  <c r="AA11" i="2"/>
  <c r="AC8" i="2"/>
  <c r="AC4" i="2"/>
  <c r="AA8" i="2"/>
  <c r="AA4" i="2"/>
  <c r="Z12" i="2"/>
  <c r="AA12" i="2"/>
  <c r="AB4" i="2"/>
  <c r="W7" i="4" l="1"/>
  <c r="W8" i="4"/>
  <c r="W5" i="4"/>
  <c r="W6" i="4"/>
  <c r="W4" i="4"/>
  <c r="X4" i="4"/>
  <c r="Y4" i="4"/>
  <c r="Z4" i="4"/>
  <c r="Z7" i="4"/>
  <c r="Z5" i="4"/>
  <c r="Y6" i="4"/>
  <c r="Z6" i="4"/>
  <c r="Y5" i="4"/>
  <c r="X6" i="4"/>
  <c r="X5" i="4"/>
  <c r="X7" i="4"/>
  <c r="Y7" i="4"/>
</calcChain>
</file>

<file path=xl/sharedStrings.xml><?xml version="1.0" encoding="utf-8"?>
<sst xmlns="http://schemas.openxmlformats.org/spreadsheetml/2006/main" count="707" uniqueCount="84">
  <si>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</si>
  <si>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</si>
  <si>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</si>
  <si>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</si>
  <si>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</si>
  <si>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</si>
  <si>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</si>
  <si>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</si>
  <si>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</si>
  <si>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</si>
  <si>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</si>
  <si>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</si>
  <si>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</si>
  <si>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</si>
  <si>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</si>
  <si>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</si>
  <si>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</si>
  <si>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</si>
  <si>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</si>
  <si>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</si>
  <si>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</si>
  <si>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</si>
  <si>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</si>
  <si>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</si>
  <si>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</si>
  <si>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</si>
  <si>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</si>
  <si>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</si>
  <si>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</si>
  <si>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</si>
  <si>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</si>
  <si>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</si>
  <si>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</si>
  <si>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</si>
  <si>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</si>
  <si>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</si>
  <si>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</si>
  <si>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>w/z</t>
  </si>
  <si>
    <t>z/w</t>
  </si>
  <si>
    <t>ronde</t>
  </si>
  <si>
    <t>A</t>
  </si>
  <si>
    <t>B</t>
  </si>
  <si>
    <t>C</t>
  </si>
  <si>
    <t>D</t>
  </si>
  <si>
    <t>F</t>
  </si>
  <si>
    <t>G</t>
  </si>
  <si>
    <t>H</t>
  </si>
  <si>
    <t>E</t>
  </si>
  <si>
    <t>I</t>
  </si>
  <si>
    <t>J</t>
  </si>
  <si>
    <t>(Voorlopige) deelnemerslijst</t>
  </si>
  <si>
    <t>(Voorlopige) groepsindeling</t>
  </si>
  <si>
    <t>Uitslagmogelijkheden</t>
  </si>
  <si>
    <t>1-0</t>
  </si>
  <si>
    <t>0-1</t>
  </si>
  <si>
    <t>½-½</t>
  </si>
  <si>
    <t>1-0(regl.)</t>
  </si>
  <si>
    <t>0-0 (regl.)</t>
  </si>
  <si>
    <t>0-1 (regl.)</t>
  </si>
  <si>
    <t>½-½ (regl.)</t>
  </si>
  <si>
    <t>Onder_1</t>
  </si>
  <si>
    <t>pnt2</t>
  </si>
  <si>
    <t>Onder_2</t>
  </si>
  <si>
    <t>pnt3</t>
  </si>
  <si>
    <t>Onder_3</t>
  </si>
  <si>
    <t>pnt4</t>
  </si>
  <si>
    <t>RPunten</t>
  </si>
  <si>
    <t>RSB</t>
  </si>
  <si>
    <t>RSom</t>
  </si>
  <si>
    <t>Rank</t>
  </si>
  <si>
    <t>Aantal</t>
  </si>
  <si>
    <t>1-0 (adj.)</t>
  </si>
  <si>
    <t>0-1 (adj.)</t>
  </si>
  <si>
    <t>½-½ (adj.)</t>
  </si>
  <si>
    <t>(snelformaat)</t>
  </si>
  <si>
    <t>K</t>
  </si>
  <si>
    <t>L</t>
  </si>
  <si>
    <t>M</t>
  </si>
  <si>
    <t>O</t>
  </si>
  <si>
    <t>N</t>
  </si>
  <si>
    <t>Ronde 10</t>
  </si>
  <si>
    <t>Ronde 11</t>
  </si>
  <si>
    <t>Ronde 12</t>
  </si>
  <si>
    <t>Ronde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</si>
</sst>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43" fontId="10" fillId="0" borderId="0" applyFont="0" applyFill="0" applyBorder="0" applyAlignment="0" applyProtection="0"/>
  </cellStyleXfs>
  <cellXfs count="99">
    <xf numFmtId="0" fontId="0" fillId="0" borderId="0" xfId="0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0" fillId="0" borderId="0" xfId="0" applyFont="1"/>
    <xf numFmtId="0" fontId="0" fillId="0" borderId="1" xfId="0" quotePrefix="1" applyBorder="1" applyAlignment="1" applyProtection="1">
      <alignment horizontal="center"/>
      <protection locked="0"/>
    </xf>
    <xf numFmtId="0" fontId="0" fillId="0" borderId="0" xfId="0" applyProtection="1"/>
    <xf numFmtId="0" fontId="0" fillId="4" borderId="1" xfId="0" applyFill="1" applyBorder="1" applyAlignment="1" applyProtection="1">
      <alignment horizontal="center"/>
    </xf>
    <xf numFmtId="0" fontId="8" fillId="0" borderId="5" xfId="1" applyFont="1" applyBorder="1" applyAlignment="1" applyProtection="1">
      <alignment horizontal="center" vertical="center"/>
    </xf>
    <xf numFmtId="1" fontId="8" fillId="0" borderId="5" xfId="1" applyNumberFormat="1" applyFont="1" applyBorder="1" applyAlignment="1" applyProtection="1">
      <alignment horizontal="center" vertical="center"/>
    </xf>
    <xf numFmtId="1" fontId="8" fillId="0" borderId="0" xfId="1" applyNumberFormat="1" applyFont="1" applyBorder="1" applyAlignment="1" applyProtection="1">
      <alignment horizontal="center" vertical="center"/>
    </xf>
    <xf numFmtId="0" fontId="0" fillId="3" borderId="0" xfId="0" applyFill="1" applyProtection="1"/>
    <xf numFmtId="0" fontId="3" fillId="0" borderId="5" xfId="1" applyFont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/>
    </xf>
    <xf numFmtId="0" fontId="8" fillId="0" borderId="0" xfId="1" applyFont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/>
    </xf>
    <xf numFmtId="0" fontId="2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/>
    <xf numFmtId="0" fontId="0" fillId="4" borderId="1" xfId="0" applyFill="1" applyBorder="1" applyProtection="1"/>
    <xf numFmtId="0" fontId="0" fillId="4" borderId="2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6" fillId="4" borderId="1" xfId="0" applyFont="1" applyFill="1" applyBorder="1" applyAlignment="1" applyProtection="1"/>
    <xf numFmtId="0" fontId="2" fillId="4" borderId="3" xfId="0" applyFont="1" applyFill="1" applyBorder="1" applyAlignment="1" applyProtection="1">
      <alignment horizontal="center"/>
    </xf>
    <xf numFmtId="0" fontId="9" fillId="0" borderId="0" xfId="0" applyFont="1" applyProtection="1"/>
    <xf numFmtId="0" fontId="0" fillId="0" borderId="1" xfId="0" applyBorder="1" applyProtection="1"/>
    <xf numFmtId="0" fontId="0" fillId="2" borderId="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164" fontId="0" fillId="5" borderId="1" xfId="0" applyNumberForma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6" fillId="0" borderId="1" xfId="0" applyFont="1" applyBorder="1" applyAlignment="1" applyProtection="1"/>
    <xf numFmtId="0" fontId="0" fillId="0" borderId="1" xfId="0" applyFont="1" applyBorder="1" applyAlignment="1" applyProtection="1">
      <alignment horizontal="left"/>
    </xf>
    <xf numFmtId="164" fontId="0" fillId="0" borderId="1" xfId="0" applyNumberFormat="1" applyFont="1" applyBorder="1" applyAlignment="1" applyProtection="1">
      <alignment horizontal="right"/>
    </xf>
    <xf numFmtId="1" fontId="0" fillId="0" borderId="1" xfId="0" applyNumberFormat="1" applyFont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Alignment="1" applyProtection="1">
      <alignment horizontal="right"/>
    </xf>
    <xf numFmtId="0" fontId="3" fillId="0" borderId="0" xfId="0" applyFont="1" applyFill="1" applyProtection="1"/>
    <xf numFmtId="0" fontId="3" fillId="2" borderId="0" xfId="0" applyFont="1" applyFill="1" applyProtection="1"/>
    <xf numFmtId="0" fontId="0" fillId="2" borderId="0" xfId="0" applyFill="1" applyProtection="1"/>
    <xf numFmtId="0" fontId="1" fillId="0" borderId="0" xfId="0" applyFont="1" applyProtection="1"/>
    <xf numFmtId="0" fontId="0" fillId="0" borderId="0" xfId="0" quotePrefix="1" applyAlignment="1" applyProtection="1">
      <alignment horizontal="center"/>
    </xf>
    <xf numFmtId="0" fontId="0" fillId="0" borderId="0" xfId="0" applyAlignment="1" applyProtection="1">
      <alignment horizontal="left"/>
    </xf>
    <xf numFmtId="0" fontId="4" fillId="0" borderId="0" xfId="0" applyFont="1" applyFill="1" applyProtection="1"/>
    <xf numFmtId="0" fontId="0" fillId="4" borderId="4" xfId="0" applyFill="1" applyBorder="1" applyAlignment="1" applyProtection="1">
      <alignment horizontal="center"/>
    </xf>
    <xf numFmtId="0" fontId="0" fillId="4" borderId="3" xfId="0" applyFill="1" applyBorder="1" applyAlignment="1" applyProtection="1">
      <alignment horizontal="center"/>
    </xf>
    <xf numFmtId="1" fontId="9" fillId="0" borderId="0" xfId="0" applyNumberFormat="1" applyFont="1" applyProtection="1"/>
    <xf numFmtId="0" fontId="0" fillId="5" borderId="4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1" fontId="1" fillId="0" borderId="1" xfId="0" applyNumberFormat="1" applyFont="1" applyBorder="1" applyAlignment="1" applyProtection="1">
      <alignment horizontal="center"/>
    </xf>
    <xf numFmtId="2" fontId="0" fillId="0" borderId="1" xfId="0" applyNumberFormat="1" applyFont="1" applyBorder="1" applyAlignment="1" applyProtection="1">
      <alignment horizontal="right"/>
    </xf>
    <xf numFmtId="1" fontId="0" fillId="0" borderId="0" xfId="0" applyNumberFormat="1" applyFont="1" applyBorder="1" applyAlignment="1" applyProtection="1">
      <alignment horizontal="right"/>
    </xf>
    <xf numFmtId="1" fontId="0" fillId="0" borderId="0" xfId="0" applyNumberFormat="1" applyFont="1" applyFill="1" applyBorder="1" applyAlignment="1" applyProtection="1">
      <alignment horizontal="right"/>
    </xf>
    <xf numFmtId="0" fontId="3" fillId="0" borderId="0" xfId="1" applyFont="1" applyFill="1" applyBorder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0" fontId="0" fillId="0" borderId="0" xfId="0" quotePrefix="1" applyBorder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left"/>
    </xf>
    <xf numFmtId="164" fontId="0" fillId="0" borderId="0" xfId="0" applyNumberFormat="1" applyFont="1" applyBorder="1" applyAlignment="1" applyProtection="1">
      <alignment horizontal="right"/>
    </xf>
    <xf numFmtId="2" fontId="0" fillId="0" borderId="0" xfId="0" applyNumberFormat="1" applyFont="1" applyBorder="1" applyAlignment="1" applyProtection="1">
      <alignment horizontal="right"/>
    </xf>
    <xf numFmtId="2" fontId="0" fillId="0" borderId="0" xfId="0" applyNumberFormat="1" applyProtection="1"/>
    <xf numFmtId="0" fontId="5" fillId="0" borderId="0" xfId="0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0" fillId="0" borderId="2" xfId="0" applyBorder="1" applyProtection="1"/>
    <xf numFmtId="0" fontId="0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5" borderId="1" xfId="2" applyNumberFormat="1" applyFont="1" applyFill="1" applyBorder="1" applyAlignment="1" applyProtection="1">
      <alignment horizontal="center"/>
    </xf>
    <xf numFmtId="0" fontId="0" fillId="4" borderId="1" xfId="0" applyNumberFormat="1" applyFill="1" applyBorder="1" applyAlignment="1" applyProtection="1">
      <alignment horizontal="center"/>
    </xf>
    <xf numFmtId="0" fontId="0" fillId="2" borderId="1" xfId="2" applyNumberFormat="1" applyFont="1" applyFill="1" applyBorder="1" applyAlignment="1" applyProtection="1">
      <alignment horizontal="center"/>
    </xf>
    <xf numFmtId="0" fontId="0" fillId="5" borderId="1" xfId="0" applyNumberFormat="1" applyFill="1" applyBorder="1" applyAlignment="1" applyProtection="1">
      <alignment horizontal="center"/>
    </xf>
    <xf numFmtId="0" fontId="3" fillId="0" borderId="8" xfId="1" applyFont="1" applyFill="1" applyBorder="1" applyAlignment="1" applyProtection="1">
      <alignment horizontal="center" vertical="center"/>
    </xf>
    <xf numFmtId="0" fontId="11" fillId="0" borderId="0" xfId="0" applyFont="1"/>
    <xf numFmtId="0" fontId="5" fillId="0" borderId="0" xfId="0" applyFont="1" applyAlignment="1" applyProtection="1"/>
    <xf numFmtId="0" fontId="5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5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4" borderId="1" xfId="0" applyFill="1" applyBorder="1" applyAlignment="1" applyProtection="1">
      <alignment horizontal="left"/>
    </xf>
    <xf numFmtId="0" fontId="0" fillId="0" borderId="2" xfId="0" applyBorder="1" applyAlignment="1" applyProtection="1">
      <alignment horizontal="left"/>
    </xf>
    <xf numFmtId="0" fontId="0" fillId="0" borderId="3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7" xfId="0" applyBorder="1" applyAlignment="1" applyProtection="1">
      <alignment horizontal="left"/>
    </xf>
    <xf numFmtId="0" fontId="5" fillId="0" borderId="0" xfId="0" applyFont="1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0" fillId="5" borderId="2" xfId="0" applyFill="1" applyBorder="1" applyAlignment="1" applyProtection="1">
      <alignment horizontal="center"/>
    </xf>
    <xf numFmtId="0" fontId="0" fillId="5" borderId="4" xfId="0" applyFill="1" applyBorder="1" applyAlignment="1" applyProtection="1">
      <alignment horizontal="center"/>
    </xf>
    <xf numFmtId="0" fontId="0" fillId="4" borderId="2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5" fillId="0" borderId="0" xfId="0" applyFont="1" applyAlignment="1">
      <alignment horizontal="center"/>
    </xf>
  </cellXfs>
  <cellStyles count="3">
    <cellStyle name="Komma" xfId="2" builtinId="3"/>
    <cellStyle name="Standaard" xfId="0" builtinId="0"/>
    <cellStyle name="Standaard_Kopie van Uitslagen" xfId="1"/>
  </cellStyles>
  <dxfs count="34"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797343"/>
        </patternFill>
      </fill>
    </dxf>
    <dxf>
      <fill>
        <patternFill>
          <bgColor theme="0" tint="-0.24994659260841701"/>
        </patternFill>
      </fill>
    </dxf>
    <dxf>
      <fill>
        <patternFill>
          <bgColor rgb="FFCEBD42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797343"/>
      <color rgb="FFCEBD42"/>
      <color rgb="FFCEBD45"/>
      <color rgb="FFA9A1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E196"/>
  <sheetViews>
    <sheetView view="pageBreakPreview" zoomScale="60" zoomScaleNormal="100" workbookViewId="0">
      <selection activeCell="X21" sqref="X21"/>
    </sheetView>
  </sheetViews>
  <sheetFormatPr defaultRowHeight="15" x14ac:dyDescent="0.25"/>
  <cols>
    <col min="1" max="2" width="3.42578125" customWidth="1"/>
    <col min="3" max="3" width="21.7109375" customWidth="1"/>
    <col min="8" max="21" width="3.7109375" customWidth="1"/>
    <col min="27" max="27" width="0" hidden="1" customWidth="1"/>
    <col min="28" max="28" width="23.5703125" customWidth="1"/>
    <col min="29" max="29" width="11.42578125" customWidth="1"/>
    <col min="30" max="30" width="0" hidden="1" customWidth="1"/>
    <col min="31" max="31" width="10.42578125" customWidth="1"/>
    <col min="32" max="81" width="9.140625" hidden="1" customWidth="1"/>
    <col min="82" max="84" width="0" hidden="1" customWidth="1"/>
  </cols>
  <sheetData>
    <row r="1" spans="1:83" ht="26.25" x14ac:dyDescent="0.4">
      <c r="C1" s="83" t="s">
        <v>31</v>
      </c>
      <c r="D1" s="83"/>
      <c r="E1" s="83"/>
      <c r="F1" s="83"/>
      <c r="G1" s="73" t="s">
        <v>32</v>
      </c>
      <c r="H1" s="73"/>
      <c r="I1" s="73"/>
      <c r="J1" s="73"/>
      <c r="K1" s="73"/>
      <c r="L1" s="73"/>
      <c r="M1" s="73"/>
      <c r="N1" s="73"/>
      <c r="O1" s="73"/>
      <c r="P1" s="73"/>
      <c r="Q1" s="73"/>
      <c r="R1" s="68"/>
      <c r="S1" s="68"/>
      <c r="T1" s="68"/>
      <c r="U1" s="82"/>
      <c r="V1" s="82"/>
      <c r="W1" s="82"/>
      <c r="X1" s="82"/>
      <c r="Y1" s="82"/>
      <c r="AB1" s="85" t="str">
        <f>"UITSLAG " &amp; G1</f>
        <v>UITSLAG GROEP A</v>
      </c>
      <c r="AC1" s="86"/>
      <c r="AD1" s="86"/>
      <c r="AE1" s="86"/>
      <c r="AF1" s="86"/>
      <c r="AG1" s="86"/>
    </row>
    <row r="2" spans="1:83" x14ac:dyDescent="0.25"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16" t="s">
        <v>27</v>
      </c>
      <c r="AZ2" s="16" t="s">
        <v>26</v>
      </c>
      <c r="BA2" s="16" t="s">
        <v>28</v>
      </c>
      <c r="BB2" s="6"/>
      <c r="BC2" s="6"/>
      <c r="BD2" s="86" t="s">
        <v>22</v>
      </c>
      <c r="BE2" s="86"/>
      <c r="BF2" s="86"/>
      <c r="BG2" s="86"/>
      <c r="BH2" s="86"/>
      <c r="BI2" s="86"/>
      <c r="BJ2" s="86"/>
      <c r="BK2" s="86"/>
      <c r="BL2" s="86"/>
      <c r="BM2" s="74"/>
      <c r="BN2" s="74"/>
      <c r="BO2" s="74"/>
      <c r="BP2" s="74"/>
      <c r="BQ2" s="74"/>
      <c r="BR2" s="69"/>
      <c r="BS2" s="18"/>
      <c r="BT2" s="86" t="s">
        <v>23</v>
      </c>
      <c r="BU2" s="86"/>
      <c r="BV2" s="86"/>
      <c r="BW2" s="86"/>
      <c r="BX2" s="86"/>
      <c r="BY2" s="86"/>
      <c r="BZ2" s="86"/>
      <c r="CA2" s="86"/>
      <c r="CB2" s="86"/>
    </row>
    <row r="3" spans="1:83" x14ac:dyDescent="0.25">
      <c r="B3" s="19" t="s">
        <v>4</v>
      </c>
      <c r="C3" s="19" t="s">
        <v>6</v>
      </c>
      <c r="D3" s="87" t="s">
        <v>7</v>
      </c>
      <c r="E3" s="87"/>
      <c r="F3" s="19" t="s">
        <v>8</v>
      </c>
      <c r="G3" s="6"/>
      <c r="H3" s="77">
        <v>1</v>
      </c>
      <c r="I3" s="77">
        <v>2</v>
      </c>
      <c r="J3" s="77">
        <v>3</v>
      </c>
      <c r="K3" s="77">
        <v>4</v>
      </c>
      <c r="L3" s="77">
        <v>5</v>
      </c>
      <c r="M3" s="77">
        <v>6</v>
      </c>
      <c r="N3" s="77">
        <v>7</v>
      </c>
      <c r="O3" s="77">
        <v>8</v>
      </c>
      <c r="P3" s="77">
        <v>9</v>
      </c>
      <c r="Q3" s="77">
        <v>10</v>
      </c>
      <c r="R3" s="77">
        <v>11</v>
      </c>
      <c r="S3" s="77">
        <v>12</v>
      </c>
      <c r="T3" s="77">
        <v>13</v>
      </c>
      <c r="U3" s="77">
        <v>14</v>
      </c>
      <c r="V3" s="7" t="s">
        <v>17</v>
      </c>
      <c r="W3" s="7" t="s">
        <v>26</v>
      </c>
      <c r="X3" s="7" t="s">
        <v>69</v>
      </c>
      <c r="Z3" s="7" t="s">
        <v>33</v>
      </c>
      <c r="AA3" s="22" t="s">
        <v>30</v>
      </c>
      <c r="AB3" s="7" t="s">
        <v>6</v>
      </c>
      <c r="AC3" s="7" t="s">
        <v>29</v>
      </c>
      <c r="AD3" s="7" t="s">
        <v>24</v>
      </c>
      <c r="AE3" s="7" t="s">
        <v>26</v>
      </c>
      <c r="AF3" s="7" t="s">
        <v>34</v>
      </c>
      <c r="AG3" s="7" t="s">
        <v>35</v>
      </c>
      <c r="AH3" s="13"/>
      <c r="AI3" s="7" t="s">
        <v>60</v>
      </c>
      <c r="AJ3" s="7" t="s">
        <v>61</v>
      </c>
      <c r="AK3" s="7" t="s">
        <v>62</v>
      </c>
      <c r="AL3" s="7" t="s">
        <v>63</v>
      </c>
      <c r="AM3" s="7" t="s">
        <v>64</v>
      </c>
      <c r="AN3" s="7" t="s">
        <v>65</v>
      </c>
      <c r="AO3" s="7"/>
      <c r="AP3" s="7" t="s">
        <v>66</v>
      </c>
      <c r="AQ3" s="7" t="s">
        <v>67</v>
      </c>
      <c r="AR3" s="7" t="s">
        <v>68</v>
      </c>
      <c r="AS3" s="7" t="s">
        <v>69</v>
      </c>
      <c r="AT3" s="13"/>
      <c r="AU3" s="13"/>
      <c r="AV3" s="13"/>
      <c r="AW3" s="21"/>
      <c r="AX3" s="7" t="s">
        <v>36</v>
      </c>
      <c r="AY3" s="23" t="s">
        <v>25</v>
      </c>
      <c r="AZ3" s="16" t="s">
        <v>25</v>
      </c>
      <c r="BA3" s="16" t="s">
        <v>25</v>
      </c>
      <c r="BB3" s="6"/>
      <c r="BC3" s="6" t="s">
        <v>30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>
        <v>10</v>
      </c>
      <c r="BN3" s="18">
        <v>11</v>
      </c>
      <c r="BO3" s="18">
        <v>12</v>
      </c>
      <c r="BP3" s="18">
        <v>13</v>
      </c>
      <c r="BQ3" s="18"/>
      <c r="BR3" s="6" t="s">
        <v>30</v>
      </c>
      <c r="BS3" s="18">
        <v>1</v>
      </c>
      <c r="BT3" s="18">
        <v>2</v>
      </c>
      <c r="BU3" s="18">
        <v>3</v>
      </c>
      <c r="BV3" s="18">
        <v>4</v>
      </c>
      <c r="BW3" s="18">
        <v>5</v>
      </c>
      <c r="BX3" s="18">
        <v>6</v>
      </c>
      <c r="BY3" s="18">
        <v>7</v>
      </c>
      <c r="BZ3" s="18">
        <v>8</v>
      </c>
      <c r="CA3" s="18">
        <v>9</v>
      </c>
      <c r="CB3" s="18">
        <v>10</v>
      </c>
      <c r="CC3" s="18">
        <v>11</v>
      </c>
      <c r="CD3" s="18">
        <v>12</v>
      </c>
      <c r="CE3" s="18">
        <v>13</v>
      </c>
    </row>
    <row r="4" spans="1:83" x14ac:dyDescent="0.25">
      <c r="A4" s="81">
        <f>X4</f>
        <v>1</v>
      </c>
      <c r="B4" s="25">
        <v>1</v>
      </c>
      <c r="C4" s="25" t="s">
        <v>40</v>
      </c>
      <c r="D4" s="88"/>
      <c r="E4" s="89"/>
      <c r="F4" s="25">
        <v>1000</v>
      </c>
      <c r="G4" s="6"/>
      <c r="H4" s="78" t="str">
        <f>IF((SUMIF($BC$21:$BC$102,$B4*100+H$3,$BA$22:$BA$103)+SUMIF($BC$21:$BC$102,$B4+H$3*100,$BA$22:$BA$103))=1,(SUMIF($BC$21:$BC$102,$B4*100+H$3,$J$19:$J$99)+SUMIF($BD$21:$BD$102,$B4*100+H$3,$M$19:$M$99)),"")</f>
        <v/>
      </c>
      <c r="I4" s="79" t="str">
        <f>IF((SUMIF($BC$18:$BC$135,$B4*100+I$3,$BA$18:$BA$135)+SUMIF($BC$18:$BC$135,$B4+I$3*100,$BA$18:$BA$135))=1,(SUMIF($BC$18:$BC$135,$B4*100+I$3,$J$18:$J$135)+SUMIF($BD$18:$BD$135,$B4*100+I$3,$M$18:$M$135)),"")</f>
        <v/>
      </c>
      <c r="J4" s="79" t="str">
        <f t="shared" ref="J4:U16" si="0">IF((SUMIF($BC$18:$BC$135,$B4*100+J$3,$BA$18:$BA$135)+SUMIF($BC$18:$BC$135,$B4+J$3*100,$BA$18:$BA$135))=1,(SUMIF($BC$18:$BC$135,$B4*100+J$3,$J$18:$J$135)+SUMIF($BD$18:$BD$135,$B4*100+J$3,$M$18:$M$135)),"")</f>
        <v/>
      </c>
      <c r="K4" s="79" t="str">
        <f t="shared" si="0"/>
        <v/>
      </c>
      <c r="L4" s="79" t="str">
        <f t="shared" si="0"/>
        <v/>
      </c>
      <c r="M4" s="79" t="str">
        <f t="shared" si="0"/>
        <v/>
      </c>
      <c r="N4" s="79" t="str">
        <f t="shared" si="0"/>
        <v/>
      </c>
      <c r="O4" s="79" t="str">
        <f t="shared" si="0"/>
        <v/>
      </c>
      <c r="P4" s="79" t="str">
        <f t="shared" si="0"/>
        <v/>
      </c>
      <c r="Q4" s="79" t="str">
        <f t="shared" si="0"/>
        <v/>
      </c>
      <c r="R4" s="79" t="str">
        <f t="shared" si="0"/>
        <v/>
      </c>
      <c r="S4" s="79" t="str">
        <f t="shared" si="0"/>
        <v/>
      </c>
      <c r="T4" s="79" t="str">
        <f t="shared" si="0"/>
        <v/>
      </c>
      <c r="U4" s="79" t="str">
        <f t="shared" si="0"/>
        <v/>
      </c>
      <c r="V4" s="8">
        <f>SUM(H4:U4)</f>
        <v>0</v>
      </c>
      <c r="W4" s="8">
        <f>IF(H4="",0,H4)*$V$4+IF(I4="",0,I4)*$V$5+IF(J4="",0,J4)*$V$6+IF(K4="",0,K4)*$V$7+IF(L4="",0,L4)*$V$8+IF(M4="",0,M4)*$V$9+IF(N4="",0,N4)*$V$10+IF(O4="",0,O4)*$V$11+IF(P4="",0,P4)*$V$12+IF(Q4="",0,Q4)*$V$13+IF(R4="",0,R4)*$V$14+IF(S4="",0,S4)*$V$15+IF(T4="",0,T4)*$V$16+IF(U4="",0,U4)*$V$17</f>
        <v>0</v>
      </c>
      <c r="X4" s="8">
        <f>AS4</f>
        <v>1</v>
      </c>
      <c r="Z4" s="31">
        <v>1</v>
      </c>
      <c r="AA4" s="32">
        <v>14</v>
      </c>
      <c r="AB4" s="33" t="str">
        <f>IF(ISNA(VLOOKUP(Z4,$A$4:$W$17,3,FALSE)),C4,VLOOKUP(Z4,$A$4:$W$17,3,FALSE))</f>
        <v>A</v>
      </c>
      <c r="AC4" s="34">
        <f>IF(ISNA(VLOOKUP(B4,$A$4:$W$17,22,FALSE)),0,VLOOKUP(B4,$A$4:$W$17,22,FALSE))</f>
        <v>0</v>
      </c>
      <c r="AD4" s="34" t="e">
        <f t="shared" ref="AD4:AD16" si="1">VLOOKUP($W4,$AT$4:$AW$13,2,FALSE)</f>
        <v>#N/A</v>
      </c>
      <c r="AE4" s="55">
        <f>IF(ISNA(VLOOKUP(B4,$A$4:$WS$17,23,FALSE)),0,VLOOKUP(B4,$A$4:$WS$17,23,FALSE))</f>
        <v>0</v>
      </c>
      <c r="AF4" s="34" t="e">
        <f t="shared" ref="AF4:AF16" si="2">VLOOKUP($W4,$AT$4:$AW$13,4,FALSE)</f>
        <v>#N/A</v>
      </c>
      <c r="AG4" s="35" t="e">
        <f t="shared" ref="AG4:AG16" si="3">VLOOKUP($W4,$B$4:$R$13,5,FALSE)</f>
        <v>#N/A</v>
      </c>
      <c r="AH4" s="56"/>
      <c r="AI4" s="12">
        <f>IF(V4=$V$4,IF(H4="",0,H4))+IF(V4=$V$5,IF(I4="",0,I4))+IF(V4=$V$6,IF(J4="",0,J4))+IF(V4=$V$7,IF(K4="",0,K4))+IF(V4=$V$8,IF(L4="",0,L4))+IF(V4=$V$9,IF(M4="",0,M4))+IF(V4=$V$10,IF(N4="",0,N4))+IF(V4=$V$11,IF(O4="",0,O4))+IF(V4=$V$12,IF(P4="",0,P4))+IF(V4=$V$13,IF(Q4="",0,Q4))+IF(V4=$V$14,IF(R4="",0,R4))+IF(V4=$V$15,IF(S4="",0,S4))+IF(V4=$V$16,IF(T4="",0,T4))+IF(V4=$V$17,IF(U4="",0,U4))</f>
        <v>0</v>
      </c>
      <c r="AJ4" s="12">
        <f>$AI$18*V4+AI4</f>
        <v>0</v>
      </c>
      <c r="AK4" s="12">
        <f>IF(AJ4=$AJ$4,IF(H4="",0,H4))+IF(AJ4=$AJ$5,IF(I4="",0,I4))+IF(AJ4=$AJ$6,IF(J4="",0,J4))+IF(AJ4=$AJ$7,IF(K4="",0,K4))+IF(AJ4=$AJ$8,IF(L4="",0,L4))+IF(AJ4=$AJ$9,IF(M4="",0,M4))+IF(AJ4=$AJ$10,IF(N4="",0,N4))+IF(AJ4=$AJ$11,IF(O4="",0,O4))+IF(AJ4=$AJ$12,IF(P4="",0,P4))+IF(AJ4=$AJ$13,IF(Q4="",0,Q4))+IF(AJ4=$AJ$14,IF(R4="",0,R4))+IF(AJ4=$AJ$15,IF(S4="",0,S4))+IF(AJ4=$AJ$16,IF(T4="",0,T4))+IF(AJ4=$AJ$17,IF(U4="",0,U4))</f>
        <v>0</v>
      </c>
      <c r="AL4" s="12">
        <f>$AK$18*AJ4+AK4</f>
        <v>0</v>
      </c>
      <c r="AM4" s="12">
        <f>IF(AL4=$AL$4,IF(H4="",0,H4))+IF(AL4=$AL$5,IF(I4="",0,I4))+IF(AL4=$AL$6,IF(J4="",0,J4))+IF(AL4=$AL$7,IF(K4="",0,K4))+IF(AL4=$AL$8,IF(L4="",0,L4))+IF(AL4=$AL$9,IF(M4="",0,M4))+IF(AL4=$AL$10,IF(N4="",0,N4))+IF(AL4=AL11,IF(O4="",0,O4))+IF(AL4=$AL$12,IF(P4="",0,P4))+IF(AL4=$AL$13,IF(Q4="",0,Q4))+IF(AL4=$AL$14,IF(R4="",0,R4))+IF(AL4=$AL$15,IF(S4="",0,S4))+IF(AL4=$AL$16,IF(T4="",0,T4))+IF(AL4=$AL$17,IF(U4="",0,U4))</f>
        <v>0</v>
      </c>
      <c r="AN4" s="12">
        <f>$AM$18*AL4+AM4</f>
        <v>0</v>
      </c>
      <c r="AO4" s="12"/>
      <c r="AP4" s="12">
        <f>RANK(AN4,$AN$4:$AN$17,1)-1</f>
        <v>0</v>
      </c>
      <c r="AQ4" s="12">
        <f>RANK(W4,$W$4:$W$17,1)-1</f>
        <v>0</v>
      </c>
      <c r="AR4" s="12">
        <f>14*AP4+AQ4</f>
        <v>0</v>
      </c>
      <c r="AS4" s="12">
        <f>RANK(AR4,$AR$4:$AR$17)</f>
        <v>1</v>
      </c>
      <c r="AT4" s="56"/>
      <c r="AU4" s="56"/>
      <c r="AV4" s="56"/>
      <c r="AW4" s="30"/>
      <c r="AX4" s="37">
        <v>1</v>
      </c>
      <c r="AY4" s="38">
        <f t="shared" ref="AY4:AY17" si="4">SUMIF($AU$15:$AU$77,F4,$BA$19:$BA$81)+SUMIF($AV$15:$AV$77,F4,$BB$15:$BB$77)</f>
        <v>0</v>
      </c>
      <c r="AZ4" s="39">
        <f t="shared" ref="AZ4:AZ17" ca="1" si="5">SUMIF($AU$15:$AU$77,F4,$BC$19:$BC$80)+SUMIF($AV$15:$AV$77,F4,$BD$19:$BD$80)</f>
        <v>0</v>
      </c>
      <c r="BA4" s="39">
        <f t="shared" ref="BA4:BA17" si="6">SUM(BS4:CA4)</f>
        <v>0</v>
      </c>
      <c r="BB4" s="6"/>
      <c r="BC4" s="6">
        <v>1</v>
      </c>
      <c r="BD4" s="6">
        <f t="shared" ref="BD4:BP17" si="7" xml:space="preserve"> SUMIFS( $J$18:$J$77, $AU$18:$AU$77,$AY4, $AT$18:$AT$77,BD$3) + SUMIFS( $M$18:$M$77, $AV$18:$AV$77,$AY4, $AT$18:$AT$77,BD$3)</f>
        <v>0</v>
      </c>
      <c r="BE4" s="6">
        <f t="shared" si="7"/>
        <v>0</v>
      </c>
      <c r="BF4" s="6">
        <f t="shared" si="7"/>
        <v>0</v>
      </c>
      <c r="BG4" s="6">
        <f t="shared" si="7"/>
        <v>0</v>
      </c>
      <c r="BH4" s="6">
        <f t="shared" si="7"/>
        <v>0</v>
      </c>
      <c r="BI4" s="6">
        <f t="shared" si="7"/>
        <v>0</v>
      </c>
      <c r="BJ4" s="6">
        <f t="shared" si="7"/>
        <v>0</v>
      </c>
      <c r="BK4" s="6">
        <f t="shared" si="7"/>
        <v>0</v>
      </c>
      <c r="BL4" s="6">
        <f t="shared" si="7"/>
        <v>0</v>
      </c>
      <c r="BM4" s="6">
        <f t="shared" si="7"/>
        <v>0</v>
      </c>
      <c r="BN4" s="6">
        <f t="shared" si="7"/>
        <v>0</v>
      </c>
      <c r="BO4" s="6">
        <f t="shared" si="7"/>
        <v>0</v>
      </c>
      <c r="BP4" s="6">
        <f t="shared" si="7"/>
        <v>0</v>
      </c>
      <c r="BQ4" s="6"/>
      <c r="BR4" s="6">
        <v>1</v>
      </c>
      <c r="BS4" s="6">
        <f t="shared" ref="BS4:BS17" si="8">BD4</f>
        <v>0</v>
      </c>
      <c r="BT4" s="6">
        <f t="shared" ref="BT4:BT17" si="9">BS4+BE4</f>
        <v>0</v>
      </c>
      <c r="BU4" s="6">
        <f t="shared" ref="BU4:BU17" si="10">BT4+BF4</f>
        <v>0</v>
      </c>
      <c r="BV4" s="6">
        <f t="shared" ref="BV4:BV17" si="11">BU4+BG4</f>
        <v>0</v>
      </c>
      <c r="BW4" s="6">
        <f t="shared" ref="BW4:BW17" si="12">BV4+BH4</f>
        <v>0</v>
      </c>
      <c r="BX4" s="6">
        <f t="shared" ref="BX4:BX17" si="13">BW4+BI4</f>
        <v>0</v>
      </c>
      <c r="BY4" s="6">
        <f t="shared" ref="BY4:BY17" si="14">BX4+BJ4</f>
        <v>0</v>
      </c>
      <c r="BZ4" s="6">
        <f t="shared" ref="BZ4:BZ17" si="15">BY4+BK4</f>
        <v>0</v>
      </c>
      <c r="CA4" s="6">
        <f t="shared" ref="CA4:CA17" si="16">BZ4+BL4</f>
        <v>0</v>
      </c>
      <c r="CB4" s="6">
        <f t="shared" ref="CB4:CB17" si="17">CA4+BM4</f>
        <v>0</v>
      </c>
      <c r="CC4" s="6">
        <f t="shared" ref="CC4:CC17" si="18">CB4+BN4</f>
        <v>0</v>
      </c>
      <c r="CD4" s="6">
        <f t="shared" ref="CD4:CD17" si="19">CC4+BO4</f>
        <v>0</v>
      </c>
      <c r="CE4" s="6">
        <f t="shared" ref="CE4:CE17" si="20">CD4+BP4</f>
        <v>0</v>
      </c>
    </row>
    <row r="5" spans="1:83" x14ac:dyDescent="0.25">
      <c r="A5" s="81">
        <f t="shared" ref="A5:A17" si="21">X5</f>
        <v>1</v>
      </c>
      <c r="B5" s="25">
        <v>2</v>
      </c>
      <c r="C5" s="25" t="s">
        <v>41</v>
      </c>
      <c r="D5" s="88"/>
      <c r="E5" s="89"/>
      <c r="F5" s="25">
        <v>1000</v>
      </c>
      <c r="G5" s="6"/>
      <c r="H5" s="79" t="str">
        <f>IF((SUMIF($BC$18:$BC$135,$B5*100+H$3,$BA$18:$BA$135)+SUMIF($BC$18:$BC$135,$B5+H$3*100,$BA$18:$BA$135))=1,(SUMIF($BC$18:$BC$135,$B5*100+H$3,$J$18:$J$135)+SUMIF($BD$18:$BD$135,$B5*100+H$3,$M$18:$M$135)),"")</f>
        <v/>
      </c>
      <c r="I5" s="78" t="str">
        <f>IF((SUMIF($BC$21:$BC$102,$B5*100+I$3,$BA$22:$BA$103)+SUMIF($BC$21:$BC$102,$B5+I$3*100,$BA$22:$BA$103))=1,(SUMIF($BC$21:$BC$102,$B5*100+I$3,$J$19:$J$99)+SUMIF($BD$21:$BD$102,$B5*100+I$3,$M$19:$M$99)),"")</f>
        <v/>
      </c>
      <c r="J5" s="76" t="str">
        <f t="shared" si="0"/>
        <v/>
      </c>
      <c r="K5" s="76" t="str">
        <f t="shared" si="0"/>
        <v/>
      </c>
      <c r="L5" s="76" t="str">
        <f t="shared" si="0"/>
        <v/>
      </c>
      <c r="M5" s="76" t="str">
        <f t="shared" si="0"/>
        <v/>
      </c>
      <c r="N5" s="76" t="str">
        <f t="shared" si="0"/>
        <v/>
      </c>
      <c r="O5" s="76" t="str">
        <f t="shared" si="0"/>
        <v/>
      </c>
      <c r="P5" s="76" t="str">
        <f t="shared" si="0"/>
        <v/>
      </c>
      <c r="Q5" s="76" t="str">
        <f t="shared" si="0"/>
        <v/>
      </c>
      <c r="R5" s="76" t="str">
        <f t="shared" si="0"/>
        <v/>
      </c>
      <c r="S5" s="76" t="str">
        <f t="shared" si="0"/>
        <v/>
      </c>
      <c r="T5" s="76" t="str">
        <f t="shared" si="0"/>
        <v/>
      </c>
      <c r="U5" s="76" t="str">
        <f t="shared" si="0"/>
        <v/>
      </c>
      <c r="V5" s="8">
        <f t="shared" ref="V5:V17" si="22">SUM(H5:U5)</f>
        <v>0</v>
      </c>
      <c r="W5" s="8">
        <f t="shared" ref="W5:W17" si="23">IF(H5="",0,H5)*$V$4+IF(I5="",0,I5)*$V$5+IF(J5="",0,J5)*$V$6+IF(K5="",0,K5)*$V$7+IF(L5="",0,L5)*$V$8+IF(M5="",0,M5)*$V$9+IF(N5="",0,N5)*$V$10+IF(O5="",0,O5)*$V$11+IF(P5="",0,P5)*$V$12+IF(Q5="",0,Q5)*$V$13+IF(R5="",0,R5)*$V$14+IF(S5="",0,S5)*$V$15+IF(T5="",0,T5)*$V$16+IF(U5="",0,U5)*$V$17</f>
        <v>0</v>
      </c>
      <c r="X5" s="8">
        <f t="shared" ref="X5:X17" si="24">AS5</f>
        <v>1</v>
      </c>
      <c r="Z5" s="31">
        <v>2</v>
      </c>
      <c r="AA5" s="32">
        <v>13</v>
      </c>
      <c r="AB5" s="33" t="str">
        <f t="shared" ref="AB5:AB17" si="25">IF(ISNA(VLOOKUP(Z5,$A$4:$W$17,3,FALSE)),C5,VLOOKUP(Z5,$A$4:$W$17,3,FALSE))</f>
        <v>B</v>
      </c>
      <c r="AC5" s="34">
        <f t="shared" ref="AC5:AC17" si="26">IF(ISNA(VLOOKUP(B5,$A$4:$W$17,22,FALSE)),0,VLOOKUP(B5,$A$4:$W$17,22,FALSE))</f>
        <v>0</v>
      </c>
      <c r="AD5" s="34" t="e">
        <f t="shared" si="1"/>
        <v>#N/A</v>
      </c>
      <c r="AE5" s="55">
        <f t="shared" ref="AE5:AE17" si="27">IF(ISNA(VLOOKUP(B5,$A$4:$WS$17,23,FALSE)),0,VLOOKUP(B5,$A$4:$WS$17,23,FALSE))</f>
        <v>0</v>
      </c>
      <c r="AF5" s="34" t="e">
        <f t="shared" si="2"/>
        <v>#N/A</v>
      </c>
      <c r="AG5" s="35" t="e">
        <f t="shared" si="3"/>
        <v>#N/A</v>
      </c>
      <c r="AH5" s="56"/>
      <c r="AI5" s="12">
        <f t="shared" ref="AI5:AI17" si="28">IF(V5=$V$4,IF(H5="",0,H5))+IF(V5=$V$5,IF(I5="",0,I5))+IF(V5=$V$6,IF(J5="",0,J5))+IF(V5=$V$7,IF(K5="",0,K5))+IF(V5=$V$8,IF(L5="",0,L5))+IF(V5=$V$9,IF(M5="",0,M5))+IF(V5=$V$10,IF(N5="",0,N5))+IF(V5=$V$11,IF(O5="",0,O5))+IF(V5=$V$12,IF(P5="",0,P5))+IF(V5=$V$13,IF(Q5="",0,Q5))+IF(V5=$V$14,IF(R5="",0,R5))+IF(V5=$V$15,IF(S5="",0,S5))+IF(V5=$V$16,IF(T5="",0,T5))+IF(V5=$V$17,IF(U5="",0,U5))</f>
        <v>0</v>
      </c>
      <c r="AJ5" s="12">
        <f t="shared" ref="AJ5:AJ17" si="29">$AI$18*V5+AI5</f>
        <v>0</v>
      </c>
      <c r="AK5" s="12">
        <f t="shared" ref="AK5:AK17" si="30">IF(AJ5=$AJ$4,IF(H5="",0,H5))+IF(AJ5=$AJ$5,IF(I5="",0,I5))+IF(AJ5=$AJ$6,IF(J5="",0,J5))+IF(AJ5=$AJ$7,IF(K5="",0,K5))+IF(AJ5=$AJ$8,IF(L5="",0,L5))+IF(AJ5=$AJ$9,IF(M5="",0,M5))+IF(AJ5=$AJ$10,IF(N5="",0,N5))+IF(AJ5=$AJ$11,IF(O5="",0,O5))+IF(AJ5=$AJ$12,IF(P5="",0,P5))+IF(AJ5=$AJ$13,IF(Q5="",0,Q5))+IF(AJ5=$AJ$14,IF(R5="",0,R5))+IF(AJ5=$AJ$15,IF(S5="",0,S5))+IF(AJ5=$AJ$16,IF(T5="",0,T5))+IF(AJ5=$AJ$17,IF(U5="",0,U5))</f>
        <v>0</v>
      </c>
      <c r="AL5" s="12">
        <f t="shared" ref="AL5:AL17" si="31">$AK$18*AJ5+AK5</f>
        <v>0</v>
      </c>
      <c r="AM5" s="12">
        <f t="shared" ref="AM5:AM17" si="32">IF(AL5=$AL$4,IF(H5="",0,H5))+IF(AL5=$AL$5,IF(I5="",0,I5))+IF(AL5=$AL$6,IF(J5="",0,J5))+IF(AL5=$AL$7,IF(K5="",0,K5))+IF(AL5=$AL$8,IF(L5="",0,L5))+IF(AL5=$AL$9,IF(M5="",0,M5))+IF(AL5=$AL$10,IF(N5="",0,N5))+IF(AL5=AL12,IF(O5="",0,O5))+IF(AL5=$AL$12,IF(P5="",0,P5))+IF(AL5=$AL$13,IF(Q5="",0,Q5))+IF(AL5=$AL$14,IF(R5="",0,R5))+IF(AL5=$AL$15,IF(S5="",0,S5))+IF(AL5=$AL$16,IF(T5="",0,T5))+IF(AL5=$AL$17,IF(U5="",0,U5))</f>
        <v>0</v>
      </c>
      <c r="AN5" s="12">
        <f t="shared" ref="AN5:AN17" si="33">$AM$18*AL5+AM5</f>
        <v>0</v>
      </c>
      <c r="AO5" s="12"/>
      <c r="AP5" s="12">
        <f t="shared" ref="AP5:AP17" si="34">RANK(AN5,$AN$4:$AN$17,1)-1</f>
        <v>0</v>
      </c>
      <c r="AQ5" s="12">
        <f t="shared" ref="AQ5:AQ17" si="35">RANK(W5,$W$4:$W$17,1)-1</f>
        <v>0</v>
      </c>
      <c r="AR5" s="12">
        <f t="shared" ref="AR5:AR17" si="36">14*AP5+AQ5</f>
        <v>0</v>
      </c>
      <c r="AS5" s="12">
        <f t="shared" ref="AS5:AS17" si="37">RANK(AR5,$AR$4:$AR$17)</f>
        <v>1</v>
      </c>
      <c r="AT5" s="56"/>
      <c r="AU5" s="56"/>
      <c r="AV5" s="56"/>
      <c r="AW5" s="30"/>
      <c r="AX5" s="37">
        <v>2</v>
      </c>
      <c r="AY5" s="38">
        <f t="shared" si="4"/>
        <v>0</v>
      </c>
      <c r="AZ5" s="39">
        <f t="shared" ca="1" si="5"/>
        <v>0</v>
      </c>
      <c r="BA5" s="39">
        <f t="shared" si="6"/>
        <v>0</v>
      </c>
      <c r="BB5" s="6"/>
      <c r="BC5" s="6">
        <v>2</v>
      </c>
      <c r="BD5" s="6">
        <f t="shared" si="7"/>
        <v>0</v>
      </c>
      <c r="BE5" s="6">
        <f t="shared" si="7"/>
        <v>0</v>
      </c>
      <c r="BF5" s="6">
        <f t="shared" si="7"/>
        <v>0</v>
      </c>
      <c r="BG5" s="6">
        <f t="shared" si="7"/>
        <v>0</v>
      </c>
      <c r="BH5" s="6">
        <f t="shared" si="7"/>
        <v>0</v>
      </c>
      <c r="BI5" s="6">
        <f t="shared" si="7"/>
        <v>0</v>
      </c>
      <c r="BJ5" s="6">
        <f t="shared" si="7"/>
        <v>0</v>
      </c>
      <c r="BK5" s="6">
        <f t="shared" si="7"/>
        <v>0</v>
      </c>
      <c r="BL5" s="6">
        <f t="shared" si="7"/>
        <v>0</v>
      </c>
      <c r="BM5" s="6">
        <f t="shared" si="7"/>
        <v>0</v>
      </c>
      <c r="BN5" s="6">
        <f t="shared" si="7"/>
        <v>0</v>
      </c>
      <c r="BO5" s="6">
        <f t="shared" si="7"/>
        <v>0</v>
      </c>
      <c r="BP5" s="6">
        <f t="shared" si="7"/>
        <v>0</v>
      </c>
      <c r="BQ5" s="6"/>
      <c r="BR5" s="6">
        <v>2</v>
      </c>
      <c r="BS5" s="6">
        <f t="shared" si="8"/>
        <v>0</v>
      </c>
      <c r="BT5" s="6">
        <f t="shared" si="9"/>
        <v>0</v>
      </c>
      <c r="BU5" s="6">
        <f t="shared" si="10"/>
        <v>0</v>
      </c>
      <c r="BV5" s="6">
        <f t="shared" si="11"/>
        <v>0</v>
      </c>
      <c r="BW5" s="6">
        <f t="shared" si="12"/>
        <v>0</v>
      </c>
      <c r="BX5" s="6">
        <f t="shared" si="13"/>
        <v>0</v>
      </c>
      <c r="BY5" s="6">
        <f t="shared" si="14"/>
        <v>0</v>
      </c>
      <c r="BZ5" s="6">
        <f t="shared" si="15"/>
        <v>0</v>
      </c>
      <c r="CA5" s="6">
        <f t="shared" si="16"/>
        <v>0</v>
      </c>
      <c r="CB5" s="6">
        <f t="shared" si="17"/>
        <v>0</v>
      </c>
      <c r="CC5" s="6">
        <f t="shared" si="18"/>
        <v>0</v>
      </c>
      <c r="CD5" s="6">
        <f t="shared" si="19"/>
        <v>0</v>
      </c>
      <c r="CE5" s="6">
        <f t="shared" si="20"/>
        <v>0</v>
      </c>
    </row>
    <row r="6" spans="1:83" x14ac:dyDescent="0.25">
      <c r="A6" s="81">
        <f t="shared" si="21"/>
        <v>1</v>
      </c>
      <c r="B6" s="25">
        <v>3</v>
      </c>
      <c r="C6" s="25" t="s">
        <v>42</v>
      </c>
      <c r="D6" s="88"/>
      <c r="E6" s="89"/>
      <c r="F6" s="25">
        <v>1000</v>
      </c>
      <c r="G6" s="6"/>
      <c r="H6" s="79" t="str">
        <f t="shared" ref="H6:T17" si="38">IF((SUMIF($BC$18:$BC$135,$B6*100+H$3,$BA$18:$BA$135)+SUMIF($BC$18:$BC$135,$B6+H$3*100,$BA$18:$BA$135))=1,(SUMIF($BC$18:$BC$135,$B6*100+H$3,$J$18:$J$135)+SUMIF($BD$18:$BD$135,$B6*100+H$3,$M$18:$M$135)),"")</f>
        <v/>
      </c>
      <c r="I6" s="79" t="str">
        <f>IF((SUMIF($BC$18:$BC$135,$B6*100+I$3,$BA$18:$BA$135)+SUMIF($BC$18:$BC$135,$B6+I$3*100,$BA$18:$BA$135))=1,(SUMIF($BC$18:$BC$135,$B6*100+I$3,$J$18:$J$135)+SUMIF($BD$18:$BD$135,$B6*100+I$3,$M$18:$M$135)),"")</f>
        <v/>
      </c>
      <c r="J6" s="78" t="str">
        <f>IF((SUMIF($BC$21:$BC$102,$B6*100+J$3,$BA$22:$BA$103)+SUMIF($BC$21:$BC$102,$B6+J$3*100,$BA$22:$BA$103))=1,(SUMIF($BC$21:$BC$102,$B6*100+J$3,$J$19:$J$99)+SUMIF($BD$21:$BD$102,$B6*100+J$3,$M$19:$M$99)),"")</f>
        <v/>
      </c>
      <c r="K6" s="76" t="str">
        <f t="shared" si="0"/>
        <v/>
      </c>
      <c r="L6" s="76" t="str">
        <f t="shared" si="0"/>
        <v/>
      </c>
      <c r="M6" s="76" t="str">
        <f t="shared" si="0"/>
        <v/>
      </c>
      <c r="N6" s="76" t="str">
        <f t="shared" si="0"/>
        <v/>
      </c>
      <c r="O6" s="76" t="str">
        <f t="shared" si="0"/>
        <v/>
      </c>
      <c r="P6" s="76" t="str">
        <f t="shared" si="0"/>
        <v/>
      </c>
      <c r="Q6" s="76" t="str">
        <f t="shared" si="0"/>
        <v/>
      </c>
      <c r="R6" s="76" t="str">
        <f t="shared" si="0"/>
        <v/>
      </c>
      <c r="S6" s="76" t="str">
        <f t="shared" si="0"/>
        <v/>
      </c>
      <c r="T6" s="76" t="str">
        <f t="shared" si="0"/>
        <v/>
      </c>
      <c r="U6" s="76" t="str">
        <f t="shared" si="0"/>
        <v/>
      </c>
      <c r="V6" s="8">
        <f t="shared" si="22"/>
        <v>0</v>
      </c>
      <c r="W6" s="8">
        <f t="shared" si="23"/>
        <v>0</v>
      </c>
      <c r="X6" s="8">
        <f t="shared" si="24"/>
        <v>1</v>
      </c>
      <c r="Z6" s="31">
        <v>3</v>
      </c>
      <c r="AA6" s="32">
        <v>12</v>
      </c>
      <c r="AB6" s="33" t="str">
        <f t="shared" si="25"/>
        <v>C</v>
      </c>
      <c r="AC6" s="34">
        <f t="shared" si="26"/>
        <v>0</v>
      </c>
      <c r="AD6" s="34" t="e">
        <f t="shared" si="1"/>
        <v>#N/A</v>
      </c>
      <c r="AE6" s="55">
        <f t="shared" si="27"/>
        <v>0</v>
      </c>
      <c r="AF6" s="34" t="e">
        <f t="shared" si="2"/>
        <v>#N/A</v>
      </c>
      <c r="AG6" s="35" t="e">
        <f t="shared" si="3"/>
        <v>#N/A</v>
      </c>
      <c r="AH6" s="56"/>
      <c r="AI6" s="12">
        <f t="shared" si="28"/>
        <v>0</v>
      </c>
      <c r="AJ6" s="12">
        <f t="shared" si="29"/>
        <v>0</v>
      </c>
      <c r="AK6" s="12">
        <f t="shared" si="30"/>
        <v>0</v>
      </c>
      <c r="AL6" s="12">
        <f t="shared" si="31"/>
        <v>0</v>
      </c>
      <c r="AM6" s="12">
        <f t="shared" si="32"/>
        <v>0</v>
      </c>
      <c r="AN6" s="12">
        <f t="shared" si="33"/>
        <v>0</v>
      </c>
      <c r="AO6" s="12"/>
      <c r="AP6" s="12">
        <f t="shared" si="34"/>
        <v>0</v>
      </c>
      <c r="AQ6" s="12">
        <f t="shared" si="35"/>
        <v>0</v>
      </c>
      <c r="AR6" s="12">
        <f t="shared" si="36"/>
        <v>0</v>
      </c>
      <c r="AS6" s="12">
        <f t="shared" si="37"/>
        <v>1</v>
      </c>
      <c r="AT6" s="56"/>
      <c r="AU6" s="56"/>
      <c r="AV6" s="56"/>
      <c r="AW6" s="30"/>
      <c r="AX6" s="37">
        <v>3</v>
      </c>
      <c r="AY6" s="38">
        <f t="shared" si="4"/>
        <v>0</v>
      </c>
      <c r="AZ6" s="39">
        <f t="shared" ca="1" si="5"/>
        <v>0</v>
      </c>
      <c r="BA6" s="39">
        <f t="shared" si="6"/>
        <v>0</v>
      </c>
      <c r="BB6" s="6"/>
      <c r="BC6" s="6">
        <v>3</v>
      </c>
      <c r="BD6" s="6">
        <f t="shared" si="7"/>
        <v>0</v>
      </c>
      <c r="BE6" s="6">
        <f t="shared" si="7"/>
        <v>0</v>
      </c>
      <c r="BF6" s="6">
        <f t="shared" si="7"/>
        <v>0</v>
      </c>
      <c r="BG6" s="6">
        <f t="shared" si="7"/>
        <v>0</v>
      </c>
      <c r="BH6" s="6">
        <f t="shared" si="7"/>
        <v>0</v>
      </c>
      <c r="BI6" s="6">
        <f t="shared" si="7"/>
        <v>0</v>
      </c>
      <c r="BJ6" s="6">
        <f t="shared" si="7"/>
        <v>0</v>
      </c>
      <c r="BK6" s="6">
        <f t="shared" si="7"/>
        <v>0</v>
      </c>
      <c r="BL6" s="6">
        <f t="shared" si="7"/>
        <v>0</v>
      </c>
      <c r="BM6" s="6">
        <f t="shared" si="7"/>
        <v>0</v>
      </c>
      <c r="BN6" s="6">
        <f t="shared" si="7"/>
        <v>0</v>
      </c>
      <c r="BO6" s="6">
        <f t="shared" si="7"/>
        <v>0</v>
      </c>
      <c r="BP6" s="6">
        <f t="shared" si="7"/>
        <v>0</v>
      </c>
      <c r="BQ6" s="6"/>
      <c r="BR6" s="6">
        <v>3</v>
      </c>
      <c r="BS6" s="6">
        <f t="shared" si="8"/>
        <v>0</v>
      </c>
      <c r="BT6" s="6">
        <f t="shared" si="9"/>
        <v>0</v>
      </c>
      <c r="BU6" s="6">
        <f t="shared" si="10"/>
        <v>0</v>
      </c>
      <c r="BV6" s="6">
        <f t="shared" si="11"/>
        <v>0</v>
      </c>
      <c r="BW6" s="6">
        <f t="shared" si="12"/>
        <v>0</v>
      </c>
      <c r="BX6" s="6">
        <f t="shared" si="13"/>
        <v>0</v>
      </c>
      <c r="BY6" s="6">
        <f t="shared" si="14"/>
        <v>0</v>
      </c>
      <c r="BZ6" s="6">
        <f t="shared" si="15"/>
        <v>0</v>
      </c>
      <c r="CA6" s="6">
        <f t="shared" si="16"/>
        <v>0</v>
      </c>
      <c r="CB6" s="6">
        <f t="shared" si="17"/>
        <v>0</v>
      </c>
      <c r="CC6" s="6">
        <f t="shared" si="18"/>
        <v>0</v>
      </c>
      <c r="CD6" s="6">
        <f t="shared" si="19"/>
        <v>0</v>
      </c>
      <c r="CE6" s="6">
        <f t="shared" si="20"/>
        <v>0</v>
      </c>
    </row>
    <row r="7" spans="1:83" x14ac:dyDescent="0.25">
      <c r="A7" s="81">
        <f t="shared" si="21"/>
        <v>1</v>
      </c>
      <c r="B7" s="25">
        <v>4</v>
      </c>
      <c r="C7" s="25" t="s">
        <v>43</v>
      </c>
      <c r="D7" s="88"/>
      <c r="E7" s="89"/>
      <c r="F7" s="25">
        <v>1000</v>
      </c>
      <c r="G7" s="6"/>
      <c r="H7" s="79" t="str">
        <f t="shared" si="38"/>
        <v/>
      </c>
      <c r="I7" s="79" t="str">
        <f t="shared" si="38"/>
        <v/>
      </c>
      <c r="J7" s="79" t="str">
        <f t="shared" si="38"/>
        <v/>
      </c>
      <c r="K7" s="78" t="str">
        <f>IF((SUMIF($BC$21:$BC$102,$B7*100+K$3,$BA$22:$BA$103)+SUMIF($BC$21:$BC$102,$B7+K$3*100,$BA$22:$BA$103))=1,(SUMIF($BC$21:$BC$102,$B7*100+K$3,$J$19:$J$99)+SUMIF($BD$21:$BD$102,$B7*100+K$3,$M$19:$M$99)),"")</f>
        <v/>
      </c>
      <c r="L7" s="76" t="str">
        <f t="shared" si="0"/>
        <v/>
      </c>
      <c r="M7" s="76" t="str">
        <f t="shared" si="0"/>
        <v/>
      </c>
      <c r="N7" s="76" t="str">
        <f t="shared" si="0"/>
        <v/>
      </c>
      <c r="O7" s="76" t="str">
        <f t="shared" si="0"/>
        <v/>
      </c>
      <c r="P7" s="76" t="str">
        <f t="shared" si="0"/>
        <v/>
      </c>
      <c r="Q7" s="76" t="str">
        <f>IF((SUMIF($BC$18:$BC$135,$B7*100+Q$3,$BA$18:$BA$135)+SUMIF($BC$18:$BC$135,$B7+Q$3*100,$BA$18:$BA$135))=1,(SUMIF($BC$18:$BC$135,$B7*100+Q$3,$J$18:$J$135)+SUMIF($BD$18:$BD$135,$B7*100+Q$3,$M$18:$M$135)),"")</f>
        <v/>
      </c>
      <c r="R7" s="76" t="str">
        <f t="shared" si="0"/>
        <v/>
      </c>
      <c r="S7" s="76" t="str">
        <f t="shared" si="0"/>
        <v/>
      </c>
      <c r="T7" s="76" t="str">
        <f t="shared" si="0"/>
        <v/>
      </c>
      <c r="U7" s="76" t="str">
        <f t="shared" si="0"/>
        <v/>
      </c>
      <c r="V7" s="8">
        <f t="shared" si="22"/>
        <v>0</v>
      </c>
      <c r="W7" s="8">
        <f t="shared" si="23"/>
        <v>0</v>
      </c>
      <c r="X7" s="8">
        <f t="shared" si="24"/>
        <v>1</v>
      </c>
      <c r="Z7" s="31">
        <v>4</v>
      </c>
      <c r="AA7" s="32">
        <v>11</v>
      </c>
      <c r="AB7" s="33" t="str">
        <f t="shared" si="25"/>
        <v>D</v>
      </c>
      <c r="AC7" s="34">
        <f t="shared" si="26"/>
        <v>0</v>
      </c>
      <c r="AD7" s="34" t="e">
        <f t="shared" si="1"/>
        <v>#N/A</v>
      </c>
      <c r="AE7" s="55">
        <f t="shared" si="27"/>
        <v>0</v>
      </c>
      <c r="AF7" s="34" t="e">
        <f t="shared" si="2"/>
        <v>#N/A</v>
      </c>
      <c r="AG7" s="35" t="e">
        <f t="shared" si="3"/>
        <v>#N/A</v>
      </c>
      <c r="AH7" s="56"/>
      <c r="AI7" s="12">
        <f t="shared" si="28"/>
        <v>0</v>
      </c>
      <c r="AJ7" s="12">
        <f t="shared" si="29"/>
        <v>0</v>
      </c>
      <c r="AK7" s="12">
        <f t="shared" si="30"/>
        <v>0</v>
      </c>
      <c r="AL7" s="12">
        <f t="shared" si="31"/>
        <v>0</v>
      </c>
      <c r="AM7" s="12">
        <f t="shared" si="32"/>
        <v>0</v>
      </c>
      <c r="AN7" s="12">
        <f t="shared" si="33"/>
        <v>0</v>
      </c>
      <c r="AO7" s="12"/>
      <c r="AP7" s="12">
        <f t="shared" si="34"/>
        <v>0</v>
      </c>
      <c r="AQ7" s="12">
        <f t="shared" si="35"/>
        <v>0</v>
      </c>
      <c r="AR7" s="12">
        <f t="shared" si="36"/>
        <v>0</v>
      </c>
      <c r="AS7" s="12">
        <f t="shared" si="37"/>
        <v>1</v>
      </c>
      <c r="AT7" s="56"/>
      <c r="AU7" s="56"/>
      <c r="AV7" s="56"/>
      <c r="AW7" s="30"/>
      <c r="AX7" s="37">
        <v>4</v>
      </c>
      <c r="AY7" s="38">
        <f t="shared" si="4"/>
        <v>0</v>
      </c>
      <c r="AZ7" s="39">
        <f t="shared" ca="1" si="5"/>
        <v>0</v>
      </c>
      <c r="BA7" s="39">
        <f t="shared" si="6"/>
        <v>0</v>
      </c>
      <c r="BB7" s="6"/>
      <c r="BC7" s="6">
        <v>4</v>
      </c>
      <c r="BD7" s="6">
        <f t="shared" si="7"/>
        <v>0</v>
      </c>
      <c r="BE7" s="6">
        <f t="shared" si="7"/>
        <v>0</v>
      </c>
      <c r="BF7" s="6">
        <f t="shared" si="7"/>
        <v>0</v>
      </c>
      <c r="BG7" s="6">
        <f t="shared" si="7"/>
        <v>0</v>
      </c>
      <c r="BH7" s="6">
        <f t="shared" si="7"/>
        <v>0</v>
      </c>
      <c r="BI7" s="6">
        <f t="shared" si="7"/>
        <v>0</v>
      </c>
      <c r="BJ7" s="6">
        <f t="shared" si="7"/>
        <v>0</v>
      </c>
      <c r="BK7" s="6">
        <f t="shared" si="7"/>
        <v>0</v>
      </c>
      <c r="BL7" s="6">
        <f t="shared" si="7"/>
        <v>0</v>
      </c>
      <c r="BM7" s="6">
        <f t="shared" si="7"/>
        <v>0</v>
      </c>
      <c r="BN7" s="6">
        <f t="shared" si="7"/>
        <v>0</v>
      </c>
      <c r="BO7" s="6">
        <f t="shared" si="7"/>
        <v>0</v>
      </c>
      <c r="BP7" s="6">
        <f t="shared" si="7"/>
        <v>0</v>
      </c>
      <c r="BQ7" s="6"/>
      <c r="BR7" s="6">
        <v>4</v>
      </c>
      <c r="BS7" s="6">
        <f t="shared" si="8"/>
        <v>0</v>
      </c>
      <c r="BT7" s="6">
        <f t="shared" si="9"/>
        <v>0</v>
      </c>
      <c r="BU7" s="6">
        <f t="shared" si="10"/>
        <v>0</v>
      </c>
      <c r="BV7" s="6">
        <f t="shared" si="11"/>
        <v>0</v>
      </c>
      <c r="BW7" s="6">
        <f t="shared" si="12"/>
        <v>0</v>
      </c>
      <c r="BX7" s="6">
        <f t="shared" si="13"/>
        <v>0</v>
      </c>
      <c r="BY7" s="6">
        <f t="shared" si="14"/>
        <v>0</v>
      </c>
      <c r="BZ7" s="6">
        <f t="shared" si="15"/>
        <v>0</v>
      </c>
      <c r="CA7" s="6">
        <f t="shared" si="16"/>
        <v>0</v>
      </c>
      <c r="CB7" s="6">
        <f t="shared" si="17"/>
        <v>0</v>
      </c>
      <c r="CC7" s="6">
        <f t="shared" si="18"/>
        <v>0</v>
      </c>
      <c r="CD7" s="6">
        <f t="shared" si="19"/>
        <v>0</v>
      </c>
      <c r="CE7" s="6">
        <f t="shared" si="20"/>
        <v>0</v>
      </c>
    </row>
    <row r="8" spans="1:83" x14ac:dyDescent="0.25">
      <c r="A8" s="81">
        <f t="shared" si="21"/>
        <v>1</v>
      </c>
      <c r="B8" s="25">
        <v>5</v>
      </c>
      <c r="C8" s="25" t="s">
        <v>47</v>
      </c>
      <c r="D8" s="88"/>
      <c r="E8" s="89"/>
      <c r="F8" s="25">
        <v>1000</v>
      </c>
      <c r="G8" s="6"/>
      <c r="H8" s="79" t="str">
        <f t="shared" si="38"/>
        <v/>
      </c>
      <c r="I8" s="79" t="str">
        <f t="shared" si="38"/>
        <v/>
      </c>
      <c r="J8" s="79" t="str">
        <f t="shared" si="38"/>
        <v/>
      </c>
      <c r="K8" s="79" t="str">
        <f t="shared" si="38"/>
        <v/>
      </c>
      <c r="L8" s="78" t="str">
        <f>IF((SUMIF($BC$21:$BC$102,$B8*100+L$3,$BA$22:$BA$103)+SUMIF($BC$21:$BC$102,$B8+L$3*100,$BA$22:$BA$103))=1,(SUMIF($BC$21:$BC$102,$B8*100+L$3,$J$19:$J$99)+SUMIF($BD$21:$BD$102,$B8*100+L$3,$M$19:$M$99)),"")</f>
        <v/>
      </c>
      <c r="M8" s="76" t="str">
        <f t="shared" si="0"/>
        <v/>
      </c>
      <c r="N8" s="76" t="str">
        <f t="shared" si="0"/>
        <v/>
      </c>
      <c r="O8" s="76" t="str">
        <f t="shared" si="0"/>
        <v/>
      </c>
      <c r="P8" s="76" t="str">
        <f t="shared" si="0"/>
        <v/>
      </c>
      <c r="Q8" s="76" t="str">
        <f t="shared" si="0"/>
        <v/>
      </c>
      <c r="R8" s="76" t="str">
        <f t="shared" si="0"/>
        <v/>
      </c>
      <c r="S8" s="76" t="str">
        <f t="shared" si="0"/>
        <v/>
      </c>
      <c r="T8" s="76" t="str">
        <f t="shared" si="0"/>
        <v/>
      </c>
      <c r="U8" s="76" t="str">
        <f t="shared" si="0"/>
        <v/>
      </c>
      <c r="V8" s="8">
        <f t="shared" si="22"/>
        <v>0</v>
      </c>
      <c r="W8" s="8">
        <f t="shared" si="23"/>
        <v>0</v>
      </c>
      <c r="X8" s="8">
        <f t="shared" si="24"/>
        <v>1</v>
      </c>
      <c r="Z8" s="31">
        <v>5</v>
      </c>
      <c r="AA8" s="32">
        <v>10</v>
      </c>
      <c r="AB8" s="33" t="str">
        <f t="shared" si="25"/>
        <v>E</v>
      </c>
      <c r="AC8" s="34">
        <f t="shared" si="26"/>
        <v>0</v>
      </c>
      <c r="AD8" s="34" t="e">
        <f t="shared" si="1"/>
        <v>#N/A</v>
      </c>
      <c r="AE8" s="55">
        <f t="shared" si="27"/>
        <v>0</v>
      </c>
      <c r="AF8" s="34" t="e">
        <f t="shared" si="2"/>
        <v>#N/A</v>
      </c>
      <c r="AG8" s="35" t="e">
        <f t="shared" si="3"/>
        <v>#N/A</v>
      </c>
      <c r="AH8" s="56"/>
      <c r="AI8" s="12">
        <f t="shared" si="28"/>
        <v>0</v>
      </c>
      <c r="AJ8" s="12">
        <f t="shared" si="29"/>
        <v>0</v>
      </c>
      <c r="AK8" s="12">
        <f t="shared" si="30"/>
        <v>0</v>
      </c>
      <c r="AL8" s="12">
        <f t="shared" si="31"/>
        <v>0</v>
      </c>
      <c r="AM8" s="12">
        <f t="shared" si="32"/>
        <v>0</v>
      </c>
      <c r="AN8" s="12">
        <f t="shared" si="33"/>
        <v>0</v>
      </c>
      <c r="AO8" s="12"/>
      <c r="AP8" s="12">
        <f t="shared" si="34"/>
        <v>0</v>
      </c>
      <c r="AQ8" s="12">
        <f t="shared" si="35"/>
        <v>0</v>
      </c>
      <c r="AR8" s="12">
        <f t="shared" si="36"/>
        <v>0</v>
      </c>
      <c r="AS8" s="12">
        <f t="shared" si="37"/>
        <v>1</v>
      </c>
      <c r="AT8" s="56"/>
      <c r="AU8" s="56"/>
      <c r="AV8" s="56"/>
      <c r="AW8" s="30"/>
      <c r="AX8" s="37">
        <v>5</v>
      </c>
      <c r="AY8" s="38">
        <f t="shared" si="4"/>
        <v>0</v>
      </c>
      <c r="AZ8" s="39">
        <f t="shared" ca="1" si="5"/>
        <v>0</v>
      </c>
      <c r="BA8" s="39">
        <f t="shared" si="6"/>
        <v>0</v>
      </c>
      <c r="BB8" s="6"/>
      <c r="BC8" s="6">
        <v>5</v>
      </c>
      <c r="BD8" s="6">
        <f t="shared" si="7"/>
        <v>0</v>
      </c>
      <c r="BE8" s="6">
        <f t="shared" si="7"/>
        <v>0</v>
      </c>
      <c r="BF8" s="6">
        <f t="shared" si="7"/>
        <v>0</v>
      </c>
      <c r="BG8" s="6">
        <f t="shared" si="7"/>
        <v>0</v>
      </c>
      <c r="BH8" s="6">
        <f t="shared" si="7"/>
        <v>0</v>
      </c>
      <c r="BI8" s="6">
        <f t="shared" si="7"/>
        <v>0</v>
      </c>
      <c r="BJ8" s="6">
        <f t="shared" si="7"/>
        <v>0</v>
      </c>
      <c r="BK8" s="6">
        <f t="shared" si="7"/>
        <v>0</v>
      </c>
      <c r="BL8" s="6">
        <f t="shared" si="7"/>
        <v>0</v>
      </c>
      <c r="BM8" s="6">
        <f t="shared" si="7"/>
        <v>0</v>
      </c>
      <c r="BN8" s="6">
        <f t="shared" si="7"/>
        <v>0</v>
      </c>
      <c r="BO8" s="6">
        <f t="shared" si="7"/>
        <v>0</v>
      </c>
      <c r="BP8" s="6">
        <f t="shared" si="7"/>
        <v>0</v>
      </c>
      <c r="BQ8" s="6"/>
      <c r="BR8" s="6">
        <v>5</v>
      </c>
      <c r="BS8" s="6">
        <f t="shared" si="8"/>
        <v>0</v>
      </c>
      <c r="BT8" s="6">
        <f t="shared" si="9"/>
        <v>0</v>
      </c>
      <c r="BU8" s="6">
        <f t="shared" si="10"/>
        <v>0</v>
      </c>
      <c r="BV8" s="6">
        <f t="shared" si="11"/>
        <v>0</v>
      </c>
      <c r="BW8" s="6">
        <f t="shared" si="12"/>
        <v>0</v>
      </c>
      <c r="BX8" s="6">
        <f t="shared" si="13"/>
        <v>0</v>
      </c>
      <c r="BY8" s="6">
        <f t="shared" si="14"/>
        <v>0</v>
      </c>
      <c r="BZ8" s="6">
        <f t="shared" si="15"/>
        <v>0</v>
      </c>
      <c r="CA8" s="6">
        <f t="shared" si="16"/>
        <v>0</v>
      </c>
      <c r="CB8" s="6">
        <f t="shared" si="17"/>
        <v>0</v>
      </c>
      <c r="CC8" s="6">
        <f t="shared" si="18"/>
        <v>0</v>
      </c>
      <c r="CD8" s="6">
        <f t="shared" si="19"/>
        <v>0</v>
      </c>
      <c r="CE8" s="6">
        <f t="shared" si="20"/>
        <v>0</v>
      </c>
    </row>
    <row r="9" spans="1:83" x14ac:dyDescent="0.25">
      <c r="A9" s="81">
        <f t="shared" si="21"/>
        <v>1</v>
      </c>
      <c r="B9" s="25">
        <v>6</v>
      </c>
      <c r="C9" s="25" t="s">
        <v>45</v>
      </c>
      <c r="D9" s="88"/>
      <c r="E9" s="89"/>
      <c r="F9" s="25">
        <v>1000</v>
      </c>
      <c r="G9" s="6"/>
      <c r="H9" s="79" t="str">
        <f t="shared" si="38"/>
        <v/>
      </c>
      <c r="I9" s="79" t="str">
        <f t="shared" si="38"/>
        <v/>
      </c>
      <c r="J9" s="79" t="str">
        <f t="shared" si="38"/>
        <v/>
      </c>
      <c r="K9" s="79" t="str">
        <f t="shared" si="38"/>
        <v/>
      </c>
      <c r="L9" s="79" t="str">
        <f t="shared" si="38"/>
        <v/>
      </c>
      <c r="M9" s="78" t="str">
        <f>IF((SUMIF($BC$21:$BC$102,$B9*100+M$3,$BA$22:$BA$103)+SUMIF($BC$21:$BC$102,$B9+M$3*100,$BA$22:$BA$103))=1,(SUMIF($BC$21:$BC$102,$B9*100+M$3,$J$19:$J$99)+SUMIF($BD$21:$BD$102,$B9*100+M$3,$M$19:$M$99)),"")</f>
        <v/>
      </c>
      <c r="N9" s="76" t="str">
        <f t="shared" si="0"/>
        <v/>
      </c>
      <c r="O9" s="76" t="str">
        <f t="shared" si="0"/>
        <v/>
      </c>
      <c r="P9" s="76" t="str">
        <f t="shared" si="0"/>
        <v/>
      </c>
      <c r="Q9" s="76" t="str">
        <f t="shared" si="0"/>
        <v/>
      </c>
      <c r="R9" s="76" t="str">
        <f t="shared" si="0"/>
        <v/>
      </c>
      <c r="S9" s="76" t="str">
        <f t="shared" si="0"/>
        <v/>
      </c>
      <c r="T9" s="76" t="str">
        <f t="shared" si="0"/>
        <v/>
      </c>
      <c r="U9" s="76" t="str">
        <f t="shared" si="0"/>
        <v/>
      </c>
      <c r="V9" s="8">
        <f t="shared" si="22"/>
        <v>0</v>
      </c>
      <c r="W9" s="8">
        <f t="shared" si="23"/>
        <v>0</v>
      </c>
      <c r="X9" s="8">
        <f t="shared" si="24"/>
        <v>1</v>
      </c>
      <c r="Z9" s="31">
        <v>6</v>
      </c>
      <c r="AA9" s="32">
        <v>9</v>
      </c>
      <c r="AB9" s="33" t="str">
        <f t="shared" si="25"/>
        <v>G</v>
      </c>
      <c r="AC9" s="34">
        <f t="shared" si="26"/>
        <v>0</v>
      </c>
      <c r="AD9" s="34" t="e">
        <f t="shared" si="1"/>
        <v>#N/A</v>
      </c>
      <c r="AE9" s="55">
        <f t="shared" si="27"/>
        <v>0</v>
      </c>
      <c r="AF9" s="34" t="e">
        <f t="shared" si="2"/>
        <v>#N/A</v>
      </c>
      <c r="AG9" s="35" t="e">
        <f t="shared" si="3"/>
        <v>#N/A</v>
      </c>
      <c r="AH9" s="56"/>
      <c r="AI9" s="12">
        <f t="shared" si="28"/>
        <v>0</v>
      </c>
      <c r="AJ9" s="12">
        <f t="shared" si="29"/>
        <v>0</v>
      </c>
      <c r="AK9" s="12">
        <f t="shared" si="30"/>
        <v>0</v>
      </c>
      <c r="AL9" s="12">
        <f t="shared" si="31"/>
        <v>0</v>
      </c>
      <c r="AM9" s="12">
        <f t="shared" si="32"/>
        <v>0</v>
      </c>
      <c r="AN9" s="12">
        <f t="shared" si="33"/>
        <v>0</v>
      </c>
      <c r="AO9" s="12"/>
      <c r="AP9" s="12">
        <f t="shared" si="34"/>
        <v>0</v>
      </c>
      <c r="AQ9" s="12">
        <f t="shared" si="35"/>
        <v>0</v>
      </c>
      <c r="AR9" s="12">
        <f t="shared" si="36"/>
        <v>0</v>
      </c>
      <c r="AS9" s="12">
        <f t="shared" si="37"/>
        <v>1</v>
      </c>
      <c r="AT9" s="56"/>
      <c r="AU9" s="56"/>
      <c r="AV9" s="56"/>
      <c r="AW9" s="30"/>
      <c r="AX9" s="37">
        <v>6</v>
      </c>
      <c r="AY9" s="38">
        <f t="shared" si="4"/>
        <v>0</v>
      </c>
      <c r="AZ9" s="39">
        <f t="shared" ca="1" si="5"/>
        <v>0</v>
      </c>
      <c r="BA9" s="39">
        <f t="shared" si="6"/>
        <v>0</v>
      </c>
      <c r="BB9" s="6"/>
      <c r="BC9" s="6">
        <v>6</v>
      </c>
      <c r="BD9" s="6">
        <f t="shared" si="7"/>
        <v>0</v>
      </c>
      <c r="BE9" s="6">
        <f t="shared" si="7"/>
        <v>0</v>
      </c>
      <c r="BF9" s="6">
        <f t="shared" si="7"/>
        <v>0</v>
      </c>
      <c r="BG9" s="6">
        <f t="shared" si="7"/>
        <v>0</v>
      </c>
      <c r="BH9" s="6">
        <f t="shared" si="7"/>
        <v>0</v>
      </c>
      <c r="BI9" s="6">
        <f t="shared" si="7"/>
        <v>0</v>
      </c>
      <c r="BJ9" s="6">
        <f t="shared" si="7"/>
        <v>0</v>
      </c>
      <c r="BK9" s="6">
        <f t="shared" si="7"/>
        <v>0</v>
      </c>
      <c r="BL9" s="6">
        <f t="shared" si="7"/>
        <v>0</v>
      </c>
      <c r="BM9" s="6">
        <f t="shared" si="7"/>
        <v>0</v>
      </c>
      <c r="BN9" s="6">
        <f t="shared" si="7"/>
        <v>0</v>
      </c>
      <c r="BO9" s="6">
        <f t="shared" si="7"/>
        <v>0</v>
      </c>
      <c r="BP9" s="6">
        <f t="shared" si="7"/>
        <v>0</v>
      </c>
      <c r="BQ9" s="6"/>
      <c r="BR9" s="6">
        <v>6</v>
      </c>
      <c r="BS9" s="6">
        <f t="shared" si="8"/>
        <v>0</v>
      </c>
      <c r="BT9" s="6">
        <f t="shared" si="9"/>
        <v>0</v>
      </c>
      <c r="BU9" s="6">
        <f t="shared" si="10"/>
        <v>0</v>
      </c>
      <c r="BV9" s="6">
        <f t="shared" si="11"/>
        <v>0</v>
      </c>
      <c r="BW9" s="6">
        <f t="shared" si="12"/>
        <v>0</v>
      </c>
      <c r="BX9" s="6">
        <f t="shared" si="13"/>
        <v>0</v>
      </c>
      <c r="BY9" s="6">
        <f t="shared" si="14"/>
        <v>0</v>
      </c>
      <c r="BZ9" s="6">
        <f t="shared" si="15"/>
        <v>0</v>
      </c>
      <c r="CA9" s="6">
        <f t="shared" si="16"/>
        <v>0</v>
      </c>
      <c r="CB9" s="6">
        <f t="shared" si="17"/>
        <v>0</v>
      </c>
      <c r="CC9" s="6">
        <f t="shared" si="18"/>
        <v>0</v>
      </c>
      <c r="CD9" s="6">
        <f t="shared" si="19"/>
        <v>0</v>
      </c>
      <c r="CE9" s="6">
        <f t="shared" si="20"/>
        <v>0</v>
      </c>
    </row>
    <row r="10" spans="1:83" x14ac:dyDescent="0.25">
      <c r="A10" s="81">
        <f t="shared" si="21"/>
        <v>1</v>
      </c>
      <c r="B10" s="25">
        <v>7</v>
      </c>
      <c r="C10" s="25" t="s">
        <v>46</v>
      </c>
      <c r="D10" s="88"/>
      <c r="E10" s="89"/>
      <c r="F10" s="25">
        <v>1000</v>
      </c>
      <c r="G10" s="6"/>
      <c r="H10" s="79" t="str">
        <f t="shared" si="38"/>
        <v/>
      </c>
      <c r="I10" s="79" t="str">
        <f t="shared" si="38"/>
        <v/>
      </c>
      <c r="J10" s="79" t="str">
        <f t="shared" si="38"/>
        <v/>
      </c>
      <c r="K10" s="79" t="str">
        <f t="shared" si="38"/>
        <v/>
      </c>
      <c r="L10" s="79" t="str">
        <f t="shared" si="38"/>
        <v/>
      </c>
      <c r="M10" s="79" t="str">
        <f t="shared" si="38"/>
        <v/>
      </c>
      <c r="N10" s="78" t="str">
        <f>IF((SUMIF($BC$21:$BC$102,$B10*100+N$3,$BA$22:$BA$103)+SUMIF($BC$21:$BC$102,$B10+N$3*100,$BA$22:$BA$103))=1,(SUMIF($BC$21:$BC$102,$B10*100+N$3,$J$19:$J$99)+SUMIF($BD$21:$BD$102,$B10*100+N$3,$M$19:$M$99)),"")</f>
        <v/>
      </c>
      <c r="O10" s="76" t="str">
        <f t="shared" si="0"/>
        <v/>
      </c>
      <c r="P10" s="76" t="str">
        <f t="shared" si="0"/>
        <v/>
      </c>
      <c r="Q10" s="76" t="str">
        <f t="shared" si="0"/>
        <v/>
      </c>
      <c r="R10" s="76" t="str">
        <f t="shared" si="0"/>
        <v/>
      </c>
      <c r="S10" s="76" t="str">
        <f t="shared" si="0"/>
        <v/>
      </c>
      <c r="T10" s="76" t="str">
        <f t="shared" si="0"/>
        <v/>
      </c>
      <c r="U10" s="76" t="str">
        <f t="shared" si="0"/>
        <v/>
      </c>
      <c r="V10" s="8">
        <f t="shared" si="22"/>
        <v>0</v>
      </c>
      <c r="W10" s="8">
        <f t="shared" si="23"/>
        <v>0</v>
      </c>
      <c r="X10" s="8">
        <f t="shared" si="24"/>
        <v>1</v>
      </c>
      <c r="Z10" s="31">
        <v>7</v>
      </c>
      <c r="AA10" s="32">
        <v>8</v>
      </c>
      <c r="AB10" s="33" t="str">
        <f t="shared" si="25"/>
        <v>H</v>
      </c>
      <c r="AC10" s="34">
        <f t="shared" si="26"/>
        <v>0</v>
      </c>
      <c r="AD10" s="34" t="e">
        <f t="shared" si="1"/>
        <v>#N/A</v>
      </c>
      <c r="AE10" s="55">
        <f t="shared" si="27"/>
        <v>0</v>
      </c>
      <c r="AF10" s="34" t="e">
        <f t="shared" si="2"/>
        <v>#N/A</v>
      </c>
      <c r="AG10" s="35" t="e">
        <f t="shared" si="3"/>
        <v>#N/A</v>
      </c>
      <c r="AH10" s="56"/>
      <c r="AI10" s="12">
        <f t="shared" si="28"/>
        <v>0</v>
      </c>
      <c r="AJ10" s="12">
        <f t="shared" si="29"/>
        <v>0</v>
      </c>
      <c r="AK10" s="12">
        <f t="shared" si="30"/>
        <v>0</v>
      </c>
      <c r="AL10" s="12">
        <f t="shared" si="31"/>
        <v>0</v>
      </c>
      <c r="AM10" s="12">
        <f t="shared" si="32"/>
        <v>0</v>
      </c>
      <c r="AN10" s="12">
        <f t="shared" si="33"/>
        <v>0</v>
      </c>
      <c r="AO10" s="12"/>
      <c r="AP10" s="12">
        <f t="shared" si="34"/>
        <v>0</v>
      </c>
      <c r="AQ10" s="12">
        <f t="shared" si="35"/>
        <v>0</v>
      </c>
      <c r="AR10" s="12">
        <f t="shared" si="36"/>
        <v>0</v>
      </c>
      <c r="AS10" s="12">
        <f t="shared" si="37"/>
        <v>1</v>
      </c>
      <c r="AT10" s="56"/>
      <c r="AU10" s="56"/>
      <c r="AV10" s="56"/>
      <c r="AW10" s="30"/>
      <c r="AX10" s="37">
        <v>7</v>
      </c>
      <c r="AY10" s="38">
        <f t="shared" si="4"/>
        <v>0</v>
      </c>
      <c r="AZ10" s="39">
        <f t="shared" ca="1" si="5"/>
        <v>0</v>
      </c>
      <c r="BA10" s="39">
        <f t="shared" si="6"/>
        <v>0</v>
      </c>
      <c r="BB10" s="6"/>
      <c r="BC10" s="6">
        <v>7</v>
      </c>
      <c r="BD10" s="6">
        <f t="shared" si="7"/>
        <v>0</v>
      </c>
      <c r="BE10" s="6">
        <f t="shared" si="7"/>
        <v>0</v>
      </c>
      <c r="BF10" s="6">
        <f t="shared" si="7"/>
        <v>0</v>
      </c>
      <c r="BG10" s="6">
        <f t="shared" si="7"/>
        <v>0</v>
      </c>
      <c r="BH10" s="6">
        <f t="shared" si="7"/>
        <v>0</v>
      </c>
      <c r="BI10" s="6">
        <f t="shared" si="7"/>
        <v>0</v>
      </c>
      <c r="BJ10" s="6">
        <f t="shared" si="7"/>
        <v>0</v>
      </c>
      <c r="BK10" s="6">
        <f t="shared" si="7"/>
        <v>0</v>
      </c>
      <c r="BL10" s="6">
        <f t="shared" si="7"/>
        <v>0</v>
      </c>
      <c r="BM10" s="6">
        <f t="shared" si="7"/>
        <v>0</v>
      </c>
      <c r="BN10" s="6">
        <f t="shared" si="7"/>
        <v>0</v>
      </c>
      <c r="BO10" s="6">
        <f t="shared" si="7"/>
        <v>0</v>
      </c>
      <c r="BP10" s="6">
        <f t="shared" si="7"/>
        <v>0</v>
      </c>
      <c r="BQ10" s="6"/>
      <c r="BR10" s="6">
        <v>7</v>
      </c>
      <c r="BS10" s="6">
        <f t="shared" si="8"/>
        <v>0</v>
      </c>
      <c r="BT10" s="6">
        <f t="shared" si="9"/>
        <v>0</v>
      </c>
      <c r="BU10" s="6">
        <f t="shared" si="10"/>
        <v>0</v>
      </c>
      <c r="BV10" s="6">
        <f t="shared" si="11"/>
        <v>0</v>
      </c>
      <c r="BW10" s="6">
        <f t="shared" si="12"/>
        <v>0</v>
      </c>
      <c r="BX10" s="6">
        <f t="shared" si="13"/>
        <v>0</v>
      </c>
      <c r="BY10" s="6">
        <f t="shared" si="14"/>
        <v>0</v>
      </c>
      <c r="BZ10" s="6">
        <f t="shared" si="15"/>
        <v>0</v>
      </c>
      <c r="CA10" s="6">
        <f t="shared" si="16"/>
        <v>0</v>
      </c>
      <c r="CB10" s="6">
        <f t="shared" si="17"/>
        <v>0</v>
      </c>
      <c r="CC10" s="6">
        <f t="shared" si="18"/>
        <v>0</v>
      </c>
      <c r="CD10" s="6">
        <f t="shared" si="19"/>
        <v>0</v>
      </c>
      <c r="CE10" s="6">
        <f t="shared" si="20"/>
        <v>0</v>
      </c>
    </row>
    <row r="11" spans="1:83" x14ac:dyDescent="0.25">
      <c r="A11" s="81">
        <f t="shared" si="21"/>
        <v>1</v>
      </c>
      <c r="B11" s="25">
        <v>8</v>
      </c>
      <c r="C11" s="25" t="s">
        <v>48</v>
      </c>
      <c r="D11" s="88"/>
      <c r="E11" s="89"/>
      <c r="F11" s="25">
        <v>1000</v>
      </c>
      <c r="G11" s="6"/>
      <c r="H11" s="79" t="str">
        <f t="shared" si="38"/>
        <v/>
      </c>
      <c r="I11" s="79" t="str">
        <f t="shared" si="38"/>
        <v/>
      </c>
      <c r="J11" s="79" t="str">
        <f t="shared" si="38"/>
        <v/>
      </c>
      <c r="K11" s="79" t="str">
        <f t="shared" si="38"/>
        <v/>
      </c>
      <c r="L11" s="79" t="str">
        <f t="shared" si="38"/>
        <v/>
      </c>
      <c r="M11" s="79" t="str">
        <f t="shared" si="38"/>
        <v/>
      </c>
      <c r="N11" s="79" t="str">
        <f t="shared" si="38"/>
        <v/>
      </c>
      <c r="O11" s="78" t="str">
        <f>IF((SUMIF($BC$21:$BC$102,$B11*100+O$3,$BA$22:$BA$103)+SUMIF($BC$21:$BC$102,$B11+O$3*100,$BA$22:$BA$103))=1,(SUMIF($BC$21:$BC$102,$B11*100+O$3,$J$19:$J$99)+SUMIF($BD$21:$BD$102,$B11*100+O$3,$M$19:$M$99)),"")</f>
        <v/>
      </c>
      <c r="P11" s="76" t="str">
        <f t="shared" si="0"/>
        <v/>
      </c>
      <c r="Q11" s="76" t="str">
        <f t="shared" si="0"/>
        <v/>
      </c>
      <c r="R11" s="76" t="str">
        <f t="shared" si="0"/>
        <v/>
      </c>
      <c r="S11" s="76" t="str">
        <f t="shared" si="0"/>
        <v/>
      </c>
      <c r="T11" s="76" t="str">
        <f t="shared" si="0"/>
        <v/>
      </c>
      <c r="U11" s="76" t="str">
        <f t="shared" si="0"/>
        <v/>
      </c>
      <c r="V11" s="8">
        <f t="shared" si="22"/>
        <v>0</v>
      </c>
      <c r="W11" s="8">
        <f t="shared" si="23"/>
        <v>0</v>
      </c>
      <c r="X11" s="8">
        <f t="shared" si="24"/>
        <v>1</v>
      </c>
      <c r="Z11" s="31">
        <v>8</v>
      </c>
      <c r="AA11" s="32">
        <v>7</v>
      </c>
      <c r="AB11" s="33" t="str">
        <f t="shared" si="25"/>
        <v>I</v>
      </c>
      <c r="AC11" s="34">
        <f t="shared" si="26"/>
        <v>0</v>
      </c>
      <c r="AD11" s="34" t="e">
        <f t="shared" si="1"/>
        <v>#N/A</v>
      </c>
      <c r="AE11" s="55">
        <f t="shared" si="27"/>
        <v>0</v>
      </c>
      <c r="AF11" s="34" t="e">
        <f t="shared" si="2"/>
        <v>#N/A</v>
      </c>
      <c r="AG11" s="35" t="e">
        <f t="shared" si="3"/>
        <v>#N/A</v>
      </c>
      <c r="AH11" s="56"/>
      <c r="AI11" s="12">
        <f t="shared" si="28"/>
        <v>0</v>
      </c>
      <c r="AJ11" s="12">
        <f t="shared" si="29"/>
        <v>0</v>
      </c>
      <c r="AK11" s="12">
        <f t="shared" si="30"/>
        <v>0</v>
      </c>
      <c r="AL11" s="12">
        <f t="shared" si="31"/>
        <v>0</v>
      </c>
      <c r="AM11" s="12">
        <f t="shared" si="32"/>
        <v>0</v>
      </c>
      <c r="AN11" s="12">
        <f t="shared" si="33"/>
        <v>0</v>
      </c>
      <c r="AO11" s="12"/>
      <c r="AP11" s="12">
        <f t="shared" si="34"/>
        <v>0</v>
      </c>
      <c r="AQ11" s="12">
        <f t="shared" si="35"/>
        <v>0</v>
      </c>
      <c r="AR11" s="12">
        <f t="shared" si="36"/>
        <v>0</v>
      </c>
      <c r="AS11" s="12">
        <f t="shared" si="37"/>
        <v>1</v>
      </c>
      <c r="AT11" s="56"/>
      <c r="AU11" s="56"/>
      <c r="AV11" s="56"/>
      <c r="AW11" s="30"/>
      <c r="AX11" s="37">
        <v>8</v>
      </c>
      <c r="AY11" s="38">
        <f t="shared" si="4"/>
        <v>0</v>
      </c>
      <c r="AZ11" s="39">
        <f t="shared" ca="1" si="5"/>
        <v>0</v>
      </c>
      <c r="BA11" s="39">
        <f t="shared" si="6"/>
        <v>0</v>
      </c>
      <c r="BB11" s="6"/>
      <c r="BC11" s="6">
        <v>8</v>
      </c>
      <c r="BD11" s="6">
        <f t="shared" si="7"/>
        <v>0</v>
      </c>
      <c r="BE11" s="6">
        <f t="shared" si="7"/>
        <v>0</v>
      </c>
      <c r="BF11" s="6">
        <f t="shared" si="7"/>
        <v>0</v>
      </c>
      <c r="BG11" s="6">
        <f t="shared" si="7"/>
        <v>0</v>
      </c>
      <c r="BH11" s="6">
        <f t="shared" si="7"/>
        <v>0</v>
      </c>
      <c r="BI11" s="6">
        <f t="shared" si="7"/>
        <v>0</v>
      </c>
      <c r="BJ11" s="6">
        <f t="shared" si="7"/>
        <v>0</v>
      </c>
      <c r="BK11" s="6">
        <f t="shared" si="7"/>
        <v>0</v>
      </c>
      <c r="BL11" s="6">
        <f t="shared" si="7"/>
        <v>0</v>
      </c>
      <c r="BM11" s="6">
        <f t="shared" si="7"/>
        <v>0</v>
      </c>
      <c r="BN11" s="6">
        <f t="shared" si="7"/>
        <v>0</v>
      </c>
      <c r="BO11" s="6">
        <f t="shared" si="7"/>
        <v>0</v>
      </c>
      <c r="BP11" s="6">
        <f t="shared" si="7"/>
        <v>0</v>
      </c>
      <c r="BQ11" s="6"/>
      <c r="BR11" s="6">
        <v>8</v>
      </c>
      <c r="BS11" s="6">
        <f t="shared" si="8"/>
        <v>0</v>
      </c>
      <c r="BT11" s="6">
        <f t="shared" si="9"/>
        <v>0</v>
      </c>
      <c r="BU11" s="6">
        <f t="shared" si="10"/>
        <v>0</v>
      </c>
      <c r="BV11" s="6">
        <f t="shared" si="11"/>
        <v>0</v>
      </c>
      <c r="BW11" s="6">
        <f t="shared" si="12"/>
        <v>0</v>
      </c>
      <c r="BX11" s="6">
        <f t="shared" si="13"/>
        <v>0</v>
      </c>
      <c r="BY11" s="6">
        <f t="shared" si="14"/>
        <v>0</v>
      </c>
      <c r="BZ11" s="6">
        <f t="shared" si="15"/>
        <v>0</v>
      </c>
      <c r="CA11" s="6">
        <f t="shared" si="16"/>
        <v>0</v>
      </c>
      <c r="CB11" s="6">
        <f t="shared" si="17"/>
        <v>0</v>
      </c>
      <c r="CC11" s="6">
        <f t="shared" si="18"/>
        <v>0</v>
      </c>
      <c r="CD11" s="6">
        <f t="shared" si="19"/>
        <v>0</v>
      </c>
      <c r="CE11" s="6">
        <f t="shared" si="20"/>
        <v>0</v>
      </c>
    </row>
    <row r="12" spans="1:83" x14ac:dyDescent="0.25">
      <c r="A12" s="81">
        <f t="shared" si="21"/>
        <v>1</v>
      </c>
      <c r="B12" s="25">
        <v>9</v>
      </c>
      <c r="C12" s="25" t="s">
        <v>49</v>
      </c>
      <c r="D12" s="88"/>
      <c r="E12" s="89"/>
      <c r="F12" s="25">
        <v>1000</v>
      </c>
      <c r="G12" s="6"/>
      <c r="H12" s="79" t="str">
        <f t="shared" si="38"/>
        <v/>
      </c>
      <c r="I12" s="79" t="str">
        <f t="shared" si="38"/>
        <v/>
      </c>
      <c r="J12" s="79" t="str">
        <f t="shared" si="38"/>
        <v/>
      </c>
      <c r="K12" s="79" t="str">
        <f t="shared" si="38"/>
        <v/>
      </c>
      <c r="L12" s="79" t="str">
        <f t="shared" si="38"/>
        <v/>
      </c>
      <c r="M12" s="79" t="str">
        <f t="shared" si="38"/>
        <v/>
      </c>
      <c r="N12" s="79" t="str">
        <f t="shared" si="38"/>
        <v/>
      </c>
      <c r="O12" s="79" t="str">
        <f t="shared" si="38"/>
        <v/>
      </c>
      <c r="P12" s="78" t="str">
        <f>IF((SUMIF($BC$21:$BC$102,$B12*100+P$3,$BA$22:$BA$103)+SUMIF($BC$21:$BC$102,$B12+P$3*100,$BA$22:$BA$103))=1,(SUMIF($BC$21:$BC$102,$B12*100+P$3,$J$19:$J$99)+SUMIF($BD$21:$BD$102,$B12*100+P$3,$M$19:$M$99)),"")</f>
        <v/>
      </c>
      <c r="Q12" s="76" t="str">
        <f t="shared" si="0"/>
        <v/>
      </c>
      <c r="R12" s="76" t="str">
        <f t="shared" si="0"/>
        <v/>
      </c>
      <c r="S12" s="76" t="str">
        <f t="shared" si="0"/>
        <v/>
      </c>
      <c r="T12" s="76" t="str">
        <f t="shared" si="0"/>
        <v/>
      </c>
      <c r="U12" s="76" t="str">
        <f t="shared" si="0"/>
        <v/>
      </c>
      <c r="V12" s="8">
        <f t="shared" si="22"/>
        <v>0</v>
      </c>
      <c r="W12" s="8">
        <f t="shared" si="23"/>
        <v>0</v>
      </c>
      <c r="X12" s="8">
        <f t="shared" si="24"/>
        <v>1</v>
      </c>
      <c r="Z12" s="31">
        <v>9</v>
      </c>
      <c r="AA12" s="32">
        <v>6</v>
      </c>
      <c r="AB12" s="33" t="str">
        <f t="shared" si="25"/>
        <v>J</v>
      </c>
      <c r="AC12" s="34">
        <f t="shared" si="26"/>
        <v>0</v>
      </c>
      <c r="AD12" s="34" t="e">
        <f t="shared" si="1"/>
        <v>#N/A</v>
      </c>
      <c r="AE12" s="55">
        <f t="shared" si="27"/>
        <v>0</v>
      </c>
      <c r="AF12" s="34" t="e">
        <f t="shared" si="2"/>
        <v>#N/A</v>
      </c>
      <c r="AG12" s="35" t="e">
        <f t="shared" si="3"/>
        <v>#N/A</v>
      </c>
      <c r="AH12" s="56"/>
      <c r="AI12" s="12">
        <f t="shared" si="28"/>
        <v>0</v>
      </c>
      <c r="AJ12" s="12">
        <f t="shared" si="29"/>
        <v>0</v>
      </c>
      <c r="AK12" s="12">
        <f t="shared" si="30"/>
        <v>0</v>
      </c>
      <c r="AL12" s="12">
        <f t="shared" si="31"/>
        <v>0</v>
      </c>
      <c r="AM12" s="12">
        <f t="shared" si="32"/>
        <v>0</v>
      </c>
      <c r="AN12" s="12">
        <f t="shared" si="33"/>
        <v>0</v>
      </c>
      <c r="AO12" s="12"/>
      <c r="AP12" s="12">
        <f t="shared" si="34"/>
        <v>0</v>
      </c>
      <c r="AQ12" s="12">
        <f t="shared" si="35"/>
        <v>0</v>
      </c>
      <c r="AR12" s="12">
        <f t="shared" si="36"/>
        <v>0</v>
      </c>
      <c r="AS12" s="12">
        <f t="shared" si="37"/>
        <v>1</v>
      </c>
      <c r="AT12" s="56"/>
      <c r="AU12" s="56"/>
      <c r="AV12" s="56"/>
      <c r="AW12" s="30"/>
      <c r="AX12" s="37">
        <v>9</v>
      </c>
      <c r="AY12" s="38">
        <f t="shared" si="4"/>
        <v>0</v>
      </c>
      <c r="AZ12" s="39">
        <f t="shared" ca="1" si="5"/>
        <v>0</v>
      </c>
      <c r="BA12" s="39">
        <f t="shared" si="6"/>
        <v>0</v>
      </c>
      <c r="BB12" s="6"/>
      <c r="BC12" s="6">
        <v>9</v>
      </c>
      <c r="BD12" s="6">
        <f t="shared" si="7"/>
        <v>0</v>
      </c>
      <c r="BE12" s="6">
        <f t="shared" si="7"/>
        <v>0</v>
      </c>
      <c r="BF12" s="6">
        <f t="shared" si="7"/>
        <v>0</v>
      </c>
      <c r="BG12" s="6">
        <f t="shared" si="7"/>
        <v>0</v>
      </c>
      <c r="BH12" s="6">
        <f t="shared" si="7"/>
        <v>0</v>
      </c>
      <c r="BI12" s="6">
        <f t="shared" si="7"/>
        <v>0</v>
      </c>
      <c r="BJ12" s="6">
        <f t="shared" si="7"/>
        <v>0</v>
      </c>
      <c r="BK12" s="6">
        <f t="shared" si="7"/>
        <v>0</v>
      </c>
      <c r="BL12" s="6">
        <f t="shared" si="7"/>
        <v>0</v>
      </c>
      <c r="BM12" s="6">
        <f t="shared" si="7"/>
        <v>0</v>
      </c>
      <c r="BN12" s="6">
        <f t="shared" si="7"/>
        <v>0</v>
      </c>
      <c r="BO12" s="6">
        <f t="shared" si="7"/>
        <v>0</v>
      </c>
      <c r="BP12" s="6">
        <f t="shared" si="7"/>
        <v>0</v>
      </c>
      <c r="BQ12" s="6"/>
      <c r="BR12" s="6">
        <v>9</v>
      </c>
      <c r="BS12" s="6">
        <f t="shared" si="8"/>
        <v>0</v>
      </c>
      <c r="BT12" s="6">
        <f t="shared" si="9"/>
        <v>0</v>
      </c>
      <c r="BU12" s="6">
        <f t="shared" si="10"/>
        <v>0</v>
      </c>
      <c r="BV12" s="6">
        <f t="shared" si="11"/>
        <v>0</v>
      </c>
      <c r="BW12" s="6">
        <f t="shared" si="12"/>
        <v>0</v>
      </c>
      <c r="BX12" s="6">
        <f t="shared" si="13"/>
        <v>0</v>
      </c>
      <c r="BY12" s="6">
        <f t="shared" si="14"/>
        <v>0</v>
      </c>
      <c r="BZ12" s="6">
        <f t="shared" si="15"/>
        <v>0</v>
      </c>
      <c r="CA12" s="6">
        <f t="shared" si="16"/>
        <v>0</v>
      </c>
      <c r="CB12" s="6">
        <f t="shared" si="17"/>
        <v>0</v>
      </c>
      <c r="CC12" s="6">
        <f t="shared" si="18"/>
        <v>0</v>
      </c>
      <c r="CD12" s="6">
        <f t="shared" si="19"/>
        <v>0</v>
      </c>
      <c r="CE12" s="6">
        <f t="shared" si="20"/>
        <v>0</v>
      </c>
    </row>
    <row r="13" spans="1:83" x14ac:dyDescent="0.25">
      <c r="A13" s="81">
        <f t="shared" si="21"/>
        <v>1</v>
      </c>
      <c r="B13" s="25">
        <v>10</v>
      </c>
      <c r="C13" s="25" t="s">
        <v>75</v>
      </c>
      <c r="D13" s="90"/>
      <c r="E13" s="91"/>
      <c r="F13" s="25">
        <v>1000</v>
      </c>
      <c r="G13" s="6"/>
      <c r="H13" s="79" t="str">
        <f t="shared" si="38"/>
        <v/>
      </c>
      <c r="I13" s="79" t="str">
        <f t="shared" si="38"/>
        <v/>
      </c>
      <c r="J13" s="79" t="str">
        <f t="shared" si="38"/>
        <v/>
      </c>
      <c r="K13" s="79" t="str">
        <f t="shared" si="38"/>
        <v/>
      </c>
      <c r="L13" s="79" t="str">
        <f t="shared" si="38"/>
        <v/>
      </c>
      <c r="M13" s="79" t="str">
        <f t="shared" si="38"/>
        <v/>
      </c>
      <c r="N13" s="79" t="str">
        <f t="shared" si="38"/>
        <v/>
      </c>
      <c r="O13" s="79" t="str">
        <f t="shared" si="38"/>
        <v/>
      </c>
      <c r="P13" s="79" t="str">
        <f t="shared" si="38"/>
        <v/>
      </c>
      <c r="Q13" s="78" t="str">
        <f>IF((SUMIF($BC$21:$BC$102,$B13*100+Q$3,$BA$22:$BA$103)+SUMIF($BC$21:$BC$102,$B13+Q$3*100,$BA$22:$BA$103))=1,(SUMIF($BC$21:$BC$102,$B13*100+Q$3,$J$19:$J$99)+SUMIF($BD$21:$BD$102,$B13*100+Q$3,$M$19:$M$99)),"")</f>
        <v/>
      </c>
      <c r="R13" s="76" t="str">
        <f t="shared" si="0"/>
        <v/>
      </c>
      <c r="S13" s="76" t="str">
        <f t="shared" si="0"/>
        <v/>
      </c>
      <c r="T13" s="76" t="str">
        <f t="shared" si="0"/>
        <v/>
      </c>
      <c r="U13" s="76" t="str">
        <f t="shared" si="0"/>
        <v/>
      </c>
      <c r="V13" s="8">
        <f t="shared" si="22"/>
        <v>0</v>
      </c>
      <c r="W13" s="8">
        <f t="shared" si="23"/>
        <v>0</v>
      </c>
      <c r="X13" s="8">
        <f t="shared" si="24"/>
        <v>1</v>
      </c>
      <c r="Z13" s="31">
        <v>10</v>
      </c>
      <c r="AA13" s="32">
        <v>6</v>
      </c>
      <c r="AB13" s="33" t="str">
        <f t="shared" si="25"/>
        <v>K</v>
      </c>
      <c r="AC13" s="34">
        <f t="shared" si="26"/>
        <v>0</v>
      </c>
      <c r="AD13" s="34" t="e">
        <f t="shared" si="1"/>
        <v>#N/A</v>
      </c>
      <c r="AE13" s="55">
        <f t="shared" si="27"/>
        <v>0</v>
      </c>
      <c r="AF13" s="34" t="e">
        <f t="shared" si="2"/>
        <v>#N/A</v>
      </c>
      <c r="AG13" s="35" t="e">
        <f t="shared" si="3"/>
        <v>#N/A</v>
      </c>
      <c r="AH13" s="56"/>
      <c r="AI13" s="12">
        <f t="shared" si="28"/>
        <v>0</v>
      </c>
      <c r="AJ13" s="12">
        <f t="shared" si="29"/>
        <v>0</v>
      </c>
      <c r="AK13" s="12">
        <f t="shared" si="30"/>
        <v>0</v>
      </c>
      <c r="AL13" s="12">
        <f t="shared" si="31"/>
        <v>0</v>
      </c>
      <c r="AM13" s="12">
        <f t="shared" si="32"/>
        <v>0</v>
      </c>
      <c r="AN13" s="12">
        <f t="shared" si="33"/>
        <v>0</v>
      </c>
      <c r="AO13" s="12"/>
      <c r="AP13" s="12">
        <f t="shared" si="34"/>
        <v>0</v>
      </c>
      <c r="AQ13" s="12">
        <f t="shared" si="35"/>
        <v>0</v>
      </c>
      <c r="AR13" s="12">
        <f t="shared" si="36"/>
        <v>0</v>
      </c>
      <c r="AS13" s="12">
        <f t="shared" si="37"/>
        <v>1</v>
      </c>
      <c r="AT13" s="56"/>
      <c r="AU13" s="56"/>
      <c r="AV13" s="56"/>
      <c r="AW13" s="30"/>
      <c r="AX13" s="37">
        <v>10</v>
      </c>
      <c r="AY13" s="38">
        <f t="shared" si="4"/>
        <v>0</v>
      </c>
      <c r="AZ13" s="39">
        <f t="shared" ca="1" si="5"/>
        <v>0</v>
      </c>
      <c r="BA13" s="39">
        <f t="shared" si="6"/>
        <v>0</v>
      </c>
      <c r="BB13" s="6"/>
      <c r="BC13" s="6">
        <v>10</v>
      </c>
      <c r="BD13" s="6">
        <f t="shared" si="7"/>
        <v>0</v>
      </c>
      <c r="BE13" s="6">
        <f t="shared" si="7"/>
        <v>0</v>
      </c>
      <c r="BF13" s="6">
        <f t="shared" si="7"/>
        <v>0</v>
      </c>
      <c r="BG13" s="6">
        <f t="shared" si="7"/>
        <v>0</v>
      </c>
      <c r="BH13" s="6">
        <f t="shared" si="7"/>
        <v>0</v>
      </c>
      <c r="BI13" s="6">
        <f t="shared" si="7"/>
        <v>0</v>
      </c>
      <c r="BJ13" s="6">
        <f t="shared" si="7"/>
        <v>0</v>
      </c>
      <c r="BK13" s="6">
        <f t="shared" si="7"/>
        <v>0</v>
      </c>
      <c r="BL13" s="6">
        <f t="shared" si="7"/>
        <v>0</v>
      </c>
      <c r="BM13" s="6">
        <f t="shared" si="7"/>
        <v>0</v>
      </c>
      <c r="BN13" s="6">
        <f t="shared" si="7"/>
        <v>0</v>
      </c>
      <c r="BO13" s="6">
        <f t="shared" si="7"/>
        <v>0</v>
      </c>
      <c r="BP13" s="6">
        <f t="shared" si="7"/>
        <v>0</v>
      </c>
      <c r="BQ13" s="6"/>
      <c r="BR13" s="6">
        <v>10</v>
      </c>
      <c r="BS13" s="6">
        <f t="shared" si="8"/>
        <v>0</v>
      </c>
      <c r="BT13" s="6">
        <f t="shared" si="9"/>
        <v>0</v>
      </c>
      <c r="BU13" s="6">
        <f t="shared" si="10"/>
        <v>0</v>
      </c>
      <c r="BV13" s="6">
        <f t="shared" si="11"/>
        <v>0</v>
      </c>
      <c r="BW13" s="6">
        <f t="shared" si="12"/>
        <v>0</v>
      </c>
      <c r="BX13" s="6">
        <f t="shared" si="13"/>
        <v>0</v>
      </c>
      <c r="BY13" s="6">
        <f t="shared" si="14"/>
        <v>0</v>
      </c>
      <c r="BZ13" s="6">
        <f t="shared" si="15"/>
        <v>0</v>
      </c>
      <c r="CA13" s="6">
        <f t="shared" si="16"/>
        <v>0</v>
      </c>
      <c r="CB13" s="6">
        <f t="shared" si="17"/>
        <v>0</v>
      </c>
      <c r="CC13" s="6">
        <f t="shared" si="18"/>
        <v>0</v>
      </c>
      <c r="CD13" s="6">
        <f t="shared" si="19"/>
        <v>0</v>
      </c>
      <c r="CE13" s="6">
        <f t="shared" si="20"/>
        <v>0</v>
      </c>
    </row>
    <row r="14" spans="1:83" x14ac:dyDescent="0.25">
      <c r="A14" s="81">
        <f t="shared" si="21"/>
        <v>1</v>
      </c>
      <c r="B14" s="25">
        <v>11</v>
      </c>
      <c r="C14" s="70" t="s">
        <v>76</v>
      </c>
      <c r="D14" s="90"/>
      <c r="E14" s="91"/>
      <c r="F14" s="25">
        <v>1000</v>
      </c>
      <c r="G14" s="6"/>
      <c r="H14" s="79" t="str">
        <f t="shared" si="38"/>
        <v/>
      </c>
      <c r="I14" s="79" t="str">
        <f t="shared" si="38"/>
        <v/>
      </c>
      <c r="J14" s="79" t="str">
        <f t="shared" si="38"/>
        <v/>
      </c>
      <c r="K14" s="79" t="str">
        <f t="shared" si="38"/>
        <v/>
      </c>
      <c r="L14" s="79" t="str">
        <f t="shared" si="38"/>
        <v/>
      </c>
      <c r="M14" s="79" t="str">
        <f t="shared" si="38"/>
        <v/>
      </c>
      <c r="N14" s="79" t="str">
        <f t="shared" si="38"/>
        <v/>
      </c>
      <c r="O14" s="79" t="str">
        <f t="shared" si="38"/>
        <v/>
      </c>
      <c r="P14" s="79" t="str">
        <f t="shared" si="38"/>
        <v/>
      </c>
      <c r="Q14" s="79" t="str">
        <f t="shared" si="38"/>
        <v/>
      </c>
      <c r="R14" s="78" t="str">
        <f>IF((SUMIF($BC$21:$BC$102,$B14*100+R$3,$BA$22:$BA$103)+SUMIF($BC$21:$BC$102,$B14+R$3*100,$BA$22:$BA$103))=1,(SUMIF($BC$21:$BC$102,$B14*100+R$3,$J$19:$J$99)+SUMIF($BD$21:$BD$102,$B14*100+R$3,$M$19:$M$99)),"")</f>
        <v/>
      </c>
      <c r="S14" s="76" t="str">
        <f t="shared" si="0"/>
        <v/>
      </c>
      <c r="T14" s="76" t="str">
        <f t="shared" si="0"/>
        <v/>
      </c>
      <c r="U14" s="76" t="str">
        <f t="shared" si="0"/>
        <v/>
      </c>
      <c r="V14" s="8">
        <f t="shared" si="22"/>
        <v>0</v>
      </c>
      <c r="W14" s="8">
        <f t="shared" si="23"/>
        <v>0</v>
      </c>
      <c r="X14" s="8">
        <f t="shared" si="24"/>
        <v>1</v>
      </c>
      <c r="Z14" s="31">
        <v>11</v>
      </c>
      <c r="AA14" s="32">
        <v>5</v>
      </c>
      <c r="AB14" s="33" t="str">
        <f t="shared" si="25"/>
        <v>L</v>
      </c>
      <c r="AC14" s="34">
        <f t="shared" si="26"/>
        <v>0</v>
      </c>
      <c r="AD14" s="34" t="e">
        <f t="shared" si="1"/>
        <v>#N/A</v>
      </c>
      <c r="AE14" s="55">
        <f t="shared" si="27"/>
        <v>0</v>
      </c>
      <c r="AF14" s="34" t="e">
        <f t="shared" si="2"/>
        <v>#N/A</v>
      </c>
      <c r="AG14" s="35" t="e">
        <f t="shared" si="3"/>
        <v>#N/A</v>
      </c>
      <c r="AH14" s="56"/>
      <c r="AI14" s="12">
        <f t="shared" si="28"/>
        <v>0</v>
      </c>
      <c r="AJ14" s="12">
        <f t="shared" si="29"/>
        <v>0</v>
      </c>
      <c r="AK14" s="12">
        <f t="shared" si="30"/>
        <v>0</v>
      </c>
      <c r="AL14" s="12">
        <f t="shared" si="31"/>
        <v>0</v>
      </c>
      <c r="AM14" s="12">
        <f t="shared" si="32"/>
        <v>0</v>
      </c>
      <c r="AN14" s="12">
        <f t="shared" si="33"/>
        <v>0</v>
      </c>
      <c r="AO14" s="12"/>
      <c r="AP14" s="12">
        <f t="shared" si="34"/>
        <v>0</v>
      </c>
      <c r="AQ14" s="12">
        <f t="shared" si="35"/>
        <v>0</v>
      </c>
      <c r="AR14" s="12">
        <f t="shared" si="36"/>
        <v>0</v>
      </c>
      <c r="AS14" s="12">
        <f t="shared" si="37"/>
        <v>1</v>
      </c>
      <c r="AT14" s="6"/>
      <c r="AU14" s="6"/>
      <c r="AV14" s="6"/>
      <c r="AW14" s="6"/>
      <c r="AX14" s="37">
        <v>11</v>
      </c>
      <c r="AY14" s="38">
        <f t="shared" si="4"/>
        <v>0</v>
      </c>
      <c r="AZ14" s="39">
        <f t="shared" ca="1" si="5"/>
        <v>0</v>
      </c>
      <c r="BA14" s="39">
        <f t="shared" si="6"/>
        <v>0</v>
      </c>
      <c r="BB14" s="6"/>
      <c r="BC14" s="6">
        <v>11</v>
      </c>
      <c r="BD14" s="6">
        <f t="shared" si="7"/>
        <v>0</v>
      </c>
      <c r="BE14" s="6">
        <f t="shared" si="7"/>
        <v>0</v>
      </c>
      <c r="BF14" s="6">
        <f t="shared" si="7"/>
        <v>0</v>
      </c>
      <c r="BG14" s="6">
        <f t="shared" si="7"/>
        <v>0</v>
      </c>
      <c r="BH14" s="6">
        <f t="shared" si="7"/>
        <v>0</v>
      </c>
      <c r="BI14" s="6">
        <f t="shared" si="7"/>
        <v>0</v>
      </c>
      <c r="BJ14" s="6">
        <f t="shared" si="7"/>
        <v>0</v>
      </c>
      <c r="BK14" s="6">
        <f t="shared" si="7"/>
        <v>0</v>
      </c>
      <c r="BL14" s="6">
        <f t="shared" si="7"/>
        <v>0</v>
      </c>
      <c r="BM14" s="6">
        <f t="shared" si="7"/>
        <v>0</v>
      </c>
      <c r="BN14" s="6">
        <f t="shared" si="7"/>
        <v>0</v>
      </c>
      <c r="BO14" s="6">
        <f t="shared" si="7"/>
        <v>0</v>
      </c>
      <c r="BP14" s="6">
        <f t="shared" si="7"/>
        <v>0</v>
      </c>
      <c r="BQ14" s="6"/>
      <c r="BR14" s="6">
        <v>11</v>
      </c>
      <c r="BS14" s="6">
        <f t="shared" si="8"/>
        <v>0</v>
      </c>
      <c r="BT14" s="6">
        <f t="shared" si="9"/>
        <v>0</v>
      </c>
      <c r="BU14" s="6">
        <f t="shared" si="10"/>
        <v>0</v>
      </c>
      <c r="BV14" s="6">
        <f t="shared" si="11"/>
        <v>0</v>
      </c>
      <c r="BW14" s="6">
        <f t="shared" si="12"/>
        <v>0</v>
      </c>
      <c r="BX14" s="6">
        <f t="shared" si="13"/>
        <v>0</v>
      </c>
      <c r="BY14" s="6">
        <f t="shared" si="14"/>
        <v>0</v>
      </c>
      <c r="BZ14" s="6">
        <f t="shared" si="15"/>
        <v>0</v>
      </c>
      <c r="CA14" s="6">
        <f t="shared" si="16"/>
        <v>0</v>
      </c>
      <c r="CB14" s="6">
        <f t="shared" si="17"/>
        <v>0</v>
      </c>
      <c r="CC14" s="6">
        <f t="shared" si="18"/>
        <v>0</v>
      </c>
      <c r="CD14" s="6">
        <f t="shared" si="19"/>
        <v>0</v>
      </c>
      <c r="CE14" s="6">
        <f t="shared" si="20"/>
        <v>0</v>
      </c>
    </row>
    <row r="15" spans="1:83" x14ac:dyDescent="0.25">
      <c r="A15" s="81">
        <f t="shared" si="21"/>
        <v>1</v>
      </c>
      <c r="B15" s="25">
        <v>12</v>
      </c>
      <c r="C15" s="25" t="s">
        <v>77</v>
      </c>
      <c r="D15" s="90"/>
      <c r="E15" s="91"/>
      <c r="F15" s="25">
        <v>1000</v>
      </c>
      <c r="G15" s="6"/>
      <c r="H15" s="79" t="str">
        <f t="shared" si="38"/>
        <v/>
      </c>
      <c r="I15" s="79" t="str">
        <f t="shared" si="38"/>
        <v/>
      </c>
      <c r="J15" s="79" t="str">
        <f t="shared" si="38"/>
        <v/>
      </c>
      <c r="K15" s="79" t="str">
        <f t="shared" si="38"/>
        <v/>
      </c>
      <c r="L15" s="79" t="str">
        <f t="shared" si="38"/>
        <v/>
      </c>
      <c r="M15" s="79" t="str">
        <f t="shared" si="38"/>
        <v/>
      </c>
      <c r="N15" s="79" t="str">
        <f t="shared" si="38"/>
        <v/>
      </c>
      <c r="O15" s="79" t="str">
        <f t="shared" si="38"/>
        <v/>
      </c>
      <c r="P15" s="79" t="str">
        <f t="shared" si="38"/>
        <v/>
      </c>
      <c r="Q15" s="79" t="str">
        <f t="shared" si="38"/>
        <v/>
      </c>
      <c r="R15" s="79" t="str">
        <f t="shared" si="38"/>
        <v/>
      </c>
      <c r="S15" s="78" t="str">
        <f>IF((SUMIF($BC$21:$BC$102,$B15*100+S$3,$BA$22:$BA$103)+SUMIF($BC$21:$BC$102,$B15+S$3*100,$BA$22:$BA$103))=1,(SUMIF($BC$21:$BC$102,$B15*100+S$3,$J$19:$J$99)+SUMIF($BD$21:$BD$102,$B15*100+S$3,$M$19:$M$99)),"")</f>
        <v/>
      </c>
      <c r="T15" s="76" t="str">
        <f t="shared" si="0"/>
        <v/>
      </c>
      <c r="U15" s="76" t="str">
        <f t="shared" si="0"/>
        <v/>
      </c>
      <c r="V15" s="8">
        <f t="shared" si="22"/>
        <v>0</v>
      </c>
      <c r="W15" s="8">
        <f t="shared" si="23"/>
        <v>0</v>
      </c>
      <c r="X15" s="8">
        <f t="shared" si="24"/>
        <v>1</v>
      </c>
      <c r="Z15" s="31">
        <v>12</v>
      </c>
      <c r="AA15" s="32">
        <v>3</v>
      </c>
      <c r="AB15" s="33" t="str">
        <f t="shared" si="25"/>
        <v>M</v>
      </c>
      <c r="AC15" s="34">
        <f t="shared" si="26"/>
        <v>0</v>
      </c>
      <c r="AD15" s="34" t="e">
        <f t="shared" si="1"/>
        <v>#N/A</v>
      </c>
      <c r="AE15" s="55">
        <f t="shared" si="27"/>
        <v>0</v>
      </c>
      <c r="AF15" s="34" t="e">
        <f t="shared" si="2"/>
        <v>#N/A</v>
      </c>
      <c r="AG15" s="35" t="e">
        <f t="shared" si="3"/>
        <v>#N/A</v>
      </c>
      <c r="AH15" s="56"/>
      <c r="AI15" s="12">
        <f t="shared" si="28"/>
        <v>0</v>
      </c>
      <c r="AJ15" s="12">
        <f t="shared" si="29"/>
        <v>0</v>
      </c>
      <c r="AK15" s="12">
        <f t="shared" si="30"/>
        <v>0</v>
      </c>
      <c r="AL15" s="12">
        <f t="shared" si="31"/>
        <v>0</v>
      </c>
      <c r="AM15" s="12">
        <f t="shared" si="32"/>
        <v>0</v>
      </c>
      <c r="AN15" s="12">
        <f t="shared" si="33"/>
        <v>0</v>
      </c>
      <c r="AO15" s="12"/>
      <c r="AP15" s="12">
        <f t="shared" si="34"/>
        <v>0</v>
      </c>
      <c r="AQ15" s="12">
        <f t="shared" si="35"/>
        <v>0</v>
      </c>
      <c r="AR15" s="12">
        <f t="shared" si="36"/>
        <v>0</v>
      </c>
      <c r="AS15" s="12">
        <f t="shared" si="37"/>
        <v>1</v>
      </c>
      <c r="AT15" s="6"/>
      <c r="AU15" s="6"/>
      <c r="AV15" s="6"/>
      <c r="AW15" s="6"/>
      <c r="AX15" s="37">
        <v>12</v>
      </c>
      <c r="AY15" s="38">
        <f t="shared" si="4"/>
        <v>0</v>
      </c>
      <c r="AZ15" s="39">
        <f t="shared" ca="1" si="5"/>
        <v>0</v>
      </c>
      <c r="BA15" s="39">
        <f t="shared" si="6"/>
        <v>0</v>
      </c>
      <c r="BB15" s="6"/>
      <c r="BC15" s="6">
        <v>12</v>
      </c>
      <c r="BD15" s="6">
        <f t="shared" si="7"/>
        <v>0</v>
      </c>
      <c r="BE15" s="6">
        <f t="shared" si="7"/>
        <v>0</v>
      </c>
      <c r="BF15" s="6">
        <f t="shared" si="7"/>
        <v>0</v>
      </c>
      <c r="BG15" s="6">
        <f t="shared" si="7"/>
        <v>0</v>
      </c>
      <c r="BH15" s="6">
        <f t="shared" si="7"/>
        <v>0</v>
      </c>
      <c r="BI15" s="6">
        <f t="shared" si="7"/>
        <v>0</v>
      </c>
      <c r="BJ15" s="6">
        <f t="shared" si="7"/>
        <v>0</v>
      </c>
      <c r="BK15" s="6">
        <f t="shared" si="7"/>
        <v>0</v>
      </c>
      <c r="BL15" s="6">
        <f t="shared" si="7"/>
        <v>0</v>
      </c>
      <c r="BM15" s="6">
        <f t="shared" si="7"/>
        <v>0</v>
      </c>
      <c r="BN15" s="6">
        <f t="shared" si="7"/>
        <v>0</v>
      </c>
      <c r="BO15" s="6">
        <f t="shared" si="7"/>
        <v>0</v>
      </c>
      <c r="BP15" s="6">
        <f t="shared" si="7"/>
        <v>0</v>
      </c>
      <c r="BQ15" s="6"/>
      <c r="BR15" s="6">
        <v>12</v>
      </c>
      <c r="BS15" s="6">
        <f t="shared" si="8"/>
        <v>0</v>
      </c>
      <c r="BT15" s="6">
        <f t="shared" si="9"/>
        <v>0</v>
      </c>
      <c r="BU15" s="6">
        <f t="shared" si="10"/>
        <v>0</v>
      </c>
      <c r="BV15" s="6">
        <f t="shared" si="11"/>
        <v>0</v>
      </c>
      <c r="BW15" s="6">
        <f t="shared" si="12"/>
        <v>0</v>
      </c>
      <c r="BX15" s="6">
        <f t="shared" si="13"/>
        <v>0</v>
      </c>
      <c r="BY15" s="6">
        <f t="shared" si="14"/>
        <v>0</v>
      </c>
      <c r="BZ15" s="6">
        <f t="shared" si="15"/>
        <v>0</v>
      </c>
      <c r="CA15" s="6">
        <f t="shared" si="16"/>
        <v>0</v>
      </c>
      <c r="CB15" s="6">
        <f t="shared" si="17"/>
        <v>0</v>
      </c>
      <c r="CC15" s="6">
        <f t="shared" si="18"/>
        <v>0</v>
      </c>
      <c r="CD15" s="6">
        <f t="shared" si="19"/>
        <v>0</v>
      </c>
      <c r="CE15" s="6">
        <f t="shared" si="20"/>
        <v>0</v>
      </c>
    </row>
    <row r="16" spans="1:83" x14ac:dyDescent="0.25">
      <c r="A16" s="81">
        <f>X16</f>
        <v>1</v>
      </c>
      <c r="B16" s="25">
        <v>13</v>
      </c>
      <c r="C16" s="25" t="s">
        <v>79</v>
      </c>
      <c r="D16" s="90"/>
      <c r="E16" s="91"/>
      <c r="F16" s="25">
        <v>1000</v>
      </c>
      <c r="G16" s="6"/>
      <c r="H16" s="79" t="str">
        <f t="shared" si="38"/>
        <v/>
      </c>
      <c r="I16" s="79" t="str">
        <f t="shared" si="38"/>
        <v/>
      </c>
      <c r="J16" s="79" t="str">
        <f t="shared" si="38"/>
        <v/>
      </c>
      <c r="K16" s="79" t="str">
        <f t="shared" si="38"/>
        <v/>
      </c>
      <c r="L16" s="79" t="str">
        <f t="shared" si="38"/>
        <v/>
      </c>
      <c r="M16" s="79" t="str">
        <f t="shared" si="38"/>
        <v/>
      </c>
      <c r="N16" s="79" t="str">
        <f t="shared" si="38"/>
        <v/>
      </c>
      <c r="O16" s="79" t="str">
        <f t="shared" si="38"/>
        <v/>
      </c>
      <c r="P16" s="79" t="str">
        <f t="shared" si="38"/>
        <v/>
      </c>
      <c r="Q16" s="79" t="str">
        <f t="shared" si="38"/>
        <v/>
      </c>
      <c r="R16" s="79" t="str">
        <f t="shared" si="38"/>
        <v/>
      </c>
      <c r="S16" s="79" t="str">
        <f t="shared" si="38"/>
        <v/>
      </c>
      <c r="T16" s="78" t="str">
        <f>IF((SUMIF($BC$21:$BC$102,$B16*100+T$3,$BA$22:$BA$103)+SUMIF($BC$21:$BC$102,$B16+T$3*100,$BA$22:$BA$103))=1,(SUMIF($BC$21:$BC$102,$B16*100+T$3,$J$19:$J$99)+SUMIF($BD$21:$BD$102,$B16*100+T$3,$M$19:$M$99)),"")</f>
        <v/>
      </c>
      <c r="U16" s="76" t="str">
        <f t="shared" si="0"/>
        <v/>
      </c>
      <c r="V16" s="8">
        <f t="shared" si="22"/>
        <v>0</v>
      </c>
      <c r="W16" s="8">
        <f t="shared" si="23"/>
        <v>0</v>
      </c>
      <c r="X16" s="8">
        <f t="shared" si="24"/>
        <v>1</v>
      </c>
      <c r="Z16" s="31">
        <v>13</v>
      </c>
      <c r="AA16" s="32">
        <v>2</v>
      </c>
      <c r="AB16" s="33" t="str">
        <f t="shared" si="25"/>
        <v>N</v>
      </c>
      <c r="AC16" s="34">
        <f t="shared" si="26"/>
        <v>0</v>
      </c>
      <c r="AD16" s="34" t="e">
        <f t="shared" si="1"/>
        <v>#N/A</v>
      </c>
      <c r="AE16" s="55">
        <f t="shared" si="27"/>
        <v>0</v>
      </c>
      <c r="AF16" s="34" t="e">
        <f t="shared" si="2"/>
        <v>#N/A</v>
      </c>
      <c r="AG16" s="35" t="e">
        <f t="shared" si="3"/>
        <v>#N/A</v>
      </c>
      <c r="AH16" s="56"/>
      <c r="AI16" s="12">
        <f t="shared" si="28"/>
        <v>0</v>
      </c>
      <c r="AJ16" s="12">
        <f t="shared" si="29"/>
        <v>0</v>
      </c>
      <c r="AK16" s="12">
        <f t="shared" si="30"/>
        <v>0</v>
      </c>
      <c r="AL16" s="12">
        <f t="shared" si="31"/>
        <v>0</v>
      </c>
      <c r="AM16" s="12">
        <f t="shared" si="32"/>
        <v>0</v>
      </c>
      <c r="AN16" s="12">
        <f t="shared" si="33"/>
        <v>0</v>
      </c>
      <c r="AO16" s="12"/>
      <c r="AP16" s="12">
        <f t="shared" si="34"/>
        <v>0</v>
      </c>
      <c r="AQ16" s="12">
        <f t="shared" si="35"/>
        <v>0</v>
      </c>
      <c r="AR16" s="12">
        <f t="shared" si="36"/>
        <v>0</v>
      </c>
      <c r="AS16" s="12">
        <f t="shared" si="37"/>
        <v>1</v>
      </c>
      <c r="AT16" s="6"/>
      <c r="AU16" s="6"/>
      <c r="AV16" s="6"/>
      <c r="AW16" s="6"/>
      <c r="AX16" s="37">
        <v>13</v>
      </c>
      <c r="AY16" s="38">
        <f t="shared" si="4"/>
        <v>0</v>
      </c>
      <c r="AZ16" s="39">
        <f t="shared" ca="1" si="5"/>
        <v>0</v>
      </c>
      <c r="BA16" s="39">
        <f t="shared" si="6"/>
        <v>0</v>
      </c>
      <c r="BB16" s="6"/>
      <c r="BC16" s="6">
        <v>13</v>
      </c>
      <c r="BD16" s="6">
        <f t="shared" si="7"/>
        <v>0</v>
      </c>
      <c r="BE16" s="6">
        <f t="shared" si="7"/>
        <v>0</v>
      </c>
      <c r="BF16" s="6">
        <f t="shared" si="7"/>
        <v>0</v>
      </c>
      <c r="BG16" s="6">
        <f t="shared" si="7"/>
        <v>0</v>
      </c>
      <c r="BH16" s="6">
        <f t="shared" si="7"/>
        <v>0</v>
      </c>
      <c r="BI16" s="6">
        <f t="shared" si="7"/>
        <v>0</v>
      </c>
      <c r="BJ16" s="6">
        <f t="shared" si="7"/>
        <v>0</v>
      </c>
      <c r="BK16" s="6">
        <f t="shared" si="7"/>
        <v>0</v>
      </c>
      <c r="BL16" s="6">
        <f t="shared" si="7"/>
        <v>0</v>
      </c>
      <c r="BM16" s="6">
        <f t="shared" si="7"/>
        <v>0</v>
      </c>
      <c r="BN16" s="6">
        <f t="shared" si="7"/>
        <v>0</v>
      </c>
      <c r="BO16" s="6">
        <f t="shared" si="7"/>
        <v>0</v>
      </c>
      <c r="BP16" s="6">
        <f t="shared" si="7"/>
        <v>0</v>
      </c>
      <c r="BQ16" s="6"/>
      <c r="BR16" s="6">
        <v>13</v>
      </c>
      <c r="BS16" s="6">
        <f t="shared" si="8"/>
        <v>0</v>
      </c>
      <c r="BT16" s="6">
        <f t="shared" si="9"/>
        <v>0</v>
      </c>
      <c r="BU16" s="6">
        <f t="shared" si="10"/>
        <v>0</v>
      </c>
      <c r="BV16" s="6">
        <f t="shared" si="11"/>
        <v>0</v>
      </c>
      <c r="BW16" s="6">
        <f t="shared" si="12"/>
        <v>0</v>
      </c>
      <c r="BX16" s="6">
        <f t="shared" si="13"/>
        <v>0</v>
      </c>
      <c r="BY16" s="6">
        <f t="shared" si="14"/>
        <v>0</v>
      </c>
      <c r="BZ16" s="6">
        <f t="shared" si="15"/>
        <v>0</v>
      </c>
      <c r="CA16" s="6">
        <f t="shared" si="16"/>
        <v>0</v>
      </c>
      <c r="CB16" s="6">
        <f t="shared" si="17"/>
        <v>0</v>
      </c>
      <c r="CC16" s="6">
        <f t="shared" si="18"/>
        <v>0</v>
      </c>
      <c r="CD16" s="6">
        <f t="shared" si="19"/>
        <v>0</v>
      </c>
      <c r="CE16" s="6">
        <f t="shared" si="20"/>
        <v>0</v>
      </c>
    </row>
    <row r="17" spans="1:83" x14ac:dyDescent="0.25">
      <c r="A17" s="81">
        <f t="shared" si="21"/>
        <v>1</v>
      </c>
      <c r="B17" s="25">
        <v>14</v>
      </c>
      <c r="C17" s="25" t="s">
        <v>78</v>
      </c>
      <c r="D17" s="88"/>
      <c r="E17" s="89"/>
      <c r="F17" s="25">
        <v>1000</v>
      </c>
      <c r="G17" s="6"/>
      <c r="H17" s="79" t="str">
        <f t="shared" si="38"/>
        <v/>
      </c>
      <c r="I17" s="79" t="str">
        <f t="shared" si="38"/>
        <v/>
      </c>
      <c r="J17" s="79" t="str">
        <f t="shared" si="38"/>
        <v/>
      </c>
      <c r="K17" s="79" t="str">
        <f t="shared" si="38"/>
        <v/>
      </c>
      <c r="L17" s="79" t="str">
        <f t="shared" si="38"/>
        <v/>
      </c>
      <c r="M17" s="79" t="str">
        <f t="shared" si="38"/>
        <v/>
      </c>
      <c r="N17" s="79" t="str">
        <f t="shared" si="38"/>
        <v/>
      </c>
      <c r="O17" s="79" t="str">
        <f t="shared" si="38"/>
        <v/>
      </c>
      <c r="P17" s="79" t="str">
        <f t="shared" si="38"/>
        <v/>
      </c>
      <c r="Q17" s="79" t="str">
        <f t="shared" si="38"/>
        <v/>
      </c>
      <c r="R17" s="79" t="str">
        <f t="shared" si="38"/>
        <v/>
      </c>
      <c r="S17" s="79" t="str">
        <f t="shared" si="38"/>
        <v/>
      </c>
      <c r="T17" s="79" t="str">
        <f t="shared" si="38"/>
        <v/>
      </c>
      <c r="U17" s="78" t="str">
        <f>IF((SUMIF($BC$21:$BC$102,$B17*100+U$3,$BA$22:$BA$103)+SUMIF($BC$21:$BC$102,$B17+U$3*100,$BA$22:$BA$103))=1,(SUMIF($BC$21:$BC$102,$B17*100+U$3,$J$19:$J$99)+SUMIF($BD$21:$BD$102,$B17*100+U$3,$M$19:$M$99)),"")</f>
        <v/>
      </c>
      <c r="V17" s="8">
        <f t="shared" si="22"/>
        <v>0</v>
      </c>
      <c r="W17" s="8">
        <f t="shared" si="23"/>
        <v>0</v>
      </c>
      <c r="X17" s="8">
        <f t="shared" si="24"/>
        <v>1</v>
      </c>
      <c r="Z17" s="31">
        <v>14</v>
      </c>
      <c r="AA17" s="32">
        <v>1</v>
      </c>
      <c r="AB17" s="33" t="str">
        <f t="shared" si="25"/>
        <v>O</v>
      </c>
      <c r="AC17" s="34">
        <f t="shared" si="26"/>
        <v>0</v>
      </c>
      <c r="AD17" s="34" t="e">
        <f>VLOOKUP($W13,$AT$4:$AW$13,2,FALSE)</f>
        <v>#N/A</v>
      </c>
      <c r="AE17" s="55">
        <f t="shared" si="27"/>
        <v>0</v>
      </c>
      <c r="AF17" s="34" t="e">
        <f>VLOOKUP($W13,$AT$4:$AW$13,4,FALSE)</f>
        <v>#N/A</v>
      </c>
      <c r="AG17" s="35" t="e">
        <f>VLOOKUP($W13,$B$4:$R$13,5,FALSE)</f>
        <v>#N/A</v>
      </c>
      <c r="AH17" s="56"/>
      <c r="AI17" s="12">
        <f t="shared" si="28"/>
        <v>0</v>
      </c>
      <c r="AJ17" s="12">
        <f t="shared" si="29"/>
        <v>0</v>
      </c>
      <c r="AK17" s="12">
        <f t="shared" si="30"/>
        <v>0</v>
      </c>
      <c r="AL17" s="12">
        <f t="shared" si="31"/>
        <v>0</v>
      </c>
      <c r="AM17" s="12">
        <f t="shared" si="32"/>
        <v>0</v>
      </c>
      <c r="AN17" s="12">
        <f t="shared" si="33"/>
        <v>0</v>
      </c>
      <c r="AO17" s="12"/>
      <c r="AP17" s="12">
        <f t="shared" si="34"/>
        <v>0</v>
      </c>
      <c r="AQ17" s="12">
        <f t="shared" si="35"/>
        <v>0</v>
      </c>
      <c r="AR17" s="12">
        <f t="shared" si="36"/>
        <v>0</v>
      </c>
      <c r="AS17" s="12">
        <f t="shared" si="37"/>
        <v>1</v>
      </c>
      <c r="AT17" s="6"/>
      <c r="AU17" s="6"/>
      <c r="AV17" s="6"/>
      <c r="AW17" s="6"/>
      <c r="AX17" s="37">
        <v>14</v>
      </c>
      <c r="AY17" s="38">
        <f t="shared" si="4"/>
        <v>0</v>
      </c>
      <c r="AZ17" s="39">
        <f t="shared" ca="1" si="5"/>
        <v>0</v>
      </c>
      <c r="BA17" s="39">
        <f t="shared" si="6"/>
        <v>0</v>
      </c>
      <c r="BB17" s="6"/>
      <c r="BC17" s="6">
        <v>14</v>
      </c>
      <c r="BD17" s="6">
        <f t="shared" si="7"/>
        <v>0</v>
      </c>
      <c r="BE17" s="6">
        <f t="shared" si="7"/>
        <v>0</v>
      </c>
      <c r="BF17" s="6">
        <f t="shared" si="7"/>
        <v>0</v>
      </c>
      <c r="BG17" s="6">
        <f t="shared" si="7"/>
        <v>0</v>
      </c>
      <c r="BH17" s="6">
        <f t="shared" si="7"/>
        <v>0</v>
      </c>
      <c r="BI17" s="6">
        <f t="shared" si="7"/>
        <v>0</v>
      </c>
      <c r="BJ17" s="6">
        <f t="shared" si="7"/>
        <v>0</v>
      </c>
      <c r="BK17" s="6">
        <f t="shared" si="7"/>
        <v>0</v>
      </c>
      <c r="BL17" s="6">
        <f t="shared" si="7"/>
        <v>0</v>
      </c>
      <c r="BM17" s="6">
        <f t="shared" si="7"/>
        <v>0</v>
      </c>
      <c r="BN17" s="6">
        <f t="shared" si="7"/>
        <v>0</v>
      </c>
      <c r="BO17" s="6">
        <f t="shared" si="7"/>
        <v>0</v>
      </c>
      <c r="BP17" s="6">
        <f t="shared" si="7"/>
        <v>0</v>
      </c>
      <c r="BQ17" s="6"/>
      <c r="BR17" s="6">
        <v>14</v>
      </c>
      <c r="BS17" s="6">
        <f t="shared" si="8"/>
        <v>0</v>
      </c>
      <c r="BT17" s="6">
        <f t="shared" si="9"/>
        <v>0</v>
      </c>
      <c r="BU17" s="6">
        <f t="shared" si="10"/>
        <v>0</v>
      </c>
      <c r="BV17" s="6">
        <f t="shared" si="11"/>
        <v>0</v>
      </c>
      <c r="BW17" s="6">
        <f t="shared" si="12"/>
        <v>0</v>
      </c>
      <c r="BX17" s="6">
        <f t="shared" si="13"/>
        <v>0</v>
      </c>
      <c r="BY17" s="6">
        <f t="shared" si="14"/>
        <v>0</v>
      </c>
      <c r="BZ17" s="6">
        <f t="shared" si="15"/>
        <v>0</v>
      </c>
      <c r="CA17" s="6">
        <f t="shared" si="16"/>
        <v>0</v>
      </c>
      <c r="CB17" s="6">
        <f t="shared" si="17"/>
        <v>0</v>
      </c>
      <c r="CC17" s="6">
        <f t="shared" si="18"/>
        <v>0</v>
      </c>
      <c r="CD17" s="6">
        <f t="shared" si="19"/>
        <v>0</v>
      </c>
      <c r="CE17" s="6">
        <f t="shared" si="20"/>
        <v>0</v>
      </c>
    </row>
    <row r="18" spans="1:83" x14ac:dyDescent="0.2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0"/>
      <c r="X18" s="6"/>
      <c r="Z18" s="6"/>
      <c r="AA18" s="6"/>
      <c r="AB18" s="6"/>
      <c r="AC18" s="34"/>
      <c r="AD18" s="6"/>
      <c r="AE18" s="6"/>
      <c r="AF18" s="6"/>
      <c r="AG18" s="6"/>
      <c r="AH18" s="6"/>
      <c r="AI18" s="80">
        <f>2*MAX(AI4:AI17)+1</f>
        <v>1</v>
      </c>
      <c r="AJ18" s="6"/>
      <c r="AK18" s="80">
        <f>2*MAX(AK4:AK17)+1</f>
        <v>1</v>
      </c>
      <c r="AL18" s="6"/>
      <c r="AM18" s="80">
        <f>2*MAX(AM4:AM17)+1</f>
        <v>1</v>
      </c>
      <c r="AN18" s="6"/>
      <c r="AO18" s="6"/>
      <c r="AP18" s="6"/>
      <c r="AQ18" s="6"/>
      <c r="AR18" s="6"/>
      <c r="AS18" s="56"/>
      <c r="AT18" s="6"/>
      <c r="AU18" s="6"/>
      <c r="AV18" s="6"/>
      <c r="AW18" s="6"/>
      <c r="AX18" s="71"/>
      <c r="AY18" s="72"/>
      <c r="AZ18" s="72"/>
      <c r="BA18" s="72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</row>
    <row r="19" spans="1:83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41" t="s">
        <v>39</v>
      </c>
      <c r="AY19" s="41" t="s">
        <v>0</v>
      </c>
      <c r="AZ19" s="41" t="s">
        <v>1</v>
      </c>
      <c r="BA19" s="41" t="s">
        <v>2</v>
      </c>
      <c r="BB19" s="6"/>
      <c r="BC19" s="42" t="s">
        <v>37</v>
      </c>
      <c r="BD19" s="42" t="s">
        <v>38</v>
      </c>
      <c r="BE19" s="6" t="s">
        <v>18</v>
      </c>
      <c r="BF19" s="6" t="s">
        <v>19</v>
      </c>
      <c r="BG19" s="6" t="s">
        <v>20</v>
      </c>
      <c r="BH19" s="6" t="s">
        <v>21</v>
      </c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</row>
    <row r="20" spans="1:83" x14ac:dyDescent="0.25">
      <c r="B20" s="45" t="s">
        <v>3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48"/>
      <c r="BD20" s="48"/>
      <c r="BE20" s="6">
        <v>0</v>
      </c>
      <c r="BF20" s="6">
        <v>0</v>
      </c>
      <c r="BG20" s="6">
        <f>N18*BF20</f>
        <v>0</v>
      </c>
      <c r="BH20" s="6">
        <f>Q18*BE20</f>
        <v>0</v>
      </c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</row>
    <row r="21" spans="1:83" x14ac:dyDescent="0.25">
      <c r="B21" s="6">
        <v>1</v>
      </c>
      <c r="C21" s="6" t="str">
        <f>VLOOKUP(AY21,$B$4:$F$17,2,FALSE)</f>
        <v>A</v>
      </c>
      <c r="D21" s="46" t="s">
        <v>5</v>
      </c>
      <c r="E21" s="84" t="str">
        <f t="shared" ref="E21:E27" si="39">VLOOKUP(AZ21,$B$4:$F$17,2,FALSE)</f>
        <v>O</v>
      </c>
      <c r="F21" s="84"/>
      <c r="G21" s="84"/>
      <c r="H21" s="84"/>
      <c r="I21" s="6"/>
      <c r="J21" s="84" t="str">
        <f>IF(X21="","",VLOOKUP(X21,Configuratie!$B$1:$E$10,3,FALSE))</f>
        <v/>
      </c>
      <c r="K21" s="84"/>
      <c r="L21" s="6" t="s">
        <v>5</v>
      </c>
      <c r="M21" s="84" t="str">
        <f>IF(X21="","",VLOOKUP(X21,Configuratie!$B$1:$E$10,4,FALSE))</f>
        <v/>
      </c>
      <c r="N21" s="84"/>
      <c r="O21" s="6"/>
      <c r="P21" s="6"/>
      <c r="Q21" s="6"/>
      <c r="R21" s="6"/>
      <c r="S21" s="6"/>
      <c r="T21" s="6"/>
      <c r="U21" s="6"/>
      <c r="V21" s="6" t="str">
        <f>IF(X21="","",VLOOKUP(X21,Configuratie!$B$1:$E$10,2,FALSE))</f>
        <v/>
      </c>
      <c r="W21" s="61"/>
      <c r="X21" s="5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>
        <v>1</v>
      </c>
      <c r="AY21" s="6">
        <v>1</v>
      </c>
      <c r="AZ21" s="6">
        <v>14</v>
      </c>
      <c r="BA21" s="6" t="str">
        <f>IF(AND(ISNUMBER(J21),ISNUMBER(M21)),IF(J21+M21=1,1,0),"")</f>
        <v/>
      </c>
      <c r="BB21" s="6"/>
      <c r="BC21" s="48">
        <f>AY21*100+AZ21</f>
        <v>114</v>
      </c>
      <c r="BD21" s="48">
        <f>AZ21*100+AY21</f>
        <v>1401</v>
      </c>
      <c r="BE21" s="6">
        <v>0</v>
      </c>
      <c r="BF21" s="6">
        <v>0</v>
      </c>
      <c r="BG21" s="6" t="e">
        <f>#REF!*BF21</f>
        <v>#REF!</v>
      </c>
      <c r="BH21" s="6" t="e">
        <f>#REF!*BE21</f>
        <v>#REF!</v>
      </c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</row>
    <row r="22" spans="1:83" x14ac:dyDescent="0.25">
      <c r="B22" s="6">
        <v>2</v>
      </c>
      <c r="C22" s="6" t="str">
        <f t="shared" ref="C22:C27" si="40">VLOOKUP(AY22,$B$4:$F$17,2,FALSE)</f>
        <v>B</v>
      </c>
      <c r="D22" s="46" t="s">
        <v>5</v>
      </c>
      <c r="E22" s="84" t="str">
        <f t="shared" si="39"/>
        <v>N</v>
      </c>
      <c r="F22" s="84"/>
      <c r="G22" s="84"/>
      <c r="H22" s="84"/>
      <c r="I22" s="6"/>
      <c r="J22" s="84" t="str">
        <f>IF(X22="","",VLOOKUP(X22,Configuratie!$B$1:$E$10,3,FALSE))</f>
        <v/>
      </c>
      <c r="K22" s="84"/>
      <c r="L22" s="6" t="s">
        <v>5</v>
      </c>
      <c r="M22" s="84" t="str">
        <f>IF(X22="","",VLOOKUP(X22,Configuratie!$B$1:$E$10,4,FALSE))</f>
        <v/>
      </c>
      <c r="N22" s="84"/>
      <c r="O22" s="6"/>
      <c r="P22" s="6"/>
      <c r="Q22" s="6"/>
      <c r="R22" s="6"/>
      <c r="S22" s="6"/>
      <c r="T22" s="6"/>
      <c r="U22" s="6"/>
      <c r="V22" s="6" t="str">
        <f>IF(X22="","",VLOOKUP(X22,Configuratie!$B$1:$E$10,2,FALSE))</f>
        <v/>
      </c>
      <c r="W22" s="61"/>
      <c r="X22" s="5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>
        <v>1</v>
      </c>
      <c r="AY22" s="6">
        <v>2</v>
      </c>
      <c r="AZ22" s="6">
        <v>13</v>
      </c>
      <c r="BA22" s="6" t="str">
        <f t="shared" ref="BA22:BA27" si="41">IF(AND(ISNUMBER(J22),ISNUMBER(M22)),IF(J22+M22=1,1,0),"")</f>
        <v/>
      </c>
      <c r="BB22" s="6"/>
      <c r="BC22" s="48">
        <f t="shared" ref="BC22:BC27" si="42">AY22*100+AZ22</f>
        <v>213</v>
      </c>
      <c r="BD22" s="48">
        <f t="shared" ref="BD22:BD26" si="43">AZ22*100+AY22</f>
        <v>1302</v>
      </c>
      <c r="BE22" s="6">
        <v>0</v>
      </c>
      <c r="BF22" s="6">
        <v>0</v>
      </c>
      <c r="BG22" s="6">
        <f>N19*BF22</f>
        <v>0</v>
      </c>
      <c r="BH22" s="6">
        <f>Q19*BE22</f>
        <v>0</v>
      </c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</row>
    <row r="23" spans="1:83" x14ac:dyDescent="0.25">
      <c r="B23" s="6">
        <v>3</v>
      </c>
      <c r="C23" s="6" t="str">
        <f t="shared" si="40"/>
        <v>C</v>
      </c>
      <c r="D23" s="46" t="s">
        <v>5</v>
      </c>
      <c r="E23" s="84" t="str">
        <f t="shared" si="39"/>
        <v>M</v>
      </c>
      <c r="F23" s="84"/>
      <c r="G23" s="84"/>
      <c r="H23" s="84"/>
      <c r="I23" s="6"/>
      <c r="J23" s="84" t="str">
        <f>IF(X23="","",VLOOKUP(X23,Configuratie!$B$1:$E$10,3,FALSE))</f>
        <v/>
      </c>
      <c r="K23" s="84"/>
      <c r="L23" s="6" t="s">
        <v>5</v>
      </c>
      <c r="M23" s="84" t="str">
        <f>IF(X23="","",VLOOKUP(X23,Configuratie!$B$1:$E$10,4,FALSE))</f>
        <v/>
      </c>
      <c r="N23" s="84"/>
      <c r="O23" s="6"/>
      <c r="P23" s="6"/>
      <c r="Q23" s="6"/>
      <c r="R23" s="6"/>
      <c r="S23" s="6"/>
      <c r="T23" s="6"/>
      <c r="U23" s="6"/>
      <c r="V23" s="6" t="str">
        <f>IF(X23="","",VLOOKUP(X23,Configuratie!$B$1:$E$10,2,FALSE))</f>
        <v/>
      </c>
      <c r="W23" s="61"/>
      <c r="X23" s="5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>
        <v>1</v>
      </c>
      <c r="AY23" s="6">
        <v>3</v>
      </c>
      <c r="AZ23" s="6">
        <v>12</v>
      </c>
      <c r="BA23" s="6" t="str">
        <f t="shared" si="41"/>
        <v/>
      </c>
      <c r="BB23" s="6"/>
      <c r="BC23" s="48">
        <f t="shared" si="42"/>
        <v>312</v>
      </c>
      <c r="BD23" s="48">
        <f t="shared" si="43"/>
        <v>1203</v>
      </c>
      <c r="BE23" s="6">
        <v>0</v>
      </c>
      <c r="BF23" s="6">
        <v>0</v>
      </c>
      <c r="BG23" s="6">
        <f>N20*BF23</f>
        <v>0</v>
      </c>
      <c r="BH23" s="6">
        <f>Q20*BE23</f>
        <v>0</v>
      </c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</row>
    <row r="24" spans="1:83" x14ac:dyDescent="0.25">
      <c r="B24" s="6">
        <v>4</v>
      </c>
      <c r="C24" s="6" t="str">
        <f t="shared" si="40"/>
        <v>D</v>
      </c>
      <c r="D24" s="46" t="s">
        <v>5</v>
      </c>
      <c r="E24" s="84" t="str">
        <f t="shared" si="39"/>
        <v>L</v>
      </c>
      <c r="F24" s="84"/>
      <c r="G24" s="84"/>
      <c r="H24" s="84"/>
      <c r="I24" s="6"/>
      <c r="J24" s="84" t="str">
        <f>IF(X24="","",VLOOKUP(X24,Configuratie!$B$1:$E$10,3,FALSE))</f>
        <v/>
      </c>
      <c r="K24" s="84"/>
      <c r="L24" s="6" t="s">
        <v>5</v>
      </c>
      <c r="M24" s="84" t="str">
        <f>IF(X24="","",VLOOKUP(X24,Configuratie!$B$1:$E$10,4,FALSE))</f>
        <v/>
      </c>
      <c r="N24" s="84"/>
      <c r="O24" s="6"/>
      <c r="P24" s="6"/>
      <c r="Q24" s="6"/>
      <c r="R24" s="6"/>
      <c r="S24" s="6"/>
      <c r="T24" s="6"/>
      <c r="U24" s="6"/>
      <c r="V24" s="6" t="str">
        <f>IF(X24="","",VLOOKUP(X24,Configuratie!$B$1:$E$10,2,FALSE))</f>
        <v/>
      </c>
      <c r="W24" s="61"/>
      <c r="X24" s="5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>
        <v>1</v>
      </c>
      <c r="AY24" s="6">
        <v>4</v>
      </c>
      <c r="AZ24" s="6">
        <v>11</v>
      </c>
      <c r="BA24" s="6" t="str">
        <f t="shared" si="41"/>
        <v/>
      </c>
      <c r="BB24" s="6"/>
      <c r="BC24" s="48">
        <f t="shared" si="42"/>
        <v>411</v>
      </c>
      <c r="BD24" s="48">
        <f t="shared" si="43"/>
        <v>1104</v>
      </c>
      <c r="BE24" s="6">
        <v>0</v>
      </c>
      <c r="BF24" s="6">
        <v>0</v>
      </c>
      <c r="BG24" s="6">
        <f>N21*BF24</f>
        <v>0</v>
      </c>
      <c r="BH24" s="6">
        <f>Q21*BE24</f>
        <v>0</v>
      </c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</row>
    <row r="25" spans="1:83" x14ac:dyDescent="0.25">
      <c r="B25" s="6">
        <v>5</v>
      </c>
      <c r="C25" s="6" t="str">
        <f t="shared" si="40"/>
        <v>E</v>
      </c>
      <c r="D25" s="46" t="s">
        <v>5</v>
      </c>
      <c r="E25" s="84" t="str">
        <f t="shared" si="39"/>
        <v>K</v>
      </c>
      <c r="F25" s="84"/>
      <c r="G25" s="84"/>
      <c r="H25" s="84"/>
      <c r="I25" s="6"/>
      <c r="J25" s="84" t="str">
        <f>IF(X25="","",VLOOKUP(X25,Configuratie!$B$1:$E$10,3,FALSE))</f>
        <v/>
      </c>
      <c r="K25" s="84"/>
      <c r="L25" s="6" t="s">
        <v>5</v>
      </c>
      <c r="M25" s="84" t="str">
        <f>IF(X25="","",VLOOKUP(X25,Configuratie!$B$1:$E$10,4,FALSE))</f>
        <v/>
      </c>
      <c r="N25" s="84"/>
      <c r="O25" s="6"/>
      <c r="P25" s="6"/>
      <c r="Q25" s="6"/>
      <c r="R25" s="6"/>
      <c r="S25" s="6"/>
      <c r="T25" s="6"/>
      <c r="U25" s="6"/>
      <c r="V25" s="6" t="str">
        <f>IF(X25="","",VLOOKUP(X25,Configuratie!$B$1:$E$10,2,FALSE))</f>
        <v/>
      </c>
      <c r="W25" s="61"/>
      <c r="X25" s="5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>
        <v>1</v>
      </c>
      <c r="AY25" s="6">
        <v>5</v>
      </c>
      <c r="AZ25" s="6">
        <v>10</v>
      </c>
      <c r="BA25" s="6" t="str">
        <f t="shared" si="41"/>
        <v/>
      </c>
      <c r="BB25" s="6"/>
      <c r="BC25" s="48">
        <f t="shared" si="42"/>
        <v>510</v>
      </c>
      <c r="BD25" s="48">
        <f>AZ25*100+AY25</f>
        <v>1005</v>
      </c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</row>
    <row r="26" spans="1:83" x14ac:dyDescent="0.25">
      <c r="B26" s="6">
        <v>6</v>
      </c>
      <c r="C26" s="6" t="str">
        <f t="shared" si="40"/>
        <v>G</v>
      </c>
      <c r="D26" s="46" t="s">
        <v>5</v>
      </c>
      <c r="E26" s="84" t="str">
        <f t="shared" si="39"/>
        <v>J</v>
      </c>
      <c r="F26" s="84"/>
      <c r="G26" s="84"/>
      <c r="H26" s="84"/>
      <c r="I26" s="6"/>
      <c r="J26" s="84" t="str">
        <f>IF(X26="","",VLOOKUP(X26,Configuratie!$B$1:$E$10,3,FALSE))</f>
        <v/>
      </c>
      <c r="K26" s="84"/>
      <c r="L26" s="6" t="s">
        <v>5</v>
      </c>
      <c r="M26" s="84" t="str">
        <f>IF(X26="","",VLOOKUP(X26,Configuratie!$B$1:$E$10,4,FALSE))</f>
        <v/>
      </c>
      <c r="N26" s="84"/>
      <c r="O26" s="6"/>
      <c r="P26" s="6"/>
      <c r="Q26" s="6"/>
      <c r="R26" s="6"/>
      <c r="S26" s="6"/>
      <c r="T26" s="6"/>
      <c r="U26" s="6"/>
      <c r="V26" s="6" t="str">
        <f>IF(X26="","",VLOOKUP(X26,Configuratie!$B$1:$E$10,2,FALSE))</f>
        <v/>
      </c>
      <c r="W26" s="61"/>
      <c r="X26" s="5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>
        <v>1</v>
      </c>
      <c r="AY26" s="6">
        <v>6</v>
      </c>
      <c r="AZ26" s="6">
        <v>9</v>
      </c>
      <c r="BA26" s="6" t="str">
        <f t="shared" si="41"/>
        <v/>
      </c>
      <c r="BB26" s="6"/>
      <c r="BC26" s="48">
        <f t="shared" si="42"/>
        <v>609</v>
      </c>
      <c r="BD26" s="48">
        <f t="shared" si="43"/>
        <v>906</v>
      </c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</row>
    <row r="27" spans="1:83" x14ac:dyDescent="0.25">
      <c r="B27" s="6">
        <v>7</v>
      </c>
      <c r="C27" s="6" t="str">
        <f t="shared" si="40"/>
        <v>H</v>
      </c>
      <c r="D27" s="46" t="s">
        <v>5</v>
      </c>
      <c r="E27" s="84" t="str">
        <f t="shared" si="39"/>
        <v>I</v>
      </c>
      <c r="F27" s="84"/>
      <c r="G27" s="84"/>
      <c r="H27" s="84"/>
      <c r="I27" s="6"/>
      <c r="J27" s="84" t="str">
        <f>IF(X27="","",VLOOKUP(X27,Configuratie!$B$1:$E$10,3,FALSE))</f>
        <v/>
      </c>
      <c r="K27" s="84"/>
      <c r="L27" s="6" t="s">
        <v>5</v>
      </c>
      <c r="M27" s="84" t="str">
        <f>IF(X27="","",VLOOKUP(X27,Configuratie!$B$1:$E$10,4,FALSE))</f>
        <v/>
      </c>
      <c r="N27" s="84"/>
      <c r="O27" s="6"/>
      <c r="P27" s="6"/>
      <c r="Q27" s="6"/>
      <c r="R27" s="6"/>
      <c r="S27" s="6"/>
      <c r="T27" s="6"/>
      <c r="U27" s="6"/>
      <c r="V27" s="6" t="str">
        <f>IF(X27="","",VLOOKUP(X27,Configuratie!$B$1:$E$10,2,FALSE))</f>
        <v/>
      </c>
      <c r="W27" s="61"/>
      <c r="X27" s="5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>
        <v>1</v>
      </c>
      <c r="AY27" s="6">
        <v>7</v>
      </c>
      <c r="AZ27" s="6">
        <v>8</v>
      </c>
      <c r="BA27" s="6" t="str">
        <f t="shared" si="41"/>
        <v/>
      </c>
      <c r="BB27" s="6"/>
      <c r="BC27" s="48">
        <f t="shared" si="42"/>
        <v>708</v>
      </c>
      <c r="BD27" s="48">
        <f>AZ27*100+AY27</f>
        <v>807</v>
      </c>
      <c r="BE27" s="6" t="e">
        <f t="shared" ref="BE27:BF31" si="44">VLOOKUP(AY30,$BJ$3:$BW$13,$AT24,FALSE)</f>
        <v>#N/A</v>
      </c>
      <c r="BF27" s="6" t="e">
        <f t="shared" si="44"/>
        <v>#N/A</v>
      </c>
      <c r="BG27" s="6" t="e">
        <f>N24*BF27</f>
        <v>#N/A</v>
      </c>
      <c r="BH27" s="6" t="e">
        <f>Q24*BE27</f>
        <v>#N/A</v>
      </c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</row>
    <row r="28" spans="1:83" x14ac:dyDescent="0.25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 t="str">
        <f t="shared" ref="BA28:BA29" si="45">IF(AND(ISNUMBER(N24),ISNUMBER(Q24)),IF(N24+Q24=1,1,0),"")</f>
        <v/>
      </c>
      <c r="BB28" s="6"/>
      <c r="BC28" s="48"/>
      <c r="BD28" s="48"/>
      <c r="BE28" s="6" t="e">
        <f t="shared" si="44"/>
        <v>#N/A</v>
      </c>
      <c r="BF28" s="6" t="e">
        <f t="shared" si="44"/>
        <v>#N/A</v>
      </c>
      <c r="BG28" s="6" t="e">
        <f>N25*BF28</f>
        <v>#N/A</v>
      </c>
      <c r="BH28" s="6" t="e">
        <f>Q25*BE28</f>
        <v>#N/A</v>
      </c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</row>
    <row r="29" spans="1:83" x14ac:dyDescent="0.25">
      <c r="B29" s="45" t="s">
        <v>9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 t="str">
        <f t="shared" si="45"/>
        <v/>
      </c>
      <c r="BB29" s="6"/>
      <c r="BC29" s="48"/>
      <c r="BD29" s="48"/>
      <c r="BE29" s="6" t="e">
        <f t="shared" si="44"/>
        <v>#N/A</v>
      </c>
      <c r="BF29" s="6" t="e">
        <f t="shared" si="44"/>
        <v>#N/A</v>
      </c>
      <c r="BG29" s="6" t="e">
        <f>N26*BF29</f>
        <v>#N/A</v>
      </c>
      <c r="BH29" s="6" t="e">
        <f>Q26*BE29</f>
        <v>#N/A</v>
      </c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</row>
    <row r="30" spans="1:83" x14ac:dyDescent="0.25">
      <c r="B30" s="6">
        <v>1</v>
      </c>
      <c r="C30" s="6" t="str">
        <f>VLOOKUP(AY30,$B$4:$F$17,2,FALSE)</f>
        <v>N</v>
      </c>
      <c r="D30" s="46" t="s">
        <v>5</v>
      </c>
      <c r="E30" s="84" t="str">
        <f t="shared" ref="E30:E36" si="46">VLOOKUP(AZ30,$B$4:$F$17,2,FALSE)</f>
        <v>A</v>
      </c>
      <c r="F30" s="84"/>
      <c r="G30" s="84"/>
      <c r="H30" s="84"/>
      <c r="I30" s="6"/>
      <c r="J30" s="84" t="str">
        <f>IF(X30="","",VLOOKUP(X30,Configuratie!$B$1:$E$10,3,FALSE))</f>
        <v/>
      </c>
      <c r="K30" s="84"/>
      <c r="L30" s="6" t="s">
        <v>5</v>
      </c>
      <c r="M30" s="84" t="str">
        <f>IF(X30="","",VLOOKUP(X30,Configuratie!$B$1:$E$10,4,FALSE))</f>
        <v/>
      </c>
      <c r="N30" s="84"/>
      <c r="O30" s="6"/>
      <c r="P30" s="6"/>
      <c r="Q30" s="6"/>
      <c r="R30" s="6"/>
      <c r="S30" s="6"/>
      <c r="T30" s="6"/>
      <c r="U30" s="6"/>
      <c r="V30" s="6" t="str">
        <f>IF(X30="","",VLOOKUP(X30,Configuratie!$B$1:$E$10,2,FALSE))</f>
        <v/>
      </c>
      <c r="W30" s="61"/>
      <c r="X30" s="5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>
        <v>2</v>
      </c>
      <c r="AY30" s="6">
        <v>13</v>
      </c>
      <c r="AZ30" s="6">
        <v>1</v>
      </c>
      <c r="BA30" s="6" t="str">
        <f>IF(AND(ISNUMBER(J30),ISNUMBER(M30)),IF(J30+M30=1,1,0),"")</f>
        <v/>
      </c>
      <c r="BB30" s="6"/>
      <c r="BC30" s="48">
        <f t="shared" ref="BC30:BC36" si="47">AY30*100+AZ30</f>
        <v>1301</v>
      </c>
      <c r="BD30" s="48">
        <f>AZ30*100+AY30</f>
        <v>113</v>
      </c>
      <c r="BE30" s="6" t="e">
        <f t="shared" si="44"/>
        <v>#N/A</v>
      </c>
      <c r="BF30" s="6" t="e">
        <f t="shared" si="44"/>
        <v>#N/A</v>
      </c>
      <c r="BG30" s="6" t="e">
        <f>N27*BF30</f>
        <v>#N/A</v>
      </c>
      <c r="BH30" s="6" t="e">
        <f>Q27*BE30</f>
        <v>#N/A</v>
      </c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</row>
    <row r="31" spans="1:83" x14ac:dyDescent="0.25">
      <c r="B31" s="6">
        <v>2</v>
      </c>
      <c r="C31" s="6" t="str">
        <f t="shared" ref="C31:C36" si="48">VLOOKUP(AY31,$B$4:$F$17,2,FALSE)</f>
        <v>M</v>
      </c>
      <c r="D31" s="46" t="s">
        <v>5</v>
      </c>
      <c r="E31" s="84" t="str">
        <f t="shared" si="46"/>
        <v>B</v>
      </c>
      <c r="F31" s="84"/>
      <c r="G31" s="84"/>
      <c r="H31" s="84"/>
      <c r="I31" s="6"/>
      <c r="J31" s="84" t="str">
        <f>IF(X31="","",VLOOKUP(X31,Configuratie!$B$1:$E$10,3,FALSE))</f>
        <v/>
      </c>
      <c r="K31" s="84"/>
      <c r="L31" s="6" t="s">
        <v>5</v>
      </c>
      <c r="M31" s="84" t="str">
        <f>IF(X31="","",VLOOKUP(X31,Configuratie!$B$1:$E$10,4,FALSE))</f>
        <v/>
      </c>
      <c r="N31" s="84"/>
      <c r="O31" s="6"/>
      <c r="P31" s="6"/>
      <c r="Q31" s="6"/>
      <c r="R31" s="6"/>
      <c r="S31" s="6"/>
      <c r="T31" s="6"/>
      <c r="U31" s="6"/>
      <c r="V31" s="6" t="str">
        <f>IF(X31="","",VLOOKUP(X31,Configuratie!$B$1:$E$10,2,FALSE))</f>
        <v/>
      </c>
      <c r="W31" s="61"/>
      <c r="X31" s="5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>
        <v>2</v>
      </c>
      <c r="AY31" s="6">
        <v>12</v>
      </c>
      <c r="AZ31" s="6">
        <v>2</v>
      </c>
      <c r="BA31" s="6" t="str">
        <f t="shared" ref="BA31:BA36" si="49">IF(AND(ISNUMBER(J31),ISNUMBER(M31)),IF(J31+M31=1,1,0),"")</f>
        <v/>
      </c>
      <c r="BB31" s="6"/>
      <c r="BC31" s="48">
        <f t="shared" si="47"/>
        <v>1202</v>
      </c>
      <c r="BD31" s="48">
        <f t="shared" ref="BD31:BD35" si="50">AZ31*100+AY31</f>
        <v>212</v>
      </c>
      <c r="BE31" s="6" t="e">
        <f t="shared" si="44"/>
        <v>#N/A</v>
      </c>
      <c r="BF31" s="6" t="e">
        <f t="shared" si="44"/>
        <v>#N/A</v>
      </c>
      <c r="BG31" s="6" t="e">
        <f>N28*BF31</f>
        <v>#N/A</v>
      </c>
      <c r="BH31" s="6" t="e">
        <f>Q28*BE31</f>
        <v>#N/A</v>
      </c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</row>
    <row r="32" spans="1:83" x14ac:dyDescent="0.25">
      <c r="B32" s="6">
        <v>3</v>
      </c>
      <c r="C32" s="6" t="str">
        <f t="shared" si="48"/>
        <v>L</v>
      </c>
      <c r="D32" s="46" t="s">
        <v>5</v>
      </c>
      <c r="E32" s="84" t="str">
        <f t="shared" si="46"/>
        <v>C</v>
      </c>
      <c r="F32" s="84"/>
      <c r="G32" s="84"/>
      <c r="H32" s="84"/>
      <c r="I32" s="6"/>
      <c r="J32" s="84" t="str">
        <f>IF(X32="","",VLOOKUP(X32,Configuratie!$B$1:$E$10,3,FALSE))</f>
        <v/>
      </c>
      <c r="K32" s="84"/>
      <c r="L32" s="6" t="s">
        <v>5</v>
      </c>
      <c r="M32" s="84" t="str">
        <f>IF(X32="","",VLOOKUP(X32,Configuratie!$B$1:$E$10,4,FALSE))</f>
        <v/>
      </c>
      <c r="N32" s="84"/>
      <c r="O32" s="6"/>
      <c r="P32" s="6"/>
      <c r="Q32" s="6"/>
      <c r="R32" s="6"/>
      <c r="S32" s="6"/>
      <c r="T32" s="6"/>
      <c r="U32" s="6"/>
      <c r="V32" s="6" t="str">
        <f>IF(X32="","",VLOOKUP(X32,Configuratie!$B$1:$E$10,2,FALSE))</f>
        <v/>
      </c>
      <c r="W32" s="61"/>
      <c r="X32" s="5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>
        <v>2</v>
      </c>
      <c r="AY32" s="6">
        <v>11</v>
      </c>
      <c r="AZ32" s="6">
        <v>3</v>
      </c>
      <c r="BA32" s="6" t="str">
        <f t="shared" si="49"/>
        <v/>
      </c>
      <c r="BB32" s="6"/>
      <c r="BC32" s="48">
        <f t="shared" si="47"/>
        <v>1103</v>
      </c>
      <c r="BD32" s="48">
        <f t="shared" si="50"/>
        <v>311</v>
      </c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</row>
    <row r="33" spans="2:80" x14ac:dyDescent="0.25">
      <c r="B33" s="6">
        <v>4</v>
      </c>
      <c r="C33" s="6" t="str">
        <f t="shared" si="48"/>
        <v>K</v>
      </c>
      <c r="D33" s="46" t="s">
        <v>5</v>
      </c>
      <c r="E33" s="84" t="str">
        <f t="shared" si="46"/>
        <v>D</v>
      </c>
      <c r="F33" s="84"/>
      <c r="G33" s="84"/>
      <c r="H33" s="84"/>
      <c r="I33" s="6"/>
      <c r="J33" s="84" t="str">
        <f>IF(X33="","",VLOOKUP(X33,Configuratie!$B$1:$E$10,3,FALSE))</f>
        <v/>
      </c>
      <c r="K33" s="84"/>
      <c r="L33" s="6" t="s">
        <v>5</v>
      </c>
      <c r="M33" s="84" t="str">
        <f>IF(X33="","",VLOOKUP(X33,Configuratie!$B$1:$E$10,4,FALSE))</f>
        <v/>
      </c>
      <c r="N33" s="84"/>
      <c r="O33" s="6"/>
      <c r="P33" s="6"/>
      <c r="Q33" s="6"/>
      <c r="R33" s="6"/>
      <c r="S33" s="6"/>
      <c r="T33" s="6"/>
      <c r="U33" s="6"/>
      <c r="V33" s="6" t="str">
        <f>IF(X33="","",VLOOKUP(X33,Configuratie!$B$1:$E$10,2,FALSE))</f>
        <v/>
      </c>
      <c r="W33" s="61"/>
      <c r="X33" s="5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>
        <v>2</v>
      </c>
      <c r="AY33" s="6">
        <v>10</v>
      </c>
      <c r="AZ33" s="6">
        <v>4</v>
      </c>
      <c r="BA33" s="6" t="str">
        <f t="shared" si="49"/>
        <v/>
      </c>
      <c r="BB33" s="6"/>
      <c r="BC33" s="48">
        <f t="shared" si="47"/>
        <v>1004</v>
      </c>
      <c r="BD33" s="48">
        <f t="shared" si="50"/>
        <v>410</v>
      </c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</row>
    <row r="34" spans="2:80" x14ac:dyDescent="0.25">
      <c r="B34" s="6">
        <v>5</v>
      </c>
      <c r="C34" s="6" t="str">
        <f t="shared" si="48"/>
        <v>J</v>
      </c>
      <c r="D34" s="46" t="s">
        <v>5</v>
      </c>
      <c r="E34" s="84" t="str">
        <f t="shared" si="46"/>
        <v>E</v>
      </c>
      <c r="F34" s="84"/>
      <c r="G34" s="84"/>
      <c r="H34" s="84"/>
      <c r="I34" s="6"/>
      <c r="J34" s="84" t="str">
        <f>IF(X34="","",VLOOKUP(X34,Configuratie!$B$1:$E$10,3,FALSE))</f>
        <v/>
      </c>
      <c r="K34" s="84"/>
      <c r="L34" s="6" t="s">
        <v>5</v>
      </c>
      <c r="M34" s="84" t="str">
        <f>IF(X34="","",VLOOKUP(X34,Configuratie!$B$1:$E$10,4,FALSE))</f>
        <v/>
      </c>
      <c r="N34" s="84"/>
      <c r="O34" s="6"/>
      <c r="P34" s="6"/>
      <c r="Q34" s="6"/>
      <c r="R34" s="6"/>
      <c r="S34" s="6"/>
      <c r="T34" s="6"/>
      <c r="U34" s="6"/>
      <c r="V34" s="6" t="str">
        <f>IF(X34="","",VLOOKUP(X34,Configuratie!$B$1:$E$10,2,FALSE))</f>
        <v/>
      </c>
      <c r="W34" s="61"/>
      <c r="X34" s="5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>
        <v>2</v>
      </c>
      <c r="AY34" s="6">
        <v>9</v>
      </c>
      <c r="AZ34" s="6">
        <v>5</v>
      </c>
      <c r="BA34" s="6" t="str">
        <f t="shared" si="49"/>
        <v/>
      </c>
      <c r="BB34" s="6"/>
      <c r="BC34" s="48">
        <f t="shared" si="47"/>
        <v>905</v>
      </c>
      <c r="BD34" s="48">
        <f>AZ34*100+AY34</f>
        <v>509</v>
      </c>
      <c r="BE34" s="6" t="e">
        <f t="shared" ref="BE34:BF38" si="51">VLOOKUP(AY39,$BJ$3:$BW$13,$AT31,FALSE)</f>
        <v>#N/A</v>
      </c>
      <c r="BF34" s="6" t="e">
        <f t="shared" si="51"/>
        <v>#N/A</v>
      </c>
      <c r="BG34" s="6" t="e">
        <f>N31*BF34</f>
        <v>#N/A</v>
      </c>
      <c r="BH34" s="6" t="e">
        <f>Q31*BE34</f>
        <v>#N/A</v>
      </c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</row>
    <row r="35" spans="2:80" x14ac:dyDescent="0.25">
      <c r="B35" s="6">
        <v>6</v>
      </c>
      <c r="C35" s="6" t="str">
        <f t="shared" si="48"/>
        <v>I</v>
      </c>
      <c r="D35" s="46" t="s">
        <v>5</v>
      </c>
      <c r="E35" s="84" t="str">
        <f t="shared" si="46"/>
        <v>G</v>
      </c>
      <c r="F35" s="84"/>
      <c r="G35" s="84"/>
      <c r="H35" s="84"/>
      <c r="I35" s="6"/>
      <c r="J35" s="84" t="str">
        <f>IF(X35="","",VLOOKUP(X35,Configuratie!$B$1:$E$10,3,FALSE))</f>
        <v/>
      </c>
      <c r="K35" s="84"/>
      <c r="L35" s="6" t="s">
        <v>5</v>
      </c>
      <c r="M35" s="84" t="str">
        <f>IF(X35="","",VLOOKUP(X35,Configuratie!$B$1:$E$10,4,FALSE))</f>
        <v/>
      </c>
      <c r="N35" s="84"/>
      <c r="O35" s="6"/>
      <c r="P35" s="6"/>
      <c r="Q35" s="6"/>
      <c r="R35" s="6"/>
      <c r="S35" s="6"/>
      <c r="T35" s="6"/>
      <c r="U35" s="6"/>
      <c r="V35" s="6" t="str">
        <f>IF(X35="","",VLOOKUP(X35,Configuratie!$B$1:$E$10,2,FALSE))</f>
        <v/>
      </c>
      <c r="W35" s="61"/>
      <c r="X35" s="5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>
        <v>2</v>
      </c>
      <c r="AY35" s="6">
        <v>8</v>
      </c>
      <c r="AZ35" s="6">
        <v>6</v>
      </c>
      <c r="BA35" s="6" t="str">
        <f t="shared" si="49"/>
        <v/>
      </c>
      <c r="BB35" s="6"/>
      <c r="BC35" s="48">
        <f t="shared" si="47"/>
        <v>806</v>
      </c>
      <c r="BD35" s="48">
        <f t="shared" si="50"/>
        <v>608</v>
      </c>
      <c r="BE35" s="6" t="e">
        <f t="shared" si="51"/>
        <v>#N/A</v>
      </c>
      <c r="BF35" s="6" t="e">
        <f t="shared" si="51"/>
        <v>#N/A</v>
      </c>
      <c r="BG35" s="6" t="e">
        <f>N32*BF35</f>
        <v>#N/A</v>
      </c>
      <c r="BH35" s="6" t="e">
        <f>Q32*BE35</f>
        <v>#N/A</v>
      </c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</row>
    <row r="36" spans="2:80" x14ac:dyDescent="0.25">
      <c r="B36" s="6">
        <v>7</v>
      </c>
      <c r="C36" s="6" t="str">
        <f t="shared" si="48"/>
        <v>O</v>
      </c>
      <c r="D36" s="46" t="s">
        <v>5</v>
      </c>
      <c r="E36" s="84" t="str">
        <f t="shared" si="46"/>
        <v>H</v>
      </c>
      <c r="F36" s="84"/>
      <c r="G36" s="84"/>
      <c r="H36" s="84"/>
      <c r="I36" s="6"/>
      <c r="J36" s="84" t="str">
        <f>IF(X36="","",VLOOKUP(X36,Configuratie!$B$1:$E$10,3,FALSE))</f>
        <v/>
      </c>
      <c r="K36" s="84"/>
      <c r="L36" s="6" t="s">
        <v>5</v>
      </c>
      <c r="M36" s="84" t="str">
        <f>IF(X36="","",VLOOKUP(X36,Configuratie!$B$1:$E$10,4,FALSE))</f>
        <v/>
      </c>
      <c r="N36" s="84"/>
      <c r="O36" s="6"/>
      <c r="P36" s="6"/>
      <c r="Q36" s="6"/>
      <c r="R36" s="6"/>
      <c r="S36" s="6"/>
      <c r="T36" s="6"/>
      <c r="U36" s="6"/>
      <c r="V36" s="6" t="str">
        <f>IF(X36="","",VLOOKUP(X36,Configuratie!$B$1:$E$10,2,FALSE))</f>
        <v/>
      </c>
      <c r="W36" s="61"/>
      <c r="X36" s="5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>
        <v>2</v>
      </c>
      <c r="AY36" s="6">
        <v>14</v>
      </c>
      <c r="AZ36" s="6">
        <v>7</v>
      </c>
      <c r="BA36" s="6" t="str">
        <f t="shared" si="49"/>
        <v/>
      </c>
      <c r="BB36" s="6"/>
      <c r="BC36" s="48">
        <f t="shared" si="47"/>
        <v>1407</v>
      </c>
      <c r="BD36" s="48">
        <f>AZ36*100+AY36</f>
        <v>714</v>
      </c>
      <c r="BE36" s="6" t="e">
        <f t="shared" si="51"/>
        <v>#N/A</v>
      </c>
      <c r="BF36" s="6" t="e">
        <f t="shared" si="51"/>
        <v>#N/A</v>
      </c>
      <c r="BG36" s="6" t="e">
        <f>N33*BF36</f>
        <v>#N/A</v>
      </c>
      <c r="BH36" s="6" t="e">
        <f>Q33*BE36</f>
        <v>#N/A</v>
      </c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</row>
    <row r="37" spans="2:80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 t="str">
        <f t="shared" ref="BA37:BA38" si="52">IF(AND(ISNUMBER(N33),ISNUMBER(Q33)),IF(N33+Q33=1,1,0),"")</f>
        <v/>
      </c>
      <c r="BB37" s="6"/>
      <c r="BC37" s="48"/>
      <c r="BD37" s="48"/>
      <c r="BE37" s="6" t="e">
        <f t="shared" si="51"/>
        <v>#N/A</v>
      </c>
      <c r="BF37" s="6" t="e">
        <f t="shared" si="51"/>
        <v>#N/A</v>
      </c>
      <c r="BG37" s="6" t="e">
        <f>N34*BF37</f>
        <v>#N/A</v>
      </c>
      <c r="BH37" s="6" t="e">
        <f>Q34*BE37</f>
        <v>#N/A</v>
      </c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</row>
    <row r="38" spans="2:80" x14ac:dyDescent="0.25">
      <c r="B38" s="45" t="s">
        <v>10</v>
      </c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75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 t="str">
        <f t="shared" si="52"/>
        <v/>
      </c>
      <c r="BB38" s="6"/>
      <c r="BC38" s="48"/>
      <c r="BD38" s="48"/>
      <c r="BE38" s="6" t="e">
        <f t="shared" si="51"/>
        <v>#N/A</v>
      </c>
      <c r="BF38" s="6" t="e">
        <f t="shared" si="51"/>
        <v>#N/A</v>
      </c>
      <c r="BG38" s="6" t="e">
        <f>N35*BF38</f>
        <v>#N/A</v>
      </c>
      <c r="BH38" s="6" t="e">
        <f>Q35*BE38</f>
        <v>#N/A</v>
      </c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</row>
    <row r="39" spans="2:80" x14ac:dyDescent="0.25">
      <c r="B39" s="6">
        <v>1</v>
      </c>
      <c r="C39" s="6" t="str">
        <f>VLOOKUP(AY39,$B$4:$F$17,2,FALSE)</f>
        <v>N</v>
      </c>
      <c r="D39" s="46" t="s">
        <v>5</v>
      </c>
      <c r="E39" s="84" t="str">
        <f t="shared" ref="E39:E45" si="53">VLOOKUP(AZ39,$B$4:$F$17,2,FALSE)</f>
        <v>O</v>
      </c>
      <c r="F39" s="84"/>
      <c r="G39" s="84"/>
      <c r="H39" s="84"/>
      <c r="I39" s="6"/>
      <c r="J39" s="84" t="str">
        <f>IF(X39="","",VLOOKUP(X39,Configuratie!$B$1:$E$10,3,FALSE))</f>
        <v/>
      </c>
      <c r="K39" s="84"/>
      <c r="L39" s="6" t="s">
        <v>5</v>
      </c>
      <c r="M39" s="84" t="str">
        <f>IF(X39="","",VLOOKUP(X39,Configuratie!$B$1:$E$10,4,FALSE))</f>
        <v/>
      </c>
      <c r="N39" s="84"/>
      <c r="O39" s="6"/>
      <c r="P39" s="6"/>
      <c r="Q39" s="6"/>
      <c r="R39" s="6"/>
      <c r="S39" s="6"/>
      <c r="T39" s="6"/>
      <c r="U39" s="6"/>
      <c r="V39" s="6" t="str">
        <f>IF(X39="","",VLOOKUP(X39,Configuratie!$B$1:$E$10,2,FALSE))</f>
        <v/>
      </c>
      <c r="W39" s="61"/>
      <c r="X39" s="5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>
        <v>3</v>
      </c>
      <c r="AY39" s="6">
        <v>13</v>
      </c>
      <c r="AZ39" s="6">
        <v>14</v>
      </c>
      <c r="BA39" s="6" t="str">
        <f>IF(AND(ISNUMBER(J39),ISNUMBER(M39)),IF(J39+M39=1,1,0),"")</f>
        <v/>
      </c>
      <c r="BB39" s="6"/>
      <c r="BC39" s="48">
        <f t="shared" ref="BC39:BC45" si="54">AY39*100+AZ39</f>
        <v>1314</v>
      </c>
      <c r="BD39" s="48">
        <f>AZ39*100+AY39</f>
        <v>1413</v>
      </c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</row>
    <row r="40" spans="2:80" x14ac:dyDescent="0.25">
      <c r="B40" s="6">
        <v>2</v>
      </c>
      <c r="C40" s="6" t="str">
        <f t="shared" ref="C40:C45" si="55">VLOOKUP(AY40,$B$4:$F$17,2,FALSE)</f>
        <v>A</v>
      </c>
      <c r="D40" s="46" t="s">
        <v>5</v>
      </c>
      <c r="E40" s="84" t="str">
        <f t="shared" si="53"/>
        <v>M</v>
      </c>
      <c r="F40" s="84"/>
      <c r="G40" s="84"/>
      <c r="H40" s="84"/>
      <c r="I40" s="6"/>
      <c r="J40" s="84" t="str">
        <f>IF(X40="","",VLOOKUP(X40,Configuratie!$B$1:$E$10,3,FALSE))</f>
        <v/>
      </c>
      <c r="K40" s="84"/>
      <c r="L40" s="6" t="s">
        <v>5</v>
      </c>
      <c r="M40" s="84" t="str">
        <f>IF(X40="","",VLOOKUP(X40,Configuratie!$B$1:$E$10,4,FALSE))</f>
        <v/>
      </c>
      <c r="N40" s="84"/>
      <c r="O40" s="6"/>
      <c r="P40" s="6"/>
      <c r="Q40" s="6"/>
      <c r="R40" s="6"/>
      <c r="S40" s="6"/>
      <c r="T40" s="6"/>
      <c r="U40" s="6"/>
      <c r="V40" s="6" t="str">
        <f>IF(X40="","",VLOOKUP(X40,Configuratie!$B$1:$E$10,2,FALSE))</f>
        <v/>
      </c>
      <c r="W40" s="61"/>
      <c r="X40" s="5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>
        <v>3</v>
      </c>
      <c r="AY40" s="6">
        <v>1</v>
      </c>
      <c r="AZ40" s="6">
        <v>12</v>
      </c>
      <c r="BA40" s="6" t="str">
        <f t="shared" ref="BA40:BA45" si="56">IF(AND(ISNUMBER(J40),ISNUMBER(M40)),IF(J40+M40=1,1,0),"")</f>
        <v/>
      </c>
      <c r="BB40" s="6"/>
      <c r="BC40" s="48">
        <f t="shared" si="54"/>
        <v>112</v>
      </c>
      <c r="BD40" s="48">
        <f t="shared" ref="BD40:BD44" si="57">AZ40*100+AY40</f>
        <v>1201</v>
      </c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</row>
    <row r="41" spans="2:80" x14ac:dyDescent="0.25">
      <c r="B41" s="6">
        <v>3</v>
      </c>
      <c r="C41" s="6" t="str">
        <f t="shared" si="55"/>
        <v>B</v>
      </c>
      <c r="D41" s="46" t="s">
        <v>5</v>
      </c>
      <c r="E41" s="84" t="str">
        <f t="shared" si="53"/>
        <v>L</v>
      </c>
      <c r="F41" s="84"/>
      <c r="G41" s="84"/>
      <c r="H41" s="84"/>
      <c r="I41" s="6"/>
      <c r="J41" s="84" t="str">
        <f>IF(X41="","",VLOOKUP(X41,Configuratie!$B$1:$E$10,3,FALSE))</f>
        <v/>
      </c>
      <c r="K41" s="84"/>
      <c r="L41" s="6" t="s">
        <v>5</v>
      </c>
      <c r="M41" s="84" t="str">
        <f>IF(X41="","",VLOOKUP(X41,Configuratie!$B$1:$E$10,4,FALSE))</f>
        <v/>
      </c>
      <c r="N41" s="84"/>
      <c r="O41" s="6"/>
      <c r="P41" s="6"/>
      <c r="Q41" s="6"/>
      <c r="R41" s="6"/>
      <c r="S41" s="6"/>
      <c r="T41" s="6"/>
      <c r="U41" s="6"/>
      <c r="V41" s="6" t="str">
        <f>IF(X41="","",VLOOKUP(X41,Configuratie!$B$1:$E$10,2,FALSE))</f>
        <v/>
      </c>
      <c r="W41" s="61"/>
      <c r="X41" s="5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>
        <v>3</v>
      </c>
      <c r="AY41" s="6">
        <v>2</v>
      </c>
      <c r="AZ41" s="6">
        <v>11</v>
      </c>
      <c r="BA41" s="6" t="str">
        <f t="shared" si="56"/>
        <v/>
      </c>
      <c r="BB41" s="6"/>
      <c r="BC41" s="48">
        <f t="shared" si="54"/>
        <v>211</v>
      </c>
      <c r="BD41" s="48">
        <f t="shared" si="57"/>
        <v>1102</v>
      </c>
      <c r="BE41" s="6" t="e">
        <f t="shared" ref="BE41:BF45" si="58">VLOOKUP(AY48,$BJ$3:$BW$13,$AT38,FALSE)</f>
        <v>#N/A</v>
      </c>
      <c r="BF41" s="6" t="e">
        <f t="shared" si="58"/>
        <v>#N/A</v>
      </c>
      <c r="BG41" s="6" t="e">
        <f>N38*BF41</f>
        <v>#N/A</v>
      </c>
      <c r="BH41" s="6" t="e">
        <f>Q38*BE41</f>
        <v>#N/A</v>
      </c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</row>
    <row r="42" spans="2:80" x14ac:dyDescent="0.25">
      <c r="B42" s="6">
        <v>4</v>
      </c>
      <c r="C42" s="6" t="str">
        <f t="shared" si="55"/>
        <v>C</v>
      </c>
      <c r="D42" s="46" t="s">
        <v>5</v>
      </c>
      <c r="E42" s="84" t="str">
        <f t="shared" si="53"/>
        <v>K</v>
      </c>
      <c r="F42" s="84"/>
      <c r="G42" s="84"/>
      <c r="H42" s="84"/>
      <c r="I42" s="6"/>
      <c r="J42" s="84" t="str">
        <f>IF(X42="","",VLOOKUP(X42,Configuratie!$B$1:$E$10,3,FALSE))</f>
        <v/>
      </c>
      <c r="K42" s="84"/>
      <c r="L42" s="6" t="s">
        <v>5</v>
      </c>
      <c r="M42" s="84" t="str">
        <f>IF(X42="","",VLOOKUP(X42,Configuratie!$B$1:$E$10,4,FALSE))</f>
        <v/>
      </c>
      <c r="N42" s="84"/>
      <c r="O42" s="6"/>
      <c r="P42" s="6"/>
      <c r="Q42" s="6"/>
      <c r="R42" s="6"/>
      <c r="S42" s="6"/>
      <c r="T42" s="6"/>
      <c r="U42" s="6"/>
      <c r="V42" s="6" t="str">
        <f>IF(X42="","",VLOOKUP(X42,Configuratie!$B$1:$E$10,2,FALSE))</f>
        <v/>
      </c>
      <c r="W42" s="61"/>
      <c r="X42" s="5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>
        <v>3</v>
      </c>
      <c r="AY42" s="6">
        <v>3</v>
      </c>
      <c r="AZ42" s="6">
        <v>10</v>
      </c>
      <c r="BA42" s="6" t="str">
        <f t="shared" si="56"/>
        <v/>
      </c>
      <c r="BB42" s="6"/>
      <c r="BC42" s="48">
        <f t="shared" si="54"/>
        <v>310</v>
      </c>
      <c r="BD42" s="48">
        <f t="shared" si="57"/>
        <v>1003</v>
      </c>
      <c r="BE42" s="6" t="e">
        <f t="shared" si="58"/>
        <v>#N/A</v>
      </c>
      <c r="BF42" s="6" t="e">
        <f t="shared" si="58"/>
        <v>#N/A</v>
      </c>
      <c r="BG42" s="6" t="e">
        <f>N39*BF42</f>
        <v>#N/A</v>
      </c>
      <c r="BH42" s="6" t="e">
        <f>Q39*BE42</f>
        <v>#N/A</v>
      </c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</row>
    <row r="43" spans="2:80" x14ac:dyDescent="0.25">
      <c r="B43" s="6">
        <v>5</v>
      </c>
      <c r="C43" s="6" t="str">
        <f t="shared" si="55"/>
        <v>D</v>
      </c>
      <c r="D43" s="46" t="s">
        <v>5</v>
      </c>
      <c r="E43" s="84" t="str">
        <f t="shared" si="53"/>
        <v>J</v>
      </c>
      <c r="F43" s="84"/>
      <c r="G43" s="84"/>
      <c r="H43" s="84"/>
      <c r="I43" s="6"/>
      <c r="J43" s="84" t="str">
        <f>IF(X43="","",VLOOKUP(X43,Configuratie!$B$1:$E$10,3,FALSE))</f>
        <v/>
      </c>
      <c r="K43" s="84"/>
      <c r="L43" s="6" t="s">
        <v>5</v>
      </c>
      <c r="M43" s="84" t="str">
        <f>IF(X43="","",VLOOKUP(X43,Configuratie!$B$1:$E$10,4,FALSE))</f>
        <v/>
      </c>
      <c r="N43" s="84"/>
      <c r="O43" s="6"/>
      <c r="P43" s="6"/>
      <c r="Q43" s="6"/>
      <c r="R43" s="6"/>
      <c r="S43" s="6"/>
      <c r="T43" s="6"/>
      <c r="U43" s="6"/>
      <c r="V43" s="6" t="str">
        <f>IF(X43="","",VLOOKUP(X43,Configuratie!$B$1:$E$10,2,FALSE))</f>
        <v/>
      </c>
      <c r="W43" s="61"/>
      <c r="X43" s="5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>
        <v>3</v>
      </c>
      <c r="AY43" s="6">
        <v>4</v>
      </c>
      <c r="AZ43" s="6">
        <v>9</v>
      </c>
      <c r="BA43" s="6" t="str">
        <f t="shared" si="56"/>
        <v/>
      </c>
      <c r="BB43" s="6"/>
      <c r="BC43" s="48">
        <f t="shared" si="54"/>
        <v>409</v>
      </c>
      <c r="BD43" s="48">
        <f>AZ43*100+AY43</f>
        <v>904</v>
      </c>
      <c r="BE43" s="6" t="e">
        <f t="shared" si="58"/>
        <v>#N/A</v>
      </c>
      <c r="BF43" s="6" t="e">
        <f t="shared" si="58"/>
        <v>#N/A</v>
      </c>
      <c r="BG43" s="6" t="e">
        <f>N40*BF43</f>
        <v>#N/A</v>
      </c>
      <c r="BH43" s="6" t="e">
        <f>Q40*BE43</f>
        <v>#N/A</v>
      </c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</row>
    <row r="44" spans="2:80" x14ac:dyDescent="0.25">
      <c r="B44" s="6">
        <v>6</v>
      </c>
      <c r="C44" s="6" t="str">
        <f t="shared" si="55"/>
        <v>E</v>
      </c>
      <c r="D44" s="46" t="s">
        <v>5</v>
      </c>
      <c r="E44" s="84" t="str">
        <f t="shared" si="53"/>
        <v>I</v>
      </c>
      <c r="F44" s="84"/>
      <c r="G44" s="84"/>
      <c r="H44" s="84"/>
      <c r="I44" s="6"/>
      <c r="J44" s="84" t="str">
        <f>IF(X44="","",VLOOKUP(X44,Configuratie!$B$1:$E$10,3,FALSE))</f>
        <v/>
      </c>
      <c r="K44" s="84"/>
      <c r="L44" s="6" t="s">
        <v>5</v>
      </c>
      <c r="M44" s="84" t="str">
        <f>IF(X44="","",VLOOKUP(X44,Configuratie!$B$1:$E$10,4,FALSE))</f>
        <v/>
      </c>
      <c r="N44" s="84"/>
      <c r="O44" s="6"/>
      <c r="P44" s="6"/>
      <c r="Q44" s="6"/>
      <c r="R44" s="6"/>
      <c r="S44" s="6"/>
      <c r="T44" s="6"/>
      <c r="U44" s="6"/>
      <c r="V44" s="6" t="str">
        <f>IF(X44="","",VLOOKUP(X44,Configuratie!$B$1:$E$10,2,FALSE))</f>
        <v/>
      </c>
      <c r="W44" s="61"/>
      <c r="X44" s="5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>
        <v>3</v>
      </c>
      <c r="AY44" s="6">
        <v>5</v>
      </c>
      <c r="AZ44" s="6">
        <v>8</v>
      </c>
      <c r="BA44" s="6" t="str">
        <f t="shared" si="56"/>
        <v/>
      </c>
      <c r="BB44" s="6"/>
      <c r="BC44" s="48">
        <f t="shared" si="54"/>
        <v>508</v>
      </c>
      <c r="BD44" s="48">
        <f t="shared" si="57"/>
        <v>805</v>
      </c>
      <c r="BE44" s="6" t="e">
        <f t="shared" si="58"/>
        <v>#N/A</v>
      </c>
      <c r="BF44" s="6" t="e">
        <f t="shared" si="58"/>
        <v>#N/A</v>
      </c>
      <c r="BG44" s="6" t="e">
        <f>N41*BF44</f>
        <v>#N/A</v>
      </c>
      <c r="BH44" s="6" t="e">
        <f>Q41*BE44</f>
        <v>#N/A</v>
      </c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</row>
    <row r="45" spans="2:80" x14ac:dyDescent="0.25">
      <c r="B45" s="6">
        <v>7</v>
      </c>
      <c r="C45" s="6" t="str">
        <f t="shared" si="55"/>
        <v>G</v>
      </c>
      <c r="D45" s="46" t="s">
        <v>5</v>
      </c>
      <c r="E45" s="84" t="str">
        <f t="shared" si="53"/>
        <v>H</v>
      </c>
      <c r="F45" s="84"/>
      <c r="G45" s="84"/>
      <c r="H45" s="84"/>
      <c r="I45" s="6"/>
      <c r="J45" s="84" t="str">
        <f>IF(X45="","",VLOOKUP(X45,Configuratie!$B$1:$E$10,3,FALSE))</f>
        <v/>
      </c>
      <c r="K45" s="84"/>
      <c r="L45" s="6" t="s">
        <v>5</v>
      </c>
      <c r="M45" s="84" t="str">
        <f>IF(X45="","",VLOOKUP(X45,Configuratie!$B$1:$E$10,4,FALSE))</f>
        <v/>
      </c>
      <c r="N45" s="84"/>
      <c r="O45" s="6"/>
      <c r="P45" s="6"/>
      <c r="Q45" s="6"/>
      <c r="R45" s="6"/>
      <c r="S45" s="6"/>
      <c r="T45" s="6"/>
      <c r="U45" s="6"/>
      <c r="V45" s="6" t="str">
        <f>IF(X45="","",VLOOKUP(X45,Configuratie!$B$1:$E$10,2,FALSE))</f>
        <v/>
      </c>
      <c r="W45" s="61"/>
      <c r="X45" s="5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>
        <v>3</v>
      </c>
      <c r="AY45" s="6">
        <v>6</v>
      </c>
      <c r="AZ45" s="6">
        <v>7</v>
      </c>
      <c r="BA45" s="6" t="str">
        <f t="shared" si="56"/>
        <v/>
      </c>
      <c r="BB45" s="6"/>
      <c r="BC45" s="48">
        <f t="shared" si="54"/>
        <v>607</v>
      </c>
      <c r="BD45" s="48">
        <f>AZ45*100+AY45</f>
        <v>706</v>
      </c>
      <c r="BE45" s="6" t="e">
        <f t="shared" si="58"/>
        <v>#N/A</v>
      </c>
      <c r="BF45" s="6" t="e">
        <f t="shared" si="58"/>
        <v>#N/A</v>
      </c>
      <c r="BG45" s="6" t="e">
        <f>N42*BF45</f>
        <v>#N/A</v>
      </c>
      <c r="BH45" s="6" t="e">
        <f>Q42*BE45</f>
        <v>#N/A</v>
      </c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</row>
    <row r="46" spans="2:80" x14ac:dyDescent="0.25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 t="str">
        <f t="shared" ref="BA46:BA47" si="59">IF(AND(ISNUMBER(N42),ISNUMBER(Q42)),IF(N42+Q42=1,1,0),"")</f>
        <v/>
      </c>
      <c r="BB46" s="6"/>
      <c r="BC46" s="42"/>
      <c r="BD46" s="42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</row>
    <row r="47" spans="2:80" x14ac:dyDescent="0.25">
      <c r="B47" s="45" t="s">
        <v>11</v>
      </c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75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 t="str">
        <f t="shared" si="59"/>
        <v/>
      </c>
      <c r="BB47" s="6"/>
      <c r="BC47" s="42"/>
      <c r="BD47" s="42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</row>
    <row r="48" spans="2:80" x14ac:dyDescent="0.25">
      <c r="B48" s="6">
        <v>1</v>
      </c>
      <c r="C48" s="6" t="str">
        <f t="shared" ref="C48:C54" si="60">VLOOKUP(AY48,$B$4:$F$17,2,FALSE)</f>
        <v>M</v>
      </c>
      <c r="D48" s="46" t="s">
        <v>5</v>
      </c>
      <c r="E48" s="84" t="str">
        <f t="shared" ref="E48:E54" si="61">VLOOKUP(AZ48,$B$4:$F$17,2,FALSE)</f>
        <v>N</v>
      </c>
      <c r="F48" s="84"/>
      <c r="G48" s="84"/>
      <c r="H48" s="84"/>
      <c r="I48" s="6"/>
      <c r="J48" s="84" t="str">
        <f>IF(X48="","",VLOOKUP(X48,Configuratie!$B$1:$E$10,3,FALSE))</f>
        <v/>
      </c>
      <c r="K48" s="84"/>
      <c r="L48" s="6" t="s">
        <v>5</v>
      </c>
      <c r="M48" s="84" t="str">
        <f>IF(X48="","",VLOOKUP(X48,Configuratie!$B$1:$E$10,4,FALSE))</f>
        <v/>
      </c>
      <c r="N48" s="84"/>
      <c r="O48" s="6"/>
      <c r="P48" s="6"/>
      <c r="Q48" s="6"/>
      <c r="R48" s="6"/>
      <c r="S48" s="6"/>
      <c r="T48" s="6"/>
      <c r="U48" s="6"/>
      <c r="V48" s="6" t="str">
        <f>IF(X48="","",VLOOKUP(X48,Configuratie!$B$1:$E$10,2,FALSE))</f>
        <v/>
      </c>
      <c r="W48" s="61"/>
      <c r="X48" s="5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>
        <v>4</v>
      </c>
      <c r="AY48" s="6">
        <v>12</v>
      </c>
      <c r="AZ48" s="6">
        <v>13</v>
      </c>
      <c r="BA48" s="6" t="str">
        <f>IF(AND(ISNUMBER(J48),ISNUMBER(M48)),IF(J48+M48=1,1,0),"")</f>
        <v/>
      </c>
      <c r="BB48" s="6"/>
      <c r="BC48" s="48">
        <f t="shared" ref="BC48:BC54" si="62">AY48*100+AZ48</f>
        <v>1213</v>
      </c>
      <c r="BD48" s="48">
        <f>AZ48*100+AY48</f>
        <v>1312</v>
      </c>
      <c r="BE48" s="6" t="e">
        <f t="shared" ref="BE48:BF52" si="63">VLOOKUP(AY57,$BJ$3:$BW$13,$AT45,FALSE)</f>
        <v>#N/A</v>
      </c>
      <c r="BF48" s="6" t="e">
        <f t="shared" si="63"/>
        <v>#N/A</v>
      </c>
      <c r="BG48" s="6" t="e">
        <f>N45*BF48</f>
        <v>#N/A</v>
      </c>
      <c r="BH48" s="6" t="e">
        <f>Q45*BE48</f>
        <v>#N/A</v>
      </c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</row>
    <row r="49" spans="2:80" x14ac:dyDescent="0.25">
      <c r="B49" s="6">
        <v>2</v>
      </c>
      <c r="C49" s="6" t="str">
        <f t="shared" si="60"/>
        <v>L</v>
      </c>
      <c r="D49" s="46" t="s">
        <v>5</v>
      </c>
      <c r="E49" s="84" t="str">
        <f t="shared" si="61"/>
        <v>A</v>
      </c>
      <c r="F49" s="84"/>
      <c r="G49" s="84"/>
      <c r="H49" s="84"/>
      <c r="I49" s="6"/>
      <c r="J49" s="84" t="str">
        <f>IF(X49="","",VLOOKUP(X49,Configuratie!$B$1:$E$10,3,FALSE))</f>
        <v/>
      </c>
      <c r="K49" s="84"/>
      <c r="L49" s="6" t="s">
        <v>5</v>
      </c>
      <c r="M49" s="84" t="str">
        <f>IF(X49="","",VLOOKUP(X49,Configuratie!$B$1:$E$10,4,FALSE))</f>
        <v/>
      </c>
      <c r="N49" s="84"/>
      <c r="O49" s="6"/>
      <c r="P49" s="6"/>
      <c r="Q49" s="6"/>
      <c r="R49" s="6"/>
      <c r="S49" s="6"/>
      <c r="T49" s="6"/>
      <c r="U49" s="6"/>
      <c r="V49" s="6" t="str">
        <f>IF(X49="","",VLOOKUP(X49,Configuratie!$B$1:$E$10,2,FALSE))</f>
        <v/>
      </c>
      <c r="W49" s="61"/>
      <c r="X49" s="5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>
        <v>4</v>
      </c>
      <c r="AY49" s="6">
        <v>11</v>
      </c>
      <c r="AZ49" s="6">
        <v>1</v>
      </c>
      <c r="BA49" s="6" t="str">
        <f t="shared" ref="BA49:BA54" si="64">IF(AND(ISNUMBER(J49),ISNUMBER(M49)),IF(J49+M49=1,1,0),"")</f>
        <v/>
      </c>
      <c r="BB49" s="6"/>
      <c r="BC49" s="48">
        <f t="shared" si="62"/>
        <v>1101</v>
      </c>
      <c r="BD49" s="48">
        <f t="shared" ref="BD49:BD53" si="65">AZ49*100+AY49</f>
        <v>111</v>
      </c>
      <c r="BE49" s="6" t="e">
        <f t="shared" si="63"/>
        <v>#N/A</v>
      </c>
      <c r="BF49" s="6" t="e">
        <f t="shared" si="63"/>
        <v>#N/A</v>
      </c>
      <c r="BG49" s="6" t="e">
        <f>N46*BF49</f>
        <v>#N/A</v>
      </c>
      <c r="BH49" s="6" t="e">
        <f>Q46*BE49</f>
        <v>#N/A</v>
      </c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</row>
    <row r="50" spans="2:80" x14ac:dyDescent="0.25">
      <c r="B50" s="6">
        <v>3</v>
      </c>
      <c r="C50" s="6" t="str">
        <f t="shared" si="60"/>
        <v>K</v>
      </c>
      <c r="D50" s="46" t="s">
        <v>5</v>
      </c>
      <c r="E50" s="84" t="str">
        <f t="shared" si="61"/>
        <v>B</v>
      </c>
      <c r="F50" s="84"/>
      <c r="G50" s="84"/>
      <c r="H50" s="84"/>
      <c r="I50" s="6"/>
      <c r="J50" s="84" t="str">
        <f>IF(X50="","",VLOOKUP(X50,Configuratie!$B$1:$E$10,3,FALSE))</f>
        <v/>
      </c>
      <c r="K50" s="84"/>
      <c r="L50" s="6" t="s">
        <v>5</v>
      </c>
      <c r="M50" s="84" t="str">
        <f>IF(X50="","",VLOOKUP(X50,Configuratie!$B$1:$E$10,4,FALSE))</f>
        <v/>
      </c>
      <c r="N50" s="84"/>
      <c r="O50" s="6"/>
      <c r="P50" s="6"/>
      <c r="Q50" s="6"/>
      <c r="R50" s="6"/>
      <c r="S50" s="6"/>
      <c r="T50" s="6"/>
      <c r="U50" s="6"/>
      <c r="V50" s="6" t="str">
        <f>IF(X50="","",VLOOKUP(X50,Configuratie!$B$1:$E$10,2,FALSE))</f>
        <v/>
      </c>
      <c r="W50" s="61"/>
      <c r="X50" s="5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>
        <v>4</v>
      </c>
      <c r="AY50" s="6">
        <v>10</v>
      </c>
      <c r="AZ50" s="6">
        <v>2</v>
      </c>
      <c r="BA50" s="6" t="str">
        <f t="shared" si="64"/>
        <v/>
      </c>
      <c r="BB50" s="6"/>
      <c r="BC50" s="48">
        <f t="shared" si="62"/>
        <v>1002</v>
      </c>
      <c r="BD50" s="48">
        <f t="shared" si="65"/>
        <v>210</v>
      </c>
      <c r="BE50" s="6" t="e">
        <f t="shared" si="63"/>
        <v>#N/A</v>
      </c>
      <c r="BF50" s="6" t="e">
        <f t="shared" si="63"/>
        <v>#N/A</v>
      </c>
      <c r="BG50" s="6" t="e">
        <f>N47*BF50</f>
        <v>#N/A</v>
      </c>
      <c r="BH50" s="6" t="e">
        <f>Q47*BE50</f>
        <v>#N/A</v>
      </c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</row>
    <row r="51" spans="2:80" x14ac:dyDescent="0.25">
      <c r="B51" s="6">
        <v>4</v>
      </c>
      <c r="C51" s="6" t="str">
        <f t="shared" si="60"/>
        <v>J</v>
      </c>
      <c r="D51" s="46" t="s">
        <v>5</v>
      </c>
      <c r="E51" s="84" t="str">
        <f t="shared" si="61"/>
        <v>C</v>
      </c>
      <c r="F51" s="84"/>
      <c r="G51" s="84"/>
      <c r="H51" s="84"/>
      <c r="I51" s="6"/>
      <c r="J51" s="84" t="str">
        <f>IF(X51="","",VLOOKUP(X51,Configuratie!$B$1:$E$10,3,FALSE))</f>
        <v/>
      </c>
      <c r="K51" s="84"/>
      <c r="L51" s="6" t="s">
        <v>5</v>
      </c>
      <c r="M51" s="84" t="str">
        <f>IF(X51="","",VLOOKUP(X51,Configuratie!$B$1:$E$10,4,FALSE))</f>
        <v/>
      </c>
      <c r="N51" s="84"/>
      <c r="O51" s="6"/>
      <c r="P51" s="6"/>
      <c r="Q51" s="6"/>
      <c r="R51" s="6"/>
      <c r="S51" s="6"/>
      <c r="T51" s="6"/>
      <c r="U51" s="6"/>
      <c r="V51" s="6" t="str">
        <f>IF(X51="","",VLOOKUP(X51,Configuratie!$B$1:$E$10,2,FALSE))</f>
        <v/>
      </c>
      <c r="W51" s="61"/>
      <c r="X51" s="5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>
        <v>4</v>
      </c>
      <c r="AY51" s="6">
        <v>9</v>
      </c>
      <c r="AZ51" s="6">
        <v>3</v>
      </c>
      <c r="BA51" s="6" t="str">
        <f t="shared" si="64"/>
        <v/>
      </c>
      <c r="BB51" s="6"/>
      <c r="BC51" s="48">
        <f t="shared" si="62"/>
        <v>903</v>
      </c>
      <c r="BD51" s="48">
        <f t="shared" si="65"/>
        <v>309</v>
      </c>
      <c r="BE51" s="6" t="e">
        <f t="shared" si="63"/>
        <v>#N/A</v>
      </c>
      <c r="BF51" s="6" t="e">
        <f t="shared" si="63"/>
        <v>#N/A</v>
      </c>
      <c r="BG51" s="6" t="e">
        <f>N48*BF51</f>
        <v>#N/A</v>
      </c>
      <c r="BH51" s="6" t="e">
        <f>Q48*BE51</f>
        <v>#N/A</v>
      </c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</row>
    <row r="52" spans="2:80" x14ac:dyDescent="0.25">
      <c r="B52" s="6">
        <v>5</v>
      </c>
      <c r="C52" s="6" t="str">
        <f t="shared" si="60"/>
        <v>I</v>
      </c>
      <c r="D52" s="46" t="s">
        <v>5</v>
      </c>
      <c r="E52" s="84" t="str">
        <f t="shared" si="61"/>
        <v>D</v>
      </c>
      <c r="F52" s="84"/>
      <c r="G52" s="84"/>
      <c r="H52" s="84"/>
      <c r="I52" s="6"/>
      <c r="J52" s="84" t="str">
        <f>IF(X52="","",VLOOKUP(X52,Configuratie!$B$1:$E$10,3,FALSE))</f>
        <v/>
      </c>
      <c r="K52" s="84"/>
      <c r="L52" s="6" t="s">
        <v>5</v>
      </c>
      <c r="M52" s="84" t="str">
        <f>IF(X52="","",VLOOKUP(X52,Configuratie!$B$1:$E$10,4,FALSE))</f>
        <v/>
      </c>
      <c r="N52" s="84"/>
      <c r="O52" s="6"/>
      <c r="P52" s="6"/>
      <c r="Q52" s="6"/>
      <c r="R52" s="6"/>
      <c r="S52" s="6"/>
      <c r="T52" s="6"/>
      <c r="U52" s="6"/>
      <c r="V52" s="6" t="str">
        <f>IF(X52="","",VLOOKUP(X52,Configuratie!$B$1:$E$10,2,FALSE))</f>
        <v/>
      </c>
      <c r="W52" s="61"/>
      <c r="X52" s="5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>
        <v>4</v>
      </c>
      <c r="AY52" s="6">
        <v>8</v>
      </c>
      <c r="AZ52" s="6">
        <v>4</v>
      </c>
      <c r="BA52" s="6" t="str">
        <f t="shared" si="64"/>
        <v/>
      </c>
      <c r="BB52" s="6"/>
      <c r="BC52" s="48">
        <f t="shared" si="62"/>
        <v>804</v>
      </c>
      <c r="BD52" s="48">
        <f>AZ52*100+AY52</f>
        <v>408</v>
      </c>
      <c r="BE52" s="6" t="e">
        <f t="shared" si="63"/>
        <v>#N/A</v>
      </c>
      <c r="BF52" s="6" t="e">
        <f t="shared" si="63"/>
        <v>#N/A</v>
      </c>
      <c r="BG52" s="6" t="e">
        <f>N49*BF52</f>
        <v>#N/A</v>
      </c>
      <c r="BH52" s="6" t="e">
        <f>Q49*BE52</f>
        <v>#N/A</v>
      </c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</row>
    <row r="53" spans="2:80" x14ac:dyDescent="0.25">
      <c r="B53" s="6">
        <v>6</v>
      </c>
      <c r="C53" s="6" t="str">
        <f t="shared" si="60"/>
        <v>H</v>
      </c>
      <c r="D53" s="46" t="s">
        <v>5</v>
      </c>
      <c r="E53" s="84" t="str">
        <f t="shared" si="61"/>
        <v>E</v>
      </c>
      <c r="F53" s="84"/>
      <c r="G53" s="84"/>
      <c r="H53" s="84"/>
      <c r="I53" s="6"/>
      <c r="J53" s="84" t="str">
        <f>IF(X53="","",VLOOKUP(X53,Configuratie!$B$1:$E$10,3,FALSE))</f>
        <v/>
      </c>
      <c r="K53" s="84"/>
      <c r="L53" s="6" t="s">
        <v>5</v>
      </c>
      <c r="M53" s="84" t="str">
        <f>IF(X53="","",VLOOKUP(X53,Configuratie!$B$1:$E$10,4,FALSE))</f>
        <v/>
      </c>
      <c r="N53" s="84"/>
      <c r="O53" s="6"/>
      <c r="P53" s="6"/>
      <c r="Q53" s="6"/>
      <c r="R53" s="6"/>
      <c r="S53" s="6"/>
      <c r="T53" s="6"/>
      <c r="U53" s="6"/>
      <c r="V53" s="6" t="str">
        <f>IF(X53="","",VLOOKUP(X53,Configuratie!$B$1:$E$10,2,FALSE))</f>
        <v/>
      </c>
      <c r="W53" s="61"/>
      <c r="X53" s="5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>
        <v>4</v>
      </c>
      <c r="AY53" s="6">
        <v>7</v>
      </c>
      <c r="AZ53" s="6">
        <v>5</v>
      </c>
      <c r="BA53" s="6" t="str">
        <f t="shared" si="64"/>
        <v/>
      </c>
      <c r="BB53" s="6"/>
      <c r="BC53" s="48">
        <f t="shared" si="62"/>
        <v>705</v>
      </c>
      <c r="BD53" s="48">
        <f t="shared" si="65"/>
        <v>507</v>
      </c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</row>
    <row r="54" spans="2:80" x14ac:dyDescent="0.25">
      <c r="B54" s="6">
        <v>7</v>
      </c>
      <c r="C54" s="6" t="str">
        <f t="shared" si="60"/>
        <v>O</v>
      </c>
      <c r="D54" s="46" t="s">
        <v>5</v>
      </c>
      <c r="E54" s="84" t="str">
        <f t="shared" si="61"/>
        <v>G</v>
      </c>
      <c r="F54" s="84"/>
      <c r="G54" s="84"/>
      <c r="H54" s="84"/>
      <c r="I54" s="6"/>
      <c r="J54" s="84" t="str">
        <f>IF(X54="","",VLOOKUP(X54,Configuratie!$B$1:$E$10,3,FALSE))</f>
        <v/>
      </c>
      <c r="K54" s="84"/>
      <c r="L54" s="6" t="s">
        <v>5</v>
      </c>
      <c r="M54" s="84" t="str">
        <f>IF(X54="","",VLOOKUP(X54,Configuratie!$B$1:$E$10,4,FALSE))</f>
        <v/>
      </c>
      <c r="N54" s="84"/>
      <c r="O54" s="6"/>
      <c r="P54" s="6"/>
      <c r="Q54" s="6"/>
      <c r="R54" s="6"/>
      <c r="S54" s="6"/>
      <c r="T54" s="6"/>
      <c r="U54" s="6"/>
      <c r="V54" s="6" t="str">
        <f>IF(X54="","",VLOOKUP(X54,Configuratie!$B$1:$E$10,2,FALSE))</f>
        <v/>
      </c>
      <c r="W54" s="61"/>
      <c r="X54" s="5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>
        <v>4</v>
      </c>
      <c r="AY54" s="6">
        <v>14</v>
      </c>
      <c r="AZ54" s="6">
        <v>6</v>
      </c>
      <c r="BA54" s="6" t="str">
        <f t="shared" si="64"/>
        <v/>
      </c>
      <c r="BB54" s="6"/>
      <c r="BC54" s="48">
        <f t="shared" si="62"/>
        <v>1406</v>
      </c>
      <c r="BD54" s="48">
        <f>AZ54*100+AY54</f>
        <v>614</v>
      </c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</row>
    <row r="55" spans="2:80" x14ac:dyDescent="0.25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48"/>
      <c r="BD55" s="48"/>
      <c r="BE55" s="6" t="e">
        <f t="shared" ref="BE55:BF59" si="66">VLOOKUP(AY66,$BJ$3:$BW$13,$AT52,FALSE)</f>
        <v>#N/A</v>
      </c>
      <c r="BF55" s="6" t="e">
        <f t="shared" si="66"/>
        <v>#N/A</v>
      </c>
      <c r="BG55" s="6" t="e">
        <f>N52*BF55</f>
        <v>#N/A</v>
      </c>
      <c r="BH55" s="6" t="e">
        <f>Q52*BE55</f>
        <v>#N/A</v>
      </c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</row>
    <row r="56" spans="2:80" x14ac:dyDescent="0.25">
      <c r="B56" s="45" t="s">
        <v>12</v>
      </c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 t="str">
        <f t="shared" ref="BA56" si="67">IF(AND(ISNUMBER(N52),ISNUMBER(Q52)),IF(N52+Q52=1,1,0),"")</f>
        <v/>
      </c>
      <c r="BB56" s="6"/>
      <c r="BC56" s="48"/>
      <c r="BD56" s="48"/>
      <c r="BE56" s="6" t="e">
        <f t="shared" si="66"/>
        <v>#N/A</v>
      </c>
      <c r="BF56" s="6" t="e">
        <f t="shared" si="66"/>
        <v>#N/A</v>
      </c>
      <c r="BG56" s="6" t="e">
        <f>N53*BF56</f>
        <v>#N/A</v>
      </c>
      <c r="BH56" s="6" t="e">
        <f>Q53*BE56</f>
        <v>#N/A</v>
      </c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</row>
    <row r="57" spans="2:80" x14ac:dyDescent="0.25">
      <c r="B57" s="6">
        <v>1</v>
      </c>
      <c r="C57" s="6" t="str">
        <f>VLOOKUP(AY57,$B$4:$F$17,2,FALSE)</f>
        <v>M</v>
      </c>
      <c r="D57" s="46" t="s">
        <v>5</v>
      </c>
      <c r="E57" s="84" t="str">
        <f t="shared" ref="E57:E63" si="68">VLOOKUP(AZ57,$B$4:$F$17,2,FALSE)</f>
        <v>O</v>
      </c>
      <c r="F57" s="84"/>
      <c r="G57" s="84"/>
      <c r="H57" s="84"/>
      <c r="I57" s="6"/>
      <c r="J57" s="84" t="str">
        <f>IF(X57="","",VLOOKUP(X57,Configuratie!$B$1:$E$10,3,FALSE))</f>
        <v/>
      </c>
      <c r="K57" s="84"/>
      <c r="L57" s="6" t="s">
        <v>5</v>
      </c>
      <c r="M57" s="84" t="str">
        <f>IF(X57="","",VLOOKUP(X57,Configuratie!$B$1:$E$10,4,FALSE))</f>
        <v/>
      </c>
      <c r="N57" s="84"/>
      <c r="O57" s="6"/>
      <c r="P57" s="6"/>
      <c r="Q57" s="6"/>
      <c r="R57" s="6"/>
      <c r="S57" s="6"/>
      <c r="T57" s="6"/>
      <c r="U57" s="6"/>
      <c r="V57" s="6" t="str">
        <f>IF(X57="","",VLOOKUP(X57,Configuratie!$B$1:$E$10,2,FALSE))</f>
        <v/>
      </c>
      <c r="W57" s="61"/>
      <c r="X57" s="5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>
        <v>5</v>
      </c>
      <c r="AY57" s="6">
        <v>12</v>
      </c>
      <c r="AZ57" s="6">
        <v>14</v>
      </c>
      <c r="BA57" s="6" t="str">
        <f>IF(AND(ISNUMBER(J57),ISNUMBER(M57)),IF(J57+M57=1,1,0),"")</f>
        <v/>
      </c>
      <c r="BB57" s="6"/>
      <c r="BC57" s="48">
        <f t="shared" ref="BC57:BC63" si="69">AY57*100+AZ57</f>
        <v>1214</v>
      </c>
      <c r="BD57" s="48">
        <f>AZ57*100+AY57</f>
        <v>1412</v>
      </c>
      <c r="BE57" s="6" t="e">
        <f t="shared" si="66"/>
        <v>#N/A</v>
      </c>
      <c r="BF57" s="6" t="e">
        <f t="shared" si="66"/>
        <v>#N/A</v>
      </c>
      <c r="BG57" s="6" t="e">
        <f>N54*BF57</f>
        <v>#N/A</v>
      </c>
      <c r="BH57" s="6" t="e">
        <f>Q54*BE57</f>
        <v>#N/A</v>
      </c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</row>
    <row r="58" spans="2:80" x14ac:dyDescent="0.25">
      <c r="B58" s="6">
        <v>2</v>
      </c>
      <c r="C58" s="6" t="str">
        <f t="shared" ref="C58:C63" si="70">VLOOKUP(AY58,$B$4:$F$17,2,FALSE)</f>
        <v>N</v>
      </c>
      <c r="D58" s="46" t="s">
        <v>5</v>
      </c>
      <c r="E58" s="84" t="str">
        <f t="shared" si="68"/>
        <v>L</v>
      </c>
      <c r="F58" s="84"/>
      <c r="G58" s="84"/>
      <c r="H58" s="84"/>
      <c r="I58" s="6"/>
      <c r="J58" s="84" t="str">
        <f>IF(X58="","",VLOOKUP(X58,Configuratie!$B$1:$E$10,3,FALSE))</f>
        <v/>
      </c>
      <c r="K58" s="84"/>
      <c r="L58" s="6" t="s">
        <v>5</v>
      </c>
      <c r="M58" s="84" t="str">
        <f>IF(X58="","",VLOOKUP(X58,Configuratie!$B$1:$E$10,4,FALSE))</f>
        <v/>
      </c>
      <c r="N58" s="84"/>
      <c r="O58" s="6"/>
      <c r="P58" s="6"/>
      <c r="Q58" s="6"/>
      <c r="R58" s="6"/>
      <c r="S58" s="6"/>
      <c r="T58" s="6"/>
      <c r="U58" s="6"/>
      <c r="V58" s="6" t="str">
        <f>IF(X58="","",VLOOKUP(X58,Configuratie!$B$1:$E$10,2,FALSE))</f>
        <v/>
      </c>
      <c r="W58" s="61"/>
      <c r="X58" s="5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>
        <v>5</v>
      </c>
      <c r="AY58" s="6">
        <v>13</v>
      </c>
      <c r="AZ58" s="6">
        <v>11</v>
      </c>
      <c r="BA58" s="6" t="str">
        <f t="shared" ref="BA58:BA63" si="71">IF(AND(ISNUMBER(J58),ISNUMBER(M58)),IF(J58+M58=1,1,0),"")</f>
        <v/>
      </c>
      <c r="BB58" s="6"/>
      <c r="BC58" s="48">
        <f t="shared" si="69"/>
        <v>1311</v>
      </c>
      <c r="BD58" s="48">
        <f t="shared" ref="BD58:BD62" si="72">AZ58*100+AY58</f>
        <v>1113</v>
      </c>
      <c r="BE58" s="6" t="e">
        <f t="shared" si="66"/>
        <v>#N/A</v>
      </c>
      <c r="BF58" s="6" t="e">
        <f t="shared" si="66"/>
        <v>#N/A</v>
      </c>
      <c r="BG58" s="6" t="e">
        <f>N55*BF58</f>
        <v>#N/A</v>
      </c>
      <c r="BH58" s="6" t="e">
        <f>Q55*BE58</f>
        <v>#N/A</v>
      </c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</row>
    <row r="59" spans="2:80" x14ac:dyDescent="0.25">
      <c r="B59" s="6">
        <v>3</v>
      </c>
      <c r="C59" s="6" t="str">
        <f t="shared" si="70"/>
        <v>A</v>
      </c>
      <c r="D59" s="46" t="s">
        <v>5</v>
      </c>
      <c r="E59" s="84" t="str">
        <f t="shared" si="68"/>
        <v>K</v>
      </c>
      <c r="F59" s="84"/>
      <c r="G59" s="84"/>
      <c r="H59" s="84"/>
      <c r="I59" s="6"/>
      <c r="J59" s="84" t="str">
        <f>IF(X59="","",VLOOKUP(X59,Configuratie!$B$1:$E$10,3,FALSE))</f>
        <v/>
      </c>
      <c r="K59" s="84"/>
      <c r="L59" s="6" t="s">
        <v>5</v>
      </c>
      <c r="M59" s="84" t="str">
        <f>IF(X59="","",VLOOKUP(X59,Configuratie!$B$1:$E$10,4,FALSE))</f>
        <v/>
      </c>
      <c r="N59" s="84"/>
      <c r="O59" s="6"/>
      <c r="P59" s="6"/>
      <c r="Q59" s="6"/>
      <c r="R59" s="6"/>
      <c r="S59" s="6"/>
      <c r="T59" s="6"/>
      <c r="U59" s="6"/>
      <c r="V59" s="6" t="str">
        <f>IF(X59="","",VLOOKUP(X59,Configuratie!$B$1:$E$10,2,FALSE))</f>
        <v/>
      </c>
      <c r="W59" s="61"/>
      <c r="X59" s="5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>
        <v>5</v>
      </c>
      <c r="AY59" s="6">
        <v>1</v>
      </c>
      <c r="AZ59" s="6">
        <v>10</v>
      </c>
      <c r="BA59" s="6" t="str">
        <f t="shared" si="71"/>
        <v/>
      </c>
      <c r="BB59" s="6"/>
      <c r="BC59" s="48">
        <f t="shared" si="69"/>
        <v>110</v>
      </c>
      <c r="BD59" s="48">
        <f t="shared" si="72"/>
        <v>1001</v>
      </c>
      <c r="BE59" s="6" t="e">
        <f t="shared" si="66"/>
        <v>#VALUE!</v>
      </c>
      <c r="BF59" s="6" t="e">
        <f t="shared" si="66"/>
        <v>#N/A</v>
      </c>
      <c r="BG59" s="6" t="e">
        <f>N56*BF59</f>
        <v>#N/A</v>
      </c>
      <c r="BH59" s="6" t="e">
        <f>Q56*BE59</f>
        <v>#VALUE!</v>
      </c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</row>
    <row r="60" spans="2:80" x14ac:dyDescent="0.25">
      <c r="B60" s="6">
        <v>4</v>
      </c>
      <c r="C60" s="6" t="str">
        <f t="shared" si="70"/>
        <v>B</v>
      </c>
      <c r="D60" s="46" t="s">
        <v>5</v>
      </c>
      <c r="E60" s="84" t="str">
        <f t="shared" si="68"/>
        <v>J</v>
      </c>
      <c r="F60" s="84"/>
      <c r="G60" s="84"/>
      <c r="H60" s="84"/>
      <c r="I60" s="6"/>
      <c r="J60" s="84" t="str">
        <f>IF(X60="","",VLOOKUP(X60,Configuratie!$B$1:$E$10,3,FALSE))</f>
        <v/>
      </c>
      <c r="K60" s="84"/>
      <c r="L60" s="6" t="s">
        <v>5</v>
      </c>
      <c r="M60" s="84" t="str">
        <f>IF(X60="","",VLOOKUP(X60,Configuratie!$B$1:$E$10,4,FALSE))</f>
        <v/>
      </c>
      <c r="N60" s="84"/>
      <c r="O60" s="6"/>
      <c r="P60" s="6"/>
      <c r="Q60" s="6"/>
      <c r="R60" s="6"/>
      <c r="S60" s="6"/>
      <c r="T60" s="6"/>
      <c r="U60" s="6"/>
      <c r="V60" s="6" t="str">
        <f>IF(X60="","",VLOOKUP(X60,Configuratie!$B$1:$E$10,2,FALSE))</f>
        <v/>
      </c>
      <c r="W60" s="61"/>
      <c r="X60" s="5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>
        <v>5</v>
      </c>
      <c r="AY60" s="6">
        <v>2</v>
      </c>
      <c r="AZ60" s="6">
        <v>9</v>
      </c>
      <c r="BA60" s="6" t="str">
        <f t="shared" si="71"/>
        <v/>
      </c>
      <c r="BB60" s="6"/>
      <c r="BC60" s="48">
        <f t="shared" si="69"/>
        <v>209</v>
      </c>
      <c r="BD60" s="48">
        <f t="shared" si="72"/>
        <v>902</v>
      </c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</row>
    <row r="61" spans="2:80" x14ac:dyDescent="0.25">
      <c r="B61" s="6">
        <v>5</v>
      </c>
      <c r="C61" s="6" t="str">
        <f t="shared" si="70"/>
        <v>C</v>
      </c>
      <c r="D61" s="46" t="s">
        <v>5</v>
      </c>
      <c r="E61" s="84" t="str">
        <f t="shared" si="68"/>
        <v>I</v>
      </c>
      <c r="F61" s="84"/>
      <c r="G61" s="84"/>
      <c r="H61" s="84"/>
      <c r="I61" s="6"/>
      <c r="J61" s="84" t="str">
        <f>IF(X61="","",VLOOKUP(X61,Configuratie!$B$1:$E$10,3,FALSE))</f>
        <v/>
      </c>
      <c r="K61" s="84"/>
      <c r="L61" s="6" t="s">
        <v>5</v>
      </c>
      <c r="M61" s="84" t="str">
        <f>IF(X61="","",VLOOKUP(X61,Configuratie!$B$1:$E$10,4,FALSE))</f>
        <v/>
      </c>
      <c r="N61" s="84"/>
      <c r="O61" s="6"/>
      <c r="P61" s="6"/>
      <c r="Q61" s="6"/>
      <c r="R61" s="6"/>
      <c r="S61" s="6"/>
      <c r="T61" s="6"/>
      <c r="U61" s="6"/>
      <c r="V61" s="6" t="str">
        <f>IF(X61="","",VLOOKUP(X61,Configuratie!$B$1:$E$10,2,FALSE))</f>
        <v/>
      </c>
      <c r="W61" s="61"/>
      <c r="X61" s="5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>
        <v>5</v>
      </c>
      <c r="AY61" s="6">
        <v>3</v>
      </c>
      <c r="AZ61" s="6">
        <v>8</v>
      </c>
      <c r="BA61" s="6" t="str">
        <f t="shared" si="71"/>
        <v/>
      </c>
      <c r="BB61" s="6"/>
      <c r="BC61" s="48">
        <f t="shared" si="69"/>
        <v>308</v>
      </c>
      <c r="BD61" s="48">
        <f>AZ61*100+AY61</f>
        <v>803</v>
      </c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</row>
    <row r="62" spans="2:80" x14ac:dyDescent="0.25">
      <c r="B62" s="6">
        <v>6</v>
      </c>
      <c r="C62" s="6" t="str">
        <f t="shared" si="70"/>
        <v>D</v>
      </c>
      <c r="D62" s="46" t="s">
        <v>5</v>
      </c>
      <c r="E62" s="84" t="str">
        <f t="shared" si="68"/>
        <v>H</v>
      </c>
      <c r="F62" s="84"/>
      <c r="G62" s="84"/>
      <c r="H62" s="84"/>
      <c r="I62" s="6"/>
      <c r="J62" s="84" t="str">
        <f>IF(X62="","",VLOOKUP(X62,Configuratie!$B$1:$E$10,3,FALSE))</f>
        <v/>
      </c>
      <c r="K62" s="84"/>
      <c r="L62" s="6" t="s">
        <v>5</v>
      </c>
      <c r="M62" s="84" t="str">
        <f>IF(X62="","",VLOOKUP(X62,Configuratie!$B$1:$E$10,4,FALSE))</f>
        <v/>
      </c>
      <c r="N62" s="84"/>
      <c r="O62" s="6"/>
      <c r="P62" s="6"/>
      <c r="Q62" s="6"/>
      <c r="R62" s="6"/>
      <c r="S62" s="6"/>
      <c r="T62" s="6"/>
      <c r="U62" s="6"/>
      <c r="V62" s="6" t="str">
        <f>IF(X62="","",VLOOKUP(X62,Configuratie!$B$1:$E$10,2,FALSE))</f>
        <v/>
      </c>
      <c r="W62" s="61"/>
      <c r="X62" s="5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>
        <v>5</v>
      </c>
      <c r="AY62" s="6">
        <v>4</v>
      </c>
      <c r="AZ62" s="6">
        <v>7</v>
      </c>
      <c r="BA62" s="6" t="str">
        <f t="shared" si="71"/>
        <v/>
      </c>
      <c r="BB62" s="6"/>
      <c r="BC62" s="48">
        <f t="shared" si="69"/>
        <v>407</v>
      </c>
      <c r="BD62" s="48">
        <f t="shared" si="72"/>
        <v>704</v>
      </c>
      <c r="BE62" s="6" t="e">
        <f t="shared" ref="BE62:BF66" si="73">VLOOKUP(AY75,$BJ$3:$BW$13,$AT59,FALSE)</f>
        <v>#N/A</v>
      </c>
      <c r="BF62" s="6" t="e">
        <f t="shared" si="73"/>
        <v>#N/A</v>
      </c>
      <c r="BG62" s="6" t="e">
        <f>N59*BF62</f>
        <v>#N/A</v>
      </c>
      <c r="BH62" s="6" t="e">
        <f>Q59*BE62</f>
        <v>#N/A</v>
      </c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</row>
    <row r="63" spans="2:80" x14ac:dyDescent="0.25">
      <c r="B63" s="6">
        <v>7</v>
      </c>
      <c r="C63" s="6" t="str">
        <f t="shared" si="70"/>
        <v>E</v>
      </c>
      <c r="D63" s="46" t="s">
        <v>5</v>
      </c>
      <c r="E63" s="84" t="str">
        <f t="shared" si="68"/>
        <v>G</v>
      </c>
      <c r="F63" s="84"/>
      <c r="G63" s="84"/>
      <c r="H63" s="84"/>
      <c r="I63" s="6"/>
      <c r="J63" s="84" t="str">
        <f>IF(X63="","",VLOOKUP(X63,Configuratie!$B$1:$E$10,3,FALSE))</f>
        <v/>
      </c>
      <c r="K63" s="84"/>
      <c r="L63" s="6" t="s">
        <v>5</v>
      </c>
      <c r="M63" s="84" t="str">
        <f>IF(X63="","",VLOOKUP(X63,Configuratie!$B$1:$E$10,4,FALSE))</f>
        <v/>
      </c>
      <c r="N63" s="84"/>
      <c r="O63" s="6"/>
      <c r="P63" s="6"/>
      <c r="Q63" s="6"/>
      <c r="R63" s="6"/>
      <c r="S63" s="6"/>
      <c r="T63" s="6"/>
      <c r="U63" s="6"/>
      <c r="V63" s="6" t="str">
        <f>IF(X63="","",VLOOKUP(X63,Configuratie!$B$1:$E$10,2,FALSE))</f>
        <v/>
      </c>
      <c r="W63" s="61"/>
      <c r="X63" s="5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>
        <v>5</v>
      </c>
      <c r="AY63" s="6">
        <v>5</v>
      </c>
      <c r="AZ63" s="6">
        <v>6</v>
      </c>
      <c r="BA63" s="6" t="str">
        <f t="shared" si="71"/>
        <v/>
      </c>
      <c r="BB63" s="6"/>
      <c r="BC63" s="48">
        <f t="shared" si="69"/>
        <v>506</v>
      </c>
      <c r="BD63" s="48">
        <f>AZ63*100+AY63</f>
        <v>605</v>
      </c>
      <c r="BE63" s="6" t="e">
        <f t="shared" si="73"/>
        <v>#N/A</v>
      </c>
      <c r="BF63" s="6" t="e">
        <f t="shared" si="73"/>
        <v>#N/A</v>
      </c>
      <c r="BG63" s="6" t="e">
        <f>N60*BF63</f>
        <v>#N/A</v>
      </c>
      <c r="BH63" s="6" t="e">
        <f>Q60*BE63</f>
        <v>#N/A</v>
      </c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</row>
    <row r="64" spans="2:80" x14ac:dyDescent="0.25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 t="str">
        <f t="shared" ref="BA64:BA65" si="74">IF(AND(ISNUMBER(N60),ISNUMBER(Q60)),IF(N60+Q60=1,1,0),"")</f>
        <v/>
      </c>
      <c r="BB64" s="6"/>
      <c r="BC64" s="48"/>
      <c r="BD64" s="48"/>
      <c r="BE64" s="6" t="e">
        <f t="shared" si="73"/>
        <v>#N/A</v>
      </c>
      <c r="BF64" s="6" t="e">
        <f t="shared" si="73"/>
        <v>#N/A</v>
      </c>
      <c r="BG64" s="6" t="e">
        <f>N61*BF64</f>
        <v>#N/A</v>
      </c>
      <c r="BH64" s="6" t="e">
        <f>Q61*BE64</f>
        <v>#N/A</v>
      </c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</row>
    <row r="65" spans="2:80" x14ac:dyDescent="0.25">
      <c r="B65" s="45" t="s">
        <v>13</v>
      </c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75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 t="str">
        <f t="shared" si="74"/>
        <v/>
      </c>
      <c r="BB65" s="6"/>
      <c r="BC65" s="48"/>
      <c r="BD65" s="48"/>
      <c r="BE65" s="6" t="e">
        <f t="shared" si="73"/>
        <v>#N/A</v>
      </c>
      <c r="BF65" s="6" t="e">
        <f t="shared" si="73"/>
        <v>#N/A</v>
      </c>
      <c r="BG65" s="6" t="e">
        <f>N62*BF65</f>
        <v>#N/A</v>
      </c>
      <c r="BH65" s="6" t="e">
        <f>Q62*BE65</f>
        <v>#N/A</v>
      </c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</row>
    <row r="66" spans="2:80" x14ac:dyDescent="0.25">
      <c r="B66" s="6">
        <v>1</v>
      </c>
      <c r="C66" s="6" t="str">
        <f t="shared" ref="C66:C72" si="75">VLOOKUP(AY66,$B$4:$F$17,2,FALSE)</f>
        <v>L</v>
      </c>
      <c r="D66" s="46" t="s">
        <v>5</v>
      </c>
      <c r="E66" s="84" t="str">
        <f t="shared" ref="E66:E72" si="76">VLOOKUP(AZ66,$B$4:$F$17,2,FALSE)</f>
        <v>M</v>
      </c>
      <c r="F66" s="84"/>
      <c r="G66" s="84"/>
      <c r="H66" s="84"/>
      <c r="I66" s="6"/>
      <c r="J66" s="84" t="str">
        <f>IF(X66="","",VLOOKUP(X66,Configuratie!$B$1:$E$10,3,FALSE))</f>
        <v/>
      </c>
      <c r="K66" s="84"/>
      <c r="L66" s="6" t="s">
        <v>5</v>
      </c>
      <c r="M66" s="84" t="str">
        <f>IF(X66="","",VLOOKUP(X66,Configuratie!$B$1:$E$10,4,FALSE))</f>
        <v/>
      </c>
      <c r="N66" s="84"/>
      <c r="O66" s="6"/>
      <c r="P66" s="6"/>
      <c r="Q66" s="6"/>
      <c r="R66" s="6"/>
      <c r="S66" s="6"/>
      <c r="T66" s="6"/>
      <c r="U66" s="6"/>
      <c r="V66" s="6" t="str">
        <f>IF(X66="","",VLOOKUP(X66,Configuratie!$B$1:$E$10,2,FALSE))</f>
        <v/>
      </c>
      <c r="W66" s="61"/>
      <c r="X66" s="5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>
        <v>6</v>
      </c>
      <c r="AY66" s="6">
        <v>11</v>
      </c>
      <c r="AZ66" s="6">
        <v>12</v>
      </c>
      <c r="BA66" s="6" t="str">
        <f>IF(AND(ISNUMBER(J66),ISNUMBER(M66)),IF(J66+M66=1,1,0),"")</f>
        <v/>
      </c>
      <c r="BB66" s="6"/>
      <c r="BC66" s="48">
        <f t="shared" ref="BC66:BC72" si="77">AY66*100+AZ66</f>
        <v>1112</v>
      </c>
      <c r="BD66" s="48">
        <f>AZ66*100+AY66</f>
        <v>1211</v>
      </c>
      <c r="BE66" s="6" t="e">
        <f t="shared" si="73"/>
        <v>#N/A</v>
      </c>
      <c r="BF66" s="6" t="e">
        <f t="shared" si="73"/>
        <v>#VALUE!</v>
      </c>
      <c r="BG66" s="6" t="e">
        <f>N63*BF66</f>
        <v>#VALUE!</v>
      </c>
      <c r="BH66" s="6" t="e">
        <f>Q63*BE66</f>
        <v>#N/A</v>
      </c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</row>
    <row r="67" spans="2:80" x14ac:dyDescent="0.25">
      <c r="B67" s="6">
        <v>2</v>
      </c>
      <c r="C67" s="6" t="str">
        <f t="shared" si="75"/>
        <v>K</v>
      </c>
      <c r="D67" s="46" t="s">
        <v>5</v>
      </c>
      <c r="E67" s="84" t="str">
        <f t="shared" si="76"/>
        <v>N</v>
      </c>
      <c r="F67" s="84"/>
      <c r="G67" s="84"/>
      <c r="H67" s="84"/>
      <c r="I67" s="6"/>
      <c r="J67" s="84" t="str">
        <f>IF(X67="","",VLOOKUP(X67,Configuratie!$B$1:$E$10,3,FALSE))</f>
        <v/>
      </c>
      <c r="K67" s="84"/>
      <c r="L67" s="6" t="s">
        <v>5</v>
      </c>
      <c r="M67" s="84" t="str">
        <f>IF(X67="","",VLOOKUP(X67,Configuratie!$B$1:$E$10,4,FALSE))</f>
        <v/>
      </c>
      <c r="N67" s="84"/>
      <c r="O67" s="6"/>
      <c r="P67" s="6"/>
      <c r="Q67" s="6"/>
      <c r="R67" s="6"/>
      <c r="S67" s="6"/>
      <c r="T67" s="6"/>
      <c r="U67" s="6"/>
      <c r="V67" s="6" t="str">
        <f>IF(X67="","",VLOOKUP(X67,Configuratie!$B$1:$E$10,2,FALSE))</f>
        <v/>
      </c>
      <c r="W67" s="61"/>
      <c r="X67" s="5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>
        <v>6</v>
      </c>
      <c r="AY67" s="6">
        <v>10</v>
      </c>
      <c r="AZ67" s="6">
        <v>13</v>
      </c>
      <c r="BA67" s="6" t="str">
        <f t="shared" ref="BA67:BA72" si="78">IF(AND(ISNUMBER(J67),ISNUMBER(M67)),IF(J67+M67=1,1,0),"")</f>
        <v/>
      </c>
      <c r="BB67" s="6"/>
      <c r="BC67" s="48">
        <f t="shared" si="77"/>
        <v>1013</v>
      </c>
      <c r="BD67" s="48">
        <f t="shared" ref="BD67:BD71" si="79">AZ67*100+AY67</f>
        <v>1310</v>
      </c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</row>
    <row r="68" spans="2:80" x14ac:dyDescent="0.25">
      <c r="B68" s="6">
        <v>3</v>
      </c>
      <c r="C68" s="6" t="str">
        <f t="shared" si="75"/>
        <v>J</v>
      </c>
      <c r="D68" s="46" t="s">
        <v>5</v>
      </c>
      <c r="E68" s="84" t="str">
        <f t="shared" si="76"/>
        <v>A</v>
      </c>
      <c r="F68" s="84"/>
      <c r="G68" s="84"/>
      <c r="H68" s="84"/>
      <c r="I68" s="6"/>
      <c r="J68" s="84" t="str">
        <f>IF(X68="","",VLOOKUP(X68,Configuratie!$B$1:$E$10,3,FALSE))</f>
        <v/>
      </c>
      <c r="K68" s="84"/>
      <c r="L68" s="6" t="s">
        <v>5</v>
      </c>
      <c r="M68" s="84" t="str">
        <f>IF(X68="","",VLOOKUP(X68,Configuratie!$B$1:$E$10,4,FALSE))</f>
        <v/>
      </c>
      <c r="N68" s="84"/>
      <c r="O68" s="6"/>
      <c r="P68" s="6"/>
      <c r="Q68" s="6"/>
      <c r="R68" s="6"/>
      <c r="S68" s="6"/>
      <c r="T68" s="6"/>
      <c r="U68" s="6"/>
      <c r="V68" s="6" t="str">
        <f>IF(X68="","",VLOOKUP(X68,Configuratie!$B$1:$E$10,2,FALSE))</f>
        <v/>
      </c>
      <c r="W68" s="61"/>
      <c r="X68" s="5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>
        <v>6</v>
      </c>
      <c r="AY68" s="6">
        <v>9</v>
      </c>
      <c r="AZ68" s="6">
        <v>1</v>
      </c>
      <c r="BA68" s="6" t="str">
        <f t="shared" si="78"/>
        <v/>
      </c>
      <c r="BB68" s="6"/>
      <c r="BC68" s="48">
        <f t="shared" si="77"/>
        <v>901</v>
      </c>
      <c r="BD68" s="48">
        <f t="shared" si="79"/>
        <v>109</v>
      </c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</row>
    <row r="69" spans="2:80" x14ac:dyDescent="0.25">
      <c r="B69" s="6">
        <v>4</v>
      </c>
      <c r="C69" s="6" t="str">
        <f t="shared" si="75"/>
        <v>I</v>
      </c>
      <c r="D69" s="46" t="s">
        <v>5</v>
      </c>
      <c r="E69" s="84" t="str">
        <f t="shared" si="76"/>
        <v>B</v>
      </c>
      <c r="F69" s="84"/>
      <c r="G69" s="84"/>
      <c r="H69" s="84"/>
      <c r="I69" s="6"/>
      <c r="J69" s="84" t="str">
        <f>IF(X69="","",VLOOKUP(X69,Configuratie!$B$1:$E$10,3,FALSE))</f>
        <v/>
      </c>
      <c r="K69" s="84"/>
      <c r="L69" s="6" t="s">
        <v>5</v>
      </c>
      <c r="M69" s="84" t="str">
        <f>IF(X69="","",VLOOKUP(X69,Configuratie!$B$1:$E$10,4,FALSE))</f>
        <v/>
      </c>
      <c r="N69" s="84"/>
      <c r="O69" s="6"/>
      <c r="P69" s="6"/>
      <c r="Q69" s="6"/>
      <c r="R69" s="6"/>
      <c r="S69" s="6"/>
      <c r="T69" s="6"/>
      <c r="U69" s="6"/>
      <c r="V69" s="6" t="str">
        <f>IF(X69="","",VLOOKUP(X69,Configuratie!$B$1:$E$10,2,FALSE))</f>
        <v/>
      </c>
      <c r="W69" s="61"/>
      <c r="X69" s="5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>
        <v>6</v>
      </c>
      <c r="AY69" s="6">
        <v>8</v>
      </c>
      <c r="AZ69" s="6">
        <v>2</v>
      </c>
      <c r="BA69" s="6" t="str">
        <f t="shared" si="78"/>
        <v/>
      </c>
      <c r="BB69" s="6"/>
      <c r="BC69" s="48">
        <f t="shared" si="77"/>
        <v>802</v>
      </c>
      <c r="BD69" s="48">
        <f t="shared" si="79"/>
        <v>208</v>
      </c>
      <c r="BE69" s="6" t="e">
        <f t="shared" ref="BE69:BF73" si="80">VLOOKUP(AY84,$BJ$3:$BW$13,$AT66,FALSE)</f>
        <v>#N/A</v>
      </c>
      <c r="BF69" s="6" t="e">
        <f t="shared" si="80"/>
        <v>#N/A</v>
      </c>
      <c r="BG69" s="6" t="e">
        <f>N66*BF69</f>
        <v>#N/A</v>
      </c>
      <c r="BH69" s="6" t="e">
        <f>Q66*BE69</f>
        <v>#N/A</v>
      </c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</row>
    <row r="70" spans="2:80" x14ac:dyDescent="0.25">
      <c r="B70" s="6">
        <v>5</v>
      </c>
      <c r="C70" s="6" t="str">
        <f t="shared" si="75"/>
        <v>H</v>
      </c>
      <c r="D70" s="46" t="s">
        <v>5</v>
      </c>
      <c r="E70" s="84" t="str">
        <f t="shared" si="76"/>
        <v>C</v>
      </c>
      <c r="F70" s="84"/>
      <c r="G70" s="84"/>
      <c r="H70" s="84"/>
      <c r="I70" s="6"/>
      <c r="J70" s="84" t="str">
        <f>IF(X70="","",VLOOKUP(X70,Configuratie!$B$1:$E$10,3,FALSE))</f>
        <v/>
      </c>
      <c r="K70" s="84"/>
      <c r="L70" s="6" t="s">
        <v>5</v>
      </c>
      <c r="M70" s="84" t="str">
        <f>IF(X70="","",VLOOKUP(X70,Configuratie!$B$1:$E$10,4,FALSE))</f>
        <v/>
      </c>
      <c r="N70" s="84"/>
      <c r="O70" s="6"/>
      <c r="P70" s="6"/>
      <c r="Q70" s="6"/>
      <c r="R70" s="6"/>
      <c r="S70" s="6"/>
      <c r="T70" s="6"/>
      <c r="U70" s="6"/>
      <c r="V70" s="6" t="str">
        <f>IF(X70="","",VLOOKUP(X70,Configuratie!$B$1:$E$10,2,FALSE))</f>
        <v/>
      </c>
      <c r="W70" s="61"/>
      <c r="X70" s="5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>
        <v>6</v>
      </c>
      <c r="AY70" s="6">
        <v>7</v>
      </c>
      <c r="AZ70" s="6">
        <v>3</v>
      </c>
      <c r="BA70" s="6" t="str">
        <f t="shared" si="78"/>
        <v/>
      </c>
      <c r="BB70" s="6"/>
      <c r="BC70" s="48">
        <f t="shared" si="77"/>
        <v>703</v>
      </c>
      <c r="BD70" s="48">
        <f>AZ70*100+AY70</f>
        <v>307</v>
      </c>
      <c r="BE70" s="6" t="e">
        <f t="shared" si="80"/>
        <v>#N/A</v>
      </c>
      <c r="BF70" s="6" t="e">
        <f t="shared" si="80"/>
        <v>#N/A</v>
      </c>
      <c r="BG70" s="6" t="e">
        <f>N67*BF70</f>
        <v>#N/A</v>
      </c>
      <c r="BH70" s="6" t="e">
        <f>Q67*BE70</f>
        <v>#N/A</v>
      </c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</row>
    <row r="71" spans="2:80" x14ac:dyDescent="0.25">
      <c r="B71" s="6">
        <v>6</v>
      </c>
      <c r="C71" s="6" t="str">
        <f t="shared" si="75"/>
        <v>G</v>
      </c>
      <c r="D71" s="46" t="s">
        <v>5</v>
      </c>
      <c r="E71" s="84" t="str">
        <f t="shared" si="76"/>
        <v>D</v>
      </c>
      <c r="F71" s="84"/>
      <c r="G71" s="84"/>
      <c r="H71" s="84"/>
      <c r="I71" s="6"/>
      <c r="J71" s="84" t="str">
        <f>IF(X71="","",VLOOKUP(X71,Configuratie!$B$1:$E$10,3,FALSE))</f>
        <v/>
      </c>
      <c r="K71" s="84"/>
      <c r="L71" s="6" t="s">
        <v>5</v>
      </c>
      <c r="M71" s="84" t="str">
        <f>IF(X71="","",VLOOKUP(X71,Configuratie!$B$1:$E$10,4,FALSE))</f>
        <v/>
      </c>
      <c r="N71" s="84"/>
      <c r="O71" s="6"/>
      <c r="P71" s="6"/>
      <c r="Q71" s="6"/>
      <c r="R71" s="6"/>
      <c r="S71" s="6"/>
      <c r="T71" s="6"/>
      <c r="U71" s="6"/>
      <c r="V71" s="6" t="str">
        <f>IF(X71="","",VLOOKUP(X71,Configuratie!$B$1:$E$10,2,FALSE))</f>
        <v/>
      </c>
      <c r="W71" s="61"/>
      <c r="X71" s="5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>
        <v>6</v>
      </c>
      <c r="AY71" s="6">
        <v>6</v>
      </c>
      <c r="AZ71" s="6">
        <v>4</v>
      </c>
      <c r="BA71" s="6" t="str">
        <f t="shared" si="78"/>
        <v/>
      </c>
      <c r="BB71" s="6"/>
      <c r="BC71" s="48">
        <f t="shared" si="77"/>
        <v>604</v>
      </c>
      <c r="BD71" s="48">
        <f t="shared" si="79"/>
        <v>406</v>
      </c>
      <c r="BE71" s="6" t="e">
        <f t="shared" si="80"/>
        <v>#N/A</v>
      </c>
      <c r="BF71" s="6" t="e">
        <f t="shared" si="80"/>
        <v>#N/A</v>
      </c>
      <c r="BG71" s="6" t="e">
        <f>N68*BF71</f>
        <v>#N/A</v>
      </c>
      <c r="BH71" s="6" t="e">
        <f>Q68*BE71</f>
        <v>#N/A</v>
      </c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</row>
    <row r="72" spans="2:80" x14ac:dyDescent="0.25">
      <c r="B72" s="6">
        <v>7</v>
      </c>
      <c r="C72" s="6" t="str">
        <f t="shared" si="75"/>
        <v>O</v>
      </c>
      <c r="D72" s="46" t="s">
        <v>5</v>
      </c>
      <c r="E72" s="84" t="str">
        <f t="shared" si="76"/>
        <v>E</v>
      </c>
      <c r="F72" s="84"/>
      <c r="G72" s="84"/>
      <c r="H72" s="84"/>
      <c r="I72" s="6"/>
      <c r="J72" s="84" t="str">
        <f>IF(X72="","",VLOOKUP(X72,Configuratie!$B$1:$E$10,3,FALSE))</f>
        <v/>
      </c>
      <c r="K72" s="84"/>
      <c r="L72" s="6" t="s">
        <v>5</v>
      </c>
      <c r="M72" s="84" t="str">
        <f>IF(X72="","",VLOOKUP(X72,Configuratie!$B$1:$E$10,4,FALSE))</f>
        <v/>
      </c>
      <c r="N72" s="84"/>
      <c r="O72" s="6"/>
      <c r="P72" s="6"/>
      <c r="Q72" s="6"/>
      <c r="R72" s="6"/>
      <c r="S72" s="6"/>
      <c r="T72" s="6"/>
      <c r="U72" s="6"/>
      <c r="V72" s="6" t="str">
        <f>IF(X72="","",VLOOKUP(X72,Configuratie!$B$1:$E$10,2,FALSE))</f>
        <v/>
      </c>
      <c r="W72" s="61"/>
      <c r="X72" s="5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>
        <v>6</v>
      </c>
      <c r="AY72" s="6">
        <v>14</v>
      </c>
      <c r="AZ72" s="6">
        <v>5</v>
      </c>
      <c r="BA72" s="6" t="str">
        <f t="shared" si="78"/>
        <v/>
      </c>
      <c r="BB72" s="6"/>
      <c r="BC72" s="48">
        <f t="shared" si="77"/>
        <v>1405</v>
      </c>
      <c r="BD72" s="48">
        <f>AZ72*100+AY72</f>
        <v>514</v>
      </c>
      <c r="BE72" s="6" t="e">
        <f t="shared" si="80"/>
        <v>#VALUE!</v>
      </c>
      <c r="BF72" s="6" t="e">
        <f t="shared" si="80"/>
        <v>#N/A</v>
      </c>
      <c r="BG72" s="6" t="e">
        <f>N69*BF72</f>
        <v>#N/A</v>
      </c>
      <c r="BH72" s="6" t="e">
        <f>Q69*BE72</f>
        <v>#VALUE!</v>
      </c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</row>
    <row r="73" spans="2:80" x14ac:dyDescent="0.25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 t="str">
        <f t="shared" ref="BA73:BA74" si="81">IF(AND(ISNUMBER(N69),ISNUMBER(Q69)),IF(N69+Q69=1,1,0),"")</f>
        <v/>
      </c>
      <c r="BB73" s="6"/>
      <c r="BC73" s="48"/>
      <c r="BD73" s="48"/>
      <c r="BE73" s="6" t="e">
        <f t="shared" si="80"/>
        <v>#N/A</v>
      </c>
      <c r="BF73" s="6" t="e">
        <f t="shared" si="80"/>
        <v>#N/A</v>
      </c>
      <c r="BG73" s="6" t="e">
        <f>N70*BF73</f>
        <v>#N/A</v>
      </c>
      <c r="BH73" s="6" t="e">
        <f>Q70*BE73</f>
        <v>#N/A</v>
      </c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</row>
    <row r="74" spans="2:80" x14ac:dyDescent="0.25">
      <c r="B74" s="45" t="s">
        <v>14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 t="str">
        <f t="shared" si="81"/>
        <v/>
      </c>
      <c r="BB74" s="6"/>
      <c r="BC74" s="42"/>
      <c r="BD74" s="42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</row>
    <row r="75" spans="2:80" x14ac:dyDescent="0.25">
      <c r="B75" s="6">
        <v>1</v>
      </c>
      <c r="C75" s="6" t="str">
        <f t="shared" ref="C75:C81" si="82">VLOOKUP(AY75,$B$4:$F$17,2,FALSE)</f>
        <v>L</v>
      </c>
      <c r="D75" s="46" t="s">
        <v>5</v>
      </c>
      <c r="E75" s="84" t="str">
        <f t="shared" ref="E75:E81" si="83">VLOOKUP(AZ75,$B$4:$F$17,2,FALSE)</f>
        <v>O</v>
      </c>
      <c r="F75" s="84"/>
      <c r="G75" s="84"/>
      <c r="H75" s="84"/>
      <c r="I75" s="6"/>
      <c r="J75" s="84" t="str">
        <f>IF(X75="","",VLOOKUP(X75,Configuratie!$B$1:$E$10,3,FALSE))</f>
        <v/>
      </c>
      <c r="K75" s="84"/>
      <c r="L75" s="6" t="s">
        <v>5</v>
      </c>
      <c r="M75" s="84" t="str">
        <f>IF(X75="","",VLOOKUP(X75,Configuratie!$B$1:$E$10,4,FALSE))</f>
        <v/>
      </c>
      <c r="N75" s="84"/>
      <c r="O75" s="6"/>
      <c r="P75" s="6"/>
      <c r="Q75" s="6"/>
      <c r="R75" s="6"/>
      <c r="S75" s="6"/>
      <c r="T75" s="6"/>
      <c r="U75" s="6"/>
      <c r="V75" s="6" t="str">
        <f>IF(X75="","",VLOOKUP(X75,Configuratie!$B$1:$E$10,2,FALSE))</f>
        <v/>
      </c>
      <c r="W75" s="61"/>
      <c r="X75" s="5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>
        <v>7</v>
      </c>
      <c r="AY75" s="6">
        <v>11</v>
      </c>
      <c r="AZ75" s="6">
        <v>14</v>
      </c>
      <c r="BA75" s="6" t="str">
        <f>IF(AND(ISNUMBER(J75),ISNUMBER(M75)),IF(J75+M75=1,1,0),"")</f>
        <v/>
      </c>
      <c r="BB75" s="6"/>
      <c r="BC75" s="48">
        <f t="shared" ref="BC75:BC81" si="84">AY75*100+AZ75</f>
        <v>1114</v>
      </c>
      <c r="BD75" s="48">
        <f>AZ75*100+AY75</f>
        <v>1411</v>
      </c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</row>
    <row r="76" spans="2:80" x14ac:dyDescent="0.25">
      <c r="B76" s="6">
        <v>2</v>
      </c>
      <c r="C76" s="6" t="str">
        <f t="shared" si="82"/>
        <v>M</v>
      </c>
      <c r="D76" s="46" t="s">
        <v>5</v>
      </c>
      <c r="E76" s="84" t="str">
        <f t="shared" si="83"/>
        <v>K</v>
      </c>
      <c r="F76" s="84"/>
      <c r="G76" s="84"/>
      <c r="H76" s="84"/>
      <c r="I76" s="6"/>
      <c r="J76" s="84" t="str">
        <f>IF(X76="","",VLOOKUP(X76,Configuratie!$B$1:$E$10,3,FALSE))</f>
        <v/>
      </c>
      <c r="K76" s="84"/>
      <c r="L76" s="6" t="s">
        <v>5</v>
      </c>
      <c r="M76" s="84" t="str">
        <f>IF(X76="","",VLOOKUP(X76,Configuratie!$B$1:$E$10,4,FALSE))</f>
        <v/>
      </c>
      <c r="N76" s="84"/>
      <c r="O76" s="6"/>
      <c r="P76" s="6"/>
      <c r="Q76" s="6"/>
      <c r="R76" s="6"/>
      <c r="S76" s="6"/>
      <c r="T76" s="6"/>
      <c r="U76" s="6"/>
      <c r="V76" s="6" t="str">
        <f>IF(X76="","",VLOOKUP(X76,Configuratie!$B$1:$E$10,2,FALSE))</f>
        <v/>
      </c>
      <c r="W76" s="61"/>
      <c r="X76" s="5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>
        <v>7</v>
      </c>
      <c r="AY76" s="6">
        <v>12</v>
      </c>
      <c r="AZ76" s="6">
        <v>10</v>
      </c>
      <c r="BA76" s="6" t="str">
        <f t="shared" ref="BA76:BA81" si="85">IF(AND(ISNUMBER(J76),ISNUMBER(M76)),IF(J76+M76=1,1,0),"")</f>
        <v/>
      </c>
      <c r="BB76" s="6"/>
      <c r="BC76" s="48">
        <f t="shared" si="84"/>
        <v>1210</v>
      </c>
      <c r="BD76" s="48">
        <f t="shared" ref="BD76:BD80" si="86">AZ76*100+AY76</f>
        <v>1012</v>
      </c>
      <c r="BE76" s="6" t="e">
        <f t="shared" ref="BE76:BF80" si="87">VLOOKUP(AY93,$BJ$3:$BW$13,$AT73,FALSE)</f>
        <v>#N/A</v>
      </c>
      <c r="BF76" s="6" t="e">
        <f t="shared" si="87"/>
        <v>#N/A</v>
      </c>
      <c r="BG76" s="6" t="e">
        <f>N73*BF76</f>
        <v>#N/A</v>
      </c>
      <c r="BH76" s="6" t="e">
        <f>Q73*BE76</f>
        <v>#N/A</v>
      </c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</row>
    <row r="77" spans="2:80" x14ac:dyDescent="0.25">
      <c r="B77" s="6">
        <v>3</v>
      </c>
      <c r="C77" s="6" t="str">
        <f t="shared" si="82"/>
        <v>N</v>
      </c>
      <c r="D77" s="46" t="s">
        <v>5</v>
      </c>
      <c r="E77" s="84" t="str">
        <f t="shared" si="83"/>
        <v>J</v>
      </c>
      <c r="F77" s="84"/>
      <c r="G77" s="84"/>
      <c r="H77" s="84"/>
      <c r="I77" s="6"/>
      <c r="J77" s="84" t="str">
        <f>IF(X77="","",VLOOKUP(X77,Configuratie!$B$1:$E$10,3,FALSE))</f>
        <v/>
      </c>
      <c r="K77" s="84"/>
      <c r="L77" s="6" t="s">
        <v>5</v>
      </c>
      <c r="M77" s="84" t="str">
        <f>IF(X77="","",VLOOKUP(X77,Configuratie!$B$1:$E$10,4,FALSE))</f>
        <v/>
      </c>
      <c r="N77" s="84"/>
      <c r="O77" s="6"/>
      <c r="P77" s="6"/>
      <c r="Q77" s="6"/>
      <c r="R77" s="6"/>
      <c r="S77" s="6"/>
      <c r="T77" s="6"/>
      <c r="U77" s="6"/>
      <c r="V77" s="6" t="str">
        <f>IF(X77="","",VLOOKUP(X77,Configuratie!$B$1:$E$10,2,FALSE))</f>
        <v/>
      </c>
      <c r="W77" s="61"/>
      <c r="X77" s="5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>
        <v>7</v>
      </c>
      <c r="AY77" s="6">
        <v>13</v>
      </c>
      <c r="AZ77" s="6">
        <v>9</v>
      </c>
      <c r="BA77" s="6" t="str">
        <f t="shared" si="85"/>
        <v/>
      </c>
      <c r="BB77" s="6"/>
      <c r="BC77" s="48">
        <f t="shared" si="84"/>
        <v>1309</v>
      </c>
      <c r="BD77" s="48">
        <f t="shared" si="86"/>
        <v>913</v>
      </c>
      <c r="BE77" s="6" t="e">
        <f t="shared" si="87"/>
        <v>#N/A</v>
      </c>
      <c r="BF77" s="6" t="e">
        <f t="shared" si="87"/>
        <v>#N/A</v>
      </c>
      <c r="BG77" s="6" t="e">
        <f>N74*BF77</f>
        <v>#N/A</v>
      </c>
      <c r="BH77" s="6" t="e">
        <f>Q74*BE77</f>
        <v>#N/A</v>
      </c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</row>
    <row r="78" spans="2:80" x14ac:dyDescent="0.25">
      <c r="B78" s="6">
        <v>4</v>
      </c>
      <c r="C78" s="6" t="str">
        <f t="shared" si="82"/>
        <v>A</v>
      </c>
      <c r="D78" s="46" t="s">
        <v>5</v>
      </c>
      <c r="E78" s="84" t="str">
        <f t="shared" si="83"/>
        <v>I</v>
      </c>
      <c r="F78" s="84"/>
      <c r="G78" s="84"/>
      <c r="H78" s="84"/>
      <c r="I78" s="6"/>
      <c r="J78" s="84" t="str">
        <f>IF(X78="","",VLOOKUP(X78,Configuratie!$B$1:$E$10,3,FALSE))</f>
        <v/>
      </c>
      <c r="K78" s="84"/>
      <c r="L78" s="6" t="s">
        <v>5</v>
      </c>
      <c r="M78" s="84" t="str">
        <f>IF(X78="","",VLOOKUP(X78,Configuratie!$B$1:$E$10,4,FALSE))</f>
        <v/>
      </c>
      <c r="N78" s="84"/>
      <c r="O78" s="6"/>
      <c r="P78" s="6"/>
      <c r="Q78" s="6"/>
      <c r="R78" s="6"/>
      <c r="S78" s="6"/>
      <c r="T78" s="6"/>
      <c r="U78" s="6"/>
      <c r="V78" s="6" t="str">
        <f>IF(X78="","",VLOOKUP(X78,Configuratie!$B$1:$E$10,2,FALSE))</f>
        <v/>
      </c>
      <c r="W78" s="61"/>
      <c r="X78" s="5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>
        <v>7</v>
      </c>
      <c r="AY78" s="6">
        <v>1</v>
      </c>
      <c r="AZ78" s="6">
        <v>8</v>
      </c>
      <c r="BA78" s="6" t="str">
        <f t="shared" si="85"/>
        <v/>
      </c>
      <c r="BB78" s="6"/>
      <c r="BC78" s="48">
        <f t="shared" si="84"/>
        <v>108</v>
      </c>
      <c r="BD78" s="48">
        <f t="shared" si="86"/>
        <v>801</v>
      </c>
      <c r="BE78" s="6" t="e">
        <f t="shared" si="87"/>
        <v>#N/A</v>
      </c>
      <c r="BF78" s="6" t="e">
        <f t="shared" si="87"/>
        <v>#N/A</v>
      </c>
      <c r="BG78" s="6" t="e">
        <f>N75*BF78</f>
        <v>#N/A</v>
      </c>
      <c r="BH78" s="6" t="e">
        <f>Q75*BE78</f>
        <v>#N/A</v>
      </c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</row>
    <row r="79" spans="2:80" x14ac:dyDescent="0.25">
      <c r="B79" s="6">
        <v>5</v>
      </c>
      <c r="C79" s="6" t="str">
        <f t="shared" si="82"/>
        <v>B</v>
      </c>
      <c r="D79" s="46" t="s">
        <v>5</v>
      </c>
      <c r="E79" s="84" t="str">
        <f t="shared" si="83"/>
        <v>H</v>
      </c>
      <c r="F79" s="84"/>
      <c r="G79" s="84"/>
      <c r="H79" s="84"/>
      <c r="I79" s="6"/>
      <c r="J79" s="84" t="str">
        <f>IF(X79="","",VLOOKUP(X79,Configuratie!$B$1:$E$10,3,FALSE))</f>
        <v/>
      </c>
      <c r="K79" s="84"/>
      <c r="L79" s="6" t="s">
        <v>5</v>
      </c>
      <c r="M79" s="84" t="str">
        <f>IF(X79="","",VLOOKUP(X79,Configuratie!$B$1:$E$10,4,FALSE))</f>
        <v/>
      </c>
      <c r="N79" s="84"/>
      <c r="O79" s="6"/>
      <c r="P79" s="6"/>
      <c r="Q79" s="6"/>
      <c r="R79" s="6"/>
      <c r="S79" s="6"/>
      <c r="T79" s="6"/>
      <c r="U79" s="6"/>
      <c r="V79" s="6" t="str">
        <f>IF(X79="","",VLOOKUP(X79,Configuratie!$B$1:$E$10,2,FALSE))</f>
        <v/>
      </c>
      <c r="W79" s="61"/>
      <c r="X79" s="5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>
        <v>7</v>
      </c>
      <c r="AY79" s="6">
        <v>2</v>
      </c>
      <c r="AZ79" s="6">
        <v>7</v>
      </c>
      <c r="BA79" s="6" t="str">
        <f t="shared" si="85"/>
        <v/>
      </c>
      <c r="BB79" s="6"/>
      <c r="BC79" s="48">
        <f t="shared" si="84"/>
        <v>207</v>
      </c>
      <c r="BD79" s="48">
        <f>AZ79*100+AY79</f>
        <v>702</v>
      </c>
      <c r="BE79" s="6" t="e">
        <f t="shared" si="87"/>
        <v>#N/A</v>
      </c>
      <c r="BF79" s="6" t="e">
        <f t="shared" si="87"/>
        <v>#VALUE!</v>
      </c>
      <c r="BG79" s="6" t="e">
        <f>N76*BF79</f>
        <v>#VALUE!</v>
      </c>
      <c r="BH79" s="6" t="e">
        <f>Q76*BE79</f>
        <v>#N/A</v>
      </c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</row>
    <row r="80" spans="2:80" x14ac:dyDescent="0.25">
      <c r="B80" s="6">
        <v>6</v>
      </c>
      <c r="C80" s="6" t="str">
        <f t="shared" si="82"/>
        <v>C</v>
      </c>
      <c r="D80" s="46" t="s">
        <v>5</v>
      </c>
      <c r="E80" s="84" t="str">
        <f t="shared" si="83"/>
        <v>G</v>
      </c>
      <c r="F80" s="84"/>
      <c r="G80" s="84"/>
      <c r="H80" s="84"/>
      <c r="I80" s="6"/>
      <c r="J80" s="84" t="str">
        <f>IF(X80="","",VLOOKUP(X80,Configuratie!$B$1:$E$10,3,FALSE))</f>
        <v/>
      </c>
      <c r="K80" s="84"/>
      <c r="L80" s="6" t="s">
        <v>5</v>
      </c>
      <c r="M80" s="84" t="str">
        <f>IF(X80="","",VLOOKUP(X80,Configuratie!$B$1:$E$10,4,FALSE))</f>
        <v/>
      </c>
      <c r="N80" s="84"/>
      <c r="O80" s="6"/>
      <c r="P80" s="6"/>
      <c r="Q80" s="6"/>
      <c r="R80" s="6"/>
      <c r="S80" s="6"/>
      <c r="T80" s="6"/>
      <c r="U80" s="6"/>
      <c r="V80" s="6" t="str">
        <f>IF(X80="","",VLOOKUP(X80,Configuratie!$B$1:$E$10,2,FALSE))</f>
        <v/>
      </c>
      <c r="W80" s="61"/>
      <c r="X80" s="5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>
        <v>7</v>
      </c>
      <c r="AY80" s="6">
        <v>3</v>
      </c>
      <c r="AZ80" s="6">
        <v>6</v>
      </c>
      <c r="BA80" s="6" t="str">
        <f t="shared" si="85"/>
        <v/>
      </c>
      <c r="BB80" s="6"/>
      <c r="BC80" s="48">
        <f t="shared" si="84"/>
        <v>306</v>
      </c>
      <c r="BD80" s="48">
        <f t="shared" si="86"/>
        <v>603</v>
      </c>
      <c r="BE80" s="6" t="e">
        <f t="shared" si="87"/>
        <v>#N/A</v>
      </c>
      <c r="BF80" s="6" t="e">
        <f t="shared" si="87"/>
        <v>#N/A</v>
      </c>
      <c r="BG80" s="6" t="e">
        <f>N77*BF80</f>
        <v>#N/A</v>
      </c>
      <c r="BH80" s="6" t="e">
        <f>Q77*BE80</f>
        <v>#N/A</v>
      </c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</row>
    <row r="81" spans="2:80" x14ac:dyDescent="0.25">
      <c r="B81" s="6">
        <v>7</v>
      </c>
      <c r="C81" s="6" t="str">
        <f t="shared" si="82"/>
        <v>D</v>
      </c>
      <c r="D81" s="46" t="s">
        <v>5</v>
      </c>
      <c r="E81" s="84" t="str">
        <f t="shared" si="83"/>
        <v>E</v>
      </c>
      <c r="F81" s="84"/>
      <c r="G81" s="84"/>
      <c r="H81" s="84"/>
      <c r="I81" s="6"/>
      <c r="J81" s="84" t="str">
        <f>IF(X81="","",VLOOKUP(X81,Configuratie!$B$1:$E$10,3,FALSE))</f>
        <v/>
      </c>
      <c r="K81" s="84"/>
      <c r="L81" s="6" t="s">
        <v>5</v>
      </c>
      <c r="M81" s="84" t="str">
        <f>IF(X81="","",VLOOKUP(X81,Configuratie!$B$1:$E$10,4,FALSE))</f>
        <v/>
      </c>
      <c r="N81" s="84"/>
      <c r="O81" s="6"/>
      <c r="P81" s="6"/>
      <c r="Q81" s="6"/>
      <c r="R81" s="6"/>
      <c r="S81" s="6"/>
      <c r="T81" s="6"/>
      <c r="U81" s="6"/>
      <c r="V81" s="6" t="str">
        <f>IF(X81="","",VLOOKUP(X81,Configuratie!$B$1:$E$10,2,FALSE))</f>
        <v/>
      </c>
      <c r="W81" s="61"/>
      <c r="X81" s="5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>
        <v>7</v>
      </c>
      <c r="AY81" s="6">
        <v>4</v>
      </c>
      <c r="AZ81" s="6">
        <v>5</v>
      </c>
      <c r="BA81" s="6" t="str">
        <f t="shared" si="85"/>
        <v/>
      </c>
      <c r="BB81" s="6"/>
      <c r="BC81" s="48">
        <f t="shared" si="84"/>
        <v>405</v>
      </c>
      <c r="BD81" s="48">
        <f>AZ81*100+AY81</f>
        <v>504</v>
      </c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</row>
    <row r="82" spans="2:80" x14ac:dyDescent="0.25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 t="str">
        <f t="shared" ref="BA82" si="88">IF(AND(ISNUMBER(N78),ISNUMBER(Q78)),IF(N78+Q78=1,1,0),"")</f>
        <v/>
      </c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</row>
    <row r="83" spans="2:80" x14ac:dyDescent="0.25">
      <c r="B83" s="45" t="s">
        <v>15</v>
      </c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</row>
    <row r="84" spans="2:80" x14ac:dyDescent="0.25">
      <c r="B84" s="6">
        <v>1</v>
      </c>
      <c r="C84" s="6" t="str">
        <f t="shared" ref="C84:C90" si="89">VLOOKUP(AY84,$B$4:$F$17,2,FALSE)</f>
        <v>K</v>
      </c>
      <c r="D84" s="46" t="s">
        <v>5</v>
      </c>
      <c r="E84" s="84" t="str">
        <f t="shared" ref="E84:E90" si="90">VLOOKUP(AZ84,$B$4:$F$17,2,FALSE)</f>
        <v>L</v>
      </c>
      <c r="F84" s="84"/>
      <c r="G84" s="84"/>
      <c r="H84" s="84"/>
      <c r="I84" s="6"/>
      <c r="J84" s="84" t="str">
        <f>IF(X84="","",VLOOKUP(X84,Configuratie!$B$1:$E$10,3,FALSE))</f>
        <v/>
      </c>
      <c r="K84" s="84"/>
      <c r="L84" s="6" t="s">
        <v>5</v>
      </c>
      <c r="M84" s="84" t="str">
        <f>IF(X84="","",VLOOKUP(X84,Configuratie!$B$1:$E$10,4,FALSE))</f>
        <v/>
      </c>
      <c r="N84" s="84"/>
      <c r="O84" s="6"/>
      <c r="P84" s="6"/>
      <c r="Q84" s="6"/>
      <c r="R84" s="6"/>
      <c r="S84" s="6"/>
      <c r="T84" s="6"/>
      <c r="U84" s="6"/>
      <c r="V84" s="6" t="str">
        <f>IF(X84="","",VLOOKUP(X84,Configuratie!$B$1:$E$10,2,FALSE))</f>
        <v/>
      </c>
      <c r="W84" s="61"/>
      <c r="X84" s="5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>
        <v>8</v>
      </c>
      <c r="AY84" s="6">
        <v>10</v>
      </c>
      <c r="AZ84" s="6">
        <v>11</v>
      </c>
      <c r="BA84" s="6" t="str">
        <f>IF(AND(ISNUMBER(J84),ISNUMBER(M84)),IF(J84+M84=1,1,0),"")</f>
        <v/>
      </c>
      <c r="BB84" s="6"/>
      <c r="BC84" s="48">
        <f t="shared" ref="BC84:BC90" si="91">AY84*100+AZ84</f>
        <v>1011</v>
      </c>
      <c r="BD84" s="48">
        <f>AZ84*100+AY84</f>
        <v>1110</v>
      </c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</row>
    <row r="85" spans="2:80" x14ac:dyDescent="0.25">
      <c r="B85" s="6">
        <v>2</v>
      </c>
      <c r="C85" s="6" t="str">
        <f t="shared" si="89"/>
        <v>J</v>
      </c>
      <c r="D85" s="46" t="s">
        <v>5</v>
      </c>
      <c r="E85" s="84" t="str">
        <f t="shared" si="90"/>
        <v>M</v>
      </c>
      <c r="F85" s="84"/>
      <c r="G85" s="84"/>
      <c r="H85" s="84"/>
      <c r="I85" s="6"/>
      <c r="J85" s="84" t="str">
        <f>IF(X85="","",VLOOKUP(X85,Configuratie!$B$1:$E$10,3,FALSE))</f>
        <v/>
      </c>
      <c r="K85" s="84"/>
      <c r="L85" s="6" t="s">
        <v>5</v>
      </c>
      <c r="M85" s="84" t="str">
        <f>IF(X85="","",VLOOKUP(X85,Configuratie!$B$1:$E$10,4,FALSE))</f>
        <v/>
      </c>
      <c r="N85" s="84"/>
      <c r="O85" s="6"/>
      <c r="P85" s="6"/>
      <c r="Q85" s="6"/>
      <c r="R85" s="6"/>
      <c r="S85" s="6"/>
      <c r="T85" s="6"/>
      <c r="U85" s="6"/>
      <c r="V85" s="6" t="str">
        <f>IF(X85="","",VLOOKUP(X85,Configuratie!$B$1:$E$10,2,FALSE))</f>
        <v/>
      </c>
      <c r="W85" s="61"/>
      <c r="X85" s="5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>
        <v>8</v>
      </c>
      <c r="AY85" s="6">
        <v>9</v>
      </c>
      <c r="AZ85" s="6">
        <v>12</v>
      </c>
      <c r="BA85" s="6" t="str">
        <f t="shared" ref="BA85:BA90" si="92">IF(AND(ISNUMBER(J85),ISNUMBER(M85)),IF(J85+M85=1,1,0),"")</f>
        <v/>
      </c>
      <c r="BB85" s="6"/>
      <c r="BC85" s="48">
        <f t="shared" si="91"/>
        <v>912</v>
      </c>
      <c r="BD85" s="48">
        <f t="shared" ref="BD85:BD89" si="93">AZ85*100+AY85</f>
        <v>1209</v>
      </c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</row>
    <row r="86" spans="2:80" x14ac:dyDescent="0.25">
      <c r="B86" s="6">
        <v>3</v>
      </c>
      <c r="C86" s="6" t="str">
        <f t="shared" si="89"/>
        <v>I</v>
      </c>
      <c r="D86" s="46" t="s">
        <v>5</v>
      </c>
      <c r="E86" s="84" t="str">
        <f t="shared" si="90"/>
        <v>N</v>
      </c>
      <c r="F86" s="84"/>
      <c r="G86" s="84"/>
      <c r="H86" s="84"/>
      <c r="I86" s="6"/>
      <c r="J86" s="84" t="str">
        <f>IF(X86="","",VLOOKUP(X86,Configuratie!$B$1:$E$10,3,FALSE))</f>
        <v/>
      </c>
      <c r="K86" s="84"/>
      <c r="L86" s="6" t="s">
        <v>5</v>
      </c>
      <c r="M86" s="84" t="str">
        <f>IF(X86="","",VLOOKUP(X86,Configuratie!$B$1:$E$10,4,FALSE))</f>
        <v/>
      </c>
      <c r="N86" s="84"/>
      <c r="O86" s="6"/>
      <c r="P86" s="6"/>
      <c r="Q86" s="6"/>
      <c r="R86" s="6"/>
      <c r="S86" s="6"/>
      <c r="T86" s="6"/>
      <c r="U86" s="6"/>
      <c r="V86" s="6" t="str">
        <f>IF(X86="","",VLOOKUP(X86,Configuratie!$B$1:$E$10,2,FALSE))</f>
        <v/>
      </c>
      <c r="W86" s="61"/>
      <c r="X86" s="5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>
        <v>8</v>
      </c>
      <c r="AY86" s="6">
        <v>8</v>
      </c>
      <c r="AZ86" s="6">
        <v>13</v>
      </c>
      <c r="BA86" s="6" t="str">
        <f t="shared" si="92"/>
        <v/>
      </c>
      <c r="BB86" s="6"/>
      <c r="BC86" s="48">
        <f t="shared" si="91"/>
        <v>813</v>
      </c>
      <c r="BD86" s="48">
        <f t="shared" si="93"/>
        <v>1308</v>
      </c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</row>
    <row r="87" spans="2:80" x14ac:dyDescent="0.25">
      <c r="B87" s="6">
        <v>4</v>
      </c>
      <c r="C87" s="6" t="str">
        <f t="shared" si="89"/>
        <v>H</v>
      </c>
      <c r="D87" s="46" t="s">
        <v>5</v>
      </c>
      <c r="E87" s="84" t="str">
        <f t="shared" si="90"/>
        <v>A</v>
      </c>
      <c r="F87" s="84"/>
      <c r="G87" s="84"/>
      <c r="H87" s="84"/>
      <c r="I87" s="6"/>
      <c r="J87" s="84" t="str">
        <f>IF(X87="","",VLOOKUP(X87,Configuratie!$B$1:$E$10,3,FALSE))</f>
        <v/>
      </c>
      <c r="K87" s="84"/>
      <c r="L87" s="6" t="s">
        <v>5</v>
      </c>
      <c r="M87" s="84" t="str">
        <f>IF(X87="","",VLOOKUP(X87,Configuratie!$B$1:$E$10,4,FALSE))</f>
        <v/>
      </c>
      <c r="N87" s="84"/>
      <c r="O87" s="6"/>
      <c r="P87" s="6"/>
      <c r="Q87" s="6"/>
      <c r="R87" s="6"/>
      <c r="S87" s="6"/>
      <c r="T87" s="6"/>
      <c r="U87" s="6"/>
      <c r="V87" s="6" t="str">
        <f>IF(X87="","",VLOOKUP(X87,Configuratie!$B$1:$E$10,2,FALSE))</f>
        <v/>
      </c>
      <c r="W87" s="61"/>
      <c r="X87" s="5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>
        <v>8</v>
      </c>
      <c r="AY87" s="6">
        <v>7</v>
      </c>
      <c r="AZ87" s="6">
        <v>1</v>
      </c>
      <c r="BA87" s="6" t="str">
        <f t="shared" si="92"/>
        <v/>
      </c>
      <c r="BB87" s="6"/>
      <c r="BC87" s="48">
        <f t="shared" si="91"/>
        <v>701</v>
      </c>
      <c r="BD87" s="48">
        <f t="shared" si="93"/>
        <v>107</v>
      </c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</row>
    <row r="88" spans="2:80" x14ac:dyDescent="0.25">
      <c r="B88" s="6">
        <v>5</v>
      </c>
      <c r="C88" s="6" t="str">
        <f t="shared" si="89"/>
        <v>G</v>
      </c>
      <c r="D88" s="46" t="s">
        <v>5</v>
      </c>
      <c r="E88" s="84" t="str">
        <f t="shared" si="90"/>
        <v>B</v>
      </c>
      <c r="F88" s="84"/>
      <c r="G88" s="84"/>
      <c r="H88" s="84"/>
      <c r="I88" s="6"/>
      <c r="J88" s="84" t="str">
        <f>IF(X88="","",VLOOKUP(X88,Configuratie!$B$1:$E$10,3,FALSE))</f>
        <v/>
      </c>
      <c r="K88" s="84"/>
      <c r="L88" s="6" t="s">
        <v>5</v>
      </c>
      <c r="M88" s="84" t="str">
        <f>IF(X88="","",VLOOKUP(X88,Configuratie!$B$1:$E$10,4,FALSE))</f>
        <v/>
      </c>
      <c r="N88" s="84"/>
      <c r="O88" s="6"/>
      <c r="P88" s="6"/>
      <c r="Q88" s="6"/>
      <c r="R88" s="6"/>
      <c r="S88" s="6"/>
      <c r="T88" s="6"/>
      <c r="U88" s="6"/>
      <c r="V88" s="6" t="str">
        <f>IF(X88="","",VLOOKUP(X88,Configuratie!$B$1:$E$10,2,FALSE))</f>
        <v/>
      </c>
      <c r="W88" s="61"/>
      <c r="X88" s="5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>
        <v>8</v>
      </c>
      <c r="AY88" s="6">
        <v>6</v>
      </c>
      <c r="AZ88" s="6">
        <v>2</v>
      </c>
      <c r="BA88" s="6" t="str">
        <f t="shared" si="92"/>
        <v/>
      </c>
      <c r="BB88" s="6"/>
      <c r="BC88" s="48">
        <f t="shared" si="91"/>
        <v>602</v>
      </c>
      <c r="BD88" s="48">
        <f>AZ88*100+AY88</f>
        <v>206</v>
      </c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</row>
    <row r="89" spans="2:80" x14ac:dyDescent="0.25">
      <c r="B89" s="6">
        <v>6</v>
      </c>
      <c r="C89" s="6" t="str">
        <f t="shared" si="89"/>
        <v>E</v>
      </c>
      <c r="D89" s="46" t="s">
        <v>5</v>
      </c>
      <c r="E89" s="84" t="str">
        <f t="shared" si="90"/>
        <v>C</v>
      </c>
      <c r="F89" s="84"/>
      <c r="G89" s="84"/>
      <c r="H89" s="84"/>
      <c r="I89" s="6"/>
      <c r="J89" s="84" t="str">
        <f>IF(X89="","",VLOOKUP(X89,Configuratie!$B$1:$E$10,3,FALSE))</f>
        <v/>
      </c>
      <c r="K89" s="84"/>
      <c r="L89" s="6" t="s">
        <v>5</v>
      </c>
      <c r="M89" s="84" t="str">
        <f>IF(X89="","",VLOOKUP(X89,Configuratie!$B$1:$E$10,4,FALSE))</f>
        <v/>
      </c>
      <c r="N89" s="84"/>
      <c r="O89" s="6"/>
      <c r="P89" s="6"/>
      <c r="Q89" s="6"/>
      <c r="R89" s="6"/>
      <c r="S89" s="6"/>
      <c r="T89" s="6"/>
      <c r="U89" s="6"/>
      <c r="V89" s="6" t="str">
        <f>IF(X89="","",VLOOKUP(X89,Configuratie!$B$1:$E$10,2,FALSE))</f>
        <v/>
      </c>
      <c r="W89" s="61"/>
      <c r="X89" s="5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>
        <v>8</v>
      </c>
      <c r="AY89" s="6">
        <v>5</v>
      </c>
      <c r="AZ89" s="6">
        <v>3</v>
      </c>
      <c r="BA89" s="6" t="str">
        <f t="shared" si="92"/>
        <v/>
      </c>
      <c r="BB89" s="6"/>
      <c r="BC89" s="48">
        <f t="shared" si="91"/>
        <v>503</v>
      </c>
      <c r="BD89" s="48">
        <f t="shared" si="93"/>
        <v>305</v>
      </c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</row>
    <row r="90" spans="2:80" x14ac:dyDescent="0.25">
      <c r="B90" s="6">
        <v>7</v>
      </c>
      <c r="C90" s="6" t="str">
        <f t="shared" si="89"/>
        <v>O</v>
      </c>
      <c r="D90" s="46" t="s">
        <v>5</v>
      </c>
      <c r="E90" s="84" t="str">
        <f t="shared" si="90"/>
        <v>D</v>
      </c>
      <c r="F90" s="84"/>
      <c r="G90" s="84"/>
      <c r="H90" s="84"/>
      <c r="I90" s="6"/>
      <c r="J90" s="84" t="str">
        <f>IF(X90="","",VLOOKUP(X90,Configuratie!$B$1:$E$10,3,FALSE))</f>
        <v/>
      </c>
      <c r="K90" s="84"/>
      <c r="L90" s="6" t="s">
        <v>5</v>
      </c>
      <c r="M90" s="84" t="str">
        <f>IF(X90="","",VLOOKUP(X90,Configuratie!$B$1:$E$10,4,FALSE))</f>
        <v/>
      </c>
      <c r="N90" s="84"/>
      <c r="O90" s="6"/>
      <c r="P90" s="6"/>
      <c r="Q90" s="6"/>
      <c r="R90" s="6"/>
      <c r="S90" s="6"/>
      <c r="T90" s="6"/>
      <c r="U90" s="6"/>
      <c r="V90" s="6" t="str">
        <f>IF(X90="","",VLOOKUP(X90,Configuratie!$B$1:$E$10,2,FALSE))</f>
        <v/>
      </c>
      <c r="W90" s="61"/>
      <c r="X90" s="5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>
        <v>8</v>
      </c>
      <c r="AY90" s="6">
        <v>14</v>
      </c>
      <c r="AZ90" s="6">
        <v>4</v>
      </c>
      <c r="BA90" s="6" t="str">
        <f t="shared" si="92"/>
        <v/>
      </c>
      <c r="BB90" s="6"/>
      <c r="BC90" s="48">
        <f t="shared" si="91"/>
        <v>1404</v>
      </c>
      <c r="BD90" s="48">
        <f>AZ90*100+AY90</f>
        <v>414</v>
      </c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</row>
    <row r="91" spans="2:80" x14ac:dyDescent="0.25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</row>
    <row r="92" spans="2:80" x14ac:dyDescent="0.25">
      <c r="B92" s="45" t="s">
        <v>16</v>
      </c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</row>
    <row r="93" spans="2:80" x14ac:dyDescent="0.25">
      <c r="B93" s="6">
        <v>1</v>
      </c>
      <c r="C93" s="6" t="str">
        <f t="shared" ref="C93:C99" si="94">VLOOKUP(AY93,$B$4:$F$17,2,FALSE)</f>
        <v>K</v>
      </c>
      <c r="D93" s="46" t="s">
        <v>5</v>
      </c>
      <c r="E93" s="84" t="str">
        <f t="shared" ref="E93:E99" si="95">VLOOKUP(AZ93,$B$4:$F$17,2,FALSE)</f>
        <v>O</v>
      </c>
      <c r="F93" s="84"/>
      <c r="G93" s="84"/>
      <c r="H93" s="84"/>
      <c r="I93" s="6"/>
      <c r="J93" s="84" t="str">
        <f>IF(X93="","",VLOOKUP(X93,Configuratie!$B$1:$E$10,3,FALSE))</f>
        <v/>
      </c>
      <c r="K93" s="84"/>
      <c r="L93" s="6" t="s">
        <v>5</v>
      </c>
      <c r="M93" s="84" t="str">
        <f>IF(X93="","",VLOOKUP(X93,Configuratie!$B$1:$E$10,4,FALSE))</f>
        <v/>
      </c>
      <c r="N93" s="84"/>
      <c r="O93" s="6"/>
      <c r="P93" s="6"/>
      <c r="Q93" s="6"/>
      <c r="R93" s="6"/>
      <c r="S93" s="6"/>
      <c r="T93" s="6"/>
      <c r="U93" s="6"/>
      <c r="V93" s="6" t="str">
        <f>IF(X93="","",VLOOKUP(X93,Configuratie!$B$1:$E$10,2,FALSE))</f>
        <v/>
      </c>
      <c r="W93" s="61"/>
      <c r="X93" s="5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>
        <v>9</v>
      </c>
      <c r="AY93" s="6">
        <v>10</v>
      </c>
      <c r="AZ93" s="6">
        <v>14</v>
      </c>
      <c r="BA93" s="6" t="str">
        <f>IF(AND(ISNUMBER(J93),ISNUMBER(M93)),IF(J93+M93=1,1,0),"")</f>
        <v/>
      </c>
      <c r="BB93" s="6"/>
      <c r="BC93" s="48">
        <f t="shared" ref="BC93:BC99" si="96">AY93*100+AZ93</f>
        <v>1014</v>
      </c>
      <c r="BD93" s="48">
        <f>AZ93*100+AY93</f>
        <v>1410</v>
      </c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</row>
    <row r="94" spans="2:80" x14ac:dyDescent="0.25">
      <c r="B94" s="6">
        <v>2</v>
      </c>
      <c r="C94" s="6" t="str">
        <f t="shared" si="94"/>
        <v>L</v>
      </c>
      <c r="D94" s="46" t="s">
        <v>5</v>
      </c>
      <c r="E94" s="84" t="str">
        <f t="shared" si="95"/>
        <v>J</v>
      </c>
      <c r="F94" s="84"/>
      <c r="G94" s="84"/>
      <c r="H94" s="84"/>
      <c r="I94" s="6"/>
      <c r="J94" s="84" t="str">
        <f>IF(X94="","",VLOOKUP(X94,Configuratie!$B$1:$E$10,3,FALSE))</f>
        <v/>
      </c>
      <c r="K94" s="84"/>
      <c r="L94" s="6" t="s">
        <v>5</v>
      </c>
      <c r="M94" s="84" t="str">
        <f>IF(X94="","",VLOOKUP(X94,Configuratie!$B$1:$E$10,4,FALSE))</f>
        <v/>
      </c>
      <c r="N94" s="84"/>
      <c r="O94" s="6"/>
      <c r="P94" s="6"/>
      <c r="Q94" s="6"/>
      <c r="R94" s="6"/>
      <c r="S94" s="6"/>
      <c r="T94" s="6"/>
      <c r="U94" s="6"/>
      <c r="V94" s="6" t="str">
        <f>IF(X94="","",VLOOKUP(X94,Configuratie!$B$1:$E$10,2,FALSE))</f>
        <v/>
      </c>
      <c r="W94" s="61"/>
      <c r="X94" s="5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>
        <v>9</v>
      </c>
      <c r="AY94" s="6">
        <v>11</v>
      </c>
      <c r="AZ94" s="6">
        <v>9</v>
      </c>
      <c r="BA94" s="6" t="str">
        <f t="shared" ref="BA94:BA99" si="97">IF(AND(ISNUMBER(J94),ISNUMBER(M94)),IF(J94+M94=1,1,0),"")</f>
        <v/>
      </c>
      <c r="BB94" s="6"/>
      <c r="BC94" s="48">
        <f t="shared" si="96"/>
        <v>1109</v>
      </c>
      <c r="BD94" s="48">
        <f t="shared" ref="BD94:BD98" si="98">AZ94*100+AY94</f>
        <v>911</v>
      </c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</row>
    <row r="95" spans="2:80" x14ac:dyDescent="0.25">
      <c r="B95" s="6">
        <v>3</v>
      </c>
      <c r="C95" s="6" t="str">
        <f t="shared" si="94"/>
        <v>M</v>
      </c>
      <c r="D95" s="46" t="s">
        <v>5</v>
      </c>
      <c r="E95" s="84" t="str">
        <f t="shared" si="95"/>
        <v>I</v>
      </c>
      <c r="F95" s="84"/>
      <c r="G95" s="84"/>
      <c r="H95" s="84"/>
      <c r="I95" s="6"/>
      <c r="J95" s="84" t="str">
        <f>IF(X95="","",VLOOKUP(X95,Configuratie!$B$1:$E$10,3,FALSE))</f>
        <v/>
      </c>
      <c r="K95" s="84"/>
      <c r="L95" s="6" t="s">
        <v>5</v>
      </c>
      <c r="M95" s="84" t="str">
        <f>IF(X95="","",VLOOKUP(X95,Configuratie!$B$1:$E$10,4,FALSE))</f>
        <v/>
      </c>
      <c r="N95" s="84"/>
      <c r="O95" s="6"/>
      <c r="P95" s="6"/>
      <c r="Q95" s="6"/>
      <c r="R95" s="6"/>
      <c r="S95" s="6"/>
      <c r="T95" s="6"/>
      <c r="U95" s="6"/>
      <c r="V95" s="6" t="str">
        <f>IF(X95="","",VLOOKUP(X95,Configuratie!$B$1:$E$10,2,FALSE))</f>
        <v/>
      </c>
      <c r="W95" s="61"/>
      <c r="X95" s="5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>
        <v>9</v>
      </c>
      <c r="AY95" s="6">
        <v>12</v>
      </c>
      <c r="AZ95" s="6">
        <v>8</v>
      </c>
      <c r="BA95" s="6" t="str">
        <f t="shared" si="97"/>
        <v/>
      </c>
      <c r="BB95" s="6"/>
      <c r="BC95" s="48">
        <f t="shared" si="96"/>
        <v>1208</v>
      </c>
      <c r="BD95" s="48">
        <f t="shared" si="98"/>
        <v>812</v>
      </c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</row>
    <row r="96" spans="2:80" x14ac:dyDescent="0.25">
      <c r="B96" s="6">
        <v>4</v>
      </c>
      <c r="C96" s="6" t="str">
        <f t="shared" si="94"/>
        <v>N</v>
      </c>
      <c r="D96" s="46" t="s">
        <v>5</v>
      </c>
      <c r="E96" s="84" t="str">
        <f t="shared" si="95"/>
        <v>H</v>
      </c>
      <c r="F96" s="84"/>
      <c r="G96" s="84"/>
      <c r="H96" s="84"/>
      <c r="I96" s="6"/>
      <c r="J96" s="84" t="str">
        <f>IF(X96="","",VLOOKUP(X96,Configuratie!$B$1:$E$10,3,FALSE))</f>
        <v/>
      </c>
      <c r="K96" s="84"/>
      <c r="L96" s="6" t="s">
        <v>5</v>
      </c>
      <c r="M96" s="84" t="str">
        <f>IF(X96="","",VLOOKUP(X96,Configuratie!$B$1:$E$10,4,FALSE))</f>
        <v/>
      </c>
      <c r="N96" s="84"/>
      <c r="O96" s="6"/>
      <c r="P96" s="6"/>
      <c r="Q96" s="6"/>
      <c r="R96" s="6"/>
      <c r="S96" s="6"/>
      <c r="T96" s="6"/>
      <c r="U96" s="6"/>
      <c r="V96" s="6" t="str">
        <f>IF(X96="","",VLOOKUP(X96,Configuratie!$B$1:$E$10,2,FALSE))</f>
        <v/>
      </c>
      <c r="W96" s="61"/>
      <c r="X96" s="5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>
        <v>9</v>
      </c>
      <c r="AY96" s="6">
        <v>13</v>
      </c>
      <c r="AZ96" s="6">
        <v>7</v>
      </c>
      <c r="BA96" s="6" t="str">
        <f t="shared" si="97"/>
        <v/>
      </c>
      <c r="BB96" s="6"/>
      <c r="BC96" s="48">
        <f t="shared" si="96"/>
        <v>1307</v>
      </c>
      <c r="BD96" s="48">
        <f t="shared" si="98"/>
        <v>713</v>
      </c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</row>
    <row r="97" spans="2:80" x14ac:dyDescent="0.25">
      <c r="B97" s="6">
        <v>5</v>
      </c>
      <c r="C97" s="6" t="str">
        <f t="shared" si="94"/>
        <v>A</v>
      </c>
      <c r="D97" s="46" t="s">
        <v>5</v>
      </c>
      <c r="E97" s="84" t="str">
        <f t="shared" si="95"/>
        <v>G</v>
      </c>
      <c r="F97" s="84"/>
      <c r="G97" s="84"/>
      <c r="H97" s="84"/>
      <c r="I97" s="6"/>
      <c r="J97" s="84" t="str">
        <f>IF(X97="","",VLOOKUP(X97,Configuratie!$B$1:$E$10,3,FALSE))</f>
        <v/>
      </c>
      <c r="K97" s="84"/>
      <c r="L97" s="6" t="s">
        <v>5</v>
      </c>
      <c r="M97" s="84" t="str">
        <f>IF(X97="","",VLOOKUP(X97,Configuratie!$B$1:$E$10,4,FALSE))</f>
        <v/>
      </c>
      <c r="N97" s="84"/>
      <c r="O97" s="6"/>
      <c r="P97" s="6"/>
      <c r="Q97" s="6"/>
      <c r="R97" s="6"/>
      <c r="S97" s="6"/>
      <c r="T97" s="6"/>
      <c r="U97" s="6"/>
      <c r="V97" s="6" t="str">
        <f>IF(X97="","",VLOOKUP(X97,Configuratie!$B$1:$E$10,2,FALSE))</f>
        <v/>
      </c>
      <c r="W97" s="61"/>
      <c r="X97" s="5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>
        <v>9</v>
      </c>
      <c r="AY97" s="6">
        <v>1</v>
      </c>
      <c r="AZ97" s="6">
        <v>6</v>
      </c>
      <c r="BA97" s="6" t="str">
        <f t="shared" si="97"/>
        <v/>
      </c>
      <c r="BB97" s="6"/>
      <c r="BC97" s="48">
        <f t="shared" si="96"/>
        <v>106</v>
      </c>
      <c r="BD97" s="48">
        <f>AZ97*100+AY97</f>
        <v>601</v>
      </c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</row>
    <row r="98" spans="2:80" x14ac:dyDescent="0.25">
      <c r="B98" s="6">
        <v>6</v>
      </c>
      <c r="C98" s="6" t="str">
        <f t="shared" si="94"/>
        <v>B</v>
      </c>
      <c r="D98" s="46" t="s">
        <v>5</v>
      </c>
      <c r="E98" s="84" t="str">
        <f t="shared" si="95"/>
        <v>E</v>
      </c>
      <c r="F98" s="84"/>
      <c r="G98" s="84"/>
      <c r="H98" s="84"/>
      <c r="I98" s="6"/>
      <c r="J98" s="84" t="str">
        <f>IF(X98="","",VLOOKUP(X98,Configuratie!$B$1:$E$10,3,FALSE))</f>
        <v/>
      </c>
      <c r="K98" s="84"/>
      <c r="L98" s="6" t="s">
        <v>5</v>
      </c>
      <c r="M98" s="84" t="str">
        <f>IF(X98="","",VLOOKUP(X98,Configuratie!$B$1:$E$10,4,FALSE))</f>
        <v/>
      </c>
      <c r="N98" s="84"/>
      <c r="O98" s="6"/>
      <c r="P98" s="6"/>
      <c r="Q98" s="6"/>
      <c r="R98" s="6"/>
      <c r="S98" s="6"/>
      <c r="T98" s="6"/>
      <c r="U98" s="6"/>
      <c r="V98" s="6" t="str">
        <f>IF(X98="","",VLOOKUP(X98,Configuratie!$B$1:$E$10,2,FALSE))</f>
        <v/>
      </c>
      <c r="W98" s="61"/>
      <c r="X98" s="5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>
        <v>9</v>
      </c>
      <c r="AY98" s="6">
        <v>2</v>
      </c>
      <c r="AZ98" s="6">
        <v>5</v>
      </c>
      <c r="BA98" s="6" t="str">
        <f t="shared" si="97"/>
        <v/>
      </c>
      <c r="BB98" s="6"/>
      <c r="BC98" s="48">
        <f t="shared" si="96"/>
        <v>205</v>
      </c>
      <c r="BD98" s="48">
        <f t="shared" si="98"/>
        <v>502</v>
      </c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</row>
    <row r="99" spans="2:80" x14ac:dyDescent="0.25">
      <c r="B99" s="6">
        <v>7</v>
      </c>
      <c r="C99" s="6" t="str">
        <f t="shared" si="94"/>
        <v>C</v>
      </c>
      <c r="D99" s="46" t="s">
        <v>5</v>
      </c>
      <c r="E99" s="84" t="str">
        <f t="shared" si="95"/>
        <v>D</v>
      </c>
      <c r="F99" s="84"/>
      <c r="G99" s="84"/>
      <c r="H99" s="84"/>
      <c r="I99" s="6"/>
      <c r="J99" s="84" t="str">
        <f>IF(X99="","",VLOOKUP(X99,Configuratie!$B$1:$E$10,3,FALSE))</f>
        <v/>
      </c>
      <c r="K99" s="84"/>
      <c r="L99" s="6" t="s">
        <v>5</v>
      </c>
      <c r="M99" s="84" t="str">
        <f>IF(X99="","",VLOOKUP(X99,Configuratie!$B$1:$E$10,4,FALSE))</f>
        <v/>
      </c>
      <c r="N99" s="84"/>
      <c r="O99" s="6"/>
      <c r="P99" s="6"/>
      <c r="Q99" s="6"/>
      <c r="R99" s="6"/>
      <c r="S99" s="6"/>
      <c r="T99" s="6"/>
      <c r="U99" s="6"/>
      <c r="V99" s="6" t="str">
        <f>IF(X99="","",VLOOKUP(X99,Configuratie!$B$1:$E$10,2,FALSE))</f>
        <v/>
      </c>
      <c r="W99" s="61"/>
      <c r="X99" s="5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>
        <v>9</v>
      </c>
      <c r="AY99" s="6">
        <v>3</v>
      </c>
      <c r="AZ99" s="6">
        <v>4</v>
      </c>
      <c r="BA99" s="6" t="str">
        <f t="shared" si="97"/>
        <v/>
      </c>
      <c r="BB99" s="6"/>
      <c r="BC99" s="48">
        <f t="shared" si="96"/>
        <v>304</v>
      </c>
      <c r="BD99" s="48">
        <f>AZ99*100+AY99</f>
        <v>403</v>
      </c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</row>
    <row r="100" spans="2:80" x14ac:dyDescent="0.25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</row>
    <row r="101" spans="2:80" x14ac:dyDescent="0.25">
      <c r="B101" s="45" t="s">
        <v>80</v>
      </c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</row>
    <row r="102" spans="2:80" x14ac:dyDescent="0.25">
      <c r="B102" s="6">
        <v>1</v>
      </c>
      <c r="C102" s="6" t="str">
        <f t="shared" ref="C102" si="99">VLOOKUP(AY102,$B$4:$F$17,2,FALSE)</f>
        <v>J</v>
      </c>
      <c r="D102" s="46" t="s">
        <v>5</v>
      </c>
      <c r="E102" s="84" t="str">
        <f t="shared" ref="E102:E108" si="100">VLOOKUP(AZ102,$B$4:$F$17,2,FALSE)</f>
        <v>K</v>
      </c>
      <c r="F102" s="84"/>
      <c r="G102" s="84"/>
      <c r="H102" s="84"/>
      <c r="I102" s="6"/>
      <c r="J102" s="84" t="str">
        <f>IF(X102="","",VLOOKUP(X102,Configuratie!$B$1:$E$10,3,FALSE))</f>
        <v/>
      </c>
      <c r="K102" s="84"/>
      <c r="L102" s="6" t="s">
        <v>5</v>
      </c>
      <c r="M102" s="84" t="str">
        <f>IF(X102="","",VLOOKUP(X102,Configuratie!$B$1:$E$10,4,FALSE))</f>
        <v/>
      </c>
      <c r="N102" s="84"/>
      <c r="O102" s="6"/>
      <c r="P102" s="6"/>
      <c r="Q102" s="6"/>
      <c r="R102" s="6"/>
      <c r="S102" s="6"/>
      <c r="T102" s="6"/>
      <c r="U102" s="6"/>
      <c r="V102" s="6" t="str">
        <f>IF(X102="","",VLOOKUP(X102,Configuratie!$B$1:$E$10,2,FALSE))</f>
        <v/>
      </c>
      <c r="W102" s="61"/>
      <c r="X102" s="5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>
        <v>10</v>
      </c>
      <c r="AY102" s="6">
        <v>9</v>
      </c>
      <c r="AZ102" s="6">
        <v>10</v>
      </c>
      <c r="BA102" s="6" t="str">
        <f>IF(AND(ISNUMBER(J102),ISNUMBER(M102)),IF(J102+M102=1,1,0),"")</f>
        <v/>
      </c>
      <c r="BB102" s="6"/>
      <c r="BC102" s="48">
        <f t="shared" ref="BC102:BC108" si="101">AY102*100+AZ102</f>
        <v>910</v>
      </c>
      <c r="BD102" s="48">
        <f>AZ102*100+AY102</f>
        <v>1009</v>
      </c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</row>
    <row r="103" spans="2:80" x14ac:dyDescent="0.25">
      <c r="B103" s="6">
        <v>2</v>
      </c>
      <c r="C103" s="6" t="str">
        <f t="shared" ref="C103:C108" si="102">VLOOKUP(AY103,$B$4:$F$17,2,FALSE)</f>
        <v>I</v>
      </c>
      <c r="D103" s="46" t="s">
        <v>5</v>
      </c>
      <c r="E103" s="84" t="str">
        <f t="shared" si="100"/>
        <v>L</v>
      </c>
      <c r="F103" s="84"/>
      <c r="G103" s="84"/>
      <c r="H103" s="84"/>
      <c r="I103" s="6"/>
      <c r="J103" s="84" t="str">
        <f>IF(X103="","",VLOOKUP(X103,Configuratie!$B$1:$E$10,3,FALSE))</f>
        <v/>
      </c>
      <c r="K103" s="84"/>
      <c r="L103" s="6" t="s">
        <v>5</v>
      </c>
      <c r="M103" s="84" t="str">
        <f>IF(X103="","",VLOOKUP(X103,Configuratie!$B$1:$E$10,4,FALSE))</f>
        <v/>
      </c>
      <c r="N103" s="84"/>
      <c r="O103" s="6"/>
      <c r="P103" s="6"/>
      <c r="Q103" s="6"/>
      <c r="R103" s="6"/>
      <c r="S103" s="6"/>
      <c r="T103" s="6"/>
      <c r="U103" s="6"/>
      <c r="V103" s="6" t="str">
        <f>IF(X103="","",VLOOKUP(X103,Configuratie!$B$1:$E$10,2,FALSE))</f>
        <v/>
      </c>
      <c r="W103" s="61"/>
      <c r="X103" s="5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>
        <v>10</v>
      </c>
      <c r="AY103" s="6">
        <v>8</v>
      </c>
      <c r="AZ103" s="6">
        <v>11</v>
      </c>
      <c r="BA103" s="6" t="str">
        <f t="shared" ref="BA103:BA108" si="103">IF(AND(ISNUMBER(J103),ISNUMBER(M103)),IF(J103+M103=1,1,0),"")</f>
        <v/>
      </c>
      <c r="BB103" s="6"/>
      <c r="BC103" s="48">
        <f t="shared" si="101"/>
        <v>811</v>
      </c>
      <c r="BD103" s="48">
        <f t="shared" ref="BD103:BD107" si="104">AZ103*100+AY103</f>
        <v>1108</v>
      </c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</row>
    <row r="104" spans="2:80" x14ac:dyDescent="0.25">
      <c r="B104" s="6">
        <v>3</v>
      </c>
      <c r="C104" s="6" t="str">
        <f t="shared" si="102"/>
        <v>H</v>
      </c>
      <c r="D104" s="46" t="s">
        <v>5</v>
      </c>
      <c r="E104" s="84" t="str">
        <f t="shared" si="100"/>
        <v>M</v>
      </c>
      <c r="F104" s="84"/>
      <c r="G104" s="84"/>
      <c r="H104" s="84"/>
      <c r="I104" s="6"/>
      <c r="J104" s="84" t="str">
        <f>IF(X104="","",VLOOKUP(X104,Configuratie!$B$1:$E$10,3,FALSE))</f>
        <v/>
      </c>
      <c r="K104" s="84"/>
      <c r="L104" s="6" t="s">
        <v>5</v>
      </c>
      <c r="M104" s="84" t="str">
        <f>IF(X104="","",VLOOKUP(X104,Configuratie!$B$1:$E$10,4,FALSE))</f>
        <v/>
      </c>
      <c r="N104" s="84"/>
      <c r="O104" s="6"/>
      <c r="P104" s="6"/>
      <c r="Q104" s="6"/>
      <c r="R104" s="6"/>
      <c r="S104" s="6"/>
      <c r="T104" s="6"/>
      <c r="U104" s="6"/>
      <c r="V104" s="6" t="str">
        <f>IF(X104="","",VLOOKUP(X104,Configuratie!$B$1:$E$10,2,FALSE))</f>
        <v/>
      </c>
      <c r="W104" s="61"/>
      <c r="X104" s="5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>
        <v>10</v>
      </c>
      <c r="AY104" s="6">
        <v>7</v>
      </c>
      <c r="AZ104" s="6">
        <v>12</v>
      </c>
      <c r="BA104" s="6" t="str">
        <f t="shared" si="103"/>
        <v/>
      </c>
      <c r="BB104" s="6"/>
      <c r="BC104" s="48">
        <f t="shared" si="101"/>
        <v>712</v>
      </c>
      <c r="BD104" s="48">
        <f t="shared" si="104"/>
        <v>1207</v>
      </c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</row>
    <row r="105" spans="2:80" x14ac:dyDescent="0.25">
      <c r="B105" s="6">
        <v>4</v>
      </c>
      <c r="C105" s="6" t="str">
        <f t="shared" si="102"/>
        <v>G</v>
      </c>
      <c r="D105" s="46" t="s">
        <v>5</v>
      </c>
      <c r="E105" s="84" t="str">
        <f t="shared" si="100"/>
        <v>N</v>
      </c>
      <c r="F105" s="84"/>
      <c r="G105" s="84"/>
      <c r="H105" s="84"/>
      <c r="I105" s="6"/>
      <c r="J105" s="84" t="str">
        <f>IF(X105="","",VLOOKUP(X105,Configuratie!$B$1:$E$10,3,FALSE))</f>
        <v/>
      </c>
      <c r="K105" s="84"/>
      <c r="L105" s="6" t="s">
        <v>5</v>
      </c>
      <c r="M105" s="84" t="str">
        <f>IF(X105="","",VLOOKUP(X105,Configuratie!$B$1:$E$10,4,FALSE))</f>
        <v/>
      </c>
      <c r="N105" s="84"/>
      <c r="O105" s="6"/>
      <c r="P105" s="6"/>
      <c r="Q105" s="6"/>
      <c r="R105" s="6"/>
      <c r="S105" s="6"/>
      <c r="T105" s="6"/>
      <c r="U105" s="6"/>
      <c r="V105" s="6" t="str">
        <f>IF(X105="","",VLOOKUP(X105,Configuratie!$B$1:$E$10,2,FALSE))</f>
        <v/>
      </c>
      <c r="W105" s="61"/>
      <c r="X105" s="5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>
        <v>10</v>
      </c>
      <c r="AY105" s="6">
        <v>6</v>
      </c>
      <c r="AZ105" s="6">
        <v>13</v>
      </c>
      <c r="BA105" s="6" t="str">
        <f t="shared" si="103"/>
        <v/>
      </c>
      <c r="BB105" s="6"/>
      <c r="BC105" s="48">
        <f t="shared" si="101"/>
        <v>613</v>
      </c>
      <c r="BD105" s="48">
        <f t="shared" si="104"/>
        <v>1306</v>
      </c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</row>
    <row r="106" spans="2:80" x14ac:dyDescent="0.25">
      <c r="B106" s="6">
        <v>5</v>
      </c>
      <c r="C106" s="6" t="str">
        <f t="shared" si="102"/>
        <v>E</v>
      </c>
      <c r="D106" s="46" t="s">
        <v>5</v>
      </c>
      <c r="E106" s="84" t="str">
        <f t="shared" si="100"/>
        <v>A</v>
      </c>
      <c r="F106" s="84"/>
      <c r="G106" s="84"/>
      <c r="H106" s="84"/>
      <c r="I106" s="6"/>
      <c r="J106" s="84" t="str">
        <f>IF(X106="","",VLOOKUP(X106,Configuratie!$B$1:$E$10,3,FALSE))</f>
        <v/>
      </c>
      <c r="K106" s="84"/>
      <c r="L106" s="6" t="s">
        <v>5</v>
      </c>
      <c r="M106" s="84" t="str">
        <f>IF(X106="","",VLOOKUP(X106,Configuratie!$B$1:$E$10,4,FALSE))</f>
        <v/>
      </c>
      <c r="N106" s="84"/>
      <c r="O106" s="6"/>
      <c r="P106" s="6"/>
      <c r="Q106" s="6"/>
      <c r="R106" s="6"/>
      <c r="S106" s="6"/>
      <c r="T106" s="6"/>
      <c r="U106" s="6"/>
      <c r="V106" s="6" t="str">
        <f>IF(X106="","",VLOOKUP(X106,Configuratie!$B$1:$E$10,2,FALSE))</f>
        <v/>
      </c>
      <c r="W106" s="61"/>
      <c r="X106" s="5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>
        <v>10</v>
      </c>
      <c r="AY106" s="6">
        <v>5</v>
      </c>
      <c r="AZ106" s="6">
        <v>1</v>
      </c>
      <c r="BA106" s="6" t="str">
        <f t="shared" si="103"/>
        <v/>
      </c>
      <c r="BB106" s="6"/>
      <c r="BC106" s="48">
        <f t="shared" si="101"/>
        <v>501</v>
      </c>
      <c r="BD106" s="48">
        <f>AZ106*100+AY106</f>
        <v>105</v>
      </c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</row>
    <row r="107" spans="2:80" x14ac:dyDescent="0.25">
      <c r="B107" s="6">
        <v>6</v>
      </c>
      <c r="C107" s="6" t="str">
        <f t="shared" si="102"/>
        <v>D</v>
      </c>
      <c r="D107" s="46" t="s">
        <v>5</v>
      </c>
      <c r="E107" s="84" t="str">
        <f t="shared" si="100"/>
        <v>B</v>
      </c>
      <c r="F107" s="84"/>
      <c r="G107" s="84"/>
      <c r="H107" s="84"/>
      <c r="I107" s="6"/>
      <c r="J107" s="84" t="str">
        <f>IF(X107="","",VLOOKUP(X107,Configuratie!$B$1:$E$10,3,FALSE))</f>
        <v/>
      </c>
      <c r="K107" s="84"/>
      <c r="L107" s="6" t="s">
        <v>5</v>
      </c>
      <c r="M107" s="84" t="str">
        <f>IF(X107="","",VLOOKUP(X107,Configuratie!$B$1:$E$10,4,FALSE))</f>
        <v/>
      </c>
      <c r="N107" s="84"/>
      <c r="O107" s="6"/>
      <c r="P107" s="6"/>
      <c r="Q107" s="6"/>
      <c r="R107" s="6"/>
      <c r="S107" s="6"/>
      <c r="T107" s="6"/>
      <c r="U107" s="6"/>
      <c r="V107" s="6" t="str">
        <f>IF(X107="","",VLOOKUP(X107,Configuratie!$B$1:$E$10,2,FALSE))</f>
        <v/>
      </c>
      <c r="W107" s="61"/>
      <c r="X107" s="5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>
        <v>10</v>
      </c>
      <c r="AY107" s="6">
        <v>4</v>
      </c>
      <c r="AZ107" s="6">
        <v>2</v>
      </c>
      <c r="BA107" s="6" t="str">
        <f t="shared" si="103"/>
        <v/>
      </c>
      <c r="BB107" s="6"/>
      <c r="BC107" s="48">
        <f t="shared" si="101"/>
        <v>402</v>
      </c>
      <c r="BD107" s="48">
        <f t="shared" si="104"/>
        <v>204</v>
      </c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</row>
    <row r="108" spans="2:80" x14ac:dyDescent="0.25">
      <c r="B108" s="6">
        <v>7</v>
      </c>
      <c r="C108" s="6" t="str">
        <f t="shared" si="102"/>
        <v>O</v>
      </c>
      <c r="D108" s="46" t="s">
        <v>5</v>
      </c>
      <c r="E108" s="84" t="str">
        <f t="shared" si="100"/>
        <v>C</v>
      </c>
      <c r="F108" s="84"/>
      <c r="G108" s="84"/>
      <c r="H108" s="84"/>
      <c r="I108" s="6"/>
      <c r="J108" s="84" t="str">
        <f>IF(X108="","",VLOOKUP(X108,Configuratie!$B$1:$E$10,3,FALSE))</f>
        <v/>
      </c>
      <c r="K108" s="84"/>
      <c r="L108" s="6" t="s">
        <v>5</v>
      </c>
      <c r="M108" s="84" t="str">
        <f>IF(X108="","",VLOOKUP(X108,Configuratie!$B$1:$E$10,4,FALSE))</f>
        <v/>
      </c>
      <c r="N108" s="84"/>
      <c r="O108" s="6"/>
      <c r="P108" s="6"/>
      <c r="Q108" s="6"/>
      <c r="R108" s="6"/>
      <c r="S108" s="6"/>
      <c r="T108" s="6"/>
      <c r="U108" s="6"/>
      <c r="V108" s="6" t="str">
        <f>IF(X108="","",VLOOKUP(X108,Configuratie!$B$1:$E$10,2,FALSE))</f>
        <v/>
      </c>
      <c r="W108" s="61"/>
      <c r="X108" s="5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>
        <v>10</v>
      </c>
      <c r="AY108" s="6">
        <v>14</v>
      </c>
      <c r="AZ108" s="6">
        <v>3</v>
      </c>
      <c r="BA108" s="6" t="str">
        <f t="shared" si="103"/>
        <v/>
      </c>
      <c r="BB108" s="6"/>
      <c r="BC108" s="48">
        <f t="shared" si="101"/>
        <v>1403</v>
      </c>
      <c r="BD108" s="48">
        <f>AZ108*100+AY108</f>
        <v>314</v>
      </c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</row>
    <row r="109" spans="2:80" x14ac:dyDescent="0.25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</row>
    <row r="110" spans="2:80" x14ac:dyDescent="0.25">
      <c r="B110" s="45" t="s">
        <v>81</v>
      </c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</row>
    <row r="111" spans="2:80" x14ac:dyDescent="0.25">
      <c r="B111" s="6">
        <v>1</v>
      </c>
      <c r="C111" s="6" t="str">
        <f t="shared" ref="C111:C117" si="105">VLOOKUP(AY111,$B$4:$F$17,2,FALSE)</f>
        <v>J</v>
      </c>
      <c r="D111" s="46" t="s">
        <v>5</v>
      </c>
      <c r="E111" s="84" t="str">
        <f t="shared" ref="E111:E117" si="106">VLOOKUP(AZ111,$B$4:$F$17,2,FALSE)</f>
        <v>O</v>
      </c>
      <c r="F111" s="84"/>
      <c r="G111" s="84"/>
      <c r="H111" s="84"/>
      <c r="I111" s="6"/>
      <c r="J111" s="84" t="str">
        <f>IF(X111="","",VLOOKUP(X111,Configuratie!$B$1:$E$10,3,FALSE))</f>
        <v/>
      </c>
      <c r="K111" s="84"/>
      <c r="L111" s="6" t="s">
        <v>5</v>
      </c>
      <c r="M111" s="84" t="str">
        <f>IF(X111="","",VLOOKUP(X111,Configuratie!$B$1:$E$10,4,FALSE))</f>
        <v/>
      </c>
      <c r="N111" s="84"/>
      <c r="O111" s="6"/>
      <c r="P111" s="6"/>
      <c r="Q111" s="6"/>
      <c r="R111" s="6"/>
      <c r="S111" s="6"/>
      <c r="T111" s="6"/>
      <c r="U111" s="6"/>
      <c r="V111" s="6" t="str">
        <f>IF(X111="","",VLOOKUP(X111,Configuratie!$B$1:$E$10,2,FALSE))</f>
        <v/>
      </c>
      <c r="W111" s="61"/>
      <c r="X111" s="5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>
        <v>11</v>
      </c>
      <c r="AY111" s="6">
        <v>9</v>
      </c>
      <c r="AZ111" s="6">
        <v>14</v>
      </c>
      <c r="BA111" s="6" t="str">
        <f>IF(AND(ISNUMBER(J111),ISNUMBER(M111)),IF(J111+M111=1,1,0),"")</f>
        <v/>
      </c>
      <c r="BB111" s="6"/>
      <c r="BC111" s="48">
        <f t="shared" ref="BC111:BC117" si="107">AY111*100+AZ111</f>
        <v>914</v>
      </c>
      <c r="BD111" s="48">
        <f>AZ111*100+AY111</f>
        <v>1409</v>
      </c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</row>
    <row r="112" spans="2:80" x14ac:dyDescent="0.25">
      <c r="B112" s="6">
        <v>2</v>
      </c>
      <c r="C112" s="6" t="str">
        <f t="shared" si="105"/>
        <v>K</v>
      </c>
      <c r="D112" s="46" t="s">
        <v>5</v>
      </c>
      <c r="E112" s="84" t="str">
        <f t="shared" si="106"/>
        <v>I</v>
      </c>
      <c r="F112" s="84"/>
      <c r="G112" s="84"/>
      <c r="H112" s="84"/>
      <c r="I112" s="6"/>
      <c r="J112" s="84" t="str">
        <f>IF(X112="","",VLOOKUP(X112,Configuratie!$B$1:$E$10,3,FALSE))</f>
        <v/>
      </c>
      <c r="K112" s="84"/>
      <c r="L112" s="6" t="s">
        <v>5</v>
      </c>
      <c r="M112" s="84" t="str">
        <f>IF(X112="","",VLOOKUP(X112,Configuratie!$B$1:$E$10,4,FALSE))</f>
        <v/>
      </c>
      <c r="N112" s="84"/>
      <c r="O112" s="6"/>
      <c r="P112" s="6"/>
      <c r="Q112" s="6"/>
      <c r="R112" s="6"/>
      <c r="S112" s="6"/>
      <c r="T112" s="6"/>
      <c r="U112" s="6"/>
      <c r="V112" s="6" t="str">
        <f>IF(X112="","",VLOOKUP(X112,Configuratie!$B$1:$E$10,2,FALSE))</f>
        <v/>
      </c>
      <c r="W112" s="61"/>
      <c r="X112" s="5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>
        <v>11</v>
      </c>
      <c r="AY112" s="6">
        <v>10</v>
      </c>
      <c r="AZ112" s="6">
        <v>8</v>
      </c>
      <c r="BA112" s="6" t="str">
        <f t="shared" ref="BA112:BA117" si="108">IF(AND(ISNUMBER(J112),ISNUMBER(M112)),IF(J112+M112=1,1,0),"")</f>
        <v/>
      </c>
      <c r="BB112" s="6"/>
      <c r="BC112" s="48">
        <f t="shared" si="107"/>
        <v>1008</v>
      </c>
      <c r="BD112" s="48">
        <f t="shared" ref="BD112:BD116" si="109">AZ112*100+AY112</f>
        <v>810</v>
      </c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</row>
    <row r="113" spans="2:80" x14ac:dyDescent="0.25">
      <c r="B113" s="6">
        <v>3</v>
      </c>
      <c r="C113" s="6" t="str">
        <f t="shared" si="105"/>
        <v>L</v>
      </c>
      <c r="D113" s="46" t="s">
        <v>5</v>
      </c>
      <c r="E113" s="84" t="str">
        <f t="shared" si="106"/>
        <v>H</v>
      </c>
      <c r="F113" s="84"/>
      <c r="G113" s="84"/>
      <c r="H113" s="84"/>
      <c r="I113" s="6"/>
      <c r="J113" s="84" t="str">
        <f>IF(X113="","",VLOOKUP(X113,Configuratie!$B$1:$E$10,3,FALSE))</f>
        <v/>
      </c>
      <c r="K113" s="84"/>
      <c r="L113" s="6" t="s">
        <v>5</v>
      </c>
      <c r="M113" s="84" t="str">
        <f>IF(X113="","",VLOOKUP(X113,Configuratie!$B$1:$E$10,4,FALSE))</f>
        <v/>
      </c>
      <c r="N113" s="84"/>
      <c r="O113" s="6"/>
      <c r="P113" s="6"/>
      <c r="Q113" s="6"/>
      <c r="R113" s="6"/>
      <c r="S113" s="6"/>
      <c r="T113" s="6"/>
      <c r="U113" s="6"/>
      <c r="V113" s="6" t="str">
        <f>IF(X113="","",VLOOKUP(X113,Configuratie!$B$1:$E$10,2,FALSE))</f>
        <v/>
      </c>
      <c r="W113" s="61"/>
      <c r="X113" s="5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>
        <v>11</v>
      </c>
      <c r="AY113" s="6">
        <v>11</v>
      </c>
      <c r="AZ113" s="6">
        <v>7</v>
      </c>
      <c r="BA113" s="6" t="str">
        <f t="shared" si="108"/>
        <v/>
      </c>
      <c r="BB113" s="6"/>
      <c r="BC113" s="48">
        <f t="shared" si="107"/>
        <v>1107</v>
      </c>
      <c r="BD113" s="48">
        <f t="shared" si="109"/>
        <v>711</v>
      </c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</row>
    <row r="114" spans="2:80" x14ac:dyDescent="0.25">
      <c r="B114" s="6">
        <v>4</v>
      </c>
      <c r="C114" s="6" t="str">
        <f t="shared" si="105"/>
        <v>M</v>
      </c>
      <c r="D114" s="46" t="s">
        <v>5</v>
      </c>
      <c r="E114" s="84" t="str">
        <f t="shared" si="106"/>
        <v>G</v>
      </c>
      <c r="F114" s="84"/>
      <c r="G114" s="84"/>
      <c r="H114" s="84"/>
      <c r="I114" s="6"/>
      <c r="J114" s="84" t="str">
        <f>IF(X114="","",VLOOKUP(X114,Configuratie!$B$1:$E$10,3,FALSE))</f>
        <v/>
      </c>
      <c r="K114" s="84"/>
      <c r="L114" s="6" t="s">
        <v>5</v>
      </c>
      <c r="M114" s="84" t="str">
        <f>IF(X114="","",VLOOKUP(X114,Configuratie!$B$1:$E$10,4,FALSE))</f>
        <v/>
      </c>
      <c r="N114" s="84"/>
      <c r="O114" s="6"/>
      <c r="P114" s="6"/>
      <c r="Q114" s="6"/>
      <c r="R114" s="6"/>
      <c r="S114" s="6"/>
      <c r="T114" s="6"/>
      <c r="U114" s="6"/>
      <c r="V114" s="6" t="str">
        <f>IF(X114="","",VLOOKUP(X114,Configuratie!$B$1:$E$10,2,FALSE))</f>
        <v/>
      </c>
      <c r="W114" s="61"/>
      <c r="X114" s="5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>
        <v>11</v>
      </c>
      <c r="AY114" s="6">
        <v>12</v>
      </c>
      <c r="AZ114" s="6">
        <v>6</v>
      </c>
      <c r="BA114" s="6" t="str">
        <f t="shared" si="108"/>
        <v/>
      </c>
      <c r="BB114" s="6"/>
      <c r="BC114" s="48">
        <f t="shared" si="107"/>
        <v>1206</v>
      </c>
      <c r="BD114" s="48">
        <f t="shared" si="109"/>
        <v>612</v>
      </c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</row>
    <row r="115" spans="2:80" x14ac:dyDescent="0.25">
      <c r="B115" s="6">
        <v>5</v>
      </c>
      <c r="C115" s="6" t="str">
        <f t="shared" si="105"/>
        <v>N</v>
      </c>
      <c r="D115" s="46" t="s">
        <v>5</v>
      </c>
      <c r="E115" s="84" t="str">
        <f t="shared" si="106"/>
        <v>E</v>
      </c>
      <c r="F115" s="84"/>
      <c r="G115" s="84"/>
      <c r="H115" s="84"/>
      <c r="I115" s="6"/>
      <c r="J115" s="84" t="str">
        <f>IF(X115="","",VLOOKUP(X115,Configuratie!$B$1:$E$10,3,FALSE))</f>
        <v/>
      </c>
      <c r="K115" s="84"/>
      <c r="L115" s="6" t="s">
        <v>5</v>
      </c>
      <c r="M115" s="84" t="str">
        <f>IF(X115="","",VLOOKUP(X115,Configuratie!$B$1:$E$10,4,FALSE))</f>
        <v/>
      </c>
      <c r="N115" s="84"/>
      <c r="O115" s="6"/>
      <c r="P115" s="6"/>
      <c r="Q115" s="6"/>
      <c r="R115" s="6"/>
      <c r="S115" s="6"/>
      <c r="T115" s="6"/>
      <c r="U115" s="6"/>
      <c r="V115" s="6" t="str">
        <f>IF(X115="","",VLOOKUP(X115,Configuratie!$B$1:$E$10,2,FALSE))</f>
        <v/>
      </c>
      <c r="W115" s="61"/>
      <c r="X115" s="5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>
        <v>11</v>
      </c>
      <c r="AY115" s="6">
        <v>13</v>
      </c>
      <c r="AZ115" s="6">
        <v>5</v>
      </c>
      <c r="BA115" s="6" t="str">
        <f t="shared" si="108"/>
        <v/>
      </c>
      <c r="BB115" s="6"/>
      <c r="BC115" s="48">
        <f t="shared" si="107"/>
        <v>1305</v>
      </c>
      <c r="BD115" s="48">
        <f>AZ115*100+AY115</f>
        <v>513</v>
      </c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</row>
    <row r="116" spans="2:80" x14ac:dyDescent="0.25">
      <c r="B116" s="6">
        <v>6</v>
      </c>
      <c r="C116" s="6" t="str">
        <f t="shared" si="105"/>
        <v>A</v>
      </c>
      <c r="D116" s="46" t="s">
        <v>5</v>
      </c>
      <c r="E116" s="84" t="str">
        <f t="shared" si="106"/>
        <v>D</v>
      </c>
      <c r="F116" s="84"/>
      <c r="G116" s="84"/>
      <c r="H116" s="84"/>
      <c r="I116" s="6"/>
      <c r="J116" s="84" t="str">
        <f>IF(X116="","",VLOOKUP(X116,Configuratie!$B$1:$E$10,3,FALSE))</f>
        <v/>
      </c>
      <c r="K116" s="84"/>
      <c r="L116" s="6" t="s">
        <v>5</v>
      </c>
      <c r="M116" s="84" t="str">
        <f>IF(X116="","",VLOOKUP(X116,Configuratie!$B$1:$E$10,4,FALSE))</f>
        <v/>
      </c>
      <c r="N116" s="84"/>
      <c r="O116" s="6"/>
      <c r="P116" s="6"/>
      <c r="Q116" s="6"/>
      <c r="R116" s="6"/>
      <c r="S116" s="6"/>
      <c r="T116" s="6"/>
      <c r="U116" s="6"/>
      <c r="V116" s="6" t="str">
        <f>IF(X116="","",VLOOKUP(X116,Configuratie!$B$1:$E$10,2,FALSE))</f>
        <v/>
      </c>
      <c r="W116" s="61"/>
      <c r="X116" s="5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>
        <v>11</v>
      </c>
      <c r="AY116" s="6">
        <v>1</v>
      </c>
      <c r="AZ116" s="6">
        <v>4</v>
      </c>
      <c r="BA116" s="6" t="str">
        <f t="shared" si="108"/>
        <v/>
      </c>
      <c r="BB116" s="6"/>
      <c r="BC116" s="48">
        <f t="shared" si="107"/>
        <v>104</v>
      </c>
      <c r="BD116" s="48">
        <f t="shared" si="109"/>
        <v>401</v>
      </c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</row>
    <row r="117" spans="2:80" x14ac:dyDescent="0.25">
      <c r="B117" s="6">
        <v>7</v>
      </c>
      <c r="C117" s="6" t="str">
        <f t="shared" si="105"/>
        <v>B</v>
      </c>
      <c r="D117" s="46" t="s">
        <v>5</v>
      </c>
      <c r="E117" s="84" t="str">
        <f t="shared" si="106"/>
        <v>C</v>
      </c>
      <c r="F117" s="84"/>
      <c r="G117" s="84"/>
      <c r="H117" s="84"/>
      <c r="I117" s="6"/>
      <c r="J117" s="84" t="str">
        <f>IF(X117="","",VLOOKUP(X117,Configuratie!$B$1:$E$10,3,FALSE))</f>
        <v/>
      </c>
      <c r="K117" s="84"/>
      <c r="L117" s="6" t="s">
        <v>5</v>
      </c>
      <c r="M117" s="84" t="str">
        <f>IF(X117="","",VLOOKUP(X117,Configuratie!$B$1:$E$10,4,FALSE))</f>
        <v/>
      </c>
      <c r="N117" s="84"/>
      <c r="O117" s="6"/>
      <c r="P117" s="6"/>
      <c r="Q117" s="6"/>
      <c r="R117" s="6"/>
      <c r="S117" s="6"/>
      <c r="T117" s="6"/>
      <c r="U117" s="6"/>
      <c r="V117" s="6" t="str">
        <f>IF(X117="","",VLOOKUP(X117,Configuratie!$B$1:$E$10,2,FALSE))</f>
        <v/>
      </c>
      <c r="W117" s="61"/>
      <c r="X117" s="5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>
        <v>11</v>
      </c>
      <c r="AY117" s="6">
        <v>2</v>
      </c>
      <c r="AZ117" s="6">
        <v>3</v>
      </c>
      <c r="BA117" s="6" t="str">
        <f t="shared" si="108"/>
        <v/>
      </c>
      <c r="BB117" s="6"/>
      <c r="BC117" s="48">
        <f t="shared" si="107"/>
        <v>203</v>
      </c>
      <c r="BD117" s="48">
        <f>AZ117*100+AY117</f>
        <v>302</v>
      </c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</row>
    <row r="118" spans="2:80" x14ac:dyDescent="0.25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</row>
    <row r="119" spans="2:80" x14ac:dyDescent="0.25">
      <c r="B119" s="45" t="s">
        <v>82</v>
      </c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</row>
    <row r="120" spans="2:80" x14ac:dyDescent="0.25">
      <c r="B120" s="6">
        <v>1</v>
      </c>
      <c r="C120" s="6" t="str">
        <f t="shared" ref="C120:C126" si="110">VLOOKUP(AY120,$B$4:$F$17,2,FALSE)</f>
        <v>I</v>
      </c>
      <c r="D120" s="46" t="s">
        <v>5</v>
      </c>
      <c r="E120" s="84" t="str">
        <f t="shared" ref="E120:E126" si="111">VLOOKUP(AZ120,$B$4:$F$17,2,FALSE)</f>
        <v>J</v>
      </c>
      <c r="F120" s="84"/>
      <c r="G120" s="84"/>
      <c r="H120" s="84"/>
      <c r="I120" s="6"/>
      <c r="J120" s="84" t="str">
        <f>IF(X120="","",VLOOKUP(X120,Configuratie!$B$1:$E$10,3,FALSE))</f>
        <v/>
      </c>
      <c r="K120" s="84"/>
      <c r="L120" s="6" t="s">
        <v>5</v>
      </c>
      <c r="M120" s="84" t="str">
        <f>IF(X120="","",VLOOKUP(X120,Configuratie!$B$1:$E$10,4,FALSE))</f>
        <v/>
      </c>
      <c r="N120" s="84"/>
      <c r="O120" s="6"/>
      <c r="P120" s="6"/>
      <c r="Q120" s="6"/>
      <c r="R120" s="6"/>
      <c r="S120" s="6"/>
      <c r="T120" s="6"/>
      <c r="U120" s="6"/>
      <c r="V120" s="6" t="str">
        <f>IF(X120="","",VLOOKUP(X120,Configuratie!$B$1:$E$10,2,FALSE))</f>
        <v/>
      </c>
      <c r="W120" s="61"/>
      <c r="X120" s="5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>
        <v>12</v>
      </c>
      <c r="AY120" s="6">
        <v>8</v>
      </c>
      <c r="AZ120" s="6">
        <v>9</v>
      </c>
      <c r="BA120" s="6" t="str">
        <f>IF(AND(ISNUMBER(J120),ISNUMBER(M120)),IF(J120+M120=1,1,0),"")</f>
        <v/>
      </c>
      <c r="BB120" s="6"/>
      <c r="BC120" s="48">
        <f t="shared" ref="BC120:BC126" si="112">AY120*100+AZ120</f>
        <v>809</v>
      </c>
      <c r="BD120" s="48">
        <f>AZ120*100+AY120</f>
        <v>908</v>
      </c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</row>
    <row r="121" spans="2:80" x14ac:dyDescent="0.25">
      <c r="B121" s="6">
        <v>2</v>
      </c>
      <c r="C121" s="6" t="str">
        <f t="shared" si="110"/>
        <v>H</v>
      </c>
      <c r="D121" s="46" t="s">
        <v>5</v>
      </c>
      <c r="E121" s="84" t="str">
        <f t="shared" si="111"/>
        <v>K</v>
      </c>
      <c r="F121" s="84"/>
      <c r="G121" s="84"/>
      <c r="H121" s="84"/>
      <c r="I121" s="6"/>
      <c r="J121" s="84" t="str">
        <f>IF(X121="","",VLOOKUP(X121,Configuratie!$B$1:$E$10,3,FALSE))</f>
        <v/>
      </c>
      <c r="K121" s="84"/>
      <c r="L121" s="6" t="s">
        <v>5</v>
      </c>
      <c r="M121" s="84" t="str">
        <f>IF(X121="","",VLOOKUP(X121,Configuratie!$B$1:$E$10,4,FALSE))</f>
        <v/>
      </c>
      <c r="N121" s="84"/>
      <c r="O121" s="6"/>
      <c r="P121" s="6"/>
      <c r="Q121" s="6"/>
      <c r="R121" s="6"/>
      <c r="S121" s="6"/>
      <c r="T121" s="6"/>
      <c r="U121" s="6"/>
      <c r="V121" s="6" t="str">
        <f>IF(X121="","",VLOOKUP(X121,Configuratie!$B$1:$E$10,2,FALSE))</f>
        <v/>
      </c>
      <c r="W121" s="61"/>
      <c r="X121" s="5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>
        <v>12</v>
      </c>
      <c r="AY121" s="6">
        <v>7</v>
      </c>
      <c r="AZ121" s="6">
        <v>10</v>
      </c>
      <c r="BA121" s="6" t="str">
        <f t="shared" ref="BA121:BA126" si="113">IF(AND(ISNUMBER(J121),ISNUMBER(M121)),IF(J121+M121=1,1,0),"")</f>
        <v/>
      </c>
      <c r="BB121" s="6"/>
      <c r="BC121" s="48">
        <f t="shared" si="112"/>
        <v>710</v>
      </c>
      <c r="BD121" s="48">
        <f t="shared" ref="BD121:BD125" si="114">AZ121*100+AY121</f>
        <v>1007</v>
      </c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</row>
    <row r="122" spans="2:80" x14ac:dyDescent="0.25">
      <c r="B122" s="6">
        <v>3</v>
      </c>
      <c r="C122" s="6" t="str">
        <f t="shared" si="110"/>
        <v>G</v>
      </c>
      <c r="D122" s="46" t="s">
        <v>5</v>
      </c>
      <c r="E122" s="84" t="str">
        <f t="shared" si="111"/>
        <v>L</v>
      </c>
      <c r="F122" s="84"/>
      <c r="G122" s="84"/>
      <c r="H122" s="84"/>
      <c r="I122" s="6"/>
      <c r="J122" s="84" t="str">
        <f>IF(X122="","",VLOOKUP(X122,Configuratie!$B$1:$E$10,3,FALSE))</f>
        <v/>
      </c>
      <c r="K122" s="84"/>
      <c r="L122" s="6" t="s">
        <v>5</v>
      </c>
      <c r="M122" s="84" t="str">
        <f>IF(X122="","",VLOOKUP(X122,Configuratie!$B$1:$E$10,4,FALSE))</f>
        <v/>
      </c>
      <c r="N122" s="84"/>
      <c r="O122" s="6"/>
      <c r="P122" s="6"/>
      <c r="Q122" s="6"/>
      <c r="R122" s="6"/>
      <c r="S122" s="6"/>
      <c r="T122" s="6"/>
      <c r="U122" s="6"/>
      <c r="V122" s="6" t="str">
        <f>IF(X122="","",VLOOKUP(X122,Configuratie!$B$1:$E$10,2,FALSE))</f>
        <v/>
      </c>
      <c r="W122" s="61"/>
      <c r="X122" s="5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>
        <v>12</v>
      </c>
      <c r="AY122" s="6">
        <v>6</v>
      </c>
      <c r="AZ122" s="6">
        <v>11</v>
      </c>
      <c r="BA122" s="6" t="str">
        <f t="shared" si="113"/>
        <v/>
      </c>
      <c r="BB122" s="6"/>
      <c r="BC122" s="48">
        <f t="shared" si="112"/>
        <v>611</v>
      </c>
      <c r="BD122" s="48">
        <f t="shared" si="114"/>
        <v>1106</v>
      </c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</row>
    <row r="123" spans="2:80" x14ac:dyDescent="0.25">
      <c r="B123" s="6">
        <v>4</v>
      </c>
      <c r="C123" s="6" t="str">
        <f t="shared" si="110"/>
        <v>E</v>
      </c>
      <c r="D123" s="46" t="s">
        <v>5</v>
      </c>
      <c r="E123" s="84" t="str">
        <f t="shared" si="111"/>
        <v>M</v>
      </c>
      <c r="F123" s="84"/>
      <c r="G123" s="84"/>
      <c r="H123" s="84"/>
      <c r="I123" s="6"/>
      <c r="J123" s="84" t="str">
        <f>IF(X123="","",VLOOKUP(X123,Configuratie!$B$1:$E$10,3,FALSE))</f>
        <v/>
      </c>
      <c r="K123" s="84"/>
      <c r="L123" s="6" t="s">
        <v>5</v>
      </c>
      <c r="M123" s="84" t="str">
        <f>IF(X123="","",VLOOKUP(X123,Configuratie!$B$1:$E$10,4,FALSE))</f>
        <v/>
      </c>
      <c r="N123" s="84"/>
      <c r="O123" s="6"/>
      <c r="P123" s="6"/>
      <c r="Q123" s="6"/>
      <c r="R123" s="6"/>
      <c r="S123" s="6"/>
      <c r="T123" s="6"/>
      <c r="U123" s="6"/>
      <c r="V123" s="6" t="str">
        <f>IF(X123="","",VLOOKUP(X123,Configuratie!$B$1:$E$10,2,FALSE))</f>
        <v/>
      </c>
      <c r="W123" s="61"/>
      <c r="X123" s="5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>
        <v>12</v>
      </c>
      <c r="AY123" s="6">
        <v>5</v>
      </c>
      <c r="AZ123" s="6">
        <v>12</v>
      </c>
      <c r="BA123" s="6" t="str">
        <f t="shared" si="113"/>
        <v/>
      </c>
      <c r="BB123" s="6"/>
      <c r="BC123" s="48">
        <f t="shared" si="112"/>
        <v>512</v>
      </c>
      <c r="BD123" s="48">
        <f t="shared" si="114"/>
        <v>1205</v>
      </c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</row>
    <row r="124" spans="2:80" x14ac:dyDescent="0.25">
      <c r="B124" s="6">
        <v>5</v>
      </c>
      <c r="C124" s="6" t="str">
        <f t="shared" si="110"/>
        <v>D</v>
      </c>
      <c r="D124" s="46" t="s">
        <v>5</v>
      </c>
      <c r="E124" s="84" t="str">
        <f t="shared" si="111"/>
        <v>N</v>
      </c>
      <c r="F124" s="84"/>
      <c r="G124" s="84"/>
      <c r="H124" s="84"/>
      <c r="I124" s="6"/>
      <c r="J124" s="84" t="str">
        <f>IF(X124="","",VLOOKUP(X124,Configuratie!$B$1:$E$10,3,FALSE))</f>
        <v/>
      </c>
      <c r="K124" s="84"/>
      <c r="L124" s="6" t="s">
        <v>5</v>
      </c>
      <c r="M124" s="84" t="str">
        <f>IF(X124="","",VLOOKUP(X124,Configuratie!$B$1:$E$10,4,FALSE))</f>
        <v/>
      </c>
      <c r="N124" s="84"/>
      <c r="O124" s="6"/>
      <c r="P124" s="6"/>
      <c r="Q124" s="6"/>
      <c r="R124" s="6"/>
      <c r="S124" s="6"/>
      <c r="T124" s="6"/>
      <c r="U124" s="6"/>
      <c r="V124" s="6" t="str">
        <f>IF(X124="","",VLOOKUP(X124,Configuratie!$B$1:$E$10,2,FALSE))</f>
        <v/>
      </c>
      <c r="W124" s="61"/>
      <c r="X124" s="5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>
        <v>12</v>
      </c>
      <c r="AY124" s="6">
        <v>4</v>
      </c>
      <c r="AZ124" s="6">
        <v>13</v>
      </c>
      <c r="BA124" s="6" t="str">
        <f t="shared" si="113"/>
        <v/>
      </c>
      <c r="BB124" s="6"/>
      <c r="BC124" s="48">
        <f t="shared" si="112"/>
        <v>413</v>
      </c>
      <c r="BD124" s="48">
        <f>AZ124*100+AY124</f>
        <v>1304</v>
      </c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</row>
    <row r="125" spans="2:80" x14ac:dyDescent="0.25">
      <c r="B125" s="6">
        <v>6</v>
      </c>
      <c r="C125" s="6" t="str">
        <f t="shared" si="110"/>
        <v>C</v>
      </c>
      <c r="D125" s="46" t="s">
        <v>5</v>
      </c>
      <c r="E125" s="84" t="str">
        <f t="shared" si="111"/>
        <v>A</v>
      </c>
      <c r="F125" s="84"/>
      <c r="G125" s="84"/>
      <c r="H125" s="84"/>
      <c r="I125" s="6"/>
      <c r="J125" s="84" t="str">
        <f>IF(X125="","",VLOOKUP(X125,Configuratie!$B$1:$E$10,3,FALSE))</f>
        <v/>
      </c>
      <c r="K125" s="84"/>
      <c r="L125" s="6" t="s">
        <v>5</v>
      </c>
      <c r="M125" s="84" t="str">
        <f>IF(X125="","",VLOOKUP(X125,Configuratie!$B$1:$E$10,4,FALSE))</f>
        <v/>
      </c>
      <c r="N125" s="84"/>
      <c r="O125" s="6"/>
      <c r="P125" s="6"/>
      <c r="Q125" s="6"/>
      <c r="R125" s="6"/>
      <c r="S125" s="6"/>
      <c r="T125" s="6"/>
      <c r="U125" s="6"/>
      <c r="V125" s="6" t="str">
        <f>IF(X125="","",VLOOKUP(X125,Configuratie!$B$1:$E$10,2,FALSE))</f>
        <v/>
      </c>
      <c r="W125" s="61"/>
      <c r="X125" s="5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>
        <v>12</v>
      </c>
      <c r="AY125" s="6">
        <v>3</v>
      </c>
      <c r="AZ125" s="6">
        <v>1</v>
      </c>
      <c r="BA125" s="6" t="str">
        <f t="shared" si="113"/>
        <v/>
      </c>
      <c r="BB125" s="6"/>
      <c r="BC125" s="48">
        <f t="shared" si="112"/>
        <v>301</v>
      </c>
      <c r="BD125" s="48">
        <f t="shared" si="114"/>
        <v>103</v>
      </c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</row>
    <row r="126" spans="2:80" x14ac:dyDescent="0.25">
      <c r="B126" s="6">
        <v>7</v>
      </c>
      <c r="C126" s="6" t="str">
        <f t="shared" si="110"/>
        <v>B</v>
      </c>
      <c r="D126" s="46" t="s">
        <v>5</v>
      </c>
      <c r="E126" s="84" t="str">
        <f t="shared" si="111"/>
        <v>O</v>
      </c>
      <c r="F126" s="84"/>
      <c r="G126" s="84"/>
      <c r="H126" s="84"/>
      <c r="I126" s="6"/>
      <c r="J126" s="84" t="str">
        <f>IF(X126="","",VLOOKUP(X126,Configuratie!$B$1:$E$10,3,FALSE))</f>
        <v/>
      </c>
      <c r="K126" s="84"/>
      <c r="L126" s="6" t="s">
        <v>5</v>
      </c>
      <c r="M126" s="84" t="str">
        <f>IF(X126="","",VLOOKUP(X126,Configuratie!$B$1:$E$10,4,FALSE))</f>
        <v/>
      </c>
      <c r="N126" s="84"/>
      <c r="O126" s="6"/>
      <c r="P126" s="6"/>
      <c r="Q126" s="6"/>
      <c r="R126" s="6"/>
      <c r="S126" s="6"/>
      <c r="T126" s="6"/>
      <c r="U126" s="6"/>
      <c r="V126" s="6" t="str">
        <f>IF(X126="","",VLOOKUP(X126,Configuratie!$B$1:$E$10,2,FALSE))</f>
        <v/>
      </c>
      <c r="W126" s="61"/>
      <c r="X126" s="5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>
        <v>12</v>
      </c>
      <c r="AY126" s="6">
        <v>2</v>
      </c>
      <c r="AZ126" s="6">
        <v>14</v>
      </c>
      <c r="BA126" s="6" t="str">
        <f t="shared" si="113"/>
        <v/>
      </c>
      <c r="BB126" s="6"/>
      <c r="BC126" s="48">
        <f t="shared" si="112"/>
        <v>214</v>
      </c>
      <c r="BD126" s="48">
        <f>AZ126*100+AY126</f>
        <v>1402</v>
      </c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</row>
    <row r="127" spans="2:80" x14ac:dyDescent="0.25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</row>
    <row r="128" spans="2:80" x14ac:dyDescent="0.25">
      <c r="B128" s="45" t="s">
        <v>83</v>
      </c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</row>
    <row r="129" spans="2:80" x14ac:dyDescent="0.25">
      <c r="B129" s="6">
        <v>1</v>
      </c>
      <c r="C129" s="6" t="str">
        <f t="shared" ref="C129:C135" si="115">VLOOKUP(AY129,$B$4:$F$17,2,FALSE)</f>
        <v>O</v>
      </c>
      <c r="D129" s="46" t="s">
        <v>5</v>
      </c>
      <c r="E129" s="84" t="str">
        <f t="shared" ref="E129:E135" si="116">VLOOKUP(AZ129,$B$4:$F$17,2,FALSE)</f>
        <v>I</v>
      </c>
      <c r="F129" s="84"/>
      <c r="G129" s="84"/>
      <c r="H129" s="84"/>
      <c r="I129" s="6"/>
      <c r="J129" s="84" t="str">
        <f>IF(X129="","",VLOOKUP(X129,Configuratie!$B$1:$E$10,3,FALSE))</f>
        <v/>
      </c>
      <c r="K129" s="84"/>
      <c r="L129" s="6" t="s">
        <v>5</v>
      </c>
      <c r="M129" s="84" t="str">
        <f>IF(X129="","",VLOOKUP(X129,Configuratie!$B$1:$E$10,4,FALSE))</f>
        <v/>
      </c>
      <c r="N129" s="84"/>
      <c r="O129" s="6"/>
      <c r="P129" s="6"/>
      <c r="Q129" s="6"/>
      <c r="R129" s="6"/>
      <c r="S129" s="6"/>
      <c r="T129" s="6"/>
      <c r="U129" s="6"/>
      <c r="V129" s="6" t="str">
        <f>IF(X129="","",VLOOKUP(X129,Configuratie!$B$1:$E$10,2,FALSE))</f>
        <v/>
      </c>
      <c r="W129" s="61"/>
      <c r="X129" s="5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>
        <v>13</v>
      </c>
      <c r="AY129" s="6">
        <v>14</v>
      </c>
      <c r="AZ129" s="6">
        <v>8</v>
      </c>
      <c r="BA129" s="6" t="str">
        <f>IF(AND(ISNUMBER(J129),ISNUMBER(M129)),IF(J129+M129=1,1,0),"")</f>
        <v/>
      </c>
      <c r="BB129" s="6"/>
      <c r="BC129" s="48">
        <f t="shared" ref="BC129:BC135" si="117">AY129*100+AZ129</f>
        <v>1408</v>
      </c>
      <c r="BD129" s="48">
        <f>AZ129*100+AY129</f>
        <v>814</v>
      </c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</row>
    <row r="130" spans="2:80" x14ac:dyDescent="0.25">
      <c r="B130" s="6">
        <v>2</v>
      </c>
      <c r="C130" s="6" t="str">
        <f t="shared" si="115"/>
        <v>J</v>
      </c>
      <c r="D130" s="46" t="s">
        <v>5</v>
      </c>
      <c r="E130" s="84" t="str">
        <f t="shared" si="116"/>
        <v>H</v>
      </c>
      <c r="F130" s="84"/>
      <c r="G130" s="84"/>
      <c r="H130" s="84"/>
      <c r="I130" s="6"/>
      <c r="J130" s="84" t="str">
        <f>IF(X130="","",VLOOKUP(X130,Configuratie!$B$1:$E$10,3,FALSE))</f>
        <v/>
      </c>
      <c r="K130" s="84"/>
      <c r="L130" s="6" t="s">
        <v>5</v>
      </c>
      <c r="M130" s="84" t="str">
        <f>IF(X130="","",VLOOKUP(X130,Configuratie!$B$1:$E$10,4,FALSE))</f>
        <v/>
      </c>
      <c r="N130" s="84"/>
      <c r="O130" s="6"/>
      <c r="P130" s="6"/>
      <c r="Q130" s="6"/>
      <c r="R130" s="6"/>
      <c r="S130" s="6"/>
      <c r="T130" s="6"/>
      <c r="U130" s="6"/>
      <c r="V130" s="6" t="str">
        <f>IF(X130="","",VLOOKUP(X130,Configuratie!$B$1:$E$10,2,FALSE))</f>
        <v/>
      </c>
      <c r="W130" s="61"/>
      <c r="X130" s="5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>
        <v>13</v>
      </c>
      <c r="AY130" s="6">
        <v>9</v>
      </c>
      <c r="AZ130" s="6">
        <v>7</v>
      </c>
      <c r="BA130" s="6" t="str">
        <f t="shared" ref="BA130:BA135" si="118">IF(AND(ISNUMBER(J130),ISNUMBER(M130)),IF(J130+M130=1,1,0),"")</f>
        <v/>
      </c>
      <c r="BB130" s="6"/>
      <c r="BC130" s="48">
        <f t="shared" si="117"/>
        <v>907</v>
      </c>
      <c r="BD130" s="48">
        <f t="shared" ref="BD130:BD134" si="119">AZ130*100+AY130</f>
        <v>709</v>
      </c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</row>
    <row r="131" spans="2:80" x14ac:dyDescent="0.25">
      <c r="B131" s="6">
        <v>3</v>
      </c>
      <c r="C131" s="6" t="str">
        <f t="shared" si="115"/>
        <v>K</v>
      </c>
      <c r="D131" s="46" t="s">
        <v>5</v>
      </c>
      <c r="E131" s="84" t="str">
        <f t="shared" si="116"/>
        <v>G</v>
      </c>
      <c r="F131" s="84"/>
      <c r="G131" s="84"/>
      <c r="H131" s="84"/>
      <c r="I131" s="6"/>
      <c r="J131" s="84" t="str">
        <f>IF(X131="","",VLOOKUP(X131,Configuratie!$B$1:$E$10,3,FALSE))</f>
        <v/>
      </c>
      <c r="K131" s="84"/>
      <c r="L131" s="6" t="s">
        <v>5</v>
      </c>
      <c r="M131" s="84" t="str">
        <f>IF(X131="","",VLOOKUP(X131,Configuratie!$B$1:$E$10,4,FALSE))</f>
        <v/>
      </c>
      <c r="N131" s="84"/>
      <c r="O131" s="6"/>
      <c r="P131" s="6"/>
      <c r="Q131" s="6"/>
      <c r="R131" s="6"/>
      <c r="S131" s="6"/>
      <c r="T131" s="6"/>
      <c r="U131" s="6"/>
      <c r="V131" s="6" t="str">
        <f>IF(X131="","",VLOOKUP(X131,Configuratie!$B$1:$E$10,2,FALSE))</f>
        <v/>
      </c>
      <c r="W131" s="61"/>
      <c r="X131" s="5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>
        <v>13</v>
      </c>
      <c r="AY131" s="6">
        <v>10</v>
      </c>
      <c r="AZ131" s="6">
        <v>6</v>
      </c>
      <c r="BA131" s="6" t="str">
        <f t="shared" si="118"/>
        <v/>
      </c>
      <c r="BB131" s="6"/>
      <c r="BC131" s="48">
        <f t="shared" si="117"/>
        <v>1006</v>
      </c>
      <c r="BD131" s="48">
        <f t="shared" si="119"/>
        <v>610</v>
      </c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</row>
    <row r="132" spans="2:80" x14ac:dyDescent="0.25">
      <c r="B132" s="6">
        <v>4</v>
      </c>
      <c r="C132" s="6" t="str">
        <f t="shared" si="115"/>
        <v>L</v>
      </c>
      <c r="D132" s="46" t="s">
        <v>5</v>
      </c>
      <c r="E132" s="84" t="str">
        <f t="shared" si="116"/>
        <v>E</v>
      </c>
      <c r="F132" s="84"/>
      <c r="G132" s="84"/>
      <c r="H132" s="84"/>
      <c r="I132" s="6"/>
      <c r="J132" s="84" t="str">
        <f>IF(X132="","",VLOOKUP(X132,Configuratie!$B$1:$E$10,3,FALSE))</f>
        <v/>
      </c>
      <c r="K132" s="84"/>
      <c r="L132" s="6" t="s">
        <v>5</v>
      </c>
      <c r="M132" s="84" t="str">
        <f>IF(X132="","",VLOOKUP(X132,Configuratie!$B$1:$E$10,4,FALSE))</f>
        <v/>
      </c>
      <c r="N132" s="84"/>
      <c r="O132" s="6"/>
      <c r="P132" s="6"/>
      <c r="Q132" s="6"/>
      <c r="R132" s="6"/>
      <c r="S132" s="6"/>
      <c r="T132" s="6"/>
      <c r="U132" s="6"/>
      <c r="V132" s="6" t="str">
        <f>IF(X132="","",VLOOKUP(X132,Configuratie!$B$1:$E$10,2,FALSE))</f>
        <v/>
      </c>
      <c r="W132" s="61"/>
      <c r="X132" s="5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>
        <v>13</v>
      </c>
      <c r="AY132" s="6">
        <v>11</v>
      </c>
      <c r="AZ132" s="6">
        <v>5</v>
      </c>
      <c r="BA132" s="6" t="str">
        <f t="shared" si="118"/>
        <v/>
      </c>
      <c r="BB132" s="6"/>
      <c r="BC132" s="48">
        <f t="shared" si="117"/>
        <v>1105</v>
      </c>
      <c r="BD132" s="48">
        <f t="shared" si="119"/>
        <v>511</v>
      </c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</row>
    <row r="133" spans="2:80" x14ac:dyDescent="0.25">
      <c r="B133" s="6">
        <v>5</v>
      </c>
      <c r="C133" s="6" t="str">
        <f t="shared" si="115"/>
        <v>M</v>
      </c>
      <c r="D133" s="46" t="s">
        <v>5</v>
      </c>
      <c r="E133" s="84" t="str">
        <f t="shared" si="116"/>
        <v>D</v>
      </c>
      <c r="F133" s="84"/>
      <c r="G133" s="84"/>
      <c r="H133" s="84"/>
      <c r="I133" s="6"/>
      <c r="J133" s="84" t="str">
        <f>IF(X133="","",VLOOKUP(X133,Configuratie!$B$1:$E$10,3,FALSE))</f>
        <v/>
      </c>
      <c r="K133" s="84"/>
      <c r="L133" s="6" t="s">
        <v>5</v>
      </c>
      <c r="M133" s="84" t="str">
        <f>IF(X133="","",VLOOKUP(X133,Configuratie!$B$1:$E$10,4,FALSE))</f>
        <v/>
      </c>
      <c r="N133" s="84"/>
      <c r="O133" s="6"/>
      <c r="P133" s="6"/>
      <c r="Q133" s="6"/>
      <c r="R133" s="6"/>
      <c r="S133" s="6"/>
      <c r="T133" s="6"/>
      <c r="U133" s="6"/>
      <c r="V133" s="6" t="str">
        <f>IF(X133="","",VLOOKUP(X133,Configuratie!$B$1:$E$10,2,FALSE))</f>
        <v/>
      </c>
      <c r="W133" s="61"/>
      <c r="X133" s="5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>
        <v>13</v>
      </c>
      <c r="AY133" s="6">
        <v>12</v>
      </c>
      <c r="AZ133" s="6">
        <v>4</v>
      </c>
      <c r="BA133" s="6" t="str">
        <f t="shared" si="118"/>
        <v/>
      </c>
      <c r="BB133" s="6"/>
      <c r="BC133" s="48">
        <f t="shared" si="117"/>
        <v>1204</v>
      </c>
      <c r="BD133" s="48">
        <f>AZ133*100+AY133</f>
        <v>412</v>
      </c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</row>
    <row r="134" spans="2:80" x14ac:dyDescent="0.25">
      <c r="B134" s="6">
        <v>6</v>
      </c>
      <c r="C134" s="6" t="str">
        <f t="shared" si="115"/>
        <v>N</v>
      </c>
      <c r="D134" s="46" t="s">
        <v>5</v>
      </c>
      <c r="E134" s="84" t="str">
        <f t="shared" si="116"/>
        <v>C</v>
      </c>
      <c r="F134" s="84"/>
      <c r="G134" s="84"/>
      <c r="H134" s="84"/>
      <c r="I134" s="6"/>
      <c r="J134" s="84" t="str">
        <f>IF(X134="","",VLOOKUP(X134,Configuratie!$B$1:$E$10,3,FALSE))</f>
        <v/>
      </c>
      <c r="K134" s="84"/>
      <c r="L134" s="6" t="s">
        <v>5</v>
      </c>
      <c r="M134" s="84" t="str">
        <f>IF(X134="","",VLOOKUP(X134,Configuratie!$B$1:$E$10,4,FALSE))</f>
        <v/>
      </c>
      <c r="N134" s="84"/>
      <c r="O134" s="6"/>
      <c r="P134" s="6"/>
      <c r="Q134" s="6"/>
      <c r="R134" s="6"/>
      <c r="S134" s="6"/>
      <c r="T134" s="6"/>
      <c r="U134" s="6"/>
      <c r="V134" s="6" t="str">
        <f>IF(X134="","",VLOOKUP(X134,Configuratie!$B$1:$E$10,2,FALSE))</f>
        <v/>
      </c>
      <c r="W134" s="61"/>
      <c r="X134" s="5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>
        <v>13</v>
      </c>
      <c r="AY134" s="6">
        <v>13</v>
      </c>
      <c r="AZ134" s="6">
        <v>3</v>
      </c>
      <c r="BA134" s="6" t="str">
        <f t="shared" si="118"/>
        <v/>
      </c>
      <c r="BB134" s="6"/>
      <c r="BC134" s="48">
        <f t="shared" si="117"/>
        <v>1303</v>
      </c>
      <c r="BD134" s="48">
        <f t="shared" si="119"/>
        <v>313</v>
      </c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</row>
    <row r="135" spans="2:80" x14ac:dyDescent="0.25">
      <c r="B135" s="6">
        <v>7</v>
      </c>
      <c r="C135" s="6" t="str">
        <f t="shared" si="115"/>
        <v>A</v>
      </c>
      <c r="D135" s="46" t="s">
        <v>5</v>
      </c>
      <c r="E135" s="84" t="str">
        <f t="shared" si="116"/>
        <v>B</v>
      </c>
      <c r="F135" s="84"/>
      <c r="G135" s="84"/>
      <c r="H135" s="84"/>
      <c r="I135" s="6"/>
      <c r="J135" s="84" t="str">
        <f>IF(X135="","",VLOOKUP(X135,Configuratie!$B$1:$E$10,3,FALSE))</f>
        <v/>
      </c>
      <c r="K135" s="84"/>
      <c r="L135" s="6" t="s">
        <v>5</v>
      </c>
      <c r="M135" s="84" t="str">
        <f>IF(X135="","",VLOOKUP(X135,Configuratie!$B$1:$E$10,4,FALSE))</f>
        <v/>
      </c>
      <c r="N135" s="84"/>
      <c r="O135" s="6"/>
      <c r="P135" s="6"/>
      <c r="Q135" s="6"/>
      <c r="R135" s="6"/>
      <c r="S135" s="6"/>
      <c r="T135" s="6"/>
      <c r="U135" s="6"/>
      <c r="V135" s="6" t="str">
        <f>IF(X135="","",VLOOKUP(X135,Configuratie!$B$1:$E$10,2,FALSE))</f>
        <v/>
      </c>
      <c r="W135" s="61"/>
      <c r="X135" s="5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>
        <v>13</v>
      </c>
      <c r="AY135" s="6">
        <v>1</v>
      </c>
      <c r="AZ135" s="6">
        <v>2</v>
      </c>
      <c r="BA135" s="6" t="str">
        <f t="shared" si="118"/>
        <v/>
      </c>
      <c r="BB135" s="6"/>
      <c r="BC135" s="48">
        <f t="shared" si="117"/>
        <v>102</v>
      </c>
      <c r="BD135" s="48">
        <f>AZ135*100+AY135</f>
        <v>201</v>
      </c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</row>
    <row r="136" spans="2:80" x14ac:dyDescent="0.25"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</row>
    <row r="137" spans="2:80" x14ac:dyDescent="0.25"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</row>
    <row r="138" spans="2:80" x14ac:dyDescent="0.25"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</row>
    <row r="139" spans="2:80" x14ac:dyDescent="0.25"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</row>
    <row r="140" spans="2:80" x14ac:dyDescent="0.25"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</row>
    <row r="141" spans="2:80" x14ac:dyDescent="0.25"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</row>
    <row r="142" spans="2:80" x14ac:dyDescent="0.25"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</row>
    <row r="143" spans="2:80" x14ac:dyDescent="0.25"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</row>
    <row r="144" spans="2:80" x14ac:dyDescent="0.25"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</row>
    <row r="145" spans="26:80" x14ac:dyDescent="0.25"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</row>
    <row r="146" spans="26:80" x14ac:dyDescent="0.25"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</row>
    <row r="147" spans="26:80" x14ac:dyDescent="0.25"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</row>
    <row r="148" spans="26:80" x14ac:dyDescent="0.25"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</row>
    <row r="149" spans="26:80" x14ac:dyDescent="0.25"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</row>
    <row r="150" spans="26:80" x14ac:dyDescent="0.25"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</row>
    <row r="151" spans="26:80" x14ac:dyDescent="0.25"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</row>
    <row r="152" spans="26:80" x14ac:dyDescent="0.25"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</row>
    <row r="153" spans="26:80" x14ac:dyDescent="0.25"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</row>
    <row r="154" spans="26:80" x14ac:dyDescent="0.25"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</row>
    <row r="155" spans="26:80" x14ac:dyDescent="0.25"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</row>
    <row r="156" spans="26:80" x14ac:dyDescent="0.25"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</row>
    <row r="157" spans="26:80" x14ac:dyDescent="0.25"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</row>
    <row r="158" spans="26:80" x14ac:dyDescent="0.25"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</row>
    <row r="159" spans="26:80" x14ac:dyDescent="0.25"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</row>
    <row r="160" spans="26:80" x14ac:dyDescent="0.25"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</row>
    <row r="161" spans="26:80" x14ac:dyDescent="0.25"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</row>
    <row r="162" spans="26:80" x14ac:dyDescent="0.25"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</row>
    <row r="163" spans="26:80" x14ac:dyDescent="0.25"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</row>
    <row r="164" spans="26:80" x14ac:dyDescent="0.25"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</row>
    <row r="165" spans="26:80" x14ac:dyDescent="0.25"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</row>
    <row r="166" spans="26:80" x14ac:dyDescent="0.25"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</row>
    <row r="167" spans="26:80" x14ac:dyDescent="0.25"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</row>
    <row r="168" spans="26:80" x14ac:dyDescent="0.25"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</row>
    <row r="169" spans="26:80" x14ac:dyDescent="0.25"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</row>
    <row r="170" spans="26:80" x14ac:dyDescent="0.25"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</row>
    <row r="171" spans="26:80" x14ac:dyDescent="0.25"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</row>
    <row r="172" spans="26:80" x14ac:dyDescent="0.25"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</row>
    <row r="173" spans="26:80" x14ac:dyDescent="0.25"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</row>
    <row r="174" spans="26:80" x14ac:dyDescent="0.25"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</row>
    <row r="175" spans="26:80" x14ac:dyDescent="0.25"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</row>
    <row r="176" spans="26:80" x14ac:dyDescent="0.25"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</row>
    <row r="177" spans="26:60" x14ac:dyDescent="0.25"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X177" s="6"/>
      <c r="AY177" s="6"/>
      <c r="AZ177" s="6"/>
      <c r="BA177" s="6"/>
      <c r="BC177" s="6"/>
      <c r="BD177" s="6"/>
      <c r="BE177" s="6"/>
      <c r="BF177" s="6"/>
      <c r="BG177" s="6"/>
      <c r="BH177" s="6"/>
    </row>
    <row r="178" spans="26:60" x14ac:dyDescent="0.25"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X178" s="6"/>
      <c r="AY178" s="6"/>
      <c r="AZ178" s="6"/>
      <c r="BA178" s="6"/>
      <c r="BC178" s="6"/>
      <c r="BD178" s="6"/>
      <c r="BE178" s="6"/>
      <c r="BF178" s="6"/>
      <c r="BG178" s="6"/>
      <c r="BH178" s="6"/>
    </row>
    <row r="179" spans="26:60" x14ac:dyDescent="0.25"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X179" s="6"/>
      <c r="AY179" s="6"/>
      <c r="AZ179" s="6"/>
      <c r="BA179" s="6"/>
      <c r="BC179" s="6"/>
      <c r="BD179" s="6"/>
      <c r="BE179" s="6"/>
      <c r="BF179" s="6"/>
      <c r="BG179" s="6"/>
      <c r="BH179" s="6"/>
    </row>
    <row r="180" spans="26:60" x14ac:dyDescent="0.25"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X180" s="6"/>
      <c r="AY180" s="6"/>
      <c r="AZ180" s="6"/>
      <c r="BA180" s="6"/>
    </row>
    <row r="181" spans="26:60" x14ac:dyDescent="0.25">
      <c r="AX181" s="6"/>
      <c r="AY181" s="6"/>
      <c r="AZ181" s="6"/>
    </row>
    <row r="182" spans="26:60" x14ac:dyDescent="0.25">
      <c r="AX182" s="6"/>
      <c r="AY182" s="6"/>
      <c r="AZ182" s="6"/>
    </row>
    <row r="183" spans="26:60" x14ac:dyDescent="0.25">
      <c r="AX183" s="6"/>
      <c r="AY183" s="6"/>
      <c r="AZ183" s="6"/>
    </row>
    <row r="184" spans="26:60" x14ac:dyDescent="0.25">
      <c r="AX184" s="6"/>
      <c r="AY184" s="6"/>
      <c r="AZ184" s="6"/>
    </row>
    <row r="185" spans="26:60" x14ac:dyDescent="0.25">
      <c r="AX185" s="6"/>
      <c r="AY185" s="6"/>
      <c r="AZ185" s="6"/>
    </row>
    <row r="186" spans="26:60" x14ac:dyDescent="0.25">
      <c r="AX186" s="6"/>
      <c r="AY186" s="6"/>
      <c r="AZ186" s="6"/>
    </row>
    <row r="187" spans="26:60" x14ac:dyDescent="0.25">
      <c r="AX187" s="6"/>
      <c r="AY187" s="6"/>
      <c r="AZ187" s="6"/>
    </row>
    <row r="188" spans="26:60" x14ac:dyDescent="0.25">
      <c r="AX188" s="6"/>
      <c r="AY188" s="6"/>
      <c r="AZ188" s="6"/>
    </row>
    <row r="189" spans="26:60" x14ac:dyDescent="0.25">
      <c r="AX189" s="6"/>
      <c r="AY189" s="6"/>
      <c r="AZ189" s="6"/>
    </row>
    <row r="190" spans="26:60" x14ac:dyDescent="0.25">
      <c r="AX190" s="6"/>
      <c r="AY190" s="6"/>
      <c r="AZ190" s="6"/>
    </row>
    <row r="191" spans="26:60" x14ac:dyDescent="0.25">
      <c r="AX191" s="6"/>
      <c r="AY191" s="6"/>
      <c r="AZ191" s="6"/>
    </row>
    <row r="192" spans="26:60" x14ac:dyDescent="0.25">
      <c r="AX192" s="6"/>
      <c r="AY192" s="6"/>
      <c r="AZ192" s="6"/>
    </row>
    <row r="193" spans="50:52" x14ac:dyDescent="0.25">
      <c r="AX193" s="6"/>
      <c r="AY193" s="6"/>
      <c r="AZ193" s="6"/>
    </row>
    <row r="194" spans="50:52" x14ac:dyDescent="0.25">
      <c r="AX194" s="6"/>
      <c r="AY194" s="6"/>
      <c r="AZ194" s="6"/>
    </row>
    <row r="195" spans="50:52" x14ac:dyDescent="0.25">
      <c r="AX195" s="6"/>
      <c r="AY195" s="6"/>
      <c r="AZ195" s="6"/>
    </row>
    <row r="196" spans="50:52" x14ac:dyDescent="0.25">
      <c r="AX196" s="6"/>
      <c r="AY196" s="6"/>
      <c r="AZ196" s="6"/>
    </row>
  </sheetData>
  <sheetProtection password="CA5D" sheet="1" objects="1" scenarios="1" selectLockedCells="1"/>
  <mergeCells count="292">
    <mergeCell ref="E78:H78"/>
    <mergeCell ref="J78:K78"/>
    <mergeCell ref="M78:N78"/>
    <mergeCell ref="E77:H77"/>
    <mergeCell ref="J77:K77"/>
    <mergeCell ref="E99:H99"/>
    <mergeCell ref="J99:K99"/>
    <mergeCell ref="M99:N99"/>
    <mergeCell ref="J94:K94"/>
    <mergeCell ref="M94:N94"/>
    <mergeCell ref="E95:H95"/>
    <mergeCell ref="J95:K95"/>
    <mergeCell ref="M95:N95"/>
    <mergeCell ref="E96:H96"/>
    <mergeCell ref="J96:K96"/>
    <mergeCell ref="M96:N96"/>
    <mergeCell ref="E97:H97"/>
    <mergeCell ref="E98:H98"/>
    <mergeCell ref="J97:K97"/>
    <mergeCell ref="M97:N97"/>
    <mergeCell ref="J98:K98"/>
    <mergeCell ref="M81:N81"/>
    <mergeCell ref="E84:H84"/>
    <mergeCell ref="J84:K84"/>
    <mergeCell ref="M84:N84"/>
    <mergeCell ref="E86:H86"/>
    <mergeCell ref="J86:K86"/>
    <mergeCell ref="M86:N86"/>
    <mergeCell ref="E87:H87"/>
    <mergeCell ref="E85:H85"/>
    <mergeCell ref="J85:K85"/>
    <mergeCell ref="M85:N85"/>
    <mergeCell ref="M22:N22"/>
    <mergeCell ref="E23:H23"/>
    <mergeCell ref="J23:K23"/>
    <mergeCell ref="M23:N23"/>
    <mergeCell ref="E24:H24"/>
    <mergeCell ref="J24:K24"/>
    <mergeCell ref="M24:N24"/>
    <mergeCell ref="J40:K40"/>
    <mergeCell ref="M40:N40"/>
    <mergeCell ref="J33:K33"/>
    <mergeCell ref="M33:N33"/>
    <mergeCell ref="E34:H34"/>
    <mergeCell ref="J34:K34"/>
    <mergeCell ref="M34:N34"/>
    <mergeCell ref="J35:K35"/>
    <mergeCell ref="M35:N35"/>
    <mergeCell ref="E35:H35"/>
    <mergeCell ref="E32:H32"/>
    <mergeCell ref="J32:K32"/>
    <mergeCell ref="M32:N32"/>
    <mergeCell ref="E33:H33"/>
    <mergeCell ref="E31:H31"/>
    <mergeCell ref="J31:K31"/>
    <mergeCell ref="M31:N31"/>
    <mergeCell ref="E49:H49"/>
    <mergeCell ref="J49:K49"/>
    <mergeCell ref="M49:N49"/>
    <mergeCell ref="E44:H44"/>
    <mergeCell ref="E75:H75"/>
    <mergeCell ref="J75:K75"/>
    <mergeCell ref="M75:N75"/>
    <mergeCell ref="E76:H76"/>
    <mergeCell ref="E72:H72"/>
    <mergeCell ref="J72:K72"/>
    <mergeCell ref="M72:N72"/>
    <mergeCell ref="E45:H45"/>
    <mergeCell ref="E59:H59"/>
    <mergeCell ref="J59:K59"/>
    <mergeCell ref="M59:N59"/>
    <mergeCell ref="E60:H60"/>
    <mergeCell ref="J60:K60"/>
    <mergeCell ref="M60:N60"/>
    <mergeCell ref="J76:K76"/>
    <mergeCell ref="M76:N76"/>
    <mergeCell ref="J69:K69"/>
    <mergeCell ref="M69:N69"/>
    <mergeCell ref="J70:K70"/>
    <mergeCell ref="M70:N70"/>
    <mergeCell ref="J27:K27"/>
    <mergeCell ref="M27:N27"/>
    <mergeCell ref="E30:H30"/>
    <mergeCell ref="J44:K44"/>
    <mergeCell ref="M44:N44"/>
    <mergeCell ref="J45:K45"/>
    <mergeCell ref="M45:N45"/>
    <mergeCell ref="E48:H48"/>
    <mergeCell ref="J48:K48"/>
    <mergeCell ref="M48:N48"/>
    <mergeCell ref="E93:H93"/>
    <mergeCell ref="J93:K93"/>
    <mergeCell ref="M93:N93"/>
    <mergeCell ref="E94:H94"/>
    <mergeCell ref="E90:H90"/>
    <mergeCell ref="J90:K90"/>
    <mergeCell ref="M90:N90"/>
    <mergeCell ref="M98:N98"/>
    <mergeCell ref="M79:N79"/>
    <mergeCell ref="J80:K80"/>
    <mergeCell ref="E79:H79"/>
    <mergeCell ref="E80:H80"/>
    <mergeCell ref="J79:K79"/>
    <mergeCell ref="J88:K88"/>
    <mergeCell ref="M88:N88"/>
    <mergeCell ref="J89:K89"/>
    <mergeCell ref="M89:N89"/>
    <mergeCell ref="E88:H88"/>
    <mergeCell ref="E89:H89"/>
    <mergeCell ref="J87:K87"/>
    <mergeCell ref="M87:N87"/>
    <mergeCell ref="M80:N80"/>
    <mergeCell ref="E81:H81"/>
    <mergeCell ref="J81:K81"/>
    <mergeCell ref="M77:N77"/>
    <mergeCell ref="J67:K67"/>
    <mergeCell ref="M67:N67"/>
    <mergeCell ref="J61:K61"/>
    <mergeCell ref="M61:N61"/>
    <mergeCell ref="J62:K62"/>
    <mergeCell ref="E61:H61"/>
    <mergeCell ref="E62:H62"/>
    <mergeCell ref="M62:N62"/>
    <mergeCell ref="E63:H63"/>
    <mergeCell ref="J63:K63"/>
    <mergeCell ref="M63:N63"/>
    <mergeCell ref="E66:H66"/>
    <mergeCell ref="J66:K66"/>
    <mergeCell ref="M66:N66"/>
    <mergeCell ref="J71:K71"/>
    <mergeCell ref="M71:N71"/>
    <mergeCell ref="E70:H70"/>
    <mergeCell ref="E71:H71"/>
    <mergeCell ref="E68:H68"/>
    <mergeCell ref="J68:K68"/>
    <mergeCell ref="M68:N68"/>
    <mergeCell ref="E69:H69"/>
    <mergeCell ref="E67:H67"/>
    <mergeCell ref="M57:N57"/>
    <mergeCell ref="E58:H58"/>
    <mergeCell ref="E54:H54"/>
    <mergeCell ref="J54:K54"/>
    <mergeCell ref="M54:N54"/>
    <mergeCell ref="E50:H50"/>
    <mergeCell ref="J50:K50"/>
    <mergeCell ref="M50:N50"/>
    <mergeCell ref="E51:H51"/>
    <mergeCell ref="E52:H52"/>
    <mergeCell ref="J51:K51"/>
    <mergeCell ref="M51:N51"/>
    <mergeCell ref="J52:K52"/>
    <mergeCell ref="M52:N52"/>
    <mergeCell ref="E53:H53"/>
    <mergeCell ref="J53:K53"/>
    <mergeCell ref="M53:N53"/>
    <mergeCell ref="J58:K58"/>
    <mergeCell ref="M58:N58"/>
    <mergeCell ref="E57:H57"/>
    <mergeCell ref="J57:K57"/>
    <mergeCell ref="E25:H25"/>
    <mergeCell ref="J25:K25"/>
    <mergeCell ref="M25:N25"/>
    <mergeCell ref="E27:H27"/>
    <mergeCell ref="J30:K30"/>
    <mergeCell ref="M30:N30"/>
    <mergeCell ref="E43:H43"/>
    <mergeCell ref="J43:K43"/>
    <mergeCell ref="M43:N43"/>
    <mergeCell ref="E39:H39"/>
    <mergeCell ref="J39:K39"/>
    <mergeCell ref="M39:N39"/>
    <mergeCell ref="E40:H40"/>
    <mergeCell ref="J36:K36"/>
    <mergeCell ref="M36:N36"/>
    <mergeCell ref="E36:H36"/>
    <mergeCell ref="E41:H41"/>
    <mergeCell ref="J41:K41"/>
    <mergeCell ref="M41:N41"/>
    <mergeCell ref="E42:H42"/>
    <mergeCell ref="J42:K42"/>
    <mergeCell ref="M42:N42"/>
    <mergeCell ref="J26:K26"/>
    <mergeCell ref="M26:N26"/>
    <mergeCell ref="AB1:AG1"/>
    <mergeCell ref="D3:E3"/>
    <mergeCell ref="D4:E4"/>
    <mergeCell ref="D5:E5"/>
    <mergeCell ref="BD2:BL2"/>
    <mergeCell ref="BT2:CB2"/>
    <mergeCell ref="E26:H26"/>
    <mergeCell ref="E21:H21"/>
    <mergeCell ref="J21:K21"/>
    <mergeCell ref="M21:N21"/>
    <mergeCell ref="E22:H22"/>
    <mergeCell ref="D16:E16"/>
    <mergeCell ref="D17:E17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J22:K22"/>
    <mergeCell ref="E102:H102"/>
    <mergeCell ref="J102:K102"/>
    <mergeCell ref="M102:N102"/>
    <mergeCell ref="E103:H103"/>
    <mergeCell ref="J103:K103"/>
    <mergeCell ref="M103:N103"/>
    <mergeCell ref="E104:H104"/>
    <mergeCell ref="J104:K104"/>
    <mergeCell ref="M104:N104"/>
    <mergeCell ref="E105:H105"/>
    <mergeCell ref="J105:K105"/>
    <mergeCell ref="M105:N105"/>
    <mergeCell ref="E106:H106"/>
    <mergeCell ref="J106:K106"/>
    <mergeCell ref="M106:N106"/>
    <mergeCell ref="E107:H107"/>
    <mergeCell ref="J107:K107"/>
    <mergeCell ref="M107:N107"/>
    <mergeCell ref="E108:H108"/>
    <mergeCell ref="J108:K108"/>
    <mergeCell ref="M108:N108"/>
    <mergeCell ref="E111:H111"/>
    <mergeCell ref="J111:K111"/>
    <mergeCell ref="M111:N111"/>
    <mergeCell ref="E112:H112"/>
    <mergeCell ref="J112:K112"/>
    <mergeCell ref="M112:N112"/>
    <mergeCell ref="E113:H113"/>
    <mergeCell ref="J113:K113"/>
    <mergeCell ref="M113:N113"/>
    <mergeCell ref="E114:H114"/>
    <mergeCell ref="J114:K114"/>
    <mergeCell ref="M114:N114"/>
    <mergeCell ref="E115:H115"/>
    <mergeCell ref="J115:K115"/>
    <mergeCell ref="M115:N115"/>
    <mergeCell ref="E116:H116"/>
    <mergeCell ref="J116:K116"/>
    <mergeCell ref="M116:N116"/>
    <mergeCell ref="E117:H117"/>
    <mergeCell ref="J117:K117"/>
    <mergeCell ref="M117:N117"/>
    <mergeCell ref="E120:H120"/>
    <mergeCell ref="J120:K120"/>
    <mergeCell ref="M120:N120"/>
    <mergeCell ref="M124:N124"/>
    <mergeCell ref="E125:H125"/>
    <mergeCell ref="J125:K125"/>
    <mergeCell ref="M125:N125"/>
    <mergeCell ref="E126:H126"/>
    <mergeCell ref="J126:K126"/>
    <mergeCell ref="M126:N126"/>
    <mergeCell ref="E121:H121"/>
    <mergeCell ref="J121:K121"/>
    <mergeCell ref="M121:N121"/>
    <mergeCell ref="E122:H122"/>
    <mergeCell ref="J122:K122"/>
    <mergeCell ref="M122:N122"/>
    <mergeCell ref="E123:H123"/>
    <mergeCell ref="J123:K123"/>
    <mergeCell ref="M123:N123"/>
    <mergeCell ref="C1:F1"/>
    <mergeCell ref="E135:H135"/>
    <mergeCell ref="J135:K135"/>
    <mergeCell ref="M135:N135"/>
    <mergeCell ref="E132:H132"/>
    <mergeCell ref="J132:K132"/>
    <mergeCell ref="M132:N132"/>
    <mergeCell ref="E133:H133"/>
    <mergeCell ref="J133:K133"/>
    <mergeCell ref="M133:N133"/>
    <mergeCell ref="E134:H134"/>
    <mergeCell ref="J134:K134"/>
    <mergeCell ref="M134:N134"/>
    <mergeCell ref="E129:H129"/>
    <mergeCell ref="J129:K129"/>
    <mergeCell ref="M129:N129"/>
    <mergeCell ref="E130:H130"/>
    <mergeCell ref="J130:K130"/>
    <mergeCell ref="M130:N130"/>
    <mergeCell ref="E131:H131"/>
    <mergeCell ref="J131:K131"/>
    <mergeCell ref="M131:N131"/>
    <mergeCell ref="E124:H124"/>
    <mergeCell ref="J124:K124"/>
  </mergeCells>
  <conditionalFormatting sqref="H4 I5:U5 J6:U6 K7:U7 L8:U8 M9:U9 N10:U10 O11:U11 P12:U12 Q13:U13 R14:U14 S15:U15 T16:U16 U16:U17">
    <cfRule type="cellIs" dxfId="33" priority="18" stopIfTrue="1" operator="between">
      <formula>0</formula>
      <formula>1</formula>
    </cfRule>
  </conditionalFormatting>
  <conditionalFormatting sqref="I4:U4">
    <cfRule type="cellIs" dxfId="32" priority="17" stopIfTrue="1" operator="between">
      <formula>0</formula>
      <formula>1</formula>
    </cfRule>
  </conditionalFormatting>
  <conditionalFormatting sqref="H5:H17">
    <cfRule type="cellIs" dxfId="31" priority="16" stopIfTrue="1" operator="between">
      <formula>0</formula>
      <formula>1</formula>
    </cfRule>
  </conditionalFormatting>
  <conditionalFormatting sqref="I6:I17">
    <cfRule type="cellIs" dxfId="30" priority="15" stopIfTrue="1" operator="between">
      <formula>0</formula>
      <formula>1</formula>
    </cfRule>
  </conditionalFormatting>
  <conditionalFormatting sqref="J7:J17">
    <cfRule type="cellIs" dxfId="29" priority="14" stopIfTrue="1" operator="between">
      <formula>0</formula>
      <formula>1</formula>
    </cfRule>
  </conditionalFormatting>
  <conditionalFormatting sqref="K8:K17">
    <cfRule type="cellIs" dxfId="28" priority="13" stopIfTrue="1" operator="between">
      <formula>0</formula>
      <formula>1</formula>
    </cfRule>
  </conditionalFormatting>
  <conditionalFormatting sqref="L9:L17">
    <cfRule type="cellIs" dxfId="27" priority="12" stopIfTrue="1" operator="between">
      <formula>0</formula>
      <formula>1</formula>
    </cfRule>
  </conditionalFormatting>
  <conditionalFormatting sqref="M10:M17">
    <cfRule type="cellIs" dxfId="26" priority="11" stopIfTrue="1" operator="between">
      <formula>0</formula>
      <formula>1</formula>
    </cfRule>
  </conditionalFormatting>
  <conditionalFormatting sqref="N11:N17">
    <cfRule type="cellIs" dxfId="25" priority="10" stopIfTrue="1" operator="between">
      <formula>0</formula>
      <formula>1</formula>
    </cfRule>
  </conditionalFormatting>
  <conditionalFormatting sqref="O12:O17">
    <cfRule type="cellIs" dxfId="24" priority="9" stopIfTrue="1" operator="between">
      <formula>0</formula>
      <formula>1</formula>
    </cfRule>
  </conditionalFormatting>
  <conditionalFormatting sqref="P13:P17">
    <cfRule type="cellIs" dxfId="23" priority="8" stopIfTrue="1" operator="between">
      <formula>0</formula>
      <formula>1</formula>
    </cfRule>
  </conditionalFormatting>
  <conditionalFormatting sqref="Q14:Q17">
    <cfRule type="cellIs" dxfId="22" priority="7" stopIfTrue="1" operator="between">
      <formula>0</formula>
      <formula>1</formula>
    </cfRule>
  </conditionalFormatting>
  <conditionalFormatting sqref="R15:R17">
    <cfRule type="cellIs" dxfId="21" priority="6" stopIfTrue="1" operator="between">
      <formula>0</formula>
      <formula>1</formula>
    </cfRule>
  </conditionalFormatting>
  <conditionalFormatting sqref="S16:S17">
    <cfRule type="cellIs" dxfId="20" priority="5" stopIfTrue="1" operator="between">
      <formula>0</formula>
      <formula>1</formula>
    </cfRule>
  </conditionalFormatting>
  <conditionalFormatting sqref="T17">
    <cfRule type="cellIs" dxfId="19" priority="4" stopIfTrue="1" operator="between">
      <formula>0</formula>
      <formula>1</formula>
    </cfRule>
  </conditionalFormatting>
  <conditionalFormatting sqref="X4:X17">
    <cfRule type="cellIs" dxfId="18" priority="1" operator="equal">
      <formula>3</formula>
    </cfRule>
    <cfRule type="cellIs" dxfId="17" priority="2" operator="equal">
      <formula>2</formula>
    </cfRule>
    <cfRule type="cellIs" dxfId="16" priority="3" operator="equal">
      <formula>1</formula>
    </cfRule>
  </conditionalFormatting>
  <pageMargins left="0.7" right="0.7" top="0.75" bottom="0.75" header="0.3" footer="0.3"/>
  <pageSetup paperSize="9" scale="92" fitToHeight="0" orientation="landscape" horizontalDpi="4294967293" r:id="rId1"/>
  <rowBreaks count="1" manualBreakCount="1">
    <brk id="36" min="1" max="2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"/>
  <sheetViews>
    <sheetView workbookViewId="0">
      <selection sqref="A1:E1"/>
    </sheetView>
  </sheetViews>
  <sheetFormatPr defaultRowHeight="15" x14ac:dyDescent="0.25"/>
  <sheetData>
    <row r="1" spans="1:26" ht="26.25" x14ac:dyDescent="0.4">
      <c r="A1" s="83" t="s">
        <v>31</v>
      </c>
      <c r="B1" s="83"/>
      <c r="C1" s="83"/>
      <c r="D1" s="83"/>
      <c r="E1" s="83"/>
      <c r="F1" s="92" t="s">
        <v>32</v>
      </c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68"/>
      <c r="S1" s="68"/>
      <c r="T1" s="68"/>
      <c r="U1" s="85" t="str">
        <f>"UITSLAG " &amp; F1</f>
        <v>UITSLAG GROEP A</v>
      </c>
      <c r="V1" s="86"/>
      <c r="W1" s="86"/>
      <c r="X1" s="86"/>
      <c r="Y1" s="86"/>
      <c r="Z1" s="86"/>
    </row>
  </sheetData>
  <sheetProtection password="CA5D" sheet="1" objects="1" scenarios="1" selectLockedCells="1"/>
  <mergeCells count="3">
    <mergeCell ref="A1:E1"/>
    <mergeCell ref="F1:Q1"/>
    <mergeCell ref="U1:Z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A1:BT79"/>
  <sheetViews>
    <sheetView view="pageBreakPreview" topLeftCell="D1" zoomScaleNormal="100" zoomScaleSheetLayoutView="100" workbookViewId="0">
      <selection activeCell="T19" sqref="T19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7" width="3.7109375" style="6" customWidth="1"/>
    <col min="18" max="20" width="10.5703125" style="6" customWidth="1"/>
    <col min="21" max="21" width="3.7109375" style="6" customWidth="1"/>
    <col min="22" max="22" width="6.7109375" style="6" customWidth="1"/>
    <col min="23" max="23" width="3" style="6" hidden="1" customWidth="1"/>
    <col min="24" max="24" width="27.7109375" style="6" customWidth="1"/>
    <col min="25" max="25" width="6.7109375" style="6" customWidth="1"/>
    <col min="26" max="26" width="6.7109375" style="6" hidden="1" customWidth="1"/>
    <col min="27" max="27" width="6.7109375" style="6" customWidth="1"/>
    <col min="28" max="30" width="6.7109375" style="6" hidden="1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6" width="6.7109375" style="6" hidden="1" customWidth="1"/>
    <col min="37" max="37" width="3.2851562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71" width="3.7109375" style="6" hidden="1" customWidth="1"/>
    <col min="72" max="72" width="9.140625" style="6" hidden="1" customWidth="1"/>
    <col min="73" max="74" width="9.140625" style="6" customWidth="1"/>
    <col min="75" max="16384" width="9.140625" style="6"/>
  </cols>
  <sheetData>
    <row r="1" spans="1:71" ht="26.25" x14ac:dyDescent="0.4">
      <c r="A1" s="24">
        <v>10</v>
      </c>
      <c r="B1" s="83" t="s">
        <v>31</v>
      </c>
      <c r="C1" s="83"/>
      <c r="D1" s="83"/>
      <c r="E1" s="83"/>
      <c r="F1" s="83"/>
      <c r="G1" s="92" t="s">
        <v>32</v>
      </c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15"/>
      <c r="T1" s="15"/>
      <c r="U1" s="15"/>
      <c r="V1" s="85" t="str">
        <f>"UITSLAG " &amp; G1</f>
        <v>UITSLAG GROEP A</v>
      </c>
      <c r="W1" s="86"/>
      <c r="X1" s="86"/>
      <c r="Y1" s="86"/>
      <c r="Z1" s="86"/>
      <c r="AA1" s="86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86" t="s">
        <v>22</v>
      </c>
      <c r="BA2" s="86"/>
      <c r="BB2" s="86"/>
      <c r="BC2" s="86"/>
      <c r="BD2" s="86"/>
      <c r="BE2" s="86"/>
      <c r="BF2" s="86"/>
      <c r="BG2" s="86"/>
      <c r="BH2" s="86"/>
      <c r="BI2" s="17"/>
      <c r="BJ2" s="18"/>
      <c r="BK2" s="86" t="s">
        <v>23</v>
      </c>
      <c r="BL2" s="86"/>
      <c r="BM2" s="86"/>
      <c r="BN2" s="86"/>
      <c r="BO2" s="86"/>
      <c r="BP2" s="86"/>
      <c r="BQ2" s="86"/>
      <c r="BR2" s="86"/>
      <c r="BS2" s="86"/>
    </row>
    <row r="3" spans="1:71" x14ac:dyDescent="0.25">
      <c r="B3" s="19" t="s">
        <v>4</v>
      </c>
      <c r="C3" s="19" t="s">
        <v>6</v>
      </c>
      <c r="D3" s="87" t="s">
        <v>7</v>
      </c>
      <c r="E3" s="87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7">
        <v>9</v>
      </c>
      <c r="Q3" s="7">
        <v>10</v>
      </c>
      <c r="R3" s="7" t="s">
        <v>17</v>
      </c>
      <c r="S3" s="7" t="s">
        <v>26</v>
      </c>
      <c r="T3" s="7" t="s">
        <v>69</v>
      </c>
      <c r="U3" s="21"/>
      <c r="V3" s="7" t="s">
        <v>33</v>
      </c>
      <c r="W3" s="22" t="s">
        <v>30</v>
      </c>
      <c r="X3" s="7" t="s">
        <v>6</v>
      </c>
      <c r="Y3" s="7" t="s">
        <v>29</v>
      </c>
      <c r="Z3" s="7" t="s">
        <v>24</v>
      </c>
      <c r="AA3" s="7" t="s">
        <v>26</v>
      </c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88"/>
      <c r="E4" s="89"/>
      <c r="F4" s="25">
        <v>1000</v>
      </c>
      <c r="H4" s="26" t="str">
        <f t="shared" ref="H4:Q13" si="0">IF((SUMIF($AY$15:$AY$78,$B4*100+H$3,$AW$15:$AW$78)+SUMIF($AY$15:$AY$78,$B4+H$3*100,$AW$15:$AW$78))=1,(SUMIF($AY$15:$AY$78,$B4*100+H$3,$J$15:$J$78)+SUMIF($AZ$15:$AZ$78,$B4*100+H$3,$M$15:$M$78)),"")</f>
        <v/>
      </c>
      <c r="I4" s="27" t="str">
        <f>IF((SUMIF($AY$15:$AY$78,$B4*100+I$3,$AW$15:$AW$78)+SUMIF($AY$15:$AY$78,$B4+I$3*100,$AW$15:$AW$78))=1,(SUMIF($AY$15:$AY$78,$B4*100+I$3,$J$15:$J$78)+SUMIF($AZ$15:$AZ$78,$B4*100+I$3,$M$15:$M$78)),"")</f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7" t="str">
        <f t="shared" si="0"/>
        <v/>
      </c>
      <c r="R4" s="8">
        <f>SUM(H4:Q4)</f>
        <v>0</v>
      </c>
      <c r="S4" s="8">
        <f>IF(H4="",0,H4)*$R$4+IF(I4="",0,I4)*$R$5+IF(J4="",0,J4)*$R$6+IF(K4="",0,K4)*$R$7+IF(L4="",0,L4)*$R$8+IF(M4="",0,M4)*$R$9+IF(N4="",0,N4)*$R$10+IF(O4="",0,O4)*$R$11+IF(P4="",0,P4)*R12+IF(Q4="",0,Q4)*R13</f>
        <v>0</v>
      </c>
      <c r="T4" s="59">
        <f>AO4</f>
        <v>1</v>
      </c>
      <c r="U4" s="30"/>
      <c r="V4" s="31">
        <v>1</v>
      </c>
      <c r="W4" s="32">
        <v>10</v>
      </c>
      <c r="X4" s="33" t="str">
        <f>IF(ISNA(VLOOKUP(V4,$A$4:$S$13,3,FALSE)),C4,VLOOKUP(V4,$A$4:$S$13,3,FALSE))</f>
        <v>A</v>
      </c>
      <c r="Y4" s="34">
        <f>IF(ISNA(VLOOKUP(B4,$A$4:$S$13,18,FALSE)),0,VLOOKUP(B4,$A$4:$S$13,18,FALSE))</f>
        <v>0</v>
      </c>
      <c r="Z4" s="34">
        <f t="shared" ref="Z4:Z13" si="1">VLOOKUP($W4,$AT$4:$AW$13,2,FALSE)</f>
        <v>0</v>
      </c>
      <c r="AA4" s="55">
        <f>IF(ISNA(VLOOKUP(B4,$A$4:$S$13,19,FALSE)),0,VLOOKUP(B4,$A$4:$S$13,19,FALSE))</f>
        <v>0</v>
      </c>
      <c r="AB4" s="34">
        <f t="shared" ref="AB4:AB13" si="2">VLOOKUP($W4,$AT$4:$AW$13,4,FALSE)</f>
        <v>0</v>
      </c>
      <c r="AC4" s="35">
        <f t="shared" ref="AC4:AC13" si="3">VLOOKUP($W4,$B$4:$R$13,5,FALSE)</f>
        <v>1000</v>
      </c>
      <c r="AD4" s="56"/>
      <c r="AE4" s="12">
        <f>IF(R4=$R$4,IF(H4="",0,H4))+IF(R4=$R$5,IF(I4="",0,I4))+IF(R4=$R$6,IF(J4="",0,J4))+IF(R4=$R$7,IF(K4="",0,K4))+IF(R4=$R$8,IF(L4="",0,L4))+IF(R4=$R$9,IF(M4="",0,M4))+IF(R4=$R$10,IF(N4="",0,N4))+IF(R4=$R$11,IF(O4="",0,O4))+IF(R4=$R$12,IF(P4="",0,P4))+IF(R4=$R$13,IF(Q4="",0,Q4))</f>
        <v>0</v>
      </c>
      <c r="AF4" s="12">
        <f>$AE$15*R4+AE4</f>
        <v>0</v>
      </c>
      <c r="AG4" s="12">
        <f>IF(AF4=$AF$4,IF(H4="",0,H4))+IF(AF4=$AF$5,IF(I4="",0,I4))+IF(AF4=$AF$6,IF(J4="",0,J4))+IF(AF4=$AF$7,IF(K4="",0,K4))+IF(AF4=$AF$8,IF(L4="",0,L4))+IF(AF4=$AF$9,IF(M4="",0,M4))+IF(AF4=$AF$10,IF(N4="",0,N4))+IF(AF4=$AF$11,IF(O4="",0,O4))+IF(AF4=$AF$12,IF(P4="",0,P4))+IF(AF4=$AF$13,IF(Q4="",0,Q4))</f>
        <v>0</v>
      </c>
      <c r="AH4" s="12">
        <f>$AG$15*AF4+AG4</f>
        <v>0</v>
      </c>
      <c r="AI4" s="12">
        <f>IF(AH4=$AF$4,IF(H4="",0,H4))+IF(AH4=$AF$5,IF(I4="",0,I4))+IF(AH4=$AF$6,IF(J4="",0,J4))+IF(AH4=$AF$7,IF(K4="",0,K4))+IF(AH4=$AF$8,IF(L4="",0,L4))+IF(AH4=$AF$9,IF(M4="",0,M4))+IF(AH4=$AF$10,IF(N4="",0,N4))+IF(AH4=$AF$11,IF(O4="",0,O4))+IF(AH4=$AF$12,IF(P4="",0,P4))+IF(AH4=$AF$13,IF(Q4="",0,Q4))</f>
        <v>0</v>
      </c>
      <c r="AJ4" s="12">
        <f>$AG$15*AH4+AI4</f>
        <v>0</v>
      </c>
      <c r="AK4" s="12"/>
      <c r="AL4" s="12">
        <f>RANK(AJ4,$AJ$4:$AJ$13,1)-1</f>
        <v>0</v>
      </c>
      <c r="AM4" s="12">
        <f>RANK(S4,$S$4:$S$13,1)-1</f>
        <v>0</v>
      </c>
      <c r="AN4" s="12">
        <f>10*AL4+AM4</f>
        <v>0</v>
      </c>
      <c r="AO4" s="12">
        <f>RANK(AN4,$AN$4:$AN$13)</f>
        <v>1</v>
      </c>
      <c r="AP4" s="56"/>
      <c r="AQ4" s="56"/>
      <c r="AR4" s="56"/>
      <c r="AS4" s="30"/>
      <c r="AT4" s="37">
        <v>1</v>
      </c>
      <c r="AU4" s="38">
        <f t="shared" ref="AU4:AU13" si="4">SUMIF($AU$15:$AU$78,B4,$BA$15:$BA$78)+SUMIF($AV$15:$AV$78,B4,$BB$15:$BB$78)</f>
        <v>0</v>
      </c>
      <c r="AV4" s="39" t="e">
        <f t="shared" ref="AV4:AV13" si="5">SUMIF($AU$15:$AU$78,B4,$BC$15:$BC$78)+SUMIF($AV$15:$AV$78,B4,$BD$15:$BD$78)</f>
        <v>#VALUE!</v>
      </c>
      <c r="AW4" s="39">
        <f>SUM(BK4:BS4)</f>
        <v>0</v>
      </c>
      <c r="AY4" s="6">
        <v>1</v>
      </c>
      <c r="AZ4" s="6">
        <f t="shared" ref="AZ4:BH13" si="6" xml:space="preserve"> SUMIFS( $J$18:$J$78, $AU$18:$AU$78,$AY4, $AT$18:$AT$78,AZ$3) + SUMIFS( $M$18:$M$78, $AV$18:$AV$78,$AY4, $AT$18:$AT$78,AZ$3)</f>
        <v>0</v>
      </c>
      <c r="BA4" s="6">
        <f t="shared" si="6"/>
        <v>0</v>
      </c>
      <c r="BB4" s="6">
        <f t="shared" si="6"/>
        <v>0</v>
      </c>
      <c r="BC4" s="6">
        <f t="shared" si="6"/>
        <v>0</v>
      </c>
      <c r="BD4" s="6">
        <f t="shared" si="6"/>
        <v>0</v>
      </c>
      <c r="BE4" s="6">
        <f t="shared" si="6"/>
        <v>0</v>
      </c>
      <c r="BF4" s="6">
        <f t="shared" si="6"/>
        <v>0</v>
      </c>
      <c r="BG4" s="6">
        <f t="shared" si="6"/>
        <v>0</v>
      </c>
      <c r="BH4" s="6">
        <f t="shared" si="6"/>
        <v>0</v>
      </c>
      <c r="BJ4" s="6">
        <v>1</v>
      </c>
      <c r="BK4" s="6">
        <f>AZ4</f>
        <v>0</v>
      </c>
      <c r="BL4" s="6">
        <f t="shared" ref="BL4:BL13" si="7">BK4+BA4</f>
        <v>0</v>
      </c>
      <c r="BM4" s="6">
        <f t="shared" ref="BM4:BM13" si="8">BL4+BB4</f>
        <v>0</v>
      </c>
      <c r="BN4" s="6">
        <f t="shared" ref="BN4:BN13" si="9">BM4+BC4</f>
        <v>0</v>
      </c>
      <c r="BO4" s="6">
        <f t="shared" ref="BO4:BO13" si="10">BN4+BD4</f>
        <v>0</v>
      </c>
      <c r="BP4" s="6">
        <f t="shared" ref="BP4:BP13" si="11">BO4+BE4</f>
        <v>0</v>
      </c>
      <c r="BQ4" s="6">
        <f t="shared" ref="BQ4:BQ13" si="12">BP4+BF4</f>
        <v>0</v>
      </c>
      <c r="BR4" s="6">
        <f t="shared" ref="BR4:BR13" si="13">BQ4+BG4</f>
        <v>0</v>
      </c>
      <c r="BS4" s="6">
        <f t="shared" ref="BS4:BS13" si="14">BR4+BH4</f>
        <v>0</v>
      </c>
    </row>
    <row r="5" spans="1:71" x14ac:dyDescent="0.25">
      <c r="A5" s="51">
        <f t="shared" ref="A5:A13" si="15">T5</f>
        <v>1</v>
      </c>
      <c r="B5" s="25">
        <v>2</v>
      </c>
      <c r="C5" s="25" t="s">
        <v>41</v>
      </c>
      <c r="D5" s="88"/>
      <c r="E5" s="89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7" t="str">
        <f t="shared" si="0"/>
        <v/>
      </c>
      <c r="Q5" s="27" t="str">
        <f t="shared" si="0"/>
        <v/>
      </c>
      <c r="R5" s="8">
        <f t="shared" ref="R5:R13" si="16">SUM(H5:Q5)</f>
        <v>0</v>
      </c>
      <c r="S5" s="8">
        <f t="shared" ref="S5:S8" si="17">IF(H5="",0,H5)*$R$4+IF(I5="",0,I5)*$R$5+IF(J5="",0,J5)*$R$6+IF(K5="",0,K5)*$R$7+IF(L5="",0,L5)*$R$8+IF(M5="",0,M5)*$R$9+IF(N5="",0,N5)*$R$10+IF(O5="",0,O5)*$R$11+IF(P5="",0,P5)*R13+IF(Q5="",0,Q5)*R14</f>
        <v>0</v>
      </c>
      <c r="T5" s="59">
        <f t="shared" ref="T5:T13" si="18">AO5</f>
        <v>1</v>
      </c>
      <c r="U5" s="30"/>
      <c r="V5" s="31">
        <v>2</v>
      </c>
      <c r="W5" s="32">
        <v>9</v>
      </c>
      <c r="X5" s="33" t="str">
        <f t="shared" ref="X5:X13" si="19">IF(ISNA(VLOOKUP(V5,$A$4:$S$13,3,FALSE)),C5,VLOOKUP(V5,$A$4:$S$13,3,FALSE))</f>
        <v>B</v>
      </c>
      <c r="Y5" s="34">
        <f t="shared" ref="Y5:Y14" si="20">IF(ISNA(VLOOKUP(B5,$A$4:$S$13,18,FALSE)),0,VLOOKUP(B5,$A$4:$S$13,18,FALSE))</f>
        <v>0</v>
      </c>
      <c r="Z5" s="34">
        <f t="shared" si="1"/>
        <v>0</v>
      </c>
      <c r="AA5" s="55">
        <f t="shared" ref="AA5:AA13" si="21">IF(ISNA(VLOOKUP(B5,$A$4:$S$13,19,FALSE)),0,VLOOKUP(B5,$A$4:$S$13,19,FALSE))</f>
        <v>0</v>
      </c>
      <c r="AB5" s="34">
        <f t="shared" si="2"/>
        <v>0</v>
      </c>
      <c r="AC5" s="35">
        <f t="shared" si="3"/>
        <v>1000</v>
      </c>
      <c r="AD5" s="56"/>
      <c r="AE5" s="12">
        <f t="shared" ref="AE5:AE13" si="22">IF(R5=$R$4,IF(H5="",0,H5))+IF(R5=$R$5,IF(I5="",0,I5))+IF(R5=$R$6,IF(J5="",0,J5))+IF(R5=$R$7,IF(K5="",0,K5))+IF(R5=$R$8,IF(L5="",0,L5))+IF(R5=$R$9,IF(M5="",0,M5))+IF(R5=$R$10,IF(N5="",0,N5))+IF(R5=$R$11,IF(O5="",0,O5))+IF(R5=$R$12,IF(P5="",0,P5))+IF(R5=$R$13,IF(Q5="",0,Q5))</f>
        <v>0</v>
      </c>
      <c r="AF5" s="12">
        <f t="shared" ref="AF5:AF13" si="23">$AE$15*R5+AE5</f>
        <v>0</v>
      </c>
      <c r="AG5" s="12">
        <f t="shared" ref="AG5:AG13" si="24">IF(AF5=$AF$4,IF(H5="",0,H5))+IF(AF5=$AF$5,IF(I5="",0,I5))+IF(AF5=$AF$6,IF(J5="",0,J5))+IF(AF5=$AF$7,IF(K5="",0,K5))+IF(AF5=$AF$8,IF(L5="",0,L5))+IF(AF5=$AF$9,IF(M5="",0,M5))+IF(AF5=$AF$10,IF(N5="",0,N5))+IF(AF5=$AF$11,IF(O5="",0,O5))+IF(AF5=$AF$12,IF(P5="",0,P5))+IF(AF5=$AF$13,IF(Q5="",0,Q5))</f>
        <v>0</v>
      </c>
      <c r="AH5" s="12">
        <f t="shared" ref="AH5:AH13" si="25">$AG$15*AF5+AG5</f>
        <v>0</v>
      </c>
      <c r="AI5" s="12">
        <f t="shared" ref="AI5:AI13" si="26">IF(AH5=$AF$4,IF(H5="",0,H5))+IF(AH5=$AF$5,IF(I5="",0,I5))+IF(AH5=$AF$6,IF(J5="",0,J5))+IF(AH5=$AF$7,IF(K5="",0,K5))+IF(AH5=$AF$8,IF(L5="",0,L5))+IF(AH5=$AF$9,IF(M5="",0,M5))+IF(AH5=$AF$10,IF(N5="",0,N5))+IF(AH5=$AF$11,IF(O5="",0,O5))+IF(AH5=$AF$12,IF(P5="",0,P5))+IF(AH5=$AF$13,IF(Q5="",0,Q5))</f>
        <v>0</v>
      </c>
      <c r="AJ5" s="12">
        <f t="shared" ref="AJ5:AJ13" si="27">$AG$15*AH5+AI5</f>
        <v>0</v>
      </c>
      <c r="AK5" s="12"/>
      <c r="AL5" s="12">
        <f t="shared" ref="AL5:AL13" si="28">RANK(AJ5,$AJ$4:$AJ$13,1)-1</f>
        <v>0</v>
      </c>
      <c r="AM5" s="12">
        <f t="shared" ref="AM5:AM13" si="29">RANK(S5,$S$4:$S$13,1)-1</f>
        <v>0</v>
      </c>
      <c r="AN5" s="12">
        <f t="shared" ref="AN5:AN13" si="30">10*AL5+AM5</f>
        <v>0</v>
      </c>
      <c r="AO5" s="12">
        <f t="shared" ref="AO5:AO14" si="31">RANK(AN5,$AN$4:$AN$13)</f>
        <v>1</v>
      </c>
      <c r="AP5" s="56"/>
      <c r="AQ5" s="56"/>
      <c r="AR5" s="56"/>
      <c r="AS5" s="30"/>
      <c r="AT5" s="37">
        <v>2</v>
      </c>
      <c r="AU5" s="38">
        <f t="shared" si="4"/>
        <v>0</v>
      </c>
      <c r="AV5" s="39" t="e">
        <f t="shared" si="5"/>
        <v>#VALUE!</v>
      </c>
      <c r="AW5" s="39">
        <f t="shared" ref="AW5:AW13" si="32">SUM(BK5:BS5)</f>
        <v>0</v>
      </c>
      <c r="AY5" s="6">
        <v>2</v>
      </c>
      <c r="AZ5" s="6">
        <f t="shared" si="6"/>
        <v>0</v>
      </c>
      <c r="BA5" s="6">
        <f t="shared" si="6"/>
        <v>0</v>
      </c>
      <c r="BB5" s="6">
        <f t="shared" si="6"/>
        <v>0</v>
      </c>
      <c r="BC5" s="6">
        <f t="shared" si="6"/>
        <v>0</v>
      </c>
      <c r="BD5" s="6">
        <f t="shared" si="6"/>
        <v>0</v>
      </c>
      <c r="BE5" s="6">
        <f t="shared" si="6"/>
        <v>0</v>
      </c>
      <c r="BF5" s="6">
        <f t="shared" si="6"/>
        <v>0</v>
      </c>
      <c r="BG5" s="6">
        <f t="shared" si="6"/>
        <v>0</v>
      </c>
      <c r="BH5" s="6">
        <f t="shared" si="6"/>
        <v>0</v>
      </c>
      <c r="BJ5" s="6">
        <v>2</v>
      </c>
      <c r="BK5" s="6">
        <f t="shared" ref="BK5:BK13" si="33">AZ5</f>
        <v>0</v>
      </c>
      <c r="BL5" s="6">
        <f t="shared" si="7"/>
        <v>0</v>
      </c>
      <c r="BM5" s="6">
        <f t="shared" si="8"/>
        <v>0</v>
      </c>
      <c r="BN5" s="6">
        <f t="shared" si="9"/>
        <v>0</v>
      </c>
      <c r="BO5" s="6">
        <f t="shared" si="10"/>
        <v>0</v>
      </c>
      <c r="BP5" s="6">
        <f t="shared" si="11"/>
        <v>0</v>
      </c>
      <c r="BQ5" s="6">
        <f t="shared" si="12"/>
        <v>0</v>
      </c>
      <c r="BR5" s="6">
        <f t="shared" si="13"/>
        <v>0</v>
      </c>
      <c r="BS5" s="6">
        <f t="shared" si="14"/>
        <v>0</v>
      </c>
    </row>
    <row r="6" spans="1:71" x14ac:dyDescent="0.25">
      <c r="A6" s="51">
        <f t="shared" si="15"/>
        <v>1</v>
      </c>
      <c r="B6" s="25">
        <v>3</v>
      </c>
      <c r="C6" s="25" t="s">
        <v>42</v>
      </c>
      <c r="D6" s="88"/>
      <c r="E6" s="89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7" t="str">
        <f t="shared" si="0"/>
        <v/>
      </c>
      <c r="Q6" s="27" t="str">
        <f t="shared" si="0"/>
        <v/>
      </c>
      <c r="R6" s="8">
        <f t="shared" si="16"/>
        <v>0</v>
      </c>
      <c r="S6" s="8">
        <f t="shared" si="17"/>
        <v>0</v>
      </c>
      <c r="T6" s="59">
        <f t="shared" si="18"/>
        <v>1</v>
      </c>
      <c r="U6" s="30"/>
      <c r="V6" s="31">
        <v>3</v>
      </c>
      <c r="W6" s="32">
        <v>8</v>
      </c>
      <c r="X6" s="33" t="str">
        <f t="shared" si="19"/>
        <v>C</v>
      </c>
      <c r="Y6" s="34">
        <f t="shared" si="20"/>
        <v>0</v>
      </c>
      <c r="Z6" s="34">
        <f t="shared" si="1"/>
        <v>0</v>
      </c>
      <c r="AA6" s="55">
        <f t="shared" si="21"/>
        <v>0</v>
      </c>
      <c r="AB6" s="34">
        <f t="shared" si="2"/>
        <v>0</v>
      </c>
      <c r="AC6" s="35">
        <f t="shared" si="3"/>
        <v>1000</v>
      </c>
      <c r="AD6" s="56"/>
      <c r="AE6" s="12">
        <f t="shared" si="22"/>
        <v>0</v>
      </c>
      <c r="AF6" s="12">
        <f t="shared" si="23"/>
        <v>0</v>
      </c>
      <c r="AG6" s="12">
        <f t="shared" si="24"/>
        <v>0</v>
      </c>
      <c r="AH6" s="12">
        <f t="shared" si="25"/>
        <v>0</v>
      </c>
      <c r="AI6" s="12">
        <f t="shared" si="26"/>
        <v>0</v>
      </c>
      <c r="AJ6" s="12">
        <f t="shared" si="27"/>
        <v>0</v>
      </c>
      <c r="AK6" s="12"/>
      <c r="AL6" s="12">
        <f t="shared" si="28"/>
        <v>0</v>
      </c>
      <c r="AM6" s="12">
        <f t="shared" si="29"/>
        <v>0</v>
      </c>
      <c r="AN6" s="12">
        <f t="shared" si="30"/>
        <v>0</v>
      </c>
      <c r="AO6" s="12">
        <f t="shared" si="31"/>
        <v>1</v>
      </c>
      <c r="AP6" s="56"/>
      <c r="AQ6" s="56"/>
      <c r="AR6" s="56"/>
      <c r="AS6" s="30"/>
      <c r="AT6" s="37">
        <v>3</v>
      </c>
      <c r="AU6" s="38">
        <f t="shared" si="4"/>
        <v>0</v>
      </c>
      <c r="AV6" s="39" t="e">
        <f t="shared" si="5"/>
        <v>#VALUE!</v>
      </c>
      <c r="AW6" s="39">
        <f t="shared" si="32"/>
        <v>0</v>
      </c>
      <c r="AY6" s="6">
        <v>3</v>
      </c>
      <c r="AZ6" s="6">
        <f t="shared" si="6"/>
        <v>0</v>
      </c>
      <c r="BA6" s="6">
        <f t="shared" si="6"/>
        <v>0</v>
      </c>
      <c r="BB6" s="6">
        <f t="shared" si="6"/>
        <v>0</v>
      </c>
      <c r="BC6" s="6">
        <f t="shared" si="6"/>
        <v>0</v>
      </c>
      <c r="BD6" s="6">
        <f t="shared" si="6"/>
        <v>0</v>
      </c>
      <c r="BE6" s="6">
        <f t="shared" si="6"/>
        <v>0</v>
      </c>
      <c r="BF6" s="6">
        <f t="shared" si="6"/>
        <v>0</v>
      </c>
      <c r="BG6" s="6">
        <f t="shared" si="6"/>
        <v>0</v>
      </c>
      <c r="BH6" s="6">
        <f t="shared" si="6"/>
        <v>0</v>
      </c>
      <c r="BJ6" s="6">
        <v>3</v>
      </c>
      <c r="BK6" s="6">
        <f t="shared" si="33"/>
        <v>0</v>
      </c>
      <c r="BL6" s="6">
        <f t="shared" si="7"/>
        <v>0</v>
      </c>
      <c r="BM6" s="6">
        <f t="shared" si="8"/>
        <v>0</v>
      </c>
      <c r="BN6" s="6">
        <f t="shared" si="9"/>
        <v>0</v>
      </c>
      <c r="BO6" s="6">
        <f t="shared" si="10"/>
        <v>0</v>
      </c>
      <c r="BP6" s="6">
        <f t="shared" si="11"/>
        <v>0</v>
      </c>
      <c r="BQ6" s="6">
        <f t="shared" si="12"/>
        <v>0</v>
      </c>
      <c r="BR6" s="6">
        <f t="shared" si="13"/>
        <v>0</v>
      </c>
      <c r="BS6" s="6">
        <f t="shared" si="14"/>
        <v>0</v>
      </c>
    </row>
    <row r="7" spans="1:71" x14ac:dyDescent="0.25">
      <c r="A7" s="51">
        <f t="shared" si="15"/>
        <v>1</v>
      </c>
      <c r="B7" s="25">
        <v>4</v>
      </c>
      <c r="C7" s="25" t="s">
        <v>43</v>
      </c>
      <c r="D7" s="88"/>
      <c r="E7" s="89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7" t="str">
        <f t="shared" si="0"/>
        <v/>
      </c>
      <c r="Q7" s="27" t="str">
        <f t="shared" si="0"/>
        <v/>
      </c>
      <c r="R7" s="8">
        <f t="shared" si="16"/>
        <v>0</v>
      </c>
      <c r="S7" s="8">
        <f t="shared" si="17"/>
        <v>0</v>
      </c>
      <c r="T7" s="59">
        <f t="shared" si="18"/>
        <v>1</v>
      </c>
      <c r="U7" s="30"/>
      <c r="V7" s="31">
        <v>4</v>
      </c>
      <c r="W7" s="32">
        <v>7</v>
      </c>
      <c r="X7" s="33" t="str">
        <f t="shared" si="19"/>
        <v>D</v>
      </c>
      <c r="Y7" s="34">
        <f t="shared" si="20"/>
        <v>0</v>
      </c>
      <c r="Z7" s="34">
        <f t="shared" si="1"/>
        <v>0</v>
      </c>
      <c r="AA7" s="55">
        <f t="shared" si="21"/>
        <v>0</v>
      </c>
      <c r="AB7" s="34">
        <f t="shared" si="2"/>
        <v>0</v>
      </c>
      <c r="AC7" s="35">
        <f t="shared" si="3"/>
        <v>1000</v>
      </c>
      <c r="AD7" s="56"/>
      <c r="AE7" s="12">
        <f t="shared" si="22"/>
        <v>0</v>
      </c>
      <c r="AF7" s="12">
        <f t="shared" si="23"/>
        <v>0</v>
      </c>
      <c r="AG7" s="12">
        <f t="shared" si="24"/>
        <v>0</v>
      </c>
      <c r="AH7" s="12">
        <f t="shared" si="25"/>
        <v>0</v>
      </c>
      <c r="AI7" s="12">
        <f t="shared" si="26"/>
        <v>0</v>
      </c>
      <c r="AJ7" s="12">
        <f t="shared" si="27"/>
        <v>0</v>
      </c>
      <c r="AK7" s="12"/>
      <c r="AL7" s="12">
        <f t="shared" si="28"/>
        <v>0</v>
      </c>
      <c r="AM7" s="12">
        <f t="shared" si="29"/>
        <v>0</v>
      </c>
      <c r="AN7" s="12">
        <f t="shared" si="30"/>
        <v>0</v>
      </c>
      <c r="AO7" s="12">
        <f t="shared" si="31"/>
        <v>1</v>
      </c>
      <c r="AP7" s="56"/>
      <c r="AQ7" s="56"/>
      <c r="AR7" s="56"/>
      <c r="AS7" s="30"/>
      <c r="AT7" s="37">
        <v>4</v>
      </c>
      <c r="AU7" s="38">
        <f t="shared" si="4"/>
        <v>0</v>
      </c>
      <c r="AV7" s="39" t="e">
        <f t="shared" si="5"/>
        <v>#VALUE!</v>
      </c>
      <c r="AW7" s="39">
        <f t="shared" si="32"/>
        <v>0</v>
      </c>
      <c r="AY7" s="6">
        <v>4</v>
      </c>
      <c r="AZ7" s="6">
        <f t="shared" si="6"/>
        <v>0</v>
      </c>
      <c r="BA7" s="6">
        <f t="shared" si="6"/>
        <v>0</v>
      </c>
      <c r="BB7" s="6">
        <f t="shared" si="6"/>
        <v>0</v>
      </c>
      <c r="BC7" s="6">
        <f t="shared" si="6"/>
        <v>0</v>
      </c>
      <c r="BD7" s="6">
        <f t="shared" si="6"/>
        <v>0</v>
      </c>
      <c r="BE7" s="6">
        <f t="shared" si="6"/>
        <v>0</v>
      </c>
      <c r="BF7" s="6">
        <f t="shared" si="6"/>
        <v>0</v>
      </c>
      <c r="BG7" s="6">
        <f t="shared" si="6"/>
        <v>0</v>
      </c>
      <c r="BH7" s="6">
        <f t="shared" si="6"/>
        <v>0</v>
      </c>
      <c r="BJ7" s="6">
        <v>4</v>
      </c>
      <c r="BK7" s="6">
        <f t="shared" si="33"/>
        <v>0</v>
      </c>
      <c r="BL7" s="6">
        <f t="shared" si="7"/>
        <v>0</v>
      </c>
      <c r="BM7" s="6">
        <f t="shared" si="8"/>
        <v>0</v>
      </c>
      <c r="BN7" s="6">
        <f t="shared" si="9"/>
        <v>0</v>
      </c>
      <c r="BO7" s="6">
        <f t="shared" si="10"/>
        <v>0</v>
      </c>
      <c r="BP7" s="6">
        <f t="shared" si="11"/>
        <v>0</v>
      </c>
      <c r="BQ7" s="6">
        <f t="shared" si="12"/>
        <v>0</v>
      </c>
      <c r="BR7" s="6">
        <f t="shared" si="13"/>
        <v>0</v>
      </c>
      <c r="BS7" s="6">
        <f t="shared" si="14"/>
        <v>0</v>
      </c>
    </row>
    <row r="8" spans="1:71" x14ac:dyDescent="0.25">
      <c r="A8" s="51">
        <f t="shared" si="15"/>
        <v>1</v>
      </c>
      <c r="B8" s="25">
        <v>5</v>
      </c>
      <c r="C8" s="25" t="s">
        <v>47</v>
      </c>
      <c r="D8" s="88"/>
      <c r="E8" s="89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7" t="str">
        <f t="shared" si="0"/>
        <v/>
      </c>
      <c r="Q8" s="27" t="str">
        <f t="shared" si="0"/>
        <v/>
      </c>
      <c r="R8" s="8">
        <f t="shared" si="16"/>
        <v>0</v>
      </c>
      <c r="S8" s="8">
        <f t="shared" si="17"/>
        <v>0</v>
      </c>
      <c r="T8" s="59">
        <f t="shared" si="18"/>
        <v>1</v>
      </c>
      <c r="U8" s="30"/>
      <c r="V8" s="31">
        <v>5</v>
      </c>
      <c r="W8" s="32">
        <v>6</v>
      </c>
      <c r="X8" s="33" t="str">
        <f t="shared" si="19"/>
        <v>E</v>
      </c>
      <c r="Y8" s="34">
        <f t="shared" si="20"/>
        <v>0</v>
      </c>
      <c r="Z8" s="34">
        <f t="shared" si="1"/>
        <v>0</v>
      </c>
      <c r="AA8" s="55">
        <f t="shared" si="21"/>
        <v>0</v>
      </c>
      <c r="AB8" s="34">
        <f t="shared" si="2"/>
        <v>0</v>
      </c>
      <c r="AC8" s="35">
        <f t="shared" si="3"/>
        <v>1000</v>
      </c>
      <c r="AD8" s="56"/>
      <c r="AE8" s="12">
        <f t="shared" si="22"/>
        <v>0</v>
      </c>
      <c r="AF8" s="12">
        <f t="shared" si="23"/>
        <v>0</v>
      </c>
      <c r="AG8" s="12">
        <f t="shared" si="24"/>
        <v>0</v>
      </c>
      <c r="AH8" s="12">
        <f t="shared" si="25"/>
        <v>0</v>
      </c>
      <c r="AI8" s="12">
        <f t="shared" si="26"/>
        <v>0</v>
      </c>
      <c r="AJ8" s="12">
        <f t="shared" si="27"/>
        <v>0</v>
      </c>
      <c r="AK8" s="12"/>
      <c r="AL8" s="12">
        <f t="shared" si="28"/>
        <v>0</v>
      </c>
      <c r="AM8" s="12">
        <f t="shared" si="29"/>
        <v>0</v>
      </c>
      <c r="AN8" s="12">
        <f t="shared" si="30"/>
        <v>0</v>
      </c>
      <c r="AO8" s="12">
        <f t="shared" si="31"/>
        <v>1</v>
      </c>
      <c r="AP8" s="56"/>
      <c r="AQ8" s="56"/>
      <c r="AR8" s="56"/>
      <c r="AS8" s="30"/>
      <c r="AT8" s="37">
        <v>5</v>
      </c>
      <c r="AU8" s="38">
        <f t="shared" si="4"/>
        <v>0</v>
      </c>
      <c r="AV8" s="39" t="e">
        <f t="shared" si="5"/>
        <v>#VALUE!</v>
      </c>
      <c r="AW8" s="39">
        <f t="shared" si="32"/>
        <v>0</v>
      </c>
      <c r="AY8" s="6">
        <v>5</v>
      </c>
      <c r="AZ8" s="6">
        <f t="shared" si="6"/>
        <v>0</v>
      </c>
      <c r="BA8" s="6">
        <f t="shared" si="6"/>
        <v>0</v>
      </c>
      <c r="BB8" s="6">
        <f t="shared" si="6"/>
        <v>0</v>
      </c>
      <c r="BC8" s="6">
        <f t="shared" si="6"/>
        <v>0</v>
      </c>
      <c r="BD8" s="6">
        <f t="shared" si="6"/>
        <v>0</v>
      </c>
      <c r="BE8" s="6">
        <f t="shared" si="6"/>
        <v>0</v>
      </c>
      <c r="BF8" s="6">
        <f t="shared" si="6"/>
        <v>0</v>
      </c>
      <c r="BG8" s="6">
        <f t="shared" si="6"/>
        <v>0</v>
      </c>
      <c r="BH8" s="6">
        <f t="shared" si="6"/>
        <v>0</v>
      </c>
      <c r="BJ8" s="6">
        <v>5</v>
      </c>
      <c r="BK8" s="6">
        <f t="shared" si="33"/>
        <v>0</v>
      </c>
      <c r="BL8" s="6">
        <f t="shared" si="7"/>
        <v>0</v>
      </c>
      <c r="BM8" s="6">
        <f t="shared" si="8"/>
        <v>0</v>
      </c>
      <c r="BN8" s="6">
        <f t="shared" si="9"/>
        <v>0</v>
      </c>
      <c r="BO8" s="6">
        <f t="shared" si="10"/>
        <v>0</v>
      </c>
      <c r="BP8" s="6">
        <f t="shared" si="11"/>
        <v>0</v>
      </c>
      <c r="BQ8" s="6">
        <f t="shared" si="12"/>
        <v>0</v>
      </c>
      <c r="BR8" s="6">
        <f t="shared" si="13"/>
        <v>0</v>
      </c>
      <c r="BS8" s="6">
        <f t="shared" si="14"/>
        <v>0</v>
      </c>
    </row>
    <row r="9" spans="1:71" x14ac:dyDescent="0.25">
      <c r="A9" s="51">
        <f t="shared" si="15"/>
        <v>1</v>
      </c>
      <c r="B9" s="25">
        <v>6</v>
      </c>
      <c r="C9" s="25" t="s">
        <v>44</v>
      </c>
      <c r="D9" s="88"/>
      <c r="E9" s="89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7" t="str">
        <f t="shared" si="0"/>
        <v/>
      </c>
      <c r="Q9" s="27" t="str">
        <f t="shared" si="0"/>
        <v/>
      </c>
      <c r="R9" s="8">
        <f t="shared" si="16"/>
        <v>0</v>
      </c>
      <c r="S9" s="8">
        <f>IF(H9="",0,H9)*$R$4+IF(I9="",0,I9)*$R$5+IF(J9="",0,J9)*$R$6+IF(K9="",0,K9)*$R$7+IF(L9="",0,L9)*$R$8+IF(M9="",0,M9)*$R$9+IF(N9="",0,N9)*$R$10+IF(O9="",0,O9)*$R$11+IF(P9="",0,P9)*R17+IF(Q9="",0,Q9)*T18</f>
        <v>0</v>
      </c>
      <c r="T9" s="59">
        <f t="shared" si="18"/>
        <v>1</v>
      </c>
      <c r="U9" s="30"/>
      <c r="V9" s="31">
        <v>6</v>
      </c>
      <c r="W9" s="32">
        <v>5</v>
      </c>
      <c r="X9" s="33" t="str">
        <f t="shared" si="19"/>
        <v>F</v>
      </c>
      <c r="Y9" s="34">
        <f t="shared" si="20"/>
        <v>0</v>
      </c>
      <c r="Z9" s="34">
        <f t="shared" si="1"/>
        <v>0</v>
      </c>
      <c r="AA9" s="55">
        <f t="shared" si="21"/>
        <v>0</v>
      </c>
      <c r="AB9" s="34">
        <f t="shared" si="2"/>
        <v>0</v>
      </c>
      <c r="AC9" s="35">
        <f t="shared" si="3"/>
        <v>1000</v>
      </c>
      <c r="AD9" s="56"/>
      <c r="AE9" s="12">
        <f t="shared" si="22"/>
        <v>0</v>
      </c>
      <c r="AF9" s="12">
        <f t="shared" si="23"/>
        <v>0</v>
      </c>
      <c r="AG9" s="12">
        <f t="shared" si="24"/>
        <v>0</v>
      </c>
      <c r="AH9" s="12">
        <f t="shared" si="25"/>
        <v>0</v>
      </c>
      <c r="AI9" s="12">
        <f t="shared" si="26"/>
        <v>0</v>
      </c>
      <c r="AJ9" s="12">
        <f t="shared" si="27"/>
        <v>0</v>
      </c>
      <c r="AK9" s="12"/>
      <c r="AL9" s="12">
        <f t="shared" si="28"/>
        <v>0</v>
      </c>
      <c r="AM9" s="12">
        <f t="shared" si="29"/>
        <v>0</v>
      </c>
      <c r="AN9" s="12">
        <f t="shared" si="30"/>
        <v>0</v>
      </c>
      <c r="AO9" s="12">
        <f t="shared" si="31"/>
        <v>1</v>
      </c>
      <c r="AP9" s="56"/>
      <c r="AQ9" s="56"/>
      <c r="AR9" s="56"/>
      <c r="AS9" s="30"/>
      <c r="AT9" s="37">
        <v>6</v>
      </c>
      <c r="AU9" s="38">
        <f t="shared" si="4"/>
        <v>0</v>
      </c>
      <c r="AV9" s="39" t="e">
        <f t="shared" si="5"/>
        <v>#VALUE!</v>
      </c>
      <c r="AW9" s="39">
        <f t="shared" si="32"/>
        <v>0</v>
      </c>
      <c r="AY9" s="6">
        <v>6</v>
      </c>
      <c r="AZ9" s="6">
        <f t="shared" si="6"/>
        <v>0</v>
      </c>
      <c r="BA9" s="6">
        <f t="shared" si="6"/>
        <v>0</v>
      </c>
      <c r="BB9" s="6">
        <f t="shared" si="6"/>
        <v>0</v>
      </c>
      <c r="BC9" s="6">
        <f t="shared" si="6"/>
        <v>0</v>
      </c>
      <c r="BD9" s="6">
        <f t="shared" si="6"/>
        <v>0</v>
      </c>
      <c r="BE9" s="6">
        <f t="shared" si="6"/>
        <v>0</v>
      </c>
      <c r="BF9" s="6">
        <f t="shared" si="6"/>
        <v>0</v>
      </c>
      <c r="BG9" s="6">
        <f t="shared" si="6"/>
        <v>0</v>
      </c>
      <c r="BH9" s="6">
        <f t="shared" si="6"/>
        <v>0</v>
      </c>
      <c r="BJ9" s="6">
        <v>6</v>
      </c>
      <c r="BK9" s="6">
        <f t="shared" si="33"/>
        <v>0</v>
      </c>
      <c r="BL9" s="6">
        <f t="shared" si="7"/>
        <v>0</v>
      </c>
      <c r="BM9" s="6">
        <f t="shared" si="8"/>
        <v>0</v>
      </c>
      <c r="BN9" s="6">
        <f t="shared" si="9"/>
        <v>0</v>
      </c>
      <c r="BO9" s="6">
        <f t="shared" si="10"/>
        <v>0</v>
      </c>
      <c r="BP9" s="6">
        <f t="shared" si="11"/>
        <v>0</v>
      </c>
      <c r="BQ9" s="6">
        <f t="shared" si="12"/>
        <v>0</v>
      </c>
      <c r="BR9" s="6">
        <f t="shared" si="13"/>
        <v>0</v>
      </c>
      <c r="BS9" s="6">
        <f t="shared" si="14"/>
        <v>0</v>
      </c>
    </row>
    <row r="10" spans="1:71" x14ac:dyDescent="0.25">
      <c r="A10" s="51">
        <f t="shared" si="15"/>
        <v>1</v>
      </c>
      <c r="B10" s="25">
        <v>7</v>
      </c>
      <c r="C10" s="25" t="s">
        <v>45</v>
      </c>
      <c r="D10" s="88"/>
      <c r="E10" s="89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7" t="str">
        <f t="shared" si="0"/>
        <v/>
      </c>
      <c r="Q10" s="27" t="str">
        <f t="shared" si="0"/>
        <v/>
      </c>
      <c r="R10" s="8">
        <f t="shared" si="16"/>
        <v>0</v>
      </c>
      <c r="S10" s="8">
        <f>IF(H10="",0,H10)*$R$4+IF(I10="",0,I10)*$R$5+IF(J10="",0,J10)*$R$6+IF(K10="",0,K10)*$R$7+IF(L10="",0,L10)*$R$8+IF(M10="",0,M10)*$R$9+IF(N10="",0,N10)*$R$10+IF(O10="",0,O10)*$R$11+IF(P10="",0,P10)*T18+IF(Q10="",0,Q10)*T19</f>
        <v>0</v>
      </c>
      <c r="T10" s="59">
        <f t="shared" si="18"/>
        <v>1</v>
      </c>
      <c r="U10" s="30"/>
      <c r="V10" s="31">
        <v>7</v>
      </c>
      <c r="W10" s="32">
        <v>4</v>
      </c>
      <c r="X10" s="33" t="str">
        <f t="shared" si="19"/>
        <v>G</v>
      </c>
      <c r="Y10" s="34">
        <f t="shared" si="20"/>
        <v>0</v>
      </c>
      <c r="Z10" s="34">
        <f t="shared" si="1"/>
        <v>0</v>
      </c>
      <c r="AA10" s="55">
        <f t="shared" si="21"/>
        <v>0</v>
      </c>
      <c r="AB10" s="34">
        <f t="shared" si="2"/>
        <v>0</v>
      </c>
      <c r="AC10" s="35">
        <f t="shared" si="3"/>
        <v>1000</v>
      </c>
      <c r="AD10" s="56"/>
      <c r="AE10" s="12">
        <f t="shared" si="22"/>
        <v>0</v>
      </c>
      <c r="AF10" s="12">
        <f t="shared" si="23"/>
        <v>0</v>
      </c>
      <c r="AG10" s="12">
        <f t="shared" si="24"/>
        <v>0</v>
      </c>
      <c r="AH10" s="12">
        <f t="shared" si="25"/>
        <v>0</v>
      </c>
      <c r="AI10" s="12">
        <f t="shared" si="26"/>
        <v>0</v>
      </c>
      <c r="AJ10" s="12">
        <f t="shared" si="27"/>
        <v>0</v>
      </c>
      <c r="AK10" s="12"/>
      <c r="AL10" s="12">
        <f t="shared" si="28"/>
        <v>0</v>
      </c>
      <c r="AM10" s="12">
        <f t="shared" si="29"/>
        <v>0</v>
      </c>
      <c r="AN10" s="12">
        <f t="shared" si="30"/>
        <v>0</v>
      </c>
      <c r="AO10" s="12">
        <f t="shared" si="31"/>
        <v>1</v>
      </c>
      <c r="AP10" s="56"/>
      <c r="AQ10" s="56"/>
      <c r="AR10" s="56"/>
      <c r="AS10" s="30"/>
      <c r="AT10" s="37">
        <v>7</v>
      </c>
      <c r="AU10" s="38">
        <f t="shared" si="4"/>
        <v>0</v>
      </c>
      <c r="AV10" s="39" t="e">
        <f t="shared" si="5"/>
        <v>#VALUE!</v>
      </c>
      <c r="AW10" s="39">
        <f t="shared" si="32"/>
        <v>0</v>
      </c>
      <c r="AY10" s="6">
        <v>7</v>
      </c>
      <c r="AZ10" s="6">
        <f t="shared" si="6"/>
        <v>0</v>
      </c>
      <c r="BA10" s="6">
        <f t="shared" si="6"/>
        <v>0</v>
      </c>
      <c r="BB10" s="6">
        <f t="shared" si="6"/>
        <v>0</v>
      </c>
      <c r="BC10" s="6">
        <f t="shared" si="6"/>
        <v>0</v>
      </c>
      <c r="BD10" s="6">
        <f t="shared" si="6"/>
        <v>0</v>
      </c>
      <c r="BE10" s="6">
        <f t="shared" si="6"/>
        <v>0</v>
      </c>
      <c r="BF10" s="6">
        <f t="shared" si="6"/>
        <v>0</v>
      </c>
      <c r="BG10" s="6">
        <f t="shared" si="6"/>
        <v>0</v>
      </c>
      <c r="BH10" s="6">
        <f t="shared" si="6"/>
        <v>0</v>
      </c>
      <c r="BJ10" s="6">
        <v>7</v>
      </c>
      <c r="BK10" s="6">
        <f t="shared" si="33"/>
        <v>0</v>
      </c>
      <c r="BL10" s="6">
        <f t="shared" si="7"/>
        <v>0</v>
      </c>
      <c r="BM10" s="6">
        <f t="shared" si="8"/>
        <v>0</v>
      </c>
      <c r="BN10" s="6">
        <f t="shared" si="9"/>
        <v>0</v>
      </c>
      <c r="BO10" s="6">
        <f t="shared" si="10"/>
        <v>0</v>
      </c>
      <c r="BP10" s="6">
        <f t="shared" si="11"/>
        <v>0</v>
      </c>
      <c r="BQ10" s="6">
        <f t="shared" si="12"/>
        <v>0</v>
      </c>
      <c r="BR10" s="6">
        <f t="shared" si="13"/>
        <v>0</v>
      </c>
      <c r="BS10" s="6">
        <f t="shared" si="14"/>
        <v>0</v>
      </c>
    </row>
    <row r="11" spans="1:71" x14ac:dyDescent="0.25">
      <c r="A11" s="51">
        <f t="shared" si="15"/>
        <v>1</v>
      </c>
      <c r="B11" s="25">
        <v>8</v>
      </c>
      <c r="C11" s="25" t="s">
        <v>46</v>
      </c>
      <c r="D11" s="88"/>
      <c r="E11" s="89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7" t="str">
        <f t="shared" si="0"/>
        <v/>
      </c>
      <c r="Q11" s="27" t="str">
        <f t="shared" si="0"/>
        <v/>
      </c>
      <c r="R11" s="8">
        <f t="shared" si="16"/>
        <v>0</v>
      </c>
      <c r="S11" s="8">
        <f>IF(H11="",0,H11)*$R$4+IF(I11="",0,I11)*$R$5+IF(J11="",0,J11)*$R$6+IF(K11="",0,K11)*$R$7+IF(L11="",0,L11)*$R$8+IF(M11="",0,M11)*$R$9+IF(N11="",0,N11)*$R$10+IF(O11="",0,O11)*$R$11+IF(P11="",0,P11)*T19+IF(Q11="",0,Q11)*T20</f>
        <v>0</v>
      </c>
      <c r="T11" s="59">
        <f t="shared" si="18"/>
        <v>1</v>
      </c>
      <c r="U11" s="30"/>
      <c r="V11" s="31">
        <v>8</v>
      </c>
      <c r="W11" s="32">
        <v>3</v>
      </c>
      <c r="X11" s="33" t="str">
        <f t="shared" si="19"/>
        <v>H</v>
      </c>
      <c r="Y11" s="34">
        <f t="shared" si="20"/>
        <v>0</v>
      </c>
      <c r="Z11" s="34">
        <f t="shared" si="1"/>
        <v>0</v>
      </c>
      <c r="AA11" s="55">
        <f t="shared" si="21"/>
        <v>0</v>
      </c>
      <c r="AB11" s="34">
        <f t="shared" si="2"/>
        <v>0</v>
      </c>
      <c r="AC11" s="35">
        <f t="shared" si="3"/>
        <v>1000</v>
      </c>
      <c r="AD11" s="56"/>
      <c r="AE11" s="12">
        <f t="shared" si="22"/>
        <v>0</v>
      </c>
      <c r="AF11" s="12">
        <f t="shared" si="23"/>
        <v>0</v>
      </c>
      <c r="AG11" s="12">
        <f t="shared" si="24"/>
        <v>0</v>
      </c>
      <c r="AH11" s="12">
        <f t="shared" si="25"/>
        <v>0</v>
      </c>
      <c r="AI11" s="12">
        <f t="shared" si="26"/>
        <v>0</v>
      </c>
      <c r="AJ11" s="12">
        <f t="shared" si="27"/>
        <v>0</v>
      </c>
      <c r="AK11" s="12"/>
      <c r="AL11" s="12">
        <f t="shared" si="28"/>
        <v>0</v>
      </c>
      <c r="AM11" s="12">
        <f t="shared" si="29"/>
        <v>0</v>
      </c>
      <c r="AN11" s="12">
        <f t="shared" si="30"/>
        <v>0</v>
      </c>
      <c r="AO11" s="12">
        <f t="shared" si="31"/>
        <v>1</v>
      </c>
      <c r="AP11" s="56"/>
      <c r="AQ11" s="56"/>
      <c r="AR11" s="56"/>
      <c r="AS11" s="30"/>
      <c r="AT11" s="37">
        <v>8</v>
      </c>
      <c r="AU11" s="38">
        <f t="shared" si="4"/>
        <v>0</v>
      </c>
      <c r="AV11" s="39" t="e">
        <f t="shared" si="5"/>
        <v>#VALUE!</v>
      </c>
      <c r="AW11" s="39">
        <f t="shared" si="32"/>
        <v>0</v>
      </c>
      <c r="AY11" s="6">
        <v>8</v>
      </c>
      <c r="AZ11" s="6">
        <f t="shared" si="6"/>
        <v>0</v>
      </c>
      <c r="BA11" s="6">
        <f t="shared" si="6"/>
        <v>0</v>
      </c>
      <c r="BB11" s="6">
        <f t="shared" si="6"/>
        <v>0</v>
      </c>
      <c r="BC11" s="6">
        <f t="shared" si="6"/>
        <v>0</v>
      </c>
      <c r="BD11" s="6">
        <f t="shared" si="6"/>
        <v>0</v>
      </c>
      <c r="BE11" s="6">
        <f t="shared" si="6"/>
        <v>0</v>
      </c>
      <c r="BF11" s="6">
        <f t="shared" si="6"/>
        <v>0</v>
      </c>
      <c r="BG11" s="6">
        <f t="shared" si="6"/>
        <v>0</v>
      </c>
      <c r="BH11" s="6">
        <f t="shared" si="6"/>
        <v>0</v>
      </c>
      <c r="BJ11" s="6">
        <v>8</v>
      </c>
      <c r="BK11" s="6">
        <f t="shared" si="33"/>
        <v>0</v>
      </c>
      <c r="BL11" s="6">
        <f t="shared" si="7"/>
        <v>0</v>
      </c>
      <c r="BM11" s="6">
        <f t="shared" si="8"/>
        <v>0</v>
      </c>
      <c r="BN11" s="6">
        <f t="shared" si="9"/>
        <v>0</v>
      </c>
      <c r="BO11" s="6">
        <f t="shared" si="10"/>
        <v>0</v>
      </c>
      <c r="BP11" s="6">
        <f t="shared" si="11"/>
        <v>0</v>
      </c>
      <c r="BQ11" s="6">
        <f t="shared" si="12"/>
        <v>0</v>
      </c>
      <c r="BR11" s="6">
        <f t="shared" si="13"/>
        <v>0</v>
      </c>
      <c r="BS11" s="6">
        <f t="shared" si="14"/>
        <v>0</v>
      </c>
    </row>
    <row r="12" spans="1:71" x14ac:dyDescent="0.25">
      <c r="A12" s="51">
        <f t="shared" si="15"/>
        <v>1</v>
      </c>
      <c r="B12" s="25">
        <v>9</v>
      </c>
      <c r="C12" s="25" t="s">
        <v>48</v>
      </c>
      <c r="D12" s="88"/>
      <c r="E12" s="89"/>
      <c r="F12" s="25">
        <v>1000</v>
      </c>
      <c r="H12" s="27" t="str">
        <f t="shared" si="0"/>
        <v/>
      </c>
      <c r="I12" s="27" t="str">
        <f t="shared" si="0"/>
        <v/>
      </c>
      <c r="J12" s="27" t="str">
        <f t="shared" si="0"/>
        <v/>
      </c>
      <c r="K12" s="27" t="str">
        <f t="shared" si="0"/>
        <v/>
      </c>
      <c r="L12" s="27" t="str">
        <f t="shared" si="0"/>
        <v/>
      </c>
      <c r="M12" s="27" t="str">
        <f t="shared" si="0"/>
        <v/>
      </c>
      <c r="N12" s="27" t="str">
        <f t="shared" si="0"/>
        <v/>
      </c>
      <c r="O12" s="27" t="str">
        <f t="shared" si="0"/>
        <v/>
      </c>
      <c r="P12" s="26" t="str">
        <f t="shared" si="0"/>
        <v/>
      </c>
      <c r="Q12" s="27" t="str">
        <f t="shared" si="0"/>
        <v/>
      </c>
      <c r="R12" s="8">
        <f t="shared" si="16"/>
        <v>0</v>
      </c>
      <c r="S12" s="8">
        <f>IF(H12="",0,H12)*$R$4+IF(I12="",0,I12)*$R$5+IF(J12="",0,J12)*$R$6+IF(K12="",0,K12)*$R$7+IF(L12="",0,L12)*$R$8+IF(M12="",0,M12)*$R$9+IF(N12="",0,N12)*$R$10+IF(O12="",0,O12)*$R$11+IF(P12="",0,P12)*T20+IF(Q12="",0,Q12)*T21</f>
        <v>0</v>
      </c>
      <c r="T12" s="59">
        <f t="shared" si="18"/>
        <v>1</v>
      </c>
      <c r="U12" s="30"/>
      <c r="V12" s="31">
        <v>9</v>
      </c>
      <c r="W12" s="32">
        <v>2</v>
      </c>
      <c r="X12" s="33" t="str">
        <f t="shared" si="19"/>
        <v>I</v>
      </c>
      <c r="Y12" s="34">
        <f t="shared" si="20"/>
        <v>0</v>
      </c>
      <c r="Z12" s="34">
        <f t="shared" si="1"/>
        <v>0</v>
      </c>
      <c r="AA12" s="55">
        <f t="shared" si="21"/>
        <v>0</v>
      </c>
      <c r="AB12" s="34">
        <f t="shared" si="2"/>
        <v>0</v>
      </c>
      <c r="AC12" s="35">
        <f t="shared" si="3"/>
        <v>1000</v>
      </c>
      <c r="AD12" s="56"/>
      <c r="AE12" s="12">
        <f t="shared" si="22"/>
        <v>0</v>
      </c>
      <c r="AF12" s="12">
        <f t="shared" si="23"/>
        <v>0</v>
      </c>
      <c r="AG12" s="12">
        <f t="shared" si="24"/>
        <v>0</v>
      </c>
      <c r="AH12" s="12">
        <f t="shared" si="25"/>
        <v>0</v>
      </c>
      <c r="AI12" s="12">
        <f t="shared" si="26"/>
        <v>0</v>
      </c>
      <c r="AJ12" s="12">
        <f t="shared" si="27"/>
        <v>0</v>
      </c>
      <c r="AK12" s="12"/>
      <c r="AL12" s="12">
        <f t="shared" si="28"/>
        <v>0</v>
      </c>
      <c r="AM12" s="12">
        <f t="shared" si="29"/>
        <v>0</v>
      </c>
      <c r="AN12" s="12">
        <f t="shared" si="30"/>
        <v>0</v>
      </c>
      <c r="AO12" s="12">
        <f t="shared" si="31"/>
        <v>1</v>
      </c>
      <c r="AP12" s="56"/>
      <c r="AQ12" s="56"/>
      <c r="AR12" s="56"/>
      <c r="AS12" s="30"/>
      <c r="AT12" s="37">
        <v>9</v>
      </c>
      <c r="AU12" s="38">
        <f t="shared" si="4"/>
        <v>0</v>
      </c>
      <c r="AV12" s="39" t="e">
        <f t="shared" si="5"/>
        <v>#VALUE!</v>
      </c>
      <c r="AW12" s="39">
        <f t="shared" si="32"/>
        <v>0</v>
      </c>
      <c r="AY12" s="6">
        <v>9</v>
      </c>
      <c r="AZ12" s="6">
        <f t="shared" si="6"/>
        <v>0</v>
      </c>
      <c r="BA12" s="6">
        <f t="shared" si="6"/>
        <v>0</v>
      </c>
      <c r="BB12" s="6">
        <f t="shared" si="6"/>
        <v>0</v>
      </c>
      <c r="BC12" s="6">
        <f t="shared" si="6"/>
        <v>0</v>
      </c>
      <c r="BD12" s="6">
        <f t="shared" si="6"/>
        <v>0</v>
      </c>
      <c r="BE12" s="6">
        <f t="shared" si="6"/>
        <v>0</v>
      </c>
      <c r="BF12" s="6">
        <f t="shared" si="6"/>
        <v>0</v>
      </c>
      <c r="BG12" s="6">
        <f t="shared" si="6"/>
        <v>0</v>
      </c>
      <c r="BH12" s="6">
        <f t="shared" si="6"/>
        <v>0</v>
      </c>
      <c r="BJ12" s="6">
        <v>9</v>
      </c>
      <c r="BK12" s="6">
        <f t="shared" si="33"/>
        <v>0</v>
      </c>
      <c r="BL12" s="6">
        <f t="shared" si="7"/>
        <v>0</v>
      </c>
      <c r="BM12" s="6">
        <f t="shared" si="8"/>
        <v>0</v>
      </c>
      <c r="BN12" s="6">
        <f t="shared" si="9"/>
        <v>0</v>
      </c>
      <c r="BO12" s="6">
        <f t="shared" si="10"/>
        <v>0</v>
      </c>
      <c r="BP12" s="6">
        <f t="shared" si="11"/>
        <v>0</v>
      </c>
      <c r="BQ12" s="6">
        <f t="shared" si="12"/>
        <v>0</v>
      </c>
      <c r="BR12" s="6">
        <f t="shared" si="13"/>
        <v>0</v>
      </c>
      <c r="BS12" s="6">
        <f t="shared" si="14"/>
        <v>0</v>
      </c>
    </row>
    <row r="13" spans="1:71" x14ac:dyDescent="0.25">
      <c r="A13" s="51">
        <f t="shared" si="15"/>
        <v>1</v>
      </c>
      <c r="B13" s="25">
        <v>10</v>
      </c>
      <c r="C13" s="25" t="s">
        <v>49</v>
      </c>
      <c r="D13" s="88"/>
      <c r="E13" s="89"/>
      <c r="F13" s="25">
        <v>1000</v>
      </c>
      <c r="H13" s="27" t="str">
        <f t="shared" si="0"/>
        <v/>
      </c>
      <c r="I13" s="27" t="str">
        <f t="shared" si="0"/>
        <v/>
      </c>
      <c r="J13" s="27" t="str">
        <f t="shared" si="0"/>
        <v/>
      </c>
      <c r="K13" s="27" t="str">
        <f t="shared" si="0"/>
        <v/>
      </c>
      <c r="L13" s="27" t="str">
        <f t="shared" si="0"/>
        <v/>
      </c>
      <c r="M13" s="27" t="str">
        <f t="shared" si="0"/>
        <v/>
      </c>
      <c r="N13" s="27" t="str">
        <f t="shared" si="0"/>
        <v/>
      </c>
      <c r="O13" s="27" t="str">
        <f t="shared" si="0"/>
        <v/>
      </c>
      <c r="P13" s="27" t="str">
        <f t="shared" si="0"/>
        <v/>
      </c>
      <c r="Q13" s="26" t="str">
        <f t="shared" si="0"/>
        <v/>
      </c>
      <c r="R13" s="8">
        <f t="shared" si="16"/>
        <v>0</v>
      </c>
      <c r="S13" s="8">
        <f>IF(H13="",0,H13)*$R$4+IF(I13="",0,I13)*$R$5+IF(J13="",0,J13)*$R$6+IF(K13="",0,K13)*$R$7+IF(L13="",0,L13)*$R$8+IF(M13="",0,M13)*$R$9+IF(N13="",0,N13)*$R$10+IF(O13="",0,O13)*$R$11+IF(P13="",0,P13)*T21+IF(Q13="",0,Q13)*T22</f>
        <v>0</v>
      </c>
      <c r="T13" s="59">
        <f t="shared" si="18"/>
        <v>1</v>
      </c>
      <c r="U13" s="30"/>
      <c r="V13" s="31">
        <v>10</v>
      </c>
      <c r="W13" s="32">
        <v>1</v>
      </c>
      <c r="X13" s="33" t="str">
        <f t="shared" si="19"/>
        <v>J</v>
      </c>
      <c r="Y13" s="34">
        <f t="shared" si="20"/>
        <v>0</v>
      </c>
      <c r="Z13" s="34">
        <f t="shared" si="1"/>
        <v>0</v>
      </c>
      <c r="AA13" s="55">
        <f t="shared" si="21"/>
        <v>0</v>
      </c>
      <c r="AB13" s="34">
        <f t="shared" si="2"/>
        <v>0</v>
      </c>
      <c r="AC13" s="35">
        <f t="shared" si="3"/>
        <v>1000</v>
      </c>
      <c r="AD13" s="56"/>
      <c r="AE13" s="12">
        <f t="shared" si="22"/>
        <v>0</v>
      </c>
      <c r="AF13" s="12">
        <f t="shared" si="23"/>
        <v>0</v>
      </c>
      <c r="AG13" s="12">
        <f t="shared" si="24"/>
        <v>0</v>
      </c>
      <c r="AH13" s="12">
        <f t="shared" si="25"/>
        <v>0</v>
      </c>
      <c r="AI13" s="12">
        <f t="shared" si="26"/>
        <v>0</v>
      </c>
      <c r="AJ13" s="12">
        <f t="shared" si="27"/>
        <v>0</v>
      </c>
      <c r="AK13" s="12"/>
      <c r="AL13" s="12">
        <f t="shared" si="28"/>
        <v>0</v>
      </c>
      <c r="AM13" s="12">
        <f t="shared" si="29"/>
        <v>0</v>
      </c>
      <c r="AN13" s="12">
        <f t="shared" si="30"/>
        <v>0</v>
      </c>
      <c r="AO13" s="12">
        <f t="shared" si="31"/>
        <v>1</v>
      </c>
      <c r="AP13" s="56"/>
      <c r="AQ13" s="56"/>
      <c r="AR13" s="56"/>
      <c r="AS13" s="30"/>
      <c r="AT13" s="37">
        <v>10</v>
      </c>
      <c r="AU13" s="38">
        <f t="shared" si="4"/>
        <v>0</v>
      </c>
      <c r="AV13" s="39" t="e">
        <f t="shared" si="5"/>
        <v>#VALUE!</v>
      </c>
      <c r="AW13" s="39">
        <f t="shared" si="32"/>
        <v>0</v>
      </c>
      <c r="AY13" s="6">
        <v>10</v>
      </c>
      <c r="AZ13" s="6">
        <f t="shared" si="6"/>
        <v>0</v>
      </c>
      <c r="BA13" s="6">
        <f t="shared" si="6"/>
        <v>0</v>
      </c>
      <c r="BB13" s="6">
        <f t="shared" si="6"/>
        <v>0</v>
      </c>
      <c r="BC13" s="6">
        <f t="shared" si="6"/>
        <v>0</v>
      </c>
      <c r="BD13" s="6">
        <f t="shared" si="6"/>
        <v>0</v>
      </c>
      <c r="BE13" s="6">
        <f t="shared" si="6"/>
        <v>0</v>
      </c>
      <c r="BF13" s="6">
        <f t="shared" si="6"/>
        <v>0</v>
      </c>
      <c r="BG13" s="6">
        <f t="shared" si="6"/>
        <v>0</v>
      </c>
      <c r="BH13" s="6">
        <f t="shared" si="6"/>
        <v>0</v>
      </c>
      <c r="BJ13" s="6">
        <v>10</v>
      </c>
      <c r="BK13" s="6">
        <f t="shared" si="33"/>
        <v>0</v>
      </c>
      <c r="BL13" s="6">
        <f t="shared" si="7"/>
        <v>0</v>
      </c>
      <c r="BM13" s="6">
        <f t="shared" si="8"/>
        <v>0</v>
      </c>
      <c r="BN13" s="6">
        <f t="shared" si="9"/>
        <v>0</v>
      </c>
      <c r="BO13" s="6">
        <f t="shared" si="10"/>
        <v>0</v>
      </c>
      <c r="BP13" s="6">
        <f t="shared" si="11"/>
        <v>0</v>
      </c>
      <c r="BQ13" s="6">
        <f t="shared" si="12"/>
        <v>0</v>
      </c>
      <c r="BR13" s="6">
        <f t="shared" si="13"/>
        <v>0</v>
      </c>
      <c r="BS13" s="6">
        <f t="shared" si="14"/>
        <v>0</v>
      </c>
    </row>
    <row r="14" spans="1:71" hidden="1" x14ac:dyDescent="0.25">
      <c r="S14" s="60">
        <f>IF(H14="",0,H14)*$R$4+IF(I14="",0,I14)*$R$5+IF(J14="",0,J14)*$R$6+IF(K14="",0,K14)*$R$7+IF(L14="",0,L14)*$R$8+IF(M14="",0,M14)*$R$9+IF(N14="",0,N14)*$R$10+IF(O14="",0,O14)*$R$11+IF(P14="",0,P14)*T22+IF(Q14="",0,Q14)*R23</f>
        <v>0</v>
      </c>
      <c r="Y14" s="34">
        <f t="shared" si="20"/>
        <v>0</v>
      </c>
      <c r="AO14" s="56">
        <f t="shared" si="31"/>
        <v>1</v>
      </c>
    </row>
    <row r="15" spans="1:71" x14ac:dyDescent="0.25">
      <c r="AE15" s="57">
        <f>2*MAX(AE4:AE13)+1</f>
        <v>1</v>
      </c>
      <c r="AG15" s="58">
        <f>2*MAX(AG4:AG13)+1</f>
        <v>1</v>
      </c>
      <c r="AI15" s="58">
        <f>2*MAX(AI4:AI13)+1</f>
        <v>1</v>
      </c>
      <c r="AT15" s="41" t="s">
        <v>39</v>
      </c>
      <c r="AU15" s="41" t="s">
        <v>0</v>
      </c>
      <c r="AV15" s="41" t="s">
        <v>1</v>
      </c>
      <c r="AW15" s="41" t="s">
        <v>2</v>
      </c>
      <c r="AY15" s="42" t="s">
        <v>37</v>
      </c>
      <c r="AZ15" s="42" t="s">
        <v>38</v>
      </c>
      <c r="BA15" s="6" t="s">
        <v>18</v>
      </c>
      <c r="BB15" s="6" t="s">
        <v>19</v>
      </c>
      <c r="BC15" s="6" t="s">
        <v>20</v>
      </c>
      <c r="BD15" s="6" t="s">
        <v>21</v>
      </c>
    </row>
    <row r="16" spans="1:71" ht="3" customHeight="1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AY16" s="43"/>
      <c r="AZ16" s="43"/>
      <c r="BA16" s="44"/>
      <c r="BB16" s="44"/>
      <c r="BC16" s="44"/>
      <c r="BD16" s="44"/>
    </row>
    <row r="17" spans="2:56" x14ac:dyDescent="0.25">
      <c r="B17" s="45" t="s">
        <v>3</v>
      </c>
      <c r="AY17" s="42"/>
      <c r="AZ17" s="42"/>
    </row>
    <row r="18" spans="2:56" x14ac:dyDescent="0.25">
      <c r="B18" s="6">
        <v>1</v>
      </c>
      <c r="C18" s="6" t="str">
        <f>VLOOKUP(AU18,$B$4:$F$13,2,FALSE)</f>
        <v>A</v>
      </c>
      <c r="D18" s="46" t="s">
        <v>5</v>
      </c>
      <c r="E18" s="84" t="str">
        <f>VLOOKUP(AV18,$B$4:$F$13,2,FALSE)</f>
        <v>J</v>
      </c>
      <c r="F18" s="84"/>
      <c r="G18" s="84"/>
      <c r="H18" s="84"/>
      <c r="J18" s="84" t="str">
        <f>IF(T18="","",VLOOKUP(T18,Configuratie!$B$1:$E$10,3,FALSE))</f>
        <v/>
      </c>
      <c r="K18" s="84"/>
      <c r="L18" s="6" t="s">
        <v>5</v>
      </c>
      <c r="M18" s="84" t="str">
        <f>IF(T18="","",VLOOKUP(T18,Configuratie!$B$1:$E$10,4,FALSE))</f>
        <v/>
      </c>
      <c r="N18" s="84"/>
      <c r="R18" s="6" t="str">
        <f>IF(T18="","",VLOOKUP(T18,Configuratie!$B$1:$E$10,2,FALSE))</f>
        <v/>
      </c>
      <c r="S18" s="61"/>
      <c r="T18" s="5"/>
      <c r="AT18" s="6">
        <v>1</v>
      </c>
      <c r="AU18" s="6">
        <v>1</v>
      </c>
      <c r="AV18" s="6">
        <v>10</v>
      </c>
      <c r="AW18" s="6" t="str">
        <f>IF(AND(ISNUMBER(J18),ISNUMBER(M18)),IF(J18+M18=1,1,0),"")</f>
        <v/>
      </c>
      <c r="AY18" s="48">
        <f>AU18*100+AV18</f>
        <v>110</v>
      </c>
      <c r="AZ18" s="48">
        <f>AV18*100+AU18</f>
        <v>1001</v>
      </c>
      <c r="BA18" s="6">
        <v>0</v>
      </c>
      <c r="BB18" s="6">
        <v>0</v>
      </c>
      <c r="BC18" s="6" t="e">
        <f>J18*BB18</f>
        <v>#VALUE!</v>
      </c>
      <c r="BD18" s="6" t="e">
        <f>M18*BA18</f>
        <v>#VALUE!</v>
      </c>
    </row>
    <row r="19" spans="2:56" x14ac:dyDescent="0.25">
      <c r="B19" s="6">
        <v>2</v>
      </c>
      <c r="C19" s="6" t="str">
        <f>VLOOKUP(AU19,$B$4:$F$13,2,FALSE)</f>
        <v>B</v>
      </c>
      <c r="D19" s="46" t="s">
        <v>5</v>
      </c>
      <c r="E19" s="84" t="str">
        <f>VLOOKUP(AV19,$B$4:$F$13,2,FALSE)</f>
        <v>I</v>
      </c>
      <c r="F19" s="84"/>
      <c r="G19" s="84"/>
      <c r="H19" s="84"/>
      <c r="J19" s="84" t="str">
        <f>IF(T19="","",VLOOKUP(T19,Configuratie!$B$1:$E$10,3,FALSE))</f>
        <v/>
      </c>
      <c r="K19" s="84"/>
      <c r="L19" s="6" t="s">
        <v>5</v>
      </c>
      <c r="M19" s="84" t="str">
        <f>IF(T19="","",VLOOKUP(T19,Configuratie!$B$1:$E$10,4,FALSE))</f>
        <v/>
      </c>
      <c r="N19" s="84"/>
      <c r="R19" s="6" t="str">
        <f>IF(T19="","",VLOOKUP(T19,Configuratie!$B$1:$E$10,2,FALSE))</f>
        <v/>
      </c>
      <c r="S19" s="61"/>
      <c r="T19" s="5"/>
      <c r="AT19" s="6">
        <v>1</v>
      </c>
      <c r="AU19" s="6">
        <v>2</v>
      </c>
      <c r="AV19" s="6">
        <v>9</v>
      </c>
      <c r="AW19" s="6" t="str">
        <f t="shared" ref="AW19:AW23" si="34">IF(AND(ISNUMBER(J19),ISNUMBER(M19)),IF(J19+M19=1,1,0),"")</f>
        <v/>
      </c>
      <c r="AY19" s="48">
        <f>AU19*100+AV19</f>
        <v>209</v>
      </c>
      <c r="AZ19" s="48">
        <f>AV19*100+AU19</f>
        <v>902</v>
      </c>
      <c r="BA19" s="6">
        <v>0</v>
      </c>
      <c r="BB19" s="6"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3</v>
      </c>
      <c r="C20" s="6" t="str">
        <f>VLOOKUP(AU20,$B$4:$F$13,2,FALSE)</f>
        <v>C</v>
      </c>
      <c r="D20" s="46" t="s">
        <v>5</v>
      </c>
      <c r="E20" s="84" t="str">
        <f>VLOOKUP(AV20,$B$4:$F$13,2,FALSE)</f>
        <v>H</v>
      </c>
      <c r="F20" s="84"/>
      <c r="G20" s="84"/>
      <c r="H20" s="84"/>
      <c r="J20" s="84" t="str">
        <f>IF(T20="","",VLOOKUP(T20,Configuratie!$B$1:$E$10,3,FALSE))</f>
        <v/>
      </c>
      <c r="K20" s="84"/>
      <c r="L20" s="6" t="s">
        <v>5</v>
      </c>
      <c r="M20" s="84" t="str">
        <f>IF(T20="","",VLOOKUP(T20,Configuratie!$B$1:$E$10,4,FALSE))</f>
        <v/>
      </c>
      <c r="N20" s="84"/>
      <c r="R20" s="6" t="str">
        <f>IF(T20="","",VLOOKUP(T20,Configuratie!$B$1:$E$10,2,FALSE))</f>
        <v/>
      </c>
      <c r="S20" s="61"/>
      <c r="T20" s="5"/>
      <c r="AT20" s="6">
        <v>1</v>
      </c>
      <c r="AU20" s="6">
        <v>3</v>
      </c>
      <c r="AV20" s="6">
        <v>8</v>
      </c>
      <c r="AW20" s="6" t="str">
        <f t="shared" si="34"/>
        <v/>
      </c>
      <c r="AY20" s="48">
        <f>AU20*100+AV20</f>
        <v>308</v>
      </c>
      <c r="AZ20" s="48">
        <f>AV20*100+AU20</f>
        <v>803</v>
      </c>
      <c r="BA20" s="6">
        <v>0</v>
      </c>
      <c r="BB20" s="6"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4</v>
      </c>
      <c r="C21" s="6" t="str">
        <f>VLOOKUP(AU21,$B$4:$F$13,2,FALSE)</f>
        <v>D</v>
      </c>
      <c r="D21" s="46" t="s">
        <v>5</v>
      </c>
      <c r="E21" s="84" t="str">
        <f>VLOOKUP(AV21,$B$4:$F$13,2,FALSE)</f>
        <v>G</v>
      </c>
      <c r="F21" s="84"/>
      <c r="G21" s="84"/>
      <c r="H21" s="84"/>
      <c r="J21" s="84" t="str">
        <f>IF(T21="","",VLOOKUP(T21,Configuratie!$B$1:$E$10,3,FALSE))</f>
        <v/>
      </c>
      <c r="K21" s="84"/>
      <c r="L21" s="6" t="s">
        <v>5</v>
      </c>
      <c r="M21" s="84" t="str">
        <f>IF(T21="","",VLOOKUP(T21,Configuratie!$B$1:$E$10,4,FALSE))</f>
        <v/>
      </c>
      <c r="N21" s="84"/>
      <c r="R21" s="6" t="str">
        <f>IF(T21="","",VLOOKUP(T21,Configuratie!$B$1:$E$10,2,FALSE))</f>
        <v/>
      </c>
      <c r="S21" s="61"/>
      <c r="T21" s="5"/>
      <c r="AT21" s="6">
        <v>1</v>
      </c>
      <c r="AU21" s="6">
        <v>4</v>
      </c>
      <c r="AV21" s="6">
        <v>7</v>
      </c>
      <c r="AW21" s="6" t="str">
        <f t="shared" si="34"/>
        <v/>
      </c>
      <c r="AY21" s="48">
        <f>AU21*100+AV21</f>
        <v>407</v>
      </c>
      <c r="AZ21" s="48">
        <f>AV21*100+AU21</f>
        <v>704</v>
      </c>
      <c r="BA21" s="6">
        <v>0</v>
      </c>
      <c r="BB21" s="6">
        <v>0</v>
      </c>
      <c r="BC21" s="6" t="e">
        <f>J21*BB21</f>
        <v>#VALUE!</v>
      </c>
      <c r="BD21" s="6" t="e">
        <f>M21*BA21</f>
        <v>#VALUE!</v>
      </c>
    </row>
    <row r="22" spans="2:56" x14ac:dyDescent="0.25">
      <c r="B22" s="6">
        <v>5</v>
      </c>
      <c r="C22" s="6" t="str">
        <f>VLOOKUP(AU22,$B$4:$F$13,2,FALSE)</f>
        <v>E</v>
      </c>
      <c r="D22" s="46" t="s">
        <v>5</v>
      </c>
      <c r="E22" s="84" t="str">
        <f>VLOOKUP(AV22,$B$4:$F$13,2,FALSE)</f>
        <v>F</v>
      </c>
      <c r="F22" s="84"/>
      <c r="G22" s="84"/>
      <c r="H22" s="84"/>
      <c r="J22" s="84" t="str">
        <f>IF(T22="","",VLOOKUP(T22,Configuratie!$B$1:$E$10,3,FALSE))</f>
        <v/>
      </c>
      <c r="K22" s="84"/>
      <c r="L22" s="6" t="s">
        <v>5</v>
      </c>
      <c r="M22" s="84" t="str">
        <f>IF(T22="","",VLOOKUP(T22,Configuratie!$B$1:$E$10,4,FALSE))</f>
        <v/>
      </c>
      <c r="N22" s="84"/>
      <c r="R22" s="6" t="str">
        <f>IF(T22="","",VLOOKUP(T22,Configuratie!$B$1:$E$10,2,FALSE))</f>
        <v/>
      </c>
      <c r="S22" s="61"/>
      <c r="T22" s="5"/>
      <c r="AT22" s="6">
        <v>1</v>
      </c>
      <c r="AU22" s="6">
        <v>5</v>
      </c>
      <c r="AV22" s="6">
        <v>6</v>
      </c>
      <c r="AW22" s="6" t="str">
        <f t="shared" si="34"/>
        <v/>
      </c>
      <c r="AY22" s="48">
        <f>AU22*100+AV22</f>
        <v>506</v>
      </c>
      <c r="AZ22" s="48">
        <f>AV22*100+AU22</f>
        <v>605</v>
      </c>
      <c r="BA22" s="6">
        <v>0</v>
      </c>
      <c r="BB22" s="6">
        <v>0</v>
      </c>
      <c r="BC22" s="6" t="e">
        <f>J22*BB22</f>
        <v>#VALUE!</v>
      </c>
      <c r="BD22" s="6" t="e">
        <f>M22*BA22</f>
        <v>#VALUE!</v>
      </c>
    </row>
    <row r="23" spans="2:56" ht="3" customHeight="1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AW23" s="6" t="str">
        <f t="shared" si="34"/>
        <v/>
      </c>
      <c r="AY23" s="42"/>
      <c r="AZ23" s="42"/>
    </row>
    <row r="24" spans="2:56" x14ac:dyDescent="0.25">
      <c r="B24" s="45" t="s">
        <v>9</v>
      </c>
      <c r="AY24" s="42"/>
      <c r="AZ24" s="42"/>
    </row>
    <row r="25" spans="2:56" x14ac:dyDescent="0.25">
      <c r="B25" s="6">
        <v>1</v>
      </c>
      <c r="C25" s="6" t="str">
        <f>VLOOKUP(AU25,$B$4:$F$13,2,FALSE)</f>
        <v>J</v>
      </c>
      <c r="D25" s="46" t="s">
        <v>5</v>
      </c>
      <c r="E25" s="84" t="str">
        <f>VLOOKUP(AV25,$B$4:$F$13,2,FALSE)</f>
        <v>F</v>
      </c>
      <c r="F25" s="84"/>
      <c r="G25" s="84"/>
      <c r="H25" s="84"/>
      <c r="J25" s="84" t="str">
        <f>IF(T25="","",VLOOKUP(T25,Configuratie!$B$1:$E$10,3,FALSE))</f>
        <v/>
      </c>
      <c r="K25" s="84"/>
      <c r="L25" s="6" t="s">
        <v>5</v>
      </c>
      <c r="M25" s="84" t="str">
        <f>IF(T25="","",VLOOKUP(T25,Configuratie!$B$1:$E$10,4,FALSE))</f>
        <v/>
      </c>
      <c r="N25" s="84"/>
      <c r="R25" s="6" t="str">
        <f>IF(T25="","",VLOOKUP(T25,Configuratie!$B$1:$E$10,2,FALSE))</f>
        <v/>
      </c>
      <c r="S25" s="61"/>
      <c r="T25" s="5"/>
      <c r="AT25" s="6">
        <v>2</v>
      </c>
      <c r="AU25" s="6">
        <v>10</v>
      </c>
      <c r="AV25" s="6">
        <v>6</v>
      </c>
      <c r="AW25" s="6" t="str">
        <f>IF(AND(ISNUMBER(J25),ISNUMBER(M25)),IF(J25+M25=1,1,0),"")</f>
        <v/>
      </c>
      <c r="AY25" s="48">
        <f>AU25*100+AV25</f>
        <v>1006</v>
      </c>
      <c r="AZ25" s="48">
        <f>AV25*100+AU25</f>
        <v>610</v>
      </c>
      <c r="BA25" s="6">
        <f t="shared" ref="BA25:BB29" si="35">VLOOKUP(AU25,$BJ$3:$BS$13,$AT25,FALSE)</f>
        <v>0</v>
      </c>
      <c r="BB25" s="6">
        <f t="shared" si="35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2</v>
      </c>
      <c r="C26" s="6" t="str">
        <f>VLOOKUP(AU26,$B$4:$F$13,2,FALSE)</f>
        <v>G</v>
      </c>
      <c r="D26" s="46" t="s">
        <v>5</v>
      </c>
      <c r="E26" s="84" t="str">
        <f>VLOOKUP(AV26,$B$4:$F$13,2,FALSE)</f>
        <v>E</v>
      </c>
      <c r="F26" s="84"/>
      <c r="G26" s="84"/>
      <c r="H26" s="84"/>
      <c r="J26" s="84" t="str">
        <f>IF(T26="","",VLOOKUP(T26,Configuratie!$B$1:$E$10,3,FALSE))</f>
        <v/>
      </c>
      <c r="K26" s="84"/>
      <c r="L26" s="6" t="s">
        <v>5</v>
      </c>
      <c r="M26" s="84" t="str">
        <f>IF(T26="","",VLOOKUP(T26,Configuratie!$B$1:$E$10,4,FALSE))</f>
        <v/>
      </c>
      <c r="N26" s="84"/>
      <c r="R26" s="6" t="str">
        <f>IF(T26="","",VLOOKUP(T26,Configuratie!$B$1:$E$10,2,FALSE))</f>
        <v/>
      </c>
      <c r="S26" s="61"/>
      <c r="T26" s="5"/>
      <c r="AT26" s="6">
        <v>2</v>
      </c>
      <c r="AU26" s="6">
        <v>7</v>
      </c>
      <c r="AV26" s="6">
        <v>5</v>
      </c>
      <c r="AW26" s="6" t="str">
        <f t="shared" ref="AW26:AW30" si="36">IF(AND(ISNUMBER(J26),ISNUMBER(M26)),IF(J26+M26=1,1,0),"")</f>
        <v/>
      </c>
      <c r="AY26" s="48">
        <f>AU26*100+AV26</f>
        <v>705</v>
      </c>
      <c r="AZ26" s="48">
        <f>AV26*100+AU26</f>
        <v>507</v>
      </c>
      <c r="BA26" s="6">
        <f t="shared" si="35"/>
        <v>0</v>
      </c>
      <c r="BB26" s="6">
        <f t="shared" si="35"/>
        <v>0</v>
      </c>
      <c r="BC26" s="6" t="e">
        <f>J26*BB26</f>
        <v>#VALUE!</v>
      </c>
      <c r="BD26" s="6" t="e">
        <f>M26*BA26</f>
        <v>#VALUE!</v>
      </c>
    </row>
    <row r="27" spans="2:56" x14ac:dyDescent="0.25">
      <c r="B27" s="6">
        <v>3</v>
      </c>
      <c r="C27" s="6" t="str">
        <f>VLOOKUP(AU27,$B$4:$F$13,2,FALSE)</f>
        <v>H</v>
      </c>
      <c r="D27" s="46" t="s">
        <v>5</v>
      </c>
      <c r="E27" s="84" t="str">
        <f>VLOOKUP(AV27,$B$4:$F$13,2,FALSE)</f>
        <v>D</v>
      </c>
      <c r="F27" s="84"/>
      <c r="G27" s="84"/>
      <c r="H27" s="84"/>
      <c r="J27" s="84" t="str">
        <f>IF(T27="","",VLOOKUP(T27,Configuratie!$B$1:$E$10,3,FALSE))</f>
        <v/>
      </c>
      <c r="K27" s="84"/>
      <c r="L27" s="6" t="s">
        <v>5</v>
      </c>
      <c r="M27" s="84" t="str">
        <f>IF(T27="","",VLOOKUP(T27,Configuratie!$B$1:$E$10,4,FALSE))</f>
        <v/>
      </c>
      <c r="N27" s="84"/>
      <c r="R27" s="6" t="str">
        <f>IF(T27="","",VLOOKUP(T27,Configuratie!$B$1:$E$10,2,FALSE))</f>
        <v/>
      </c>
      <c r="S27" s="61"/>
      <c r="T27" s="5"/>
      <c r="AT27" s="6">
        <v>2</v>
      </c>
      <c r="AU27" s="6">
        <v>8</v>
      </c>
      <c r="AV27" s="6">
        <v>4</v>
      </c>
      <c r="AW27" s="6" t="str">
        <f t="shared" si="36"/>
        <v/>
      </c>
      <c r="AY27" s="48">
        <f>AU27*100+AV27</f>
        <v>804</v>
      </c>
      <c r="AZ27" s="48">
        <f>AV27*100+AU27</f>
        <v>408</v>
      </c>
      <c r="BA27" s="6">
        <f t="shared" si="35"/>
        <v>0</v>
      </c>
      <c r="BB27" s="6">
        <f t="shared" si="35"/>
        <v>0</v>
      </c>
      <c r="BC27" s="6" t="e">
        <f>J27*BB27</f>
        <v>#VALUE!</v>
      </c>
      <c r="BD27" s="6" t="e">
        <f>M27*BA27</f>
        <v>#VALUE!</v>
      </c>
    </row>
    <row r="28" spans="2:56" x14ac:dyDescent="0.25">
      <c r="B28" s="6">
        <v>4</v>
      </c>
      <c r="C28" s="6" t="str">
        <f>VLOOKUP(AU28,$B$4:$F$13,2,FALSE)</f>
        <v>I</v>
      </c>
      <c r="D28" s="46" t="s">
        <v>5</v>
      </c>
      <c r="E28" s="84" t="str">
        <f>VLOOKUP(AV28,$B$4:$F$13,2,FALSE)</f>
        <v>C</v>
      </c>
      <c r="F28" s="84"/>
      <c r="G28" s="84"/>
      <c r="H28" s="84"/>
      <c r="J28" s="84" t="str">
        <f>IF(T28="","",VLOOKUP(T28,Configuratie!$B$1:$E$10,3,FALSE))</f>
        <v/>
      </c>
      <c r="K28" s="84"/>
      <c r="L28" s="6" t="s">
        <v>5</v>
      </c>
      <c r="M28" s="84" t="str">
        <f>IF(T28="","",VLOOKUP(T28,Configuratie!$B$1:$E$10,4,FALSE))</f>
        <v/>
      </c>
      <c r="N28" s="84"/>
      <c r="R28" s="6" t="str">
        <f>IF(T28="","",VLOOKUP(T28,Configuratie!$B$1:$E$10,2,FALSE))</f>
        <v/>
      </c>
      <c r="S28" s="61"/>
      <c r="T28" s="5"/>
      <c r="AT28" s="6">
        <v>2</v>
      </c>
      <c r="AU28" s="6">
        <v>9</v>
      </c>
      <c r="AV28" s="6">
        <v>3</v>
      </c>
      <c r="AW28" s="6" t="str">
        <f t="shared" si="36"/>
        <v/>
      </c>
      <c r="AY28" s="48">
        <f>AU28*100+AV28</f>
        <v>903</v>
      </c>
      <c r="AZ28" s="48">
        <f>AV28*100+AU28</f>
        <v>309</v>
      </c>
      <c r="BA28" s="6">
        <f t="shared" si="35"/>
        <v>0</v>
      </c>
      <c r="BB28" s="6">
        <f t="shared" si="35"/>
        <v>0</v>
      </c>
      <c r="BC28" s="6" t="e">
        <f>J28*BB28</f>
        <v>#VALUE!</v>
      </c>
      <c r="BD28" s="6" t="e">
        <f>M28*BA28</f>
        <v>#VALUE!</v>
      </c>
    </row>
    <row r="29" spans="2:56" x14ac:dyDescent="0.25">
      <c r="B29" s="6">
        <v>5</v>
      </c>
      <c r="C29" s="6" t="str">
        <f>VLOOKUP(AU29,$B$4:$F$13,2,FALSE)</f>
        <v>A</v>
      </c>
      <c r="D29" s="46" t="s">
        <v>5</v>
      </c>
      <c r="E29" s="84" t="str">
        <f>VLOOKUP(AV29,$B$4:$F$13,2,FALSE)</f>
        <v>B</v>
      </c>
      <c r="F29" s="84"/>
      <c r="G29" s="84"/>
      <c r="H29" s="84"/>
      <c r="J29" s="84" t="str">
        <f>IF(T29="","",VLOOKUP(T29,Configuratie!$B$1:$E$10,3,FALSE))</f>
        <v/>
      </c>
      <c r="K29" s="84"/>
      <c r="L29" s="6" t="s">
        <v>5</v>
      </c>
      <c r="M29" s="84" t="str">
        <f>IF(T29="","",VLOOKUP(T29,Configuratie!$B$1:$E$10,4,FALSE))</f>
        <v/>
      </c>
      <c r="N29" s="84"/>
      <c r="R29" s="6" t="str">
        <f>IF(T29="","",VLOOKUP(T29,Configuratie!$B$1:$E$10,2,FALSE))</f>
        <v/>
      </c>
      <c r="S29" s="61"/>
      <c r="T29" s="5"/>
      <c r="AT29" s="6">
        <v>2</v>
      </c>
      <c r="AU29" s="6">
        <v>1</v>
      </c>
      <c r="AV29" s="6">
        <v>2</v>
      </c>
      <c r="AW29" s="6" t="str">
        <f t="shared" si="36"/>
        <v/>
      </c>
      <c r="AY29" s="48">
        <f>AU29*100+AV29</f>
        <v>102</v>
      </c>
      <c r="AZ29" s="48">
        <f>AV29*100+AU29</f>
        <v>201</v>
      </c>
      <c r="BA29" s="6">
        <f t="shared" si="35"/>
        <v>0</v>
      </c>
      <c r="BB29" s="6">
        <f t="shared" si="35"/>
        <v>0</v>
      </c>
      <c r="BC29" s="6" t="e">
        <f>J29*BB29</f>
        <v>#VALUE!</v>
      </c>
      <c r="BD29" s="6" t="e">
        <f>M29*BA29</f>
        <v>#VALUE!</v>
      </c>
    </row>
    <row r="30" spans="2:56" ht="3" customHeight="1" x14ac:dyDescent="0.25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AW30" s="6" t="str">
        <f t="shared" si="36"/>
        <v/>
      </c>
      <c r="AY30" s="42"/>
      <c r="AZ30" s="42"/>
    </row>
    <row r="31" spans="2:56" x14ac:dyDescent="0.25">
      <c r="B31" s="45" t="s">
        <v>10</v>
      </c>
      <c r="AY31" s="42"/>
      <c r="AZ31" s="42"/>
    </row>
    <row r="32" spans="2:56" x14ac:dyDescent="0.25">
      <c r="B32" s="6">
        <v>1</v>
      </c>
      <c r="C32" s="6" t="str">
        <f>VLOOKUP(AU32,$B$4:$F$13,2,FALSE)</f>
        <v>B</v>
      </c>
      <c r="D32" s="46" t="s">
        <v>5</v>
      </c>
      <c r="E32" s="84" t="str">
        <f>VLOOKUP(AV32,$B$4:$F$13,2,FALSE)</f>
        <v>J</v>
      </c>
      <c r="F32" s="84"/>
      <c r="G32" s="84"/>
      <c r="H32" s="84"/>
      <c r="J32" s="84" t="str">
        <f>IF(T32="","",VLOOKUP(T32,Configuratie!$B$1:$E$10,3,FALSE))</f>
        <v/>
      </c>
      <c r="K32" s="84"/>
      <c r="L32" s="6" t="s">
        <v>5</v>
      </c>
      <c r="M32" s="84" t="str">
        <f>IF(T32="","",VLOOKUP(T32,Configuratie!$B$1:$E$10,4,FALSE))</f>
        <v/>
      </c>
      <c r="N32" s="84"/>
      <c r="R32" s="6" t="str">
        <f>IF(T32="","",VLOOKUP(T32,Configuratie!$B$1:$E$10,2,FALSE))</f>
        <v/>
      </c>
      <c r="S32" s="61"/>
      <c r="T32" s="5"/>
      <c r="AT32" s="6">
        <v>3</v>
      </c>
      <c r="AU32" s="6">
        <v>2</v>
      </c>
      <c r="AV32" s="6">
        <v>10</v>
      </c>
      <c r="AW32" s="6" t="str">
        <f>IF(AND(ISNUMBER(J32),ISNUMBER(M32)),IF(J32+M32=1,1,0),"")</f>
        <v/>
      </c>
      <c r="AY32" s="48">
        <f>AU32*100+AV32</f>
        <v>210</v>
      </c>
      <c r="AZ32" s="48">
        <f>AV32*100+AU32</f>
        <v>1002</v>
      </c>
      <c r="BA32" s="6">
        <f t="shared" ref="BA32:BB36" si="37">VLOOKUP(AU32,$BJ$3:$BS$13,$AT32,FALSE)</f>
        <v>0</v>
      </c>
      <c r="BB32" s="6">
        <f t="shared" si="37"/>
        <v>0</v>
      </c>
      <c r="BC32" s="6" t="e">
        <f>J32*BB32</f>
        <v>#VALUE!</v>
      </c>
      <c r="BD32" s="6" t="e">
        <f>M32*BA32</f>
        <v>#VALUE!</v>
      </c>
    </row>
    <row r="33" spans="2:56" x14ac:dyDescent="0.25">
      <c r="B33" s="6">
        <v>2</v>
      </c>
      <c r="C33" s="6" t="str">
        <f>VLOOKUP(AU33,$B$4:$F$13,2,FALSE)</f>
        <v>C</v>
      </c>
      <c r="D33" s="46" t="s">
        <v>5</v>
      </c>
      <c r="E33" s="84" t="str">
        <f>VLOOKUP(AV33,$B$4:$F$13,2,FALSE)</f>
        <v>A</v>
      </c>
      <c r="F33" s="84"/>
      <c r="G33" s="84"/>
      <c r="H33" s="84"/>
      <c r="J33" s="84" t="str">
        <f>IF(T33="","",VLOOKUP(T33,Configuratie!$B$1:$E$10,3,FALSE))</f>
        <v/>
      </c>
      <c r="K33" s="84"/>
      <c r="L33" s="6" t="s">
        <v>5</v>
      </c>
      <c r="M33" s="84" t="str">
        <f>IF(T33="","",VLOOKUP(T33,Configuratie!$B$1:$E$10,4,FALSE))</f>
        <v/>
      </c>
      <c r="N33" s="84"/>
      <c r="R33" s="6" t="str">
        <f>IF(T33="","",VLOOKUP(T33,Configuratie!$B$1:$E$10,2,FALSE))</f>
        <v/>
      </c>
      <c r="S33" s="61"/>
      <c r="T33" s="5"/>
      <c r="AT33" s="6">
        <v>3</v>
      </c>
      <c r="AU33" s="6">
        <v>3</v>
      </c>
      <c r="AV33" s="6">
        <v>1</v>
      </c>
      <c r="AW33" s="6" t="str">
        <f t="shared" ref="AW33:AW37" si="38">IF(AND(ISNUMBER(J33),ISNUMBER(M33)),IF(J33+M33=1,1,0),"")</f>
        <v/>
      </c>
      <c r="AY33" s="48">
        <f>AU33*100+AV33</f>
        <v>301</v>
      </c>
      <c r="AZ33" s="48">
        <f>AV33*100+AU33</f>
        <v>103</v>
      </c>
      <c r="BA33" s="6">
        <f t="shared" si="37"/>
        <v>0</v>
      </c>
      <c r="BB33" s="6">
        <f t="shared" si="37"/>
        <v>0</v>
      </c>
      <c r="BC33" s="6" t="e">
        <f>J33*BB33</f>
        <v>#VALUE!</v>
      </c>
      <c r="BD33" s="6" t="e">
        <f>M33*BA33</f>
        <v>#VALUE!</v>
      </c>
    </row>
    <row r="34" spans="2:56" x14ac:dyDescent="0.25">
      <c r="B34" s="6">
        <v>3</v>
      </c>
      <c r="C34" s="6" t="str">
        <f>VLOOKUP(AU34,$B$4:$F$13,2,FALSE)</f>
        <v>D</v>
      </c>
      <c r="D34" s="46" t="s">
        <v>5</v>
      </c>
      <c r="E34" s="84" t="str">
        <f>VLOOKUP(AV34,$B$4:$F$13,2,FALSE)</f>
        <v>I</v>
      </c>
      <c r="F34" s="84"/>
      <c r="G34" s="84"/>
      <c r="H34" s="84"/>
      <c r="J34" s="84" t="str">
        <f>IF(T34="","",VLOOKUP(T34,Configuratie!$B$1:$E$10,3,FALSE))</f>
        <v/>
      </c>
      <c r="K34" s="84"/>
      <c r="L34" s="6" t="s">
        <v>5</v>
      </c>
      <c r="M34" s="84" t="str">
        <f>IF(T34="","",VLOOKUP(T34,Configuratie!$B$1:$E$10,4,FALSE))</f>
        <v/>
      </c>
      <c r="N34" s="84"/>
      <c r="R34" s="6" t="str">
        <f>IF(T34="","",VLOOKUP(T34,Configuratie!$B$1:$E$10,2,FALSE))</f>
        <v/>
      </c>
      <c r="S34" s="61"/>
      <c r="T34" s="5"/>
      <c r="AT34" s="6">
        <v>3</v>
      </c>
      <c r="AU34" s="6">
        <v>4</v>
      </c>
      <c r="AV34" s="6">
        <v>9</v>
      </c>
      <c r="AW34" s="6" t="str">
        <f t="shared" si="38"/>
        <v/>
      </c>
      <c r="AY34" s="48">
        <f>AU34*100+AV34</f>
        <v>409</v>
      </c>
      <c r="AZ34" s="48">
        <f>AV34*100+AU34</f>
        <v>904</v>
      </c>
      <c r="BA34" s="6">
        <f t="shared" si="37"/>
        <v>0</v>
      </c>
      <c r="BB34" s="6">
        <f t="shared" si="37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4</v>
      </c>
      <c r="C35" s="6" t="str">
        <f>VLOOKUP(AU35,$B$4:$F$13,2,FALSE)</f>
        <v>E</v>
      </c>
      <c r="D35" s="46" t="s">
        <v>5</v>
      </c>
      <c r="E35" s="84" t="str">
        <f>VLOOKUP(AV35,$B$4:$F$13,2,FALSE)</f>
        <v>H</v>
      </c>
      <c r="F35" s="84"/>
      <c r="G35" s="84"/>
      <c r="H35" s="84"/>
      <c r="J35" s="84" t="str">
        <f>IF(T35="","",VLOOKUP(T35,Configuratie!$B$1:$E$10,3,FALSE))</f>
        <v/>
      </c>
      <c r="K35" s="84"/>
      <c r="L35" s="6" t="s">
        <v>5</v>
      </c>
      <c r="M35" s="84" t="str">
        <f>IF(T35="","",VLOOKUP(T35,Configuratie!$B$1:$E$10,4,FALSE))</f>
        <v/>
      </c>
      <c r="N35" s="84"/>
      <c r="R35" s="6" t="str">
        <f>IF(T35="","",VLOOKUP(T35,Configuratie!$B$1:$E$10,2,FALSE))</f>
        <v/>
      </c>
      <c r="S35" s="61"/>
      <c r="T35" s="5"/>
      <c r="AT35" s="6">
        <v>3</v>
      </c>
      <c r="AU35" s="6">
        <v>5</v>
      </c>
      <c r="AV35" s="6">
        <v>8</v>
      </c>
      <c r="AW35" s="6" t="str">
        <f t="shared" si="38"/>
        <v/>
      </c>
      <c r="AY35" s="48">
        <f>AU35*100+AV35</f>
        <v>508</v>
      </c>
      <c r="AZ35" s="48">
        <f>AV35*100+AU35</f>
        <v>805</v>
      </c>
      <c r="BA35" s="6">
        <f t="shared" si="37"/>
        <v>0</v>
      </c>
      <c r="BB35" s="6">
        <f t="shared" si="37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5</v>
      </c>
      <c r="C36" s="6" t="str">
        <f>VLOOKUP(AU36,$B$4:$F$13,2,FALSE)</f>
        <v>F</v>
      </c>
      <c r="D36" s="46" t="s">
        <v>5</v>
      </c>
      <c r="E36" s="84" t="str">
        <f>VLOOKUP(AV36,$B$4:$F$13,2,FALSE)</f>
        <v>G</v>
      </c>
      <c r="F36" s="84"/>
      <c r="G36" s="84"/>
      <c r="H36" s="84"/>
      <c r="J36" s="84" t="str">
        <f>IF(T36="","",VLOOKUP(T36,Configuratie!$B$1:$E$10,3,FALSE))</f>
        <v/>
      </c>
      <c r="K36" s="84"/>
      <c r="L36" s="6" t="s">
        <v>5</v>
      </c>
      <c r="M36" s="84" t="str">
        <f>IF(T36="","",VLOOKUP(T36,Configuratie!$B$1:$E$10,4,FALSE))</f>
        <v/>
      </c>
      <c r="N36" s="84"/>
      <c r="R36" s="6" t="str">
        <f>IF(T36="","",VLOOKUP(T36,Configuratie!$B$1:$E$10,2,FALSE))</f>
        <v/>
      </c>
      <c r="S36" s="61"/>
      <c r="T36" s="5"/>
      <c r="AT36" s="6">
        <v>3</v>
      </c>
      <c r="AU36" s="6">
        <v>6</v>
      </c>
      <c r="AV36" s="6">
        <v>7</v>
      </c>
      <c r="AW36" s="6" t="str">
        <f t="shared" si="38"/>
        <v/>
      </c>
      <c r="AY36" s="48">
        <f>AU36*100+AV36</f>
        <v>607</v>
      </c>
      <c r="AZ36" s="48">
        <f>AV36*100+AU36</f>
        <v>706</v>
      </c>
      <c r="BA36" s="6">
        <f t="shared" si="37"/>
        <v>0</v>
      </c>
      <c r="BB36" s="6">
        <f t="shared" si="37"/>
        <v>0</v>
      </c>
      <c r="BC36" s="6" t="e">
        <f>J36*BB36</f>
        <v>#VALUE!</v>
      </c>
      <c r="BD36" s="6" t="e">
        <f>M36*BA36</f>
        <v>#VALUE!</v>
      </c>
    </row>
    <row r="37" spans="2:56" ht="3" customHeight="1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AW37" s="6" t="str">
        <f t="shared" si="38"/>
        <v/>
      </c>
      <c r="AY37" s="42"/>
      <c r="AZ37" s="42"/>
    </row>
    <row r="38" spans="2:56" x14ac:dyDescent="0.25">
      <c r="B38" s="45" t="s">
        <v>11</v>
      </c>
      <c r="AY38" s="42"/>
      <c r="AZ38" s="42"/>
    </row>
    <row r="39" spans="2:56" x14ac:dyDescent="0.25">
      <c r="B39" s="6">
        <v>1</v>
      </c>
      <c r="C39" s="6" t="str">
        <f>VLOOKUP(AU39,$B$4:$F$13,2,FALSE)</f>
        <v>J</v>
      </c>
      <c r="D39" s="46" t="s">
        <v>5</v>
      </c>
      <c r="E39" s="84" t="str">
        <f>VLOOKUP(AV39,$B$4:$F$13,2,FALSE)</f>
        <v>G</v>
      </c>
      <c r="F39" s="84"/>
      <c r="G39" s="84"/>
      <c r="H39" s="84"/>
      <c r="J39" s="84" t="str">
        <f>IF(T39="","",VLOOKUP(T39,Configuratie!$B$1:$E$10,3,FALSE))</f>
        <v/>
      </c>
      <c r="K39" s="84"/>
      <c r="L39" s="6" t="s">
        <v>5</v>
      </c>
      <c r="M39" s="84" t="str">
        <f>IF(T39="","",VLOOKUP(T39,Configuratie!$B$1:$E$10,4,FALSE))</f>
        <v/>
      </c>
      <c r="N39" s="84"/>
      <c r="R39" s="6" t="str">
        <f>IF(T39="","",VLOOKUP(T39,Configuratie!$B$1:$E$10,2,FALSE))</f>
        <v/>
      </c>
      <c r="S39" s="61"/>
      <c r="T39" s="5"/>
      <c r="AT39" s="6">
        <v>4</v>
      </c>
      <c r="AU39" s="6">
        <v>10</v>
      </c>
      <c r="AV39" s="6">
        <v>7</v>
      </c>
      <c r="AW39" s="6" t="str">
        <f>IF(AND(ISNUMBER(J39),ISNUMBER(M39)),IF(J39+M39=1,1,0),"")</f>
        <v/>
      </c>
      <c r="AY39" s="48">
        <f>AU39*100+AV39</f>
        <v>1007</v>
      </c>
      <c r="AZ39" s="48">
        <f>AV39*100+AU39</f>
        <v>710</v>
      </c>
      <c r="BA39" s="6">
        <f t="shared" ref="BA39:BB43" si="39">VLOOKUP(AU39,$BJ$3:$BS$13,$AT39,FALSE)</f>
        <v>0</v>
      </c>
      <c r="BB39" s="6">
        <f t="shared" si="39"/>
        <v>0</v>
      </c>
      <c r="BC39" s="6" t="e">
        <f>J39*BB39</f>
        <v>#VALUE!</v>
      </c>
      <c r="BD39" s="6" t="e">
        <f>M39*BA39</f>
        <v>#VALUE!</v>
      </c>
    </row>
    <row r="40" spans="2:56" x14ac:dyDescent="0.25">
      <c r="B40" s="6">
        <v>2</v>
      </c>
      <c r="C40" s="6" t="str">
        <f>VLOOKUP(AU40,$B$4:$F$13,2,FALSE)</f>
        <v>H</v>
      </c>
      <c r="D40" s="46" t="s">
        <v>5</v>
      </c>
      <c r="E40" s="84" t="str">
        <f>VLOOKUP(AV40,$B$4:$F$13,2,FALSE)</f>
        <v>F</v>
      </c>
      <c r="F40" s="84"/>
      <c r="G40" s="84"/>
      <c r="H40" s="84"/>
      <c r="J40" s="84" t="str">
        <f>IF(T40="","",VLOOKUP(T40,Configuratie!$B$1:$E$10,3,FALSE))</f>
        <v/>
      </c>
      <c r="K40" s="84"/>
      <c r="L40" s="6" t="s">
        <v>5</v>
      </c>
      <c r="M40" s="84" t="str">
        <f>IF(T40="","",VLOOKUP(T40,Configuratie!$B$1:$E$10,4,FALSE))</f>
        <v/>
      </c>
      <c r="N40" s="84"/>
      <c r="R40" s="6" t="str">
        <f>IF(T40="","",VLOOKUP(T40,Configuratie!$B$1:$E$10,2,FALSE))</f>
        <v/>
      </c>
      <c r="S40" s="61"/>
      <c r="T40" s="5"/>
      <c r="AT40" s="6">
        <v>4</v>
      </c>
      <c r="AU40" s="6">
        <v>8</v>
      </c>
      <c r="AV40" s="6">
        <v>6</v>
      </c>
      <c r="AW40" s="6" t="str">
        <f t="shared" ref="AW40:AW44" si="40">IF(AND(ISNUMBER(J40),ISNUMBER(M40)),IF(J40+M40=1,1,0),"")</f>
        <v/>
      </c>
      <c r="AY40" s="48">
        <f>AU40*100+AV40</f>
        <v>806</v>
      </c>
      <c r="AZ40" s="48">
        <f>AV40*100+AU40</f>
        <v>608</v>
      </c>
      <c r="BA40" s="6">
        <f t="shared" si="39"/>
        <v>0</v>
      </c>
      <c r="BB40" s="6">
        <f t="shared" si="39"/>
        <v>0</v>
      </c>
      <c r="BC40" s="6" t="e">
        <f>J40*BB40</f>
        <v>#VALUE!</v>
      </c>
      <c r="BD40" s="6" t="e">
        <f>M40*BA40</f>
        <v>#VALUE!</v>
      </c>
    </row>
    <row r="41" spans="2:56" x14ac:dyDescent="0.25">
      <c r="B41" s="6">
        <v>3</v>
      </c>
      <c r="C41" s="6" t="str">
        <f>VLOOKUP(AU41,$B$4:$F$13,2,FALSE)</f>
        <v>I</v>
      </c>
      <c r="D41" s="46" t="s">
        <v>5</v>
      </c>
      <c r="E41" s="84" t="str">
        <f>VLOOKUP(AV41,$B$4:$F$13,2,FALSE)</f>
        <v>E</v>
      </c>
      <c r="F41" s="84"/>
      <c r="G41" s="84"/>
      <c r="H41" s="84"/>
      <c r="J41" s="84" t="str">
        <f>IF(T41="","",VLOOKUP(T41,Configuratie!$B$1:$E$10,3,FALSE))</f>
        <v/>
      </c>
      <c r="K41" s="84"/>
      <c r="L41" s="6" t="s">
        <v>5</v>
      </c>
      <c r="M41" s="84" t="str">
        <f>IF(T41="","",VLOOKUP(T41,Configuratie!$B$1:$E$10,4,FALSE))</f>
        <v/>
      </c>
      <c r="N41" s="84"/>
      <c r="R41" s="6" t="str">
        <f>IF(T41="","",VLOOKUP(T41,Configuratie!$B$1:$E$10,2,FALSE))</f>
        <v/>
      </c>
      <c r="S41" s="61"/>
      <c r="T41" s="5"/>
      <c r="AT41" s="6">
        <v>4</v>
      </c>
      <c r="AU41" s="6">
        <v>9</v>
      </c>
      <c r="AV41" s="6">
        <v>5</v>
      </c>
      <c r="AW41" s="6" t="str">
        <f t="shared" si="40"/>
        <v/>
      </c>
      <c r="AY41" s="48">
        <f>AU41*100+AV41</f>
        <v>905</v>
      </c>
      <c r="AZ41" s="48">
        <f>AV41*100+AU41</f>
        <v>509</v>
      </c>
      <c r="BA41" s="6">
        <f t="shared" si="39"/>
        <v>0</v>
      </c>
      <c r="BB41" s="6">
        <f t="shared" si="39"/>
        <v>0</v>
      </c>
      <c r="BC41" s="6" t="e">
        <f>J41*BB41</f>
        <v>#VALUE!</v>
      </c>
      <c r="BD41" s="6" t="e">
        <f>M41*BA41</f>
        <v>#VALUE!</v>
      </c>
    </row>
    <row r="42" spans="2:56" x14ac:dyDescent="0.25">
      <c r="B42" s="6">
        <v>4</v>
      </c>
      <c r="C42" s="6" t="str">
        <f>VLOOKUP(AU42,$B$4:$F$13,2,FALSE)</f>
        <v>A</v>
      </c>
      <c r="D42" s="46" t="s">
        <v>5</v>
      </c>
      <c r="E42" s="84" t="str">
        <f>VLOOKUP(AV42,$B$4:$F$13,2,FALSE)</f>
        <v>D</v>
      </c>
      <c r="F42" s="84"/>
      <c r="G42" s="84"/>
      <c r="H42" s="84"/>
      <c r="J42" s="84" t="str">
        <f>IF(T42="","",VLOOKUP(T42,Configuratie!$B$1:$E$10,3,FALSE))</f>
        <v/>
      </c>
      <c r="K42" s="84"/>
      <c r="L42" s="6" t="s">
        <v>5</v>
      </c>
      <c r="M42" s="84" t="str">
        <f>IF(T42="","",VLOOKUP(T42,Configuratie!$B$1:$E$10,4,FALSE))</f>
        <v/>
      </c>
      <c r="N42" s="84"/>
      <c r="R42" s="6" t="str">
        <f>IF(T42="","",VLOOKUP(T42,Configuratie!$B$1:$E$10,2,FALSE))</f>
        <v/>
      </c>
      <c r="S42" s="61"/>
      <c r="T42" s="5"/>
      <c r="AT42" s="6">
        <v>4</v>
      </c>
      <c r="AU42" s="6">
        <v>1</v>
      </c>
      <c r="AV42" s="6">
        <v>4</v>
      </c>
      <c r="AW42" s="6" t="str">
        <f t="shared" si="40"/>
        <v/>
      </c>
      <c r="AY42" s="48">
        <f>AU42*100+AV42</f>
        <v>104</v>
      </c>
      <c r="AZ42" s="48">
        <f>AV42*100+AU42</f>
        <v>401</v>
      </c>
      <c r="BA42" s="6">
        <f t="shared" si="39"/>
        <v>0</v>
      </c>
      <c r="BB42" s="6">
        <f t="shared" si="39"/>
        <v>0</v>
      </c>
      <c r="BC42" s="6" t="e">
        <f>J42*BB42</f>
        <v>#VALUE!</v>
      </c>
      <c r="BD42" s="6" t="e">
        <f>M42*BA42</f>
        <v>#VALUE!</v>
      </c>
    </row>
    <row r="43" spans="2:56" x14ac:dyDescent="0.25">
      <c r="B43" s="6">
        <v>5</v>
      </c>
      <c r="C43" s="6" t="str">
        <f>VLOOKUP(AU43,$B$4:$F$13,2,FALSE)</f>
        <v>B</v>
      </c>
      <c r="D43" s="46" t="s">
        <v>5</v>
      </c>
      <c r="E43" s="84" t="str">
        <f>VLOOKUP(AV43,$B$4:$F$13,2,FALSE)</f>
        <v>C</v>
      </c>
      <c r="F43" s="84"/>
      <c r="G43" s="84"/>
      <c r="H43" s="84"/>
      <c r="J43" s="84" t="str">
        <f>IF(T43="","",VLOOKUP(T43,Configuratie!$B$1:$E$10,3,FALSE))</f>
        <v/>
      </c>
      <c r="K43" s="84"/>
      <c r="L43" s="6" t="s">
        <v>5</v>
      </c>
      <c r="M43" s="84" t="str">
        <f>IF(T43="","",VLOOKUP(T43,Configuratie!$B$1:$E$10,4,FALSE))</f>
        <v/>
      </c>
      <c r="N43" s="84"/>
      <c r="R43" s="6" t="str">
        <f>IF(T43="","",VLOOKUP(T43,Configuratie!$B$1:$E$10,2,FALSE))</f>
        <v/>
      </c>
      <c r="S43" s="61"/>
      <c r="T43" s="5"/>
      <c r="AT43" s="6">
        <v>4</v>
      </c>
      <c r="AU43" s="6">
        <v>2</v>
      </c>
      <c r="AV43" s="6">
        <v>3</v>
      </c>
      <c r="AW43" s="6" t="str">
        <f t="shared" si="40"/>
        <v/>
      </c>
      <c r="AY43" s="48">
        <f>AU43*100+AV43</f>
        <v>203</v>
      </c>
      <c r="AZ43" s="48">
        <f>AV43*100+AU43</f>
        <v>302</v>
      </c>
      <c r="BA43" s="6">
        <f t="shared" si="39"/>
        <v>0</v>
      </c>
      <c r="BB43" s="6">
        <f t="shared" si="39"/>
        <v>0</v>
      </c>
      <c r="BC43" s="6" t="e">
        <f>J43*BB43</f>
        <v>#VALUE!</v>
      </c>
      <c r="BD43" s="6" t="e">
        <f>M43*BA43</f>
        <v>#VALUE!</v>
      </c>
    </row>
    <row r="44" spans="2:56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AW44" s="6" t="str">
        <f t="shared" si="40"/>
        <v/>
      </c>
      <c r="AY44" s="42"/>
      <c r="AZ44" s="42"/>
    </row>
    <row r="45" spans="2:56" x14ac:dyDescent="0.25">
      <c r="B45" s="45" t="s">
        <v>12</v>
      </c>
      <c r="AY45" s="42"/>
      <c r="AZ45" s="42"/>
    </row>
    <row r="46" spans="2:56" x14ac:dyDescent="0.25">
      <c r="B46" s="6">
        <v>1</v>
      </c>
      <c r="C46" s="6" t="str">
        <f>VLOOKUP(AU46,$B$4:$F$13,2,FALSE)</f>
        <v>C</v>
      </c>
      <c r="D46" s="46" t="s">
        <v>5</v>
      </c>
      <c r="E46" s="84" t="str">
        <f>VLOOKUP(AV46,$B$4:$F$13,2,FALSE)</f>
        <v>J</v>
      </c>
      <c r="F46" s="84"/>
      <c r="G46" s="84"/>
      <c r="H46" s="84"/>
      <c r="J46" s="84" t="str">
        <f>IF(T46="","",VLOOKUP(T46,Configuratie!$B$1:$E$10,3,FALSE))</f>
        <v/>
      </c>
      <c r="K46" s="84"/>
      <c r="L46" s="6" t="s">
        <v>5</v>
      </c>
      <c r="M46" s="84" t="str">
        <f>IF(T46="","",VLOOKUP(T46,Configuratie!$B$1:$E$10,4,FALSE))</f>
        <v/>
      </c>
      <c r="N46" s="84"/>
      <c r="R46" s="6" t="str">
        <f>IF(T46="","",VLOOKUP(T46,Configuratie!$B$1:$E$10,2,FALSE))</f>
        <v/>
      </c>
      <c r="S46" s="61"/>
      <c r="T46" s="5"/>
      <c r="AT46" s="6">
        <v>5</v>
      </c>
      <c r="AU46" s="6">
        <v>3</v>
      </c>
      <c r="AV46" s="6">
        <v>10</v>
      </c>
      <c r="AW46" s="6" t="str">
        <f>IF(AND(ISNUMBER(J46),ISNUMBER(M46)),IF(J46+M46=1,1,0),"")</f>
        <v/>
      </c>
      <c r="AY46" s="48">
        <f>AU46*100+AV46</f>
        <v>310</v>
      </c>
      <c r="AZ46" s="48">
        <f>AV46*100+AU46</f>
        <v>1003</v>
      </c>
      <c r="BA46" s="6">
        <f t="shared" ref="BA46:BB50" si="41">VLOOKUP(AU46,$BJ$3:$BS$13,$AT46,FALSE)</f>
        <v>0</v>
      </c>
      <c r="BB46" s="6">
        <f t="shared" si="41"/>
        <v>0</v>
      </c>
      <c r="BC46" s="6" t="e">
        <f>J46*BB46</f>
        <v>#VALUE!</v>
      </c>
      <c r="BD46" s="6" t="e">
        <f>M46*BA46</f>
        <v>#VALUE!</v>
      </c>
    </row>
    <row r="47" spans="2:56" x14ac:dyDescent="0.25">
      <c r="B47" s="6">
        <v>2</v>
      </c>
      <c r="C47" s="6" t="str">
        <f>VLOOKUP(AU47,$B$4:$F$13,2,FALSE)</f>
        <v>D</v>
      </c>
      <c r="D47" s="46" t="s">
        <v>5</v>
      </c>
      <c r="E47" s="84" t="str">
        <f>VLOOKUP(AV47,$B$4:$F$13,2,FALSE)</f>
        <v>B</v>
      </c>
      <c r="F47" s="84"/>
      <c r="G47" s="84"/>
      <c r="H47" s="84"/>
      <c r="J47" s="84" t="str">
        <f>IF(T47="","",VLOOKUP(T47,Configuratie!$B$1:$E$10,3,FALSE))</f>
        <v/>
      </c>
      <c r="K47" s="84"/>
      <c r="L47" s="6" t="s">
        <v>5</v>
      </c>
      <c r="M47" s="84" t="str">
        <f>IF(T47="","",VLOOKUP(T47,Configuratie!$B$1:$E$10,4,FALSE))</f>
        <v/>
      </c>
      <c r="N47" s="84"/>
      <c r="R47" s="6" t="str">
        <f>IF(T47="","",VLOOKUP(T47,Configuratie!$B$1:$E$10,2,FALSE))</f>
        <v/>
      </c>
      <c r="S47" s="61"/>
      <c r="T47" s="5"/>
      <c r="AT47" s="6">
        <v>5</v>
      </c>
      <c r="AU47" s="6">
        <v>4</v>
      </c>
      <c r="AV47" s="6">
        <v>2</v>
      </c>
      <c r="AW47" s="6" t="str">
        <f t="shared" ref="AW47:AW51" si="42">IF(AND(ISNUMBER(J47),ISNUMBER(M47)),IF(J47+M47=1,1,0),"")</f>
        <v/>
      </c>
      <c r="AY47" s="48">
        <f>AU47*100+AV47</f>
        <v>402</v>
      </c>
      <c r="AZ47" s="48">
        <f>AV47*100+AU47</f>
        <v>204</v>
      </c>
      <c r="BA47" s="6">
        <f t="shared" si="41"/>
        <v>0</v>
      </c>
      <c r="BB47" s="6">
        <f t="shared" si="41"/>
        <v>0</v>
      </c>
      <c r="BC47" s="6" t="e">
        <f>J47*BB47</f>
        <v>#VALUE!</v>
      </c>
      <c r="BD47" s="6" t="e">
        <f>M47*BA47</f>
        <v>#VALUE!</v>
      </c>
    </row>
    <row r="48" spans="2:56" x14ac:dyDescent="0.25">
      <c r="B48" s="6">
        <v>3</v>
      </c>
      <c r="C48" s="6" t="str">
        <f>VLOOKUP(AU48,$B$4:$F$13,2,FALSE)</f>
        <v>E</v>
      </c>
      <c r="D48" s="46" t="s">
        <v>5</v>
      </c>
      <c r="E48" s="84" t="str">
        <f>VLOOKUP(AV48,$B$4:$F$13,2,FALSE)</f>
        <v>A</v>
      </c>
      <c r="F48" s="84"/>
      <c r="G48" s="84"/>
      <c r="H48" s="84"/>
      <c r="J48" s="84" t="str">
        <f>IF(T48="","",VLOOKUP(T48,Configuratie!$B$1:$E$10,3,FALSE))</f>
        <v/>
      </c>
      <c r="K48" s="84"/>
      <c r="L48" s="6" t="s">
        <v>5</v>
      </c>
      <c r="M48" s="84" t="str">
        <f>IF(T48="","",VLOOKUP(T48,Configuratie!$B$1:$E$10,4,FALSE))</f>
        <v/>
      </c>
      <c r="N48" s="84"/>
      <c r="R48" s="6" t="str">
        <f>IF(T48="","",VLOOKUP(T48,Configuratie!$B$1:$E$10,2,FALSE))</f>
        <v/>
      </c>
      <c r="S48" s="61"/>
      <c r="T48" s="5"/>
      <c r="AT48" s="6">
        <v>5</v>
      </c>
      <c r="AU48" s="6">
        <v>5</v>
      </c>
      <c r="AV48" s="6">
        <v>1</v>
      </c>
      <c r="AW48" s="6" t="str">
        <f t="shared" si="42"/>
        <v/>
      </c>
      <c r="AY48" s="48">
        <f>AU48*100+AV48</f>
        <v>501</v>
      </c>
      <c r="AZ48" s="48">
        <f>AV48*100+AU48</f>
        <v>105</v>
      </c>
      <c r="BA48" s="6">
        <f t="shared" si="41"/>
        <v>0</v>
      </c>
      <c r="BB48" s="6">
        <f t="shared" si="41"/>
        <v>0</v>
      </c>
      <c r="BC48" s="6" t="e">
        <f>J48*BB48</f>
        <v>#VALUE!</v>
      </c>
      <c r="BD48" s="6" t="e">
        <f>M48*BA48</f>
        <v>#VALUE!</v>
      </c>
    </row>
    <row r="49" spans="2:56" x14ac:dyDescent="0.25">
      <c r="B49" s="6">
        <v>4</v>
      </c>
      <c r="C49" s="6" t="str">
        <f>VLOOKUP(AU49,$B$4:$F$13,2,FALSE)</f>
        <v>F</v>
      </c>
      <c r="D49" s="46" t="s">
        <v>5</v>
      </c>
      <c r="E49" s="84" t="str">
        <f>VLOOKUP(AV49,$B$4:$F$13,2,FALSE)</f>
        <v>I</v>
      </c>
      <c r="F49" s="84"/>
      <c r="G49" s="84"/>
      <c r="H49" s="84"/>
      <c r="J49" s="84" t="str">
        <f>IF(T49="","",VLOOKUP(T49,Configuratie!$B$1:$E$10,3,FALSE))</f>
        <v/>
      </c>
      <c r="K49" s="84"/>
      <c r="L49" s="6" t="s">
        <v>5</v>
      </c>
      <c r="M49" s="84" t="str">
        <f>IF(T49="","",VLOOKUP(T49,Configuratie!$B$1:$E$10,4,FALSE))</f>
        <v/>
      </c>
      <c r="N49" s="84"/>
      <c r="R49" s="6" t="str">
        <f>IF(T49="","",VLOOKUP(T49,Configuratie!$B$1:$E$10,2,FALSE))</f>
        <v/>
      </c>
      <c r="S49" s="61"/>
      <c r="T49" s="5"/>
      <c r="AT49" s="6">
        <v>5</v>
      </c>
      <c r="AU49" s="6">
        <v>6</v>
      </c>
      <c r="AV49" s="6">
        <v>9</v>
      </c>
      <c r="AW49" s="6" t="str">
        <f t="shared" si="42"/>
        <v/>
      </c>
      <c r="AY49" s="48">
        <f>AU49*100+AV49</f>
        <v>609</v>
      </c>
      <c r="AZ49" s="48">
        <f>AV49*100+AU49</f>
        <v>906</v>
      </c>
      <c r="BA49" s="6">
        <f t="shared" si="41"/>
        <v>0</v>
      </c>
      <c r="BB49" s="6">
        <f t="shared" si="41"/>
        <v>0</v>
      </c>
      <c r="BC49" s="6" t="e">
        <f>J49*BB49</f>
        <v>#VALUE!</v>
      </c>
      <c r="BD49" s="6" t="e">
        <f>M49*BA49</f>
        <v>#VALUE!</v>
      </c>
    </row>
    <row r="50" spans="2:56" x14ac:dyDescent="0.25">
      <c r="B50" s="6">
        <v>5</v>
      </c>
      <c r="C50" s="6" t="str">
        <f>VLOOKUP(AU50,$B$4:$F$13,2,FALSE)</f>
        <v>G</v>
      </c>
      <c r="D50" s="46" t="s">
        <v>5</v>
      </c>
      <c r="E50" s="84" t="str">
        <f>VLOOKUP(AV50,$B$4:$F$13,2,FALSE)</f>
        <v>H</v>
      </c>
      <c r="F50" s="84"/>
      <c r="G50" s="84"/>
      <c r="H50" s="84"/>
      <c r="J50" s="84" t="str">
        <f>IF(T50="","",VLOOKUP(T50,Configuratie!$B$1:$E$10,3,FALSE))</f>
        <v/>
      </c>
      <c r="K50" s="84"/>
      <c r="L50" s="6" t="s">
        <v>5</v>
      </c>
      <c r="M50" s="84" t="str">
        <f>IF(T50="","",VLOOKUP(T50,Configuratie!$B$1:$E$10,4,FALSE))</f>
        <v/>
      </c>
      <c r="N50" s="84"/>
      <c r="R50" s="6" t="str">
        <f>IF(T50="","",VLOOKUP(T50,Configuratie!$B$1:$E$10,2,FALSE))</f>
        <v/>
      </c>
      <c r="S50" s="61"/>
      <c r="T50" s="5"/>
      <c r="AT50" s="6">
        <v>5</v>
      </c>
      <c r="AU50" s="6">
        <v>7</v>
      </c>
      <c r="AV50" s="6">
        <v>8</v>
      </c>
      <c r="AW50" s="6" t="str">
        <f t="shared" si="42"/>
        <v/>
      </c>
      <c r="AY50" s="48">
        <f>AU50*100+AV50</f>
        <v>708</v>
      </c>
      <c r="AZ50" s="48">
        <f>AV50*100+AU50</f>
        <v>807</v>
      </c>
      <c r="BA50" s="6">
        <f t="shared" si="41"/>
        <v>0</v>
      </c>
      <c r="BB50" s="6">
        <f t="shared" si="41"/>
        <v>0</v>
      </c>
      <c r="BC50" s="6" t="e">
        <f>J50*BB50</f>
        <v>#VALUE!</v>
      </c>
      <c r="BD50" s="6" t="e">
        <f>M50*BA50</f>
        <v>#VALUE!</v>
      </c>
    </row>
    <row r="51" spans="2:56" ht="3" customHeight="1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AW51" s="6" t="str">
        <f t="shared" si="42"/>
        <v/>
      </c>
      <c r="AY51" s="42"/>
      <c r="AZ51" s="42"/>
    </row>
    <row r="52" spans="2:56" x14ac:dyDescent="0.25">
      <c r="B52" s="45" t="s">
        <v>13</v>
      </c>
      <c r="AY52" s="42"/>
      <c r="AZ52" s="42"/>
    </row>
    <row r="53" spans="2:56" x14ac:dyDescent="0.25">
      <c r="B53" s="6">
        <v>1</v>
      </c>
      <c r="C53" s="6" t="str">
        <f>VLOOKUP(AU53,$B$4:$F$13,2,FALSE)</f>
        <v>J</v>
      </c>
      <c r="D53" s="46" t="s">
        <v>5</v>
      </c>
      <c r="E53" s="84" t="str">
        <f>VLOOKUP(AV53,$B$4:$F$13,2,FALSE)</f>
        <v>H</v>
      </c>
      <c r="F53" s="84"/>
      <c r="G53" s="84"/>
      <c r="H53" s="84"/>
      <c r="J53" s="84" t="str">
        <f>IF(T53="","",VLOOKUP(T53,Configuratie!$B$1:$E$10,3,FALSE))</f>
        <v/>
      </c>
      <c r="K53" s="84"/>
      <c r="L53" s="6" t="s">
        <v>5</v>
      </c>
      <c r="M53" s="84" t="str">
        <f>IF(T53="","",VLOOKUP(T53,Configuratie!$B$1:$E$10,4,FALSE))</f>
        <v/>
      </c>
      <c r="N53" s="84"/>
      <c r="R53" s="6" t="str">
        <f>IF(T53="","",VLOOKUP(T53,Configuratie!$B$1:$E$10,2,FALSE))</f>
        <v/>
      </c>
      <c r="S53" s="61"/>
      <c r="T53" s="5"/>
      <c r="AT53" s="6">
        <v>6</v>
      </c>
      <c r="AU53" s="6">
        <v>10</v>
      </c>
      <c r="AV53" s="6">
        <v>8</v>
      </c>
      <c r="AW53" s="6" t="str">
        <f>IF(AND(ISNUMBER(J53),ISNUMBER(M53)),IF(J53+M53=1,1,0),"")</f>
        <v/>
      </c>
      <c r="AY53" s="48">
        <f>AU53*100+AV53</f>
        <v>1008</v>
      </c>
      <c r="AZ53" s="48">
        <f>AV53*100+AU53</f>
        <v>810</v>
      </c>
      <c r="BA53" s="6">
        <f t="shared" ref="BA53:BB57" si="43">VLOOKUP(AU53,$BJ$3:$BS$13,$AT53,FALSE)</f>
        <v>0</v>
      </c>
      <c r="BB53" s="6">
        <f t="shared" si="43"/>
        <v>0</v>
      </c>
      <c r="BC53" s="6" t="e">
        <f>J53*BB53</f>
        <v>#VALUE!</v>
      </c>
      <c r="BD53" s="6" t="e">
        <f>M53*BA53</f>
        <v>#VALUE!</v>
      </c>
    </row>
    <row r="54" spans="2:56" x14ac:dyDescent="0.25">
      <c r="B54" s="6">
        <v>2</v>
      </c>
      <c r="C54" s="6" t="str">
        <f>VLOOKUP(AU54,$B$4:$F$13,2,FALSE)</f>
        <v>I</v>
      </c>
      <c r="D54" s="46" t="s">
        <v>5</v>
      </c>
      <c r="E54" s="84" t="str">
        <f>VLOOKUP(AV54,$B$4:$F$13,2,FALSE)</f>
        <v>G</v>
      </c>
      <c r="F54" s="84"/>
      <c r="G54" s="84"/>
      <c r="H54" s="84"/>
      <c r="J54" s="84" t="str">
        <f>IF(T54="","",VLOOKUP(T54,Configuratie!$B$1:$E$10,3,FALSE))</f>
        <v/>
      </c>
      <c r="K54" s="84"/>
      <c r="L54" s="6" t="s">
        <v>5</v>
      </c>
      <c r="M54" s="84" t="str">
        <f>IF(T54="","",VLOOKUP(T54,Configuratie!$B$1:$E$10,4,FALSE))</f>
        <v/>
      </c>
      <c r="N54" s="84"/>
      <c r="R54" s="6" t="str">
        <f>IF(T54="","",VLOOKUP(T54,Configuratie!$B$1:$E$10,2,FALSE))</f>
        <v/>
      </c>
      <c r="S54" s="61"/>
      <c r="T54" s="5"/>
      <c r="AT54" s="6">
        <v>6</v>
      </c>
      <c r="AU54" s="6">
        <v>9</v>
      </c>
      <c r="AV54" s="6">
        <v>7</v>
      </c>
      <c r="AW54" s="6" t="str">
        <f t="shared" ref="AW54:AW58" si="44">IF(AND(ISNUMBER(J54),ISNUMBER(M54)),IF(J54+M54=1,1,0),"")</f>
        <v/>
      </c>
      <c r="AY54" s="48">
        <f>AU54*100+AV54</f>
        <v>907</v>
      </c>
      <c r="AZ54" s="48">
        <f>AV54*100+AU54</f>
        <v>709</v>
      </c>
      <c r="BA54" s="6">
        <f t="shared" si="43"/>
        <v>0</v>
      </c>
      <c r="BB54" s="6">
        <f t="shared" si="43"/>
        <v>0</v>
      </c>
      <c r="BC54" s="6" t="e">
        <f>J54*BB54</f>
        <v>#VALUE!</v>
      </c>
      <c r="BD54" s="6" t="e">
        <f>M54*BA54</f>
        <v>#VALUE!</v>
      </c>
    </row>
    <row r="55" spans="2:56" x14ac:dyDescent="0.25">
      <c r="B55" s="6">
        <v>3</v>
      </c>
      <c r="C55" s="6" t="str">
        <f>VLOOKUP(AU55,$B$4:$F$13,2,FALSE)</f>
        <v>A</v>
      </c>
      <c r="D55" s="46" t="s">
        <v>5</v>
      </c>
      <c r="E55" s="84" t="str">
        <f>VLOOKUP(AV55,$B$4:$F$13,2,FALSE)</f>
        <v>F</v>
      </c>
      <c r="F55" s="84"/>
      <c r="G55" s="84"/>
      <c r="H55" s="84"/>
      <c r="J55" s="84" t="str">
        <f>IF(T55="","",VLOOKUP(T55,Configuratie!$B$1:$E$10,3,FALSE))</f>
        <v/>
      </c>
      <c r="K55" s="84"/>
      <c r="L55" s="6" t="s">
        <v>5</v>
      </c>
      <c r="M55" s="84" t="str">
        <f>IF(T55="","",VLOOKUP(T55,Configuratie!$B$1:$E$10,4,FALSE))</f>
        <v/>
      </c>
      <c r="N55" s="84"/>
      <c r="R55" s="6" t="str">
        <f>IF(T55="","",VLOOKUP(T55,Configuratie!$B$1:$E$10,2,FALSE))</f>
        <v/>
      </c>
      <c r="S55" s="61"/>
      <c r="T55" s="5"/>
      <c r="AT55" s="6">
        <v>6</v>
      </c>
      <c r="AU55" s="6">
        <v>1</v>
      </c>
      <c r="AV55" s="6">
        <v>6</v>
      </c>
      <c r="AW55" s="6" t="str">
        <f t="shared" si="44"/>
        <v/>
      </c>
      <c r="AY55" s="48">
        <f>AU55*100+AV55</f>
        <v>106</v>
      </c>
      <c r="AZ55" s="48">
        <f>AV55*100+AU55</f>
        <v>601</v>
      </c>
      <c r="BA55" s="6">
        <f t="shared" si="43"/>
        <v>0</v>
      </c>
      <c r="BB55" s="6">
        <f t="shared" si="43"/>
        <v>0</v>
      </c>
      <c r="BC55" s="6" t="e">
        <f>J55*BB55</f>
        <v>#VALUE!</v>
      </c>
      <c r="BD55" s="6" t="e">
        <f>M55*BA55</f>
        <v>#VALUE!</v>
      </c>
    </row>
    <row r="56" spans="2:56" x14ac:dyDescent="0.25">
      <c r="B56" s="6">
        <v>4</v>
      </c>
      <c r="C56" s="6" t="str">
        <f>VLOOKUP(AU56,$B$4:$F$13,2,FALSE)</f>
        <v>B</v>
      </c>
      <c r="D56" s="46" t="s">
        <v>5</v>
      </c>
      <c r="E56" s="84" t="str">
        <f>VLOOKUP(AV56,$B$4:$F$13,2,FALSE)</f>
        <v>E</v>
      </c>
      <c r="F56" s="84"/>
      <c r="G56" s="84"/>
      <c r="H56" s="84"/>
      <c r="J56" s="84" t="str">
        <f>IF(T56="","",VLOOKUP(T56,Configuratie!$B$1:$E$10,3,FALSE))</f>
        <v/>
      </c>
      <c r="K56" s="84"/>
      <c r="L56" s="6" t="s">
        <v>5</v>
      </c>
      <c r="M56" s="84" t="str">
        <f>IF(T56="","",VLOOKUP(T56,Configuratie!$B$1:$E$10,4,FALSE))</f>
        <v/>
      </c>
      <c r="N56" s="84"/>
      <c r="R56" s="6" t="str">
        <f>IF(T56="","",VLOOKUP(T56,Configuratie!$B$1:$E$10,2,FALSE))</f>
        <v/>
      </c>
      <c r="S56" s="61"/>
      <c r="T56" s="5"/>
      <c r="AT56" s="6">
        <v>6</v>
      </c>
      <c r="AU56" s="6">
        <v>2</v>
      </c>
      <c r="AV56" s="6">
        <v>5</v>
      </c>
      <c r="AW56" s="6" t="str">
        <f t="shared" si="44"/>
        <v/>
      </c>
      <c r="AY56" s="48">
        <f>AU56*100+AV56</f>
        <v>205</v>
      </c>
      <c r="AZ56" s="48">
        <f>AV56*100+AU56</f>
        <v>502</v>
      </c>
      <c r="BA56" s="6">
        <f t="shared" si="43"/>
        <v>0</v>
      </c>
      <c r="BB56" s="6">
        <f t="shared" si="43"/>
        <v>0</v>
      </c>
      <c r="BC56" s="6" t="e">
        <f>J56*BB56</f>
        <v>#VALUE!</v>
      </c>
      <c r="BD56" s="6" t="e">
        <f>M56*BA56</f>
        <v>#VALUE!</v>
      </c>
    </row>
    <row r="57" spans="2:56" x14ac:dyDescent="0.25">
      <c r="B57" s="6">
        <v>5</v>
      </c>
      <c r="C57" s="6" t="str">
        <f>VLOOKUP(AU57,$B$4:$F$13,2,FALSE)</f>
        <v>C</v>
      </c>
      <c r="D57" s="46" t="s">
        <v>5</v>
      </c>
      <c r="E57" s="84" t="str">
        <f>VLOOKUP(AV57,$B$4:$F$13,2,FALSE)</f>
        <v>D</v>
      </c>
      <c r="F57" s="84"/>
      <c r="G57" s="84"/>
      <c r="H57" s="84"/>
      <c r="J57" s="84" t="str">
        <f>IF(T57="","",VLOOKUP(T57,Configuratie!$B$1:$E$10,3,FALSE))</f>
        <v/>
      </c>
      <c r="K57" s="84"/>
      <c r="L57" s="6" t="s">
        <v>5</v>
      </c>
      <c r="M57" s="84" t="str">
        <f>IF(T57="","",VLOOKUP(T57,Configuratie!$B$1:$E$10,4,FALSE))</f>
        <v/>
      </c>
      <c r="N57" s="84"/>
      <c r="R57" s="6" t="str">
        <f>IF(T57="","",VLOOKUP(T57,Configuratie!$B$1:$E$10,2,FALSE))</f>
        <v/>
      </c>
      <c r="S57" s="61"/>
      <c r="T57" s="5"/>
      <c r="AT57" s="6">
        <v>6</v>
      </c>
      <c r="AU57" s="6">
        <v>3</v>
      </c>
      <c r="AV57" s="6">
        <v>4</v>
      </c>
      <c r="AW57" s="6" t="str">
        <f t="shared" si="44"/>
        <v/>
      </c>
      <c r="AY57" s="48">
        <f>AU57*100+AV57</f>
        <v>304</v>
      </c>
      <c r="AZ57" s="48">
        <f>AV57*100+AU57</f>
        <v>403</v>
      </c>
      <c r="BA57" s="6">
        <f t="shared" si="43"/>
        <v>0</v>
      </c>
      <c r="BB57" s="6">
        <f t="shared" si="43"/>
        <v>0</v>
      </c>
      <c r="BC57" s="6" t="e">
        <f>J57*BB57</f>
        <v>#VALUE!</v>
      </c>
      <c r="BD57" s="6" t="e">
        <f>M57*BA57</f>
        <v>#VALUE!</v>
      </c>
    </row>
    <row r="58" spans="2:56" ht="3" customHeight="1" x14ac:dyDescent="0.25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AW58" s="6" t="str">
        <f t="shared" si="44"/>
        <v/>
      </c>
      <c r="AY58" s="42"/>
      <c r="AZ58" s="42"/>
    </row>
    <row r="59" spans="2:56" x14ac:dyDescent="0.25">
      <c r="B59" s="45" t="s">
        <v>14</v>
      </c>
      <c r="AY59" s="42"/>
      <c r="AZ59" s="42"/>
    </row>
    <row r="60" spans="2:56" x14ac:dyDescent="0.25">
      <c r="B60" s="6">
        <v>1</v>
      </c>
      <c r="C60" s="6" t="str">
        <f>VLOOKUP(AU60,$B$4:$F$13,2,FALSE)</f>
        <v>D</v>
      </c>
      <c r="D60" s="46" t="s">
        <v>5</v>
      </c>
      <c r="E60" s="84" t="str">
        <f>VLOOKUP(AV60,$B$4:$F$13,2,FALSE)</f>
        <v>J</v>
      </c>
      <c r="F60" s="84"/>
      <c r="G60" s="84"/>
      <c r="H60" s="84"/>
      <c r="J60" s="84" t="str">
        <f>IF(T60="","",VLOOKUP(T60,Configuratie!$B$1:$E$10,3,FALSE))</f>
        <v/>
      </c>
      <c r="K60" s="84"/>
      <c r="L60" s="6" t="s">
        <v>5</v>
      </c>
      <c r="M60" s="84" t="str">
        <f>IF(T60="","",VLOOKUP(T60,Configuratie!$B$1:$E$10,4,FALSE))</f>
        <v/>
      </c>
      <c r="N60" s="84"/>
      <c r="R60" s="6" t="str">
        <f>IF(T60="","",VLOOKUP(T60,Configuratie!$B$1:$E$10,2,FALSE))</f>
        <v/>
      </c>
      <c r="S60" s="61"/>
      <c r="T60" s="5"/>
      <c r="AT60" s="6">
        <v>7</v>
      </c>
      <c r="AU60" s="6">
        <v>4</v>
      </c>
      <c r="AV60" s="6">
        <v>10</v>
      </c>
      <c r="AW60" s="6" t="str">
        <f>IF(AND(ISNUMBER(J60),ISNUMBER(M60)),IF(J60+M60=1,1,0),"")</f>
        <v/>
      </c>
      <c r="AY60" s="48">
        <f>AU60*100+AV60</f>
        <v>410</v>
      </c>
      <c r="AZ60" s="48">
        <f>AV60*100+AU60</f>
        <v>1004</v>
      </c>
      <c r="BA60" s="6">
        <f t="shared" ref="BA60:BB64" si="45">VLOOKUP(AU60,$BJ$3:$BS$13,$AT60,FALSE)</f>
        <v>0</v>
      </c>
      <c r="BB60" s="6">
        <f t="shared" si="45"/>
        <v>0</v>
      </c>
      <c r="BC60" s="6" t="e">
        <f>J60*BB60</f>
        <v>#VALUE!</v>
      </c>
      <c r="BD60" s="6" t="e">
        <f>M60*BA60</f>
        <v>#VALUE!</v>
      </c>
    </row>
    <row r="61" spans="2:56" x14ac:dyDescent="0.25">
      <c r="B61" s="6">
        <v>2</v>
      </c>
      <c r="C61" s="6" t="str">
        <f>VLOOKUP(AU61,$B$4:$F$13,2,FALSE)</f>
        <v>E</v>
      </c>
      <c r="D61" s="46" t="s">
        <v>5</v>
      </c>
      <c r="E61" s="84" t="str">
        <f>VLOOKUP(AV61,$B$4:$F$13,2,FALSE)</f>
        <v>C</v>
      </c>
      <c r="F61" s="84"/>
      <c r="G61" s="84"/>
      <c r="H61" s="84"/>
      <c r="J61" s="84" t="str">
        <f>IF(T61="","",VLOOKUP(T61,Configuratie!$B$1:$E$10,3,FALSE))</f>
        <v/>
      </c>
      <c r="K61" s="84"/>
      <c r="L61" s="6" t="s">
        <v>5</v>
      </c>
      <c r="M61" s="84" t="str">
        <f>IF(T61="","",VLOOKUP(T61,Configuratie!$B$1:$E$10,4,FALSE))</f>
        <v/>
      </c>
      <c r="N61" s="84"/>
      <c r="R61" s="6" t="str">
        <f>IF(T61="","",VLOOKUP(T61,Configuratie!$B$1:$E$10,2,FALSE))</f>
        <v/>
      </c>
      <c r="S61" s="61"/>
      <c r="T61" s="5"/>
      <c r="AT61" s="6">
        <v>7</v>
      </c>
      <c r="AU61" s="6">
        <v>5</v>
      </c>
      <c r="AV61" s="6">
        <v>3</v>
      </c>
      <c r="AW61" s="6" t="str">
        <f t="shared" ref="AW61:AW65" si="46">IF(AND(ISNUMBER(J61),ISNUMBER(M61)),IF(J61+M61=1,1,0),"")</f>
        <v/>
      </c>
      <c r="AY61" s="48">
        <f>AU61*100+AV61</f>
        <v>503</v>
      </c>
      <c r="AZ61" s="48">
        <f>AV61*100+AU61</f>
        <v>305</v>
      </c>
      <c r="BA61" s="6">
        <f t="shared" si="45"/>
        <v>0</v>
      </c>
      <c r="BB61" s="6">
        <f t="shared" si="45"/>
        <v>0</v>
      </c>
      <c r="BC61" s="6" t="e">
        <f>J61*BB61</f>
        <v>#VALUE!</v>
      </c>
      <c r="BD61" s="6" t="e">
        <f>M61*BA61</f>
        <v>#VALUE!</v>
      </c>
    </row>
    <row r="62" spans="2:56" x14ac:dyDescent="0.25">
      <c r="B62" s="6">
        <v>3</v>
      </c>
      <c r="C62" s="6" t="str">
        <f>VLOOKUP(AU62,$B$4:$F$13,2,FALSE)</f>
        <v>F</v>
      </c>
      <c r="D62" s="46" t="s">
        <v>5</v>
      </c>
      <c r="E62" s="84" t="str">
        <f>VLOOKUP(AV62,$B$4:$F$13,2,FALSE)</f>
        <v>B</v>
      </c>
      <c r="F62" s="84"/>
      <c r="G62" s="84"/>
      <c r="H62" s="84"/>
      <c r="J62" s="84" t="str">
        <f>IF(T62="","",VLOOKUP(T62,Configuratie!$B$1:$E$10,3,FALSE))</f>
        <v/>
      </c>
      <c r="K62" s="84"/>
      <c r="L62" s="6" t="s">
        <v>5</v>
      </c>
      <c r="M62" s="84" t="str">
        <f>IF(T62="","",VLOOKUP(T62,Configuratie!$B$1:$E$10,4,FALSE))</f>
        <v/>
      </c>
      <c r="N62" s="84"/>
      <c r="R62" s="6" t="str">
        <f>IF(T62="","",VLOOKUP(T62,Configuratie!$B$1:$E$10,2,FALSE))</f>
        <v/>
      </c>
      <c r="S62" s="61"/>
      <c r="T62" s="5"/>
      <c r="AT62" s="6">
        <v>7</v>
      </c>
      <c r="AU62" s="6">
        <v>6</v>
      </c>
      <c r="AV62" s="6">
        <v>2</v>
      </c>
      <c r="AW62" s="6" t="str">
        <f t="shared" si="46"/>
        <v/>
      </c>
      <c r="AY62" s="48">
        <f>AU62*100+AV62</f>
        <v>602</v>
      </c>
      <c r="AZ62" s="48">
        <f>AV62*100+AU62</f>
        <v>206</v>
      </c>
      <c r="BA62" s="6">
        <f t="shared" si="45"/>
        <v>0</v>
      </c>
      <c r="BB62" s="6">
        <f t="shared" si="45"/>
        <v>0</v>
      </c>
      <c r="BC62" s="6" t="e">
        <f>J62*BB62</f>
        <v>#VALUE!</v>
      </c>
      <c r="BD62" s="6" t="e">
        <f>M62*BA62</f>
        <v>#VALUE!</v>
      </c>
    </row>
    <row r="63" spans="2:56" x14ac:dyDescent="0.25">
      <c r="B63" s="6">
        <v>4</v>
      </c>
      <c r="C63" s="6" t="str">
        <f>VLOOKUP(AU63,$B$4:$F$13,2,FALSE)</f>
        <v>G</v>
      </c>
      <c r="D63" s="46" t="s">
        <v>5</v>
      </c>
      <c r="E63" s="84" t="str">
        <f>VLOOKUP(AV63,$B$4:$F$13,2,FALSE)</f>
        <v>A</v>
      </c>
      <c r="F63" s="84"/>
      <c r="G63" s="84"/>
      <c r="H63" s="84"/>
      <c r="J63" s="84" t="str">
        <f>IF(T63="","",VLOOKUP(T63,Configuratie!$B$1:$E$10,3,FALSE))</f>
        <v/>
      </c>
      <c r="K63" s="84"/>
      <c r="L63" s="6" t="s">
        <v>5</v>
      </c>
      <c r="M63" s="84" t="str">
        <f>IF(T63="","",VLOOKUP(T63,Configuratie!$B$1:$E$10,4,FALSE))</f>
        <v/>
      </c>
      <c r="N63" s="84"/>
      <c r="R63" s="6" t="str">
        <f>IF(T63="","",VLOOKUP(T63,Configuratie!$B$1:$E$10,2,FALSE))</f>
        <v/>
      </c>
      <c r="S63" s="61"/>
      <c r="T63" s="5"/>
      <c r="AT63" s="6">
        <v>7</v>
      </c>
      <c r="AU63" s="6">
        <v>7</v>
      </c>
      <c r="AV63" s="6">
        <v>1</v>
      </c>
      <c r="AW63" s="6" t="str">
        <f t="shared" si="46"/>
        <v/>
      </c>
      <c r="AY63" s="48">
        <f>AU63*100+AV63</f>
        <v>701</v>
      </c>
      <c r="AZ63" s="48">
        <f>AV63*100+AU63</f>
        <v>107</v>
      </c>
      <c r="BA63" s="6">
        <f t="shared" si="45"/>
        <v>0</v>
      </c>
      <c r="BB63" s="6">
        <f t="shared" si="45"/>
        <v>0</v>
      </c>
      <c r="BC63" s="6" t="e">
        <f>J63*BB63</f>
        <v>#VALUE!</v>
      </c>
      <c r="BD63" s="6" t="e">
        <f>M63*BA63</f>
        <v>#VALUE!</v>
      </c>
    </row>
    <row r="64" spans="2:56" x14ac:dyDescent="0.25">
      <c r="B64" s="6">
        <v>5</v>
      </c>
      <c r="C64" s="6" t="str">
        <f>VLOOKUP(AU64,$B$4:$F$13,2,FALSE)</f>
        <v>H</v>
      </c>
      <c r="D64" s="46" t="s">
        <v>5</v>
      </c>
      <c r="E64" s="84" t="str">
        <f>VLOOKUP(AV64,$B$4:$F$13,2,FALSE)</f>
        <v>I</v>
      </c>
      <c r="F64" s="84"/>
      <c r="G64" s="84"/>
      <c r="H64" s="84"/>
      <c r="J64" s="84" t="str">
        <f>IF(T64="","",VLOOKUP(T64,Configuratie!$B$1:$E$10,3,FALSE))</f>
        <v/>
      </c>
      <c r="K64" s="84"/>
      <c r="L64" s="6" t="s">
        <v>5</v>
      </c>
      <c r="M64" s="84" t="str">
        <f>IF(T64="","",VLOOKUP(T64,Configuratie!$B$1:$E$10,4,FALSE))</f>
        <v/>
      </c>
      <c r="N64" s="84"/>
      <c r="R64" s="6" t="str">
        <f>IF(T64="","",VLOOKUP(T64,Configuratie!$B$1:$E$10,2,FALSE))</f>
        <v/>
      </c>
      <c r="S64" s="61"/>
      <c r="T64" s="5"/>
      <c r="AT64" s="6">
        <v>7</v>
      </c>
      <c r="AU64" s="6">
        <v>8</v>
      </c>
      <c r="AV64" s="6">
        <v>9</v>
      </c>
      <c r="AW64" s="6" t="str">
        <f t="shared" si="46"/>
        <v/>
      </c>
      <c r="AY64" s="48">
        <f>AU64*100+AV64</f>
        <v>809</v>
      </c>
      <c r="AZ64" s="48">
        <f>AV64*100+AU64</f>
        <v>908</v>
      </c>
      <c r="BA64" s="6">
        <f t="shared" si="45"/>
        <v>0</v>
      </c>
      <c r="BB64" s="6">
        <f t="shared" si="45"/>
        <v>0</v>
      </c>
      <c r="BC64" s="6" t="e">
        <f>J64*BB64</f>
        <v>#VALUE!</v>
      </c>
      <c r="BD64" s="6" t="e">
        <f>M64*BA64</f>
        <v>#VALUE!</v>
      </c>
    </row>
    <row r="65" spans="2:56" ht="3" customHeight="1" x14ac:dyDescent="0.2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AW65" s="6" t="str">
        <f t="shared" si="46"/>
        <v/>
      </c>
      <c r="AY65" s="42"/>
      <c r="AZ65" s="42"/>
    </row>
    <row r="66" spans="2:56" x14ac:dyDescent="0.25">
      <c r="B66" s="45" t="s">
        <v>15</v>
      </c>
      <c r="AY66" s="42"/>
      <c r="AZ66" s="42"/>
    </row>
    <row r="67" spans="2:56" x14ac:dyDescent="0.25">
      <c r="B67" s="6">
        <v>1</v>
      </c>
      <c r="C67" s="6" t="str">
        <f>VLOOKUP(AU67,$B$4:$F$13,2,FALSE)</f>
        <v>J</v>
      </c>
      <c r="D67" s="46" t="s">
        <v>5</v>
      </c>
      <c r="E67" s="84" t="str">
        <f>VLOOKUP(AV67,$B$4:$F$13,2,FALSE)</f>
        <v>I</v>
      </c>
      <c r="F67" s="84"/>
      <c r="G67" s="84"/>
      <c r="H67" s="84"/>
      <c r="J67" s="84" t="str">
        <f>IF(T67="","",VLOOKUP(T67,Configuratie!$B$1:$E$10,3,FALSE))</f>
        <v/>
      </c>
      <c r="K67" s="84"/>
      <c r="L67" s="6" t="s">
        <v>5</v>
      </c>
      <c r="M67" s="84" t="str">
        <f>IF(T67="","",VLOOKUP(T67,Configuratie!$B$1:$E$10,4,FALSE))</f>
        <v/>
      </c>
      <c r="N67" s="84"/>
      <c r="R67" s="6" t="str">
        <f>IF(T67="","",VLOOKUP(T67,Configuratie!$B$1:$E$10,2,FALSE))</f>
        <v/>
      </c>
      <c r="S67" s="61"/>
      <c r="T67" s="5"/>
      <c r="AT67" s="6">
        <v>8</v>
      </c>
      <c r="AU67" s="6">
        <v>10</v>
      </c>
      <c r="AV67" s="6">
        <v>9</v>
      </c>
      <c r="AW67" s="6" t="str">
        <f>IF(AND(ISNUMBER(J67),ISNUMBER(M67)),IF(J67+M67=1,1,0),"")</f>
        <v/>
      </c>
      <c r="AY67" s="48">
        <f>AU67*100+AV67</f>
        <v>1009</v>
      </c>
      <c r="AZ67" s="48">
        <f>AV67*100+AU67</f>
        <v>910</v>
      </c>
      <c r="BA67" s="6">
        <f t="shared" ref="BA67:BB71" si="47">VLOOKUP(AU67,$BJ$3:$BS$13,$AT67,FALSE)</f>
        <v>0</v>
      </c>
      <c r="BB67" s="6">
        <f t="shared" si="47"/>
        <v>0</v>
      </c>
      <c r="BC67" s="6" t="e">
        <f>J67*BB67</f>
        <v>#VALUE!</v>
      </c>
      <c r="BD67" s="6" t="e">
        <f>M67*BA67</f>
        <v>#VALUE!</v>
      </c>
    </row>
    <row r="68" spans="2:56" x14ac:dyDescent="0.25">
      <c r="B68" s="6">
        <v>2</v>
      </c>
      <c r="C68" s="6" t="str">
        <f>VLOOKUP(AU68,$B$4:$F$13,2,FALSE)</f>
        <v>A</v>
      </c>
      <c r="D68" s="46" t="s">
        <v>5</v>
      </c>
      <c r="E68" s="84" t="str">
        <f>VLOOKUP(AV68,$B$4:$F$13,2,FALSE)</f>
        <v>H</v>
      </c>
      <c r="F68" s="84"/>
      <c r="G68" s="84"/>
      <c r="H68" s="84"/>
      <c r="J68" s="84" t="str">
        <f>IF(T68="","",VLOOKUP(T68,Configuratie!$B$1:$E$10,3,FALSE))</f>
        <v/>
      </c>
      <c r="K68" s="84"/>
      <c r="L68" s="6" t="s">
        <v>5</v>
      </c>
      <c r="M68" s="84" t="str">
        <f>IF(T68="","",VLOOKUP(T68,Configuratie!$B$1:$E$10,4,FALSE))</f>
        <v/>
      </c>
      <c r="N68" s="84"/>
      <c r="R68" s="6" t="str">
        <f>IF(T68="","",VLOOKUP(T68,Configuratie!$B$1:$E$10,2,FALSE))</f>
        <v/>
      </c>
      <c r="S68" s="61"/>
      <c r="T68" s="5"/>
      <c r="AT68" s="6">
        <v>8</v>
      </c>
      <c r="AU68" s="6">
        <v>1</v>
      </c>
      <c r="AV68" s="6">
        <v>8</v>
      </c>
      <c r="AW68" s="6" t="str">
        <f t="shared" ref="AW68:AW72" si="48">IF(AND(ISNUMBER(J68),ISNUMBER(M68)),IF(J68+M68=1,1,0),"")</f>
        <v/>
      </c>
      <c r="AY68" s="48">
        <f>AU68*100+AV68</f>
        <v>108</v>
      </c>
      <c r="AZ68" s="48">
        <f>AV68*100+AU68</f>
        <v>801</v>
      </c>
      <c r="BA68" s="6">
        <f t="shared" si="47"/>
        <v>0</v>
      </c>
      <c r="BB68" s="6">
        <f t="shared" si="47"/>
        <v>0</v>
      </c>
      <c r="BC68" s="6" t="e">
        <f>J68*BB68</f>
        <v>#VALUE!</v>
      </c>
      <c r="BD68" s="6" t="e">
        <f>M68*BA68</f>
        <v>#VALUE!</v>
      </c>
    </row>
    <row r="69" spans="2:56" x14ac:dyDescent="0.25">
      <c r="B69" s="6">
        <v>3</v>
      </c>
      <c r="C69" s="6" t="str">
        <f>VLOOKUP(AU69,$B$4:$F$13,2,FALSE)</f>
        <v>B</v>
      </c>
      <c r="D69" s="46" t="s">
        <v>5</v>
      </c>
      <c r="E69" s="84" t="str">
        <f>VLOOKUP(AV69,$B$4:$F$13,2,FALSE)</f>
        <v>G</v>
      </c>
      <c r="F69" s="84"/>
      <c r="G69" s="84"/>
      <c r="H69" s="84"/>
      <c r="J69" s="84" t="str">
        <f>IF(T69="","",VLOOKUP(T69,Configuratie!$B$1:$E$10,3,FALSE))</f>
        <v/>
      </c>
      <c r="K69" s="84"/>
      <c r="L69" s="6" t="s">
        <v>5</v>
      </c>
      <c r="M69" s="84" t="str">
        <f>IF(T69="","",VLOOKUP(T69,Configuratie!$B$1:$E$10,4,FALSE))</f>
        <v/>
      </c>
      <c r="N69" s="84"/>
      <c r="R69" s="6" t="str">
        <f>IF(T69="","",VLOOKUP(T69,Configuratie!$B$1:$E$10,2,FALSE))</f>
        <v/>
      </c>
      <c r="S69" s="61"/>
      <c r="T69" s="5"/>
      <c r="AT69" s="6">
        <v>8</v>
      </c>
      <c r="AU69" s="6">
        <v>2</v>
      </c>
      <c r="AV69" s="6">
        <v>7</v>
      </c>
      <c r="AW69" s="6" t="str">
        <f t="shared" si="48"/>
        <v/>
      </c>
      <c r="AY69" s="48">
        <f>AU69*100+AV69</f>
        <v>207</v>
      </c>
      <c r="AZ69" s="48">
        <f>AV69*100+AU69</f>
        <v>702</v>
      </c>
      <c r="BA69" s="6">
        <f t="shared" si="47"/>
        <v>0</v>
      </c>
      <c r="BB69" s="6">
        <f t="shared" si="47"/>
        <v>0</v>
      </c>
      <c r="BC69" s="6" t="e">
        <f>J69*BB69</f>
        <v>#VALUE!</v>
      </c>
      <c r="BD69" s="6" t="e">
        <f>M69*BA69</f>
        <v>#VALUE!</v>
      </c>
    </row>
    <row r="70" spans="2:56" x14ac:dyDescent="0.25">
      <c r="B70" s="6">
        <v>4</v>
      </c>
      <c r="C70" s="6" t="str">
        <f>VLOOKUP(AU70,$B$4:$F$13,2,FALSE)</f>
        <v>C</v>
      </c>
      <c r="D70" s="46" t="s">
        <v>5</v>
      </c>
      <c r="E70" s="84" t="str">
        <f>VLOOKUP(AV70,$B$4:$F$13,2,FALSE)</f>
        <v>F</v>
      </c>
      <c r="F70" s="84"/>
      <c r="G70" s="84"/>
      <c r="H70" s="84"/>
      <c r="J70" s="84" t="str">
        <f>IF(T70="","",VLOOKUP(T70,Configuratie!$B$1:$E$10,3,FALSE))</f>
        <v/>
      </c>
      <c r="K70" s="84"/>
      <c r="L70" s="6" t="s">
        <v>5</v>
      </c>
      <c r="M70" s="84" t="str">
        <f>IF(T70="","",VLOOKUP(T70,Configuratie!$B$1:$E$10,4,FALSE))</f>
        <v/>
      </c>
      <c r="N70" s="84"/>
      <c r="R70" s="6" t="str">
        <f>IF(T70="","",VLOOKUP(T70,Configuratie!$B$1:$E$10,2,FALSE))</f>
        <v/>
      </c>
      <c r="S70" s="61"/>
      <c r="T70" s="5"/>
      <c r="AT70" s="6">
        <v>8</v>
      </c>
      <c r="AU70" s="6">
        <v>3</v>
      </c>
      <c r="AV70" s="6">
        <v>6</v>
      </c>
      <c r="AW70" s="6" t="str">
        <f t="shared" si="48"/>
        <v/>
      </c>
      <c r="AY70" s="48">
        <f>AU70*100+AV70</f>
        <v>306</v>
      </c>
      <c r="AZ70" s="48">
        <f>AV70*100+AU70</f>
        <v>603</v>
      </c>
      <c r="BA70" s="6">
        <f t="shared" si="47"/>
        <v>0</v>
      </c>
      <c r="BB70" s="6">
        <f t="shared" si="47"/>
        <v>0</v>
      </c>
      <c r="BC70" s="6" t="e">
        <f>J70*BB70</f>
        <v>#VALUE!</v>
      </c>
      <c r="BD70" s="6" t="e">
        <f>M70*BA70</f>
        <v>#VALUE!</v>
      </c>
    </row>
    <row r="71" spans="2:56" x14ac:dyDescent="0.25">
      <c r="B71" s="6">
        <v>5</v>
      </c>
      <c r="C71" s="6" t="str">
        <f>VLOOKUP(AU71,$B$4:$F$13,2,FALSE)</f>
        <v>D</v>
      </c>
      <c r="D71" s="46" t="s">
        <v>5</v>
      </c>
      <c r="E71" s="84" t="str">
        <f>VLOOKUP(AV71,$B$4:$F$13,2,FALSE)</f>
        <v>E</v>
      </c>
      <c r="F71" s="84"/>
      <c r="G71" s="84"/>
      <c r="H71" s="84"/>
      <c r="J71" s="84" t="str">
        <f>IF(T71="","",VLOOKUP(T71,Configuratie!$B$1:$E$10,3,FALSE))</f>
        <v/>
      </c>
      <c r="K71" s="84"/>
      <c r="L71" s="6" t="s">
        <v>5</v>
      </c>
      <c r="M71" s="84" t="str">
        <f>IF(T71="","",VLOOKUP(T71,Configuratie!$B$1:$E$10,4,FALSE))</f>
        <v/>
      </c>
      <c r="N71" s="84"/>
      <c r="R71" s="6" t="str">
        <f>IF(T71="","",VLOOKUP(T71,Configuratie!$B$1:$E$10,2,FALSE))</f>
        <v/>
      </c>
      <c r="S71" s="61"/>
      <c r="T71" s="5"/>
      <c r="AT71" s="6">
        <v>8</v>
      </c>
      <c r="AU71" s="6">
        <v>4</v>
      </c>
      <c r="AV71" s="6">
        <v>5</v>
      </c>
      <c r="AW71" s="6" t="str">
        <f t="shared" si="48"/>
        <v/>
      </c>
      <c r="AY71" s="48">
        <f>AU71*100+AV71</f>
        <v>405</v>
      </c>
      <c r="AZ71" s="48">
        <f>AV71*100+AU71</f>
        <v>504</v>
      </c>
      <c r="BA71" s="6">
        <f t="shared" si="47"/>
        <v>0</v>
      </c>
      <c r="BB71" s="6">
        <f t="shared" si="47"/>
        <v>0</v>
      </c>
      <c r="BC71" s="6" t="e">
        <f>J71*BB71</f>
        <v>#VALUE!</v>
      </c>
      <c r="BD71" s="6" t="e">
        <f>M71*BA71</f>
        <v>#VALUE!</v>
      </c>
    </row>
    <row r="72" spans="2:56" ht="3" customHeight="1" x14ac:dyDescent="0.2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AW72" s="6" t="str">
        <f t="shared" si="48"/>
        <v/>
      </c>
      <c r="AY72" s="42"/>
      <c r="AZ72" s="42"/>
    </row>
    <row r="73" spans="2:56" x14ac:dyDescent="0.25">
      <c r="B73" s="45" t="s">
        <v>16</v>
      </c>
      <c r="AY73" s="42"/>
      <c r="AZ73" s="42"/>
    </row>
    <row r="74" spans="2:56" x14ac:dyDescent="0.25">
      <c r="B74" s="6">
        <v>1</v>
      </c>
      <c r="C74" s="6" t="str">
        <f>VLOOKUP(AU74,$B$4:$F$13,2,FALSE)</f>
        <v>E</v>
      </c>
      <c r="D74" s="46" t="s">
        <v>5</v>
      </c>
      <c r="E74" s="84" t="str">
        <f>VLOOKUP(AV74,$B$4:$F$13,2,FALSE)</f>
        <v>J</v>
      </c>
      <c r="F74" s="84"/>
      <c r="G74" s="84"/>
      <c r="H74" s="84"/>
      <c r="J74" s="84" t="str">
        <f>IF(T74="","",VLOOKUP(T74,Configuratie!$B$1:$E$10,3,FALSE))</f>
        <v/>
      </c>
      <c r="K74" s="84"/>
      <c r="L74" s="6" t="s">
        <v>5</v>
      </c>
      <c r="M74" s="84" t="str">
        <f>IF(T74="","",VLOOKUP(T74,Configuratie!$B$1:$E$10,4,FALSE))</f>
        <v/>
      </c>
      <c r="N74" s="84"/>
      <c r="R74" s="6" t="str">
        <f>IF(T74="","",VLOOKUP(T74,Configuratie!$B$1:$E$10,2,FALSE))</f>
        <v/>
      </c>
      <c r="S74" s="61"/>
      <c r="T74" s="5"/>
      <c r="AT74" s="6">
        <v>9</v>
      </c>
      <c r="AU74" s="6">
        <v>5</v>
      </c>
      <c r="AV74" s="6">
        <v>10</v>
      </c>
      <c r="AW74" s="6" t="str">
        <f>IF(AND(ISNUMBER(J74),ISNUMBER(M74)),IF(J74+M74=1,1,0),"")</f>
        <v/>
      </c>
      <c r="AY74" s="48">
        <f>AU74*100+AV74</f>
        <v>510</v>
      </c>
      <c r="AZ74" s="48">
        <f>AV74*100+AU74</f>
        <v>1005</v>
      </c>
      <c r="BA74" s="6">
        <f t="shared" ref="BA74:BB78" si="49">VLOOKUP(AU74,$BJ$3:$BS$13,$AT74,FALSE)</f>
        <v>0</v>
      </c>
      <c r="BB74" s="6">
        <f t="shared" si="49"/>
        <v>0</v>
      </c>
      <c r="BC74" s="6" t="e">
        <f>J74*BB74</f>
        <v>#VALUE!</v>
      </c>
      <c r="BD74" s="6" t="e">
        <f>M74*BA74</f>
        <v>#VALUE!</v>
      </c>
    </row>
    <row r="75" spans="2:56" x14ac:dyDescent="0.25">
      <c r="B75" s="6">
        <v>2</v>
      </c>
      <c r="C75" s="6" t="str">
        <f>VLOOKUP(AU75,$B$4:$F$13,2,FALSE)</f>
        <v>F</v>
      </c>
      <c r="D75" s="46" t="s">
        <v>5</v>
      </c>
      <c r="E75" s="84" t="str">
        <f>VLOOKUP(AV75,$B$4:$F$13,2,FALSE)</f>
        <v>D</v>
      </c>
      <c r="F75" s="84"/>
      <c r="G75" s="84"/>
      <c r="H75" s="84"/>
      <c r="J75" s="84" t="str">
        <f>IF(T75="","",VLOOKUP(T75,Configuratie!$B$1:$E$10,3,FALSE))</f>
        <v/>
      </c>
      <c r="K75" s="84"/>
      <c r="L75" s="6" t="s">
        <v>5</v>
      </c>
      <c r="M75" s="84" t="str">
        <f>IF(T75="","",VLOOKUP(T75,Configuratie!$B$1:$E$10,4,FALSE))</f>
        <v/>
      </c>
      <c r="N75" s="84"/>
      <c r="R75" s="6" t="str">
        <f>IF(T75="","",VLOOKUP(T75,Configuratie!$B$1:$E$10,2,FALSE))</f>
        <v/>
      </c>
      <c r="S75" s="61"/>
      <c r="T75" s="5"/>
      <c r="AT75" s="6">
        <v>9</v>
      </c>
      <c r="AU75" s="6">
        <v>6</v>
      </c>
      <c r="AV75" s="6">
        <v>4</v>
      </c>
      <c r="AW75" s="6" t="str">
        <f t="shared" ref="AW75:AW79" si="50">IF(AND(ISNUMBER(J75),ISNUMBER(M75)),IF(J75+M75=1,1,0),"")</f>
        <v/>
      </c>
      <c r="AY75" s="48">
        <f>AU75*100+AV75</f>
        <v>604</v>
      </c>
      <c r="AZ75" s="48">
        <f>AV75*100+AU75</f>
        <v>406</v>
      </c>
      <c r="BA75" s="6">
        <f t="shared" si="49"/>
        <v>0</v>
      </c>
      <c r="BB75" s="6">
        <f t="shared" si="49"/>
        <v>0</v>
      </c>
      <c r="BC75" s="6" t="e">
        <f>J75*BB75</f>
        <v>#VALUE!</v>
      </c>
      <c r="BD75" s="6" t="e">
        <f>M75*BA75</f>
        <v>#VALUE!</v>
      </c>
    </row>
    <row r="76" spans="2:56" x14ac:dyDescent="0.25">
      <c r="B76" s="6">
        <v>3</v>
      </c>
      <c r="C76" s="6" t="str">
        <f>VLOOKUP(AU76,$B$4:$F$13,2,FALSE)</f>
        <v>G</v>
      </c>
      <c r="D76" s="46" t="s">
        <v>5</v>
      </c>
      <c r="E76" s="84" t="str">
        <f>VLOOKUP(AV76,$B$4:$F$13,2,FALSE)</f>
        <v>C</v>
      </c>
      <c r="F76" s="84"/>
      <c r="G76" s="84"/>
      <c r="H76" s="84"/>
      <c r="J76" s="84" t="str">
        <f>IF(T76="","",VLOOKUP(T76,Configuratie!$B$1:$E$10,3,FALSE))</f>
        <v/>
      </c>
      <c r="K76" s="84"/>
      <c r="L76" s="6" t="s">
        <v>5</v>
      </c>
      <c r="M76" s="84" t="str">
        <f>IF(T76="","",VLOOKUP(T76,Configuratie!$B$1:$E$10,4,FALSE))</f>
        <v/>
      </c>
      <c r="N76" s="84"/>
      <c r="R76" s="6" t="str">
        <f>IF(T76="","",VLOOKUP(T76,Configuratie!$B$1:$E$10,2,FALSE))</f>
        <v/>
      </c>
      <c r="S76" s="61"/>
      <c r="T76" s="5"/>
      <c r="AT76" s="6">
        <v>9</v>
      </c>
      <c r="AU76" s="6">
        <v>7</v>
      </c>
      <c r="AV76" s="6">
        <v>3</v>
      </c>
      <c r="AW76" s="6" t="str">
        <f t="shared" si="50"/>
        <v/>
      </c>
      <c r="AY76" s="48">
        <f>AU76*100+AV76</f>
        <v>703</v>
      </c>
      <c r="AZ76" s="48">
        <f>AV76*100+AU76</f>
        <v>307</v>
      </c>
      <c r="BA76" s="6">
        <f t="shared" si="49"/>
        <v>0</v>
      </c>
      <c r="BB76" s="6">
        <f t="shared" si="49"/>
        <v>0</v>
      </c>
      <c r="BC76" s="6" t="e">
        <f>J76*BB76</f>
        <v>#VALUE!</v>
      </c>
      <c r="BD76" s="6" t="e">
        <f>M76*BA76</f>
        <v>#VALUE!</v>
      </c>
    </row>
    <row r="77" spans="2:56" x14ac:dyDescent="0.25">
      <c r="B77" s="6">
        <v>4</v>
      </c>
      <c r="C77" s="6" t="str">
        <f>VLOOKUP(AU77,$B$4:$F$13,2,FALSE)</f>
        <v>H</v>
      </c>
      <c r="D77" s="46" t="s">
        <v>5</v>
      </c>
      <c r="E77" s="84" t="str">
        <f>VLOOKUP(AV77,$B$4:$F$13,2,FALSE)</f>
        <v>B</v>
      </c>
      <c r="F77" s="84"/>
      <c r="G77" s="84"/>
      <c r="H77" s="84"/>
      <c r="J77" s="84" t="str">
        <f>IF(T77="","",VLOOKUP(T77,Configuratie!$B$1:$E$10,3,FALSE))</f>
        <v/>
      </c>
      <c r="K77" s="84"/>
      <c r="L77" s="6" t="s">
        <v>5</v>
      </c>
      <c r="M77" s="84" t="str">
        <f>IF(T77="","",VLOOKUP(T77,Configuratie!$B$1:$E$10,4,FALSE))</f>
        <v/>
      </c>
      <c r="N77" s="84"/>
      <c r="R77" s="6" t="str">
        <f>IF(T77="","",VLOOKUP(T77,Configuratie!$B$1:$E$10,2,FALSE))</f>
        <v/>
      </c>
      <c r="S77" s="61"/>
      <c r="T77" s="5"/>
      <c r="AT77" s="6">
        <v>9</v>
      </c>
      <c r="AU77" s="6">
        <v>8</v>
      </c>
      <c r="AV77" s="6">
        <v>2</v>
      </c>
      <c r="AW77" s="6" t="str">
        <f t="shared" si="50"/>
        <v/>
      </c>
      <c r="AY77" s="48">
        <f>AU77*100+AV77</f>
        <v>802</v>
      </c>
      <c r="AZ77" s="48">
        <f>AV77*100+AU77</f>
        <v>208</v>
      </c>
      <c r="BA77" s="6">
        <f t="shared" si="49"/>
        <v>0</v>
      </c>
      <c r="BB77" s="6">
        <f t="shared" si="49"/>
        <v>0</v>
      </c>
      <c r="BC77" s="6" t="e">
        <f>J77*BB77</f>
        <v>#VALUE!</v>
      </c>
      <c r="BD77" s="6" t="e">
        <f>M77*BA77</f>
        <v>#VALUE!</v>
      </c>
    </row>
    <row r="78" spans="2:56" x14ac:dyDescent="0.25">
      <c r="B78" s="6">
        <v>5</v>
      </c>
      <c r="C78" s="6" t="str">
        <f>VLOOKUP(AU78,$B$4:$F$13,2,FALSE)</f>
        <v>I</v>
      </c>
      <c r="D78" s="46" t="s">
        <v>5</v>
      </c>
      <c r="E78" s="84" t="str">
        <f>VLOOKUP(AV78,$B$4:$F$13,2,FALSE)</f>
        <v>A</v>
      </c>
      <c r="F78" s="84"/>
      <c r="G78" s="84"/>
      <c r="H78" s="84"/>
      <c r="J78" s="84" t="str">
        <f>IF(T78="","",VLOOKUP(T78,Configuratie!$B$1:$E$10,3,FALSE))</f>
        <v/>
      </c>
      <c r="K78" s="84"/>
      <c r="L78" s="6" t="s">
        <v>5</v>
      </c>
      <c r="M78" s="84" t="str">
        <f>IF(T78="","",VLOOKUP(T78,Configuratie!$B$1:$E$10,4,FALSE))</f>
        <v/>
      </c>
      <c r="N78" s="84"/>
      <c r="R78" s="6" t="str">
        <f>IF(T78="","",VLOOKUP(T78,Configuratie!$B$1:$E$10,2,FALSE))</f>
        <v/>
      </c>
      <c r="S78" s="61"/>
      <c r="T78" s="5"/>
      <c r="AT78" s="6">
        <v>9</v>
      </c>
      <c r="AU78" s="6">
        <v>9</v>
      </c>
      <c r="AV78" s="6">
        <v>1</v>
      </c>
      <c r="AW78" s="6" t="str">
        <f t="shared" si="50"/>
        <v/>
      </c>
      <c r="AY78" s="48">
        <f>AU78*100+AV78</f>
        <v>901</v>
      </c>
      <c r="AZ78" s="48">
        <f>AV78*100+AU78</f>
        <v>109</v>
      </c>
      <c r="BA78" s="6">
        <f t="shared" si="49"/>
        <v>0</v>
      </c>
      <c r="BB78" s="6">
        <f t="shared" si="49"/>
        <v>0</v>
      </c>
      <c r="BC78" s="6" t="e">
        <f>J78*BB78</f>
        <v>#VALUE!</v>
      </c>
      <c r="BD78" s="6" t="e">
        <f>M78*BA78</f>
        <v>#VALUE!</v>
      </c>
    </row>
    <row r="79" spans="2:56" x14ac:dyDescent="0.25">
      <c r="AW79" s="6" t="str">
        <f t="shared" si="50"/>
        <v/>
      </c>
    </row>
  </sheetData>
  <sheetProtection password="CA5D" sheet="1" objects="1" scenarios="1" selectLockedCells="1"/>
  <sortState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51">
    <mergeCell ref="AZ2:BH2"/>
    <mergeCell ref="BK2:BS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  <mergeCell ref="J62:K62"/>
    <mergeCell ref="M62:N62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J54:K54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J46:K46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43:N43"/>
    <mergeCell ref="M34:N34"/>
    <mergeCell ref="J35:K35"/>
    <mergeCell ref="M35:N35"/>
    <mergeCell ref="J36:K36"/>
    <mergeCell ref="M36:N36"/>
    <mergeCell ref="J39:K39"/>
    <mergeCell ref="M39:N39"/>
    <mergeCell ref="M28:N28"/>
    <mergeCell ref="J29:K29"/>
    <mergeCell ref="M29:N29"/>
    <mergeCell ref="J32:K32"/>
    <mergeCell ref="M32:N32"/>
    <mergeCell ref="J33:K33"/>
    <mergeCell ref="M33:N33"/>
    <mergeCell ref="M22:N22"/>
    <mergeCell ref="J25:K25"/>
    <mergeCell ref="M25:N25"/>
    <mergeCell ref="J26:K26"/>
    <mergeCell ref="M26:N26"/>
    <mergeCell ref="J27:K27"/>
    <mergeCell ref="M27:N27"/>
    <mergeCell ref="M18:N18"/>
    <mergeCell ref="J19:K19"/>
    <mergeCell ref="M19:N19"/>
    <mergeCell ref="J20:K20"/>
    <mergeCell ref="M20:N20"/>
    <mergeCell ref="J21:K21"/>
    <mergeCell ref="M21:N21"/>
    <mergeCell ref="E74:H74"/>
    <mergeCell ref="E75:H75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E50:H50"/>
    <mergeCell ref="E53:H53"/>
    <mergeCell ref="E54:H54"/>
    <mergeCell ref="E55:H55"/>
    <mergeCell ref="E40:H40"/>
    <mergeCell ref="E41:H41"/>
    <mergeCell ref="E42:H42"/>
    <mergeCell ref="E43:H43"/>
    <mergeCell ref="E46:H46"/>
    <mergeCell ref="E47:H47"/>
    <mergeCell ref="E32:H32"/>
    <mergeCell ref="E33:H33"/>
    <mergeCell ref="E34:H34"/>
    <mergeCell ref="E35:H35"/>
    <mergeCell ref="E36:H36"/>
    <mergeCell ref="E39:H39"/>
    <mergeCell ref="E22:H22"/>
    <mergeCell ref="E25:H25"/>
    <mergeCell ref="E26:H26"/>
    <mergeCell ref="E27:H27"/>
    <mergeCell ref="E28:H28"/>
    <mergeCell ref="E29:H29"/>
    <mergeCell ref="V1:AA1"/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B1:F1"/>
    <mergeCell ref="G1:R1"/>
  </mergeCells>
  <conditionalFormatting sqref="H4:Q13">
    <cfRule type="cellIs" dxfId="15" priority="4" stopIfTrue="1" operator="between">
      <formula>0</formula>
      <formula>1</formula>
    </cfRule>
  </conditionalFormatting>
  <conditionalFormatting sqref="T4:T13">
    <cfRule type="cellIs" dxfId="14" priority="3" operator="equal">
      <formula>1</formula>
    </cfRule>
    <cfRule type="cellIs" dxfId="13" priority="2" operator="equal">
      <formula>2</formula>
    </cfRule>
    <cfRule type="cellIs" dxfId="12" priority="1" operator="equal">
      <formula>3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67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A1:BW55"/>
  <sheetViews>
    <sheetView view="pageBreakPreview" zoomScaleNormal="100" zoomScaleSheetLayoutView="100" workbookViewId="0">
      <selection activeCell="T16" sqref="T16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5" width="3.7109375" style="6" customWidth="1"/>
    <col min="16" max="17" width="3.7109375" style="6" hidden="1" customWidth="1"/>
    <col min="18" max="18" width="10.5703125" style="6" customWidth="1"/>
    <col min="19" max="20" width="6.85546875" style="6" customWidth="1"/>
    <col min="21" max="21" width="3.85546875" style="6" customWidth="1"/>
    <col min="22" max="22" width="3.7109375" style="6" customWidth="1"/>
    <col min="23" max="23" width="6.7109375" style="6" customWidth="1"/>
    <col min="24" max="24" width="6.7109375" style="6" hidden="1" customWidth="1"/>
    <col min="25" max="25" width="3" style="6" hidden="1" customWidth="1"/>
    <col min="26" max="26" width="27.7109375" style="6" customWidth="1"/>
    <col min="27" max="27" width="6.7109375" style="6" customWidth="1"/>
    <col min="28" max="28" width="6.7109375" style="6" hidden="1" customWidth="1"/>
    <col min="29" max="29" width="6.7109375" style="6" customWidth="1"/>
    <col min="30" max="32" width="6.7109375" style="6" hidden="1" customWidth="1"/>
    <col min="33" max="33" width="8.5703125" style="6" hidden="1" customWidth="1"/>
    <col min="34" max="34" width="6" style="6" hidden="1" customWidth="1"/>
    <col min="35" max="35" width="8.5703125" style="6" hidden="1" customWidth="1"/>
    <col min="36" max="36" width="5.5703125" style="6" hidden="1" customWidth="1"/>
    <col min="37" max="37" width="8.5703125" style="6" hidden="1" customWidth="1"/>
    <col min="38" max="38" width="5" style="6" hidden="1" customWidth="1"/>
    <col min="39" max="39" width="6.7109375" style="6" hidden="1" customWidth="1"/>
    <col min="40" max="40" width="8.5703125" style="6" hidden="1" customWidth="1"/>
    <col min="41" max="41" width="4.28515625" style="6" hidden="1" customWidth="1"/>
    <col min="42" max="42" width="6" style="6" hidden="1" customWidth="1"/>
    <col min="43" max="43" width="5.28515625" style="6" hidden="1" customWidth="1"/>
    <col min="44" max="50" width="6.7109375" style="6" hidden="1" customWidth="1"/>
    <col min="51" max="54" width="9.140625" style="6" hidden="1" customWidth="1"/>
    <col min="55" max="56" width="4.42578125" style="6" hidden="1" customWidth="1"/>
    <col min="57" max="75" width="3.7109375" style="6" hidden="1" customWidth="1"/>
    <col min="76" max="77" width="9.140625" style="6" customWidth="1"/>
    <col min="78" max="16384" width="9.140625" style="6"/>
  </cols>
  <sheetData>
    <row r="1" spans="1:75" ht="26.25" x14ac:dyDescent="0.4">
      <c r="A1" s="24">
        <v>8</v>
      </c>
      <c r="B1" s="83" t="s">
        <v>31</v>
      </c>
      <c r="C1" s="83"/>
      <c r="D1" s="83"/>
      <c r="E1" s="83"/>
      <c r="F1" s="83"/>
      <c r="G1" s="92" t="s">
        <v>32</v>
      </c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15"/>
      <c r="T1" s="15"/>
      <c r="U1" s="15"/>
      <c r="V1" s="15"/>
      <c r="W1" s="85" t="str">
        <f>"UITSLAG " &amp; G1</f>
        <v>UITSLAG GROEP A</v>
      </c>
      <c r="X1" s="86"/>
      <c r="Y1" s="86"/>
      <c r="Z1" s="86"/>
      <c r="AA1" s="86"/>
      <c r="AB1" s="86"/>
      <c r="AC1" s="86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</row>
    <row r="2" spans="1:75" x14ac:dyDescent="0.25">
      <c r="AY2" s="16" t="s">
        <v>27</v>
      </c>
      <c r="AZ2" s="16" t="s">
        <v>26</v>
      </c>
      <c r="BA2" s="16" t="s">
        <v>28</v>
      </c>
      <c r="BD2" s="86" t="s">
        <v>22</v>
      </c>
      <c r="BE2" s="86"/>
      <c r="BF2" s="86"/>
      <c r="BG2" s="86"/>
      <c r="BH2" s="86"/>
      <c r="BI2" s="86"/>
      <c r="BJ2" s="86"/>
      <c r="BK2" s="86"/>
      <c r="BL2" s="86"/>
      <c r="BM2" s="17"/>
      <c r="BN2" s="18"/>
      <c r="BO2" s="86" t="s">
        <v>23</v>
      </c>
      <c r="BP2" s="86"/>
      <c r="BQ2" s="86"/>
      <c r="BR2" s="86"/>
      <c r="BS2" s="86"/>
      <c r="BT2" s="86"/>
      <c r="BU2" s="86"/>
      <c r="BV2" s="86"/>
      <c r="BW2" s="86"/>
    </row>
    <row r="3" spans="1:75" x14ac:dyDescent="0.25">
      <c r="B3" s="19" t="s">
        <v>4</v>
      </c>
      <c r="C3" s="19" t="s">
        <v>6</v>
      </c>
      <c r="D3" s="87" t="s">
        <v>7</v>
      </c>
      <c r="E3" s="87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50"/>
      <c r="R3" s="7" t="s">
        <v>17</v>
      </c>
      <c r="S3" s="7" t="s">
        <v>26</v>
      </c>
      <c r="T3" s="7" t="s">
        <v>69</v>
      </c>
      <c r="U3" s="13"/>
      <c r="V3" s="21"/>
      <c r="W3" s="7" t="s">
        <v>33</v>
      </c>
      <c r="X3" s="7"/>
      <c r="Y3" s="22" t="s">
        <v>30</v>
      </c>
      <c r="Z3" s="7" t="s">
        <v>6</v>
      </c>
      <c r="AA3" s="7" t="s">
        <v>29</v>
      </c>
      <c r="AB3" s="7" t="s">
        <v>24</v>
      </c>
      <c r="AC3" s="7" t="s">
        <v>26</v>
      </c>
      <c r="AD3" s="7" t="s">
        <v>34</v>
      </c>
      <c r="AE3" s="7" t="s">
        <v>35</v>
      </c>
      <c r="AF3" s="13"/>
      <c r="AG3" s="7" t="s">
        <v>60</v>
      </c>
      <c r="AH3" s="7" t="s">
        <v>61</v>
      </c>
      <c r="AI3" s="7" t="s">
        <v>62</v>
      </c>
      <c r="AJ3" s="7" t="s">
        <v>63</v>
      </c>
      <c r="AK3" s="7" t="s">
        <v>64</v>
      </c>
      <c r="AL3" s="7" t="s">
        <v>65</v>
      </c>
      <c r="AM3" s="7"/>
      <c r="AN3" s="7" t="s">
        <v>66</v>
      </c>
      <c r="AO3" s="7" t="s">
        <v>67</v>
      </c>
      <c r="AP3" s="7" t="s">
        <v>68</v>
      </c>
      <c r="AQ3" s="7" t="s">
        <v>69</v>
      </c>
      <c r="AR3" s="7"/>
      <c r="AS3" s="7" t="s">
        <v>69</v>
      </c>
      <c r="AT3" s="7" t="s">
        <v>70</v>
      </c>
      <c r="AU3" s="13"/>
      <c r="AV3" s="13"/>
      <c r="AW3" s="21"/>
      <c r="AX3" s="7" t="s">
        <v>36</v>
      </c>
      <c r="AY3" s="23" t="s">
        <v>25</v>
      </c>
      <c r="AZ3" s="16" t="s">
        <v>25</v>
      </c>
      <c r="BA3" s="16" t="s">
        <v>25</v>
      </c>
      <c r="BC3" s="6" t="s">
        <v>30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/>
      <c r="BN3" s="6" t="s">
        <v>30</v>
      </c>
      <c r="BO3" s="18">
        <v>1</v>
      </c>
      <c r="BP3" s="18">
        <v>2</v>
      </c>
      <c r="BQ3" s="18">
        <v>3</v>
      </c>
      <c r="BR3" s="18">
        <v>4</v>
      </c>
      <c r="BS3" s="18">
        <v>5</v>
      </c>
      <c r="BT3" s="18">
        <v>6</v>
      </c>
      <c r="BU3" s="18">
        <v>7</v>
      </c>
      <c r="BV3" s="18">
        <v>8</v>
      </c>
      <c r="BW3" s="18">
        <v>9</v>
      </c>
    </row>
    <row r="4" spans="1:75" x14ac:dyDescent="0.25">
      <c r="A4" s="24">
        <f>T4</f>
        <v>1</v>
      </c>
      <c r="B4" s="25">
        <v>1</v>
      </c>
      <c r="C4" s="25" t="s">
        <v>40</v>
      </c>
      <c r="D4" s="93"/>
      <c r="E4" s="93"/>
      <c r="F4" s="25">
        <v>1000</v>
      </c>
      <c r="H4" s="26" t="str">
        <f t="shared" ref="H4:O11" si="0">IF((SUMIF($BC$13:$BC$55,$B4*100+H$3,$BA$13:$BA$55)+SUMIF($BC$13:$BC$55,$B4+H$3*100,$BA$13:$BA$55))=1,(SUMIF($BC$13:$BC$55,$B4*100+H$3,$J$13:$J$55)+SUMIF($BD$13:$BD$55,$B4*100+H$3,$M$13:$M$55)),"")</f>
        <v/>
      </c>
      <c r="I4" s="27" t="str">
        <f>IF((SUMIF($BC$13:$BC$55,$B4*100+I$3,$BA$13:$BA$55)+SUMIF($BC$13:$BC$55,$B4+I$3*100,$BA$13:$BA$55))=1,(SUMIF($BC$13:$BC$55,$B4*100+I$3,$J$13:$J$55)+SUMIF($BD$13:$BD$55,$B4*100+I$3,$M$13:$M$55)),"")</f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8"/>
      <c r="Q4" s="53"/>
      <c r="R4" s="62">
        <f t="shared" ref="R4:R11" si="1">SUM(H4:Q4)</f>
        <v>0</v>
      </c>
      <c r="S4" s="8">
        <f>IF(H4="",0,H4)*$R$4+IF(I4="",0,I4)*$R$5+IF(J4="",0,J4)*$R$6+IF(K4="",0,K4)*$R$7+IF(L4="",0,L4)*$R$8+IF(M4="",0,M4)*$R$9+IF(N4="",0,N4)*$R$10+IF(O4="",0,O4)*$R$11</f>
        <v>0</v>
      </c>
      <c r="T4" s="8">
        <f>AQ4</f>
        <v>1</v>
      </c>
      <c r="U4" s="14"/>
      <c r="V4" s="30"/>
      <c r="W4" s="31">
        <v>1</v>
      </c>
      <c r="X4" s="31" t="str">
        <f>C4</f>
        <v>A</v>
      </c>
      <c r="Y4" s="32">
        <v>2</v>
      </c>
      <c r="Z4" s="33" t="str">
        <f>IF(ISNA(VLOOKUP(W4,$A$4:$T$11,3,FALSE)),C4,VLOOKUP(W4,$A$4:$T$11,3,FALSE))</f>
        <v>A</v>
      </c>
      <c r="AA4" s="63">
        <f>IF(ISNA(VLOOKUP($B4,$A$4:$T$11,18,FALSE)),0,VLOOKUP($B4,$A$4:$T$11,18,FALSE))</f>
        <v>0</v>
      </c>
      <c r="AB4" s="34">
        <f t="shared" ref="AB4" si="2">VLOOKUP($B4,$A$4:$T$11,18,FALSE)</f>
        <v>0</v>
      </c>
      <c r="AC4" s="12">
        <f>IF(ISNA(VLOOKUP($B4,$A$4:$T$11,19,FALSE)),0,VLOOKUP($B4,$A$4:$T$11,19,FALSE))</f>
        <v>0</v>
      </c>
      <c r="AD4" s="34">
        <f t="shared" ref="AD4:AD11" si="3">VLOOKUP($Y4,$AX$4:$BA$11,4,FALSE)</f>
        <v>0</v>
      </c>
      <c r="AE4" s="35">
        <f t="shared" ref="AE4:AE11" si="4">VLOOKUP($Y4,$B$4:$R$11,5,FALSE)</f>
        <v>1000</v>
      </c>
      <c r="AF4" s="56"/>
      <c r="AG4" s="65">
        <f>IF(R4=$R$4,IF(H4="",0,H4))+IF(R4=$R$5,IF(I4="",0,I4))+IF(R4=$R$6,IF(J4="",0,J4))+IF(R4=$R$7,IF(K4="",0,K4))+IF(R4=$R$8,IF(L4="",0,L4))+IF(R4=$R$9,IF(M4="",0,M4))+IF(R4=$R$10,IF(N4="",0,N4))+IF(R4=$R$11,IF(O4="",0,O4))</f>
        <v>0</v>
      </c>
      <c r="AH4" s="66">
        <f>$AG$13*R4+AG4</f>
        <v>0</v>
      </c>
      <c r="AI4" s="65">
        <f t="shared" ref="AI4:AI11" si="5">IF(AH4=$AH$4,IF(H4="",0,H4))+IF(AH4=$AH$5,IF(I4="",0,I4))+IF(AH4=$AH$6,IF(J4="",0,J4))+IF(AH4=$AH$7,IF(K4="",0,K4))+IF(AH4=$AH$8,IF(L4="",0,L4))+IF(AH4=$AH$9,IF(M4="",0,M4))+IF(AH4=$AH$10,IF(N4="",0,N4))+IF(AH4=$AH$11,IF(O4="",0,O4))</f>
        <v>0</v>
      </c>
      <c r="AJ4" s="66">
        <f>$AI$13*AH4+AI4</f>
        <v>0</v>
      </c>
      <c r="AK4" s="65">
        <f>IF(AJ4=$AJ$4,IF(H4="",0,H4))+IF(AJ4=$AJ$5,IF(I4="",0,I4))+IF(AJ4=$AJ$6,IF(J4="",0,J4))+IF(AJ4=$AJ$7,IF(K4="",0,K4))+IF(AJ4=$AJ$8,IF(L4="",0,L4))+IF(AJ4=$AJ$9,IF(M4="",0,M4))+IF(AJ4=$AJ$10,IF(N4="",0,N4))+IF(AJ4=$AJ$11,IF(O4="",0,O4))</f>
        <v>0</v>
      </c>
      <c r="AL4" s="56">
        <f>$AK$13*AJ4+AK4</f>
        <v>0</v>
      </c>
      <c r="AM4" s="56"/>
      <c r="AN4" s="56">
        <f>RANK(AL4,$AL$4:$AL$11,1)-1</f>
        <v>0</v>
      </c>
      <c r="AO4" s="56">
        <f>RANK(S4,$S$4:$S$11,1)-1</f>
        <v>0</v>
      </c>
      <c r="AP4" s="56">
        <f>8*AN4+AO4</f>
        <v>0</v>
      </c>
      <c r="AQ4" s="56">
        <f>RANK(AP4,$AP$4:$AP$11)</f>
        <v>1</v>
      </c>
      <c r="AR4" s="56"/>
      <c r="AS4" s="56"/>
      <c r="AT4" s="56"/>
      <c r="AU4" s="56"/>
      <c r="AV4" s="56"/>
      <c r="AW4" s="30"/>
      <c r="AX4" s="37">
        <v>1</v>
      </c>
      <c r="AY4" s="38">
        <f t="shared" ref="AY4:AY11" si="6">SUMIF($AY$13:$AY$55,B4,$BE$13:$BE$55)+SUMIF($AZ$13:$AZ$55,B4,$BF$13:$BF$55)</f>
        <v>0</v>
      </c>
      <c r="AZ4" s="39" t="e">
        <f t="shared" ref="AZ4:AZ11" si="7">SUMIF($AY$13:$AY$55,B4,$BG$13:$BG$55)+SUMIF($AZ$13:$AZ$55,B4,$BH$13:$BH$55)</f>
        <v>#VALUE!</v>
      </c>
      <c r="BA4" s="39">
        <f>SUM(BO4:BW4)</f>
        <v>0</v>
      </c>
      <c r="BC4" s="6">
        <v>1</v>
      </c>
      <c r="BD4" s="6">
        <f t="shared" ref="BD4:BL11" si="8" xml:space="preserve"> SUMIFS( $J$16:$J$55, $AY$16:$AY$55,$BC4, $AX$16:$AX$55,BD$3) + SUMIFS( $M$16:$M$55, $AZ$16:$AZ$55,$BC4, $AX$16:$AX$55,BD$3)</f>
        <v>0</v>
      </c>
      <c r="BE4" s="6">
        <f t="shared" si="8"/>
        <v>0</v>
      </c>
      <c r="BF4" s="6">
        <f t="shared" si="8"/>
        <v>0</v>
      </c>
      <c r="BG4" s="6">
        <f t="shared" si="8"/>
        <v>0</v>
      </c>
      <c r="BH4" s="6">
        <f t="shared" si="8"/>
        <v>0</v>
      </c>
      <c r="BI4" s="6">
        <f t="shared" si="8"/>
        <v>0</v>
      </c>
      <c r="BJ4" s="6">
        <f t="shared" si="8"/>
        <v>0</v>
      </c>
      <c r="BK4" s="6">
        <f t="shared" si="8"/>
        <v>0</v>
      </c>
      <c r="BL4" s="6">
        <f t="shared" si="8"/>
        <v>0</v>
      </c>
      <c r="BN4" s="6">
        <v>1</v>
      </c>
      <c r="BO4" s="6">
        <f>BD4</f>
        <v>0</v>
      </c>
      <c r="BP4" s="6">
        <f t="shared" ref="BP4:BW11" si="9">BO4+BE4</f>
        <v>0</v>
      </c>
      <c r="BQ4" s="6">
        <f t="shared" si="9"/>
        <v>0</v>
      </c>
      <c r="BR4" s="6">
        <f t="shared" si="9"/>
        <v>0</v>
      </c>
      <c r="BS4" s="6">
        <f t="shared" si="9"/>
        <v>0</v>
      </c>
      <c r="BT4" s="6">
        <f t="shared" si="9"/>
        <v>0</v>
      </c>
      <c r="BU4" s="6">
        <f t="shared" si="9"/>
        <v>0</v>
      </c>
      <c r="BV4" s="6">
        <f t="shared" si="9"/>
        <v>0</v>
      </c>
      <c r="BW4" s="6">
        <f t="shared" si="9"/>
        <v>0</v>
      </c>
    </row>
    <row r="5" spans="1:75" x14ac:dyDescent="0.25">
      <c r="A5" s="24">
        <f t="shared" ref="A5:A12" si="10">T5</f>
        <v>1</v>
      </c>
      <c r="B5" s="25">
        <v>2</v>
      </c>
      <c r="C5" s="25" t="s">
        <v>41</v>
      </c>
      <c r="D5" s="93"/>
      <c r="E5" s="93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8"/>
      <c r="Q5" s="53"/>
      <c r="R5" s="62">
        <f t="shared" si="1"/>
        <v>0</v>
      </c>
      <c r="S5" s="8">
        <f t="shared" ref="S5:S11" si="11">IF(H5="",0,H5)*$R$4+IF(I5="",0,I5)*$R$5+IF(J5="",0,J5)*$R$6+IF(K5="",0,K5)*$R$7+IF(L5="",0,L5)*$R$8+IF(M5="",0,M5)*$R$9+IF(N5="",0,N5)*$R$10+IF(O5="",0,O5)*$R$11</f>
        <v>0</v>
      </c>
      <c r="T5" s="8">
        <f t="shared" ref="T5:T12" si="12">AQ5</f>
        <v>1</v>
      </c>
      <c r="U5" s="14"/>
      <c r="V5" s="30"/>
      <c r="W5" s="31">
        <v>2</v>
      </c>
      <c r="X5" s="31" t="str">
        <f t="shared" ref="X5:X11" si="13">C5</f>
        <v>B</v>
      </c>
      <c r="Y5" s="32">
        <v>7</v>
      </c>
      <c r="Z5" s="33" t="str">
        <f t="shared" ref="Z5:Z11" si="14">IF(ISNA(VLOOKUP(W5,$A$4:$T$11,3,FALSE)),C5,VLOOKUP(W5,$A$4:$T$11,3,FALSE))</f>
        <v>B</v>
      </c>
      <c r="AA5" s="63">
        <f t="shared" ref="AA5:AA11" si="15">IF(ISNA(VLOOKUP($B5,$A$4:$T$11,18,FALSE)),0,VLOOKUP($B5,$A$4:$T$11,18,FALSE))</f>
        <v>0</v>
      </c>
      <c r="AB5" s="34">
        <f t="shared" ref="AB5:AB11" si="16">VLOOKUP($Y5,$AX$4:$BA$11,2,FALSE)</f>
        <v>0</v>
      </c>
      <c r="AC5" s="12">
        <f t="shared" ref="AC5:AC11" si="17">IF(ISNA(VLOOKUP($B5,$A$4:$T$11,19,FALSE)),0,VLOOKUP($B5,$A$4:$T$11,19,FALSE))</f>
        <v>0</v>
      </c>
      <c r="AD5" s="34">
        <f t="shared" si="3"/>
        <v>0</v>
      </c>
      <c r="AE5" s="35">
        <f t="shared" si="4"/>
        <v>1000</v>
      </c>
      <c r="AF5" s="56"/>
      <c r="AG5" s="65">
        <f t="shared" ref="AG5:AG11" si="18">IF(R5=$R$4,IF(H5="",0,H5))+IF(R5=$R$5,IF(I5="",0,I5))+IF(R5=$R$6,IF(J5="",0,J5))+IF(R5=$R$7,IF(K5="",0,K5))+IF(R5=$R$8,IF(L5="",0,L5))+IF(R5=$R$9,IF(M5="",0,M5))+IF(R5=$R$10,IF(N5="",0,N5))+IF(R5=$R$11,IF(O5="",0,O5))</f>
        <v>0</v>
      </c>
      <c r="AH5" s="66">
        <f t="shared" ref="AH5:AH11" si="19">$AG$13*R5+AG5</f>
        <v>0</v>
      </c>
      <c r="AI5" s="65">
        <f t="shared" si="5"/>
        <v>0</v>
      </c>
      <c r="AJ5" s="66">
        <f t="shared" ref="AJ5:AJ11" si="20">$AI$13*AH5+AI5</f>
        <v>0</v>
      </c>
      <c r="AK5" s="65">
        <f>IF(AJ5=$AJ$4,IF(H5="",0,H5))+IF(AJ5=$AJ$5,IF(I5="",0,I5))+IF(AJ5=$AJ$6,IF(J5="",0,J5))+IF(AJ5=$AJ$7,IF(K5="",0,K5))+IF(AJ5=$AJ$8,IF(L5="",0,L5))+IF(AJ5=$AJ$9,IF(M5="",0,M5))+IF(AJ5=$AJ$10,IF(N5="",0,N5))+IF(AJ5=$AJ$11,IF(O5="",0,O5))</f>
        <v>0</v>
      </c>
      <c r="AL5" s="56">
        <f t="shared" ref="AL5:AL11" si="21">$AK$13*AJ5+AK5</f>
        <v>0</v>
      </c>
      <c r="AM5" s="56"/>
      <c r="AN5" s="56">
        <f t="shared" ref="AN5:AN11" si="22">RANK(AL5,$AL$4:$AL$11,1)-1</f>
        <v>0</v>
      </c>
      <c r="AO5" s="56">
        <f t="shared" ref="AO5:AO12" si="23">RANK(S5,$S$4:$S$11,1)-1</f>
        <v>0</v>
      </c>
      <c r="AP5" s="56">
        <f t="shared" ref="AP5:AP12" si="24">8*AN5+AO5</f>
        <v>0</v>
      </c>
      <c r="AQ5" s="56">
        <f t="shared" ref="AQ5:AQ11" si="25">RANK(AP5,$AP$4:$AP$11)</f>
        <v>1</v>
      </c>
      <c r="AR5" s="56"/>
      <c r="AS5" s="56"/>
      <c r="AT5" s="56"/>
      <c r="AU5" s="56"/>
      <c r="AV5" s="56"/>
      <c r="AW5" s="30"/>
      <c r="AX5" s="37">
        <v>2</v>
      </c>
      <c r="AY5" s="38">
        <f t="shared" si="6"/>
        <v>0</v>
      </c>
      <c r="AZ5" s="39" t="e">
        <f t="shared" si="7"/>
        <v>#VALUE!</v>
      </c>
      <c r="BA5" s="39">
        <f t="shared" ref="BA5:BA11" si="26">SUM(BO5:BW5)</f>
        <v>0</v>
      </c>
      <c r="BC5" s="6">
        <v>2</v>
      </c>
      <c r="BD5" s="6">
        <f t="shared" si="8"/>
        <v>0</v>
      </c>
      <c r="BE5" s="6">
        <f t="shared" si="8"/>
        <v>0</v>
      </c>
      <c r="BF5" s="6">
        <f t="shared" si="8"/>
        <v>0</v>
      </c>
      <c r="BG5" s="6">
        <f t="shared" si="8"/>
        <v>0</v>
      </c>
      <c r="BH5" s="6">
        <f t="shared" si="8"/>
        <v>0</v>
      </c>
      <c r="BI5" s="6">
        <f t="shared" si="8"/>
        <v>0</v>
      </c>
      <c r="BJ5" s="6">
        <f t="shared" si="8"/>
        <v>0</v>
      </c>
      <c r="BK5" s="6">
        <f t="shared" si="8"/>
        <v>0</v>
      </c>
      <c r="BL5" s="6">
        <f t="shared" si="8"/>
        <v>0</v>
      </c>
      <c r="BN5" s="6">
        <v>2</v>
      </c>
      <c r="BO5" s="6">
        <f t="shared" ref="BO5:BO11" si="27">BD5</f>
        <v>0</v>
      </c>
      <c r="BP5" s="6">
        <f t="shared" si="9"/>
        <v>0</v>
      </c>
      <c r="BQ5" s="6">
        <f t="shared" si="9"/>
        <v>0</v>
      </c>
      <c r="BR5" s="6">
        <f t="shared" si="9"/>
        <v>0</v>
      </c>
      <c r="BS5" s="6">
        <f t="shared" si="9"/>
        <v>0</v>
      </c>
      <c r="BT5" s="6">
        <f t="shared" si="9"/>
        <v>0</v>
      </c>
      <c r="BU5" s="6">
        <f t="shared" si="9"/>
        <v>0</v>
      </c>
      <c r="BV5" s="6">
        <f t="shared" si="9"/>
        <v>0</v>
      </c>
      <c r="BW5" s="6">
        <f t="shared" si="9"/>
        <v>0</v>
      </c>
    </row>
    <row r="6" spans="1:75" x14ac:dyDescent="0.25">
      <c r="A6" s="24">
        <f t="shared" si="10"/>
        <v>1</v>
      </c>
      <c r="B6" s="25">
        <v>3</v>
      </c>
      <c r="C6" s="25" t="s">
        <v>42</v>
      </c>
      <c r="D6" s="93"/>
      <c r="E6" s="93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8"/>
      <c r="Q6" s="53"/>
      <c r="R6" s="62">
        <f t="shared" si="1"/>
        <v>0</v>
      </c>
      <c r="S6" s="8">
        <f t="shared" si="11"/>
        <v>0</v>
      </c>
      <c r="T6" s="9">
        <f>AQ6</f>
        <v>1</v>
      </c>
      <c r="U6" s="10"/>
      <c r="V6" s="30"/>
      <c r="W6" s="31">
        <v>3</v>
      </c>
      <c r="X6" s="31" t="str">
        <f t="shared" si="13"/>
        <v>C</v>
      </c>
      <c r="Y6" s="32">
        <v>1</v>
      </c>
      <c r="Z6" s="33" t="str">
        <f t="shared" si="14"/>
        <v>C</v>
      </c>
      <c r="AA6" s="63">
        <f t="shared" si="15"/>
        <v>0</v>
      </c>
      <c r="AB6" s="34">
        <f t="shared" si="16"/>
        <v>0</v>
      </c>
      <c r="AC6" s="12">
        <f t="shared" si="17"/>
        <v>0</v>
      </c>
      <c r="AD6" s="34">
        <f t="shared" si="3"/>
        <v>0</v>
      </c>
      <c r="AE6" s="35">
        <f t="shared" si="4"/>
        <v>1000</v>
      </c>
      <c r="AF6" s="56"/>
      <c r="AG6" s="65">
        <f t="shared" si="18"/>
        <v>0</v>
      </c>
      <c r="AH6" s="66">
        <f t="shared" si="19"/>
        <v>0</v>
      </c>
      <c r="AI6" s="65">
        <f t="shared" si="5"/>
        <v>0</v>
      </c>
      <c r="AJ6" s="66">
        <f t="shared" si="20"/>
        <v>0</v>
      </c>
      <c r="AK6" s="65">
        <f>IF(AJ6=$AJ$4,IF(H6="",0,H6))+IF(AJ6=$AJ$5,IF(I6="",0,I6))+IF(AJ6=$AJ$6,IF(J6="",0,J6))+IF(AJ6=$AJ$7,IF(K6="",0,K6))+IF(AJ6=$AJ$8,IF(L6="",0,L6))+IF(AJ6=$AJ$9,IF(M6="",0,M6))+IF(AJ6=$AJ$10,IF(N6="",0,N6))+IF(AJ6=$AJ$11,IF(O6="",0,O6))</f>
        <v>0</v>
      </c>
      <c r="AL6" s="56">
        <f t="shared" si="21"/>
        <v>0</v>
      </c>
      <c r="AM6" s="56"/>
      <c r="AN6" s="56">
        <f t="shared" si="22"/>
        <v>0</v>
      </c>
      <c r="AO6" s="56">
        <f t="shared" si="23"/>
        <v>0</v>
      </c>
      <c r="AP6" s="56">
        <f t="shared" si="24"/>
        <v>0</v>
      </c>
      <c r="AQ6" s="56">
        <f t="shared" si="25"/>
        <v>1</v>
      </c>
      <c r="AR6" s="56"/>
      <c r="AS6" s="56"/>
      <c r="AT6" s="56"/>
      <c r="AU6" s="56"/>
      <c r="AV6" s="56"/>
      <c r="AW6" s="30"/>
      <c r="AX6" s="37">
        <v>3</v>
      </c>
      <c r="AY6" s="38">
        <f t="shared" si="6"/>
        <v>0</v>
      </c>
      <c r="AZ6" s="39" t="e">
        <f t="shared" si="7"/>
        <v>#VALUE!</v>
      </c>
      <c r="BA6" s="39">
        <f t="shared" si="26"/>
        <v>0</v>
      </c>
      <c r="BC6" s="6">
        <v>3</v>
      </c>
      <c r="BD6" s="6">
        <f t="shared" si="8"/>
        <v>0</v>
      </c>
      <c r="BE6" s="6">
        <f t="shared" si="8"/>
        <v>0</v>
      </c>
      <c r="BF6" s="6">
        <f t="shared" si="8"/>
        <v>0</v>
      </c>
      <c r="BG6" s="6">
        <f t="shared" si="8"/>
        <v>0</v>
      </c>
      <c r="BH6" s="6">
        <f t="shared" si="8"/>
        <v>0</v>
      </c>
      <c r="BI6" s="6">
        <f t="shared" si="8"/>
        <v>0</v>
      </c>
      <c r="BJ6" s="6">
        <f t="shared" si="8"/>
        <v>0</v>
      </c>
      <c r="BK6" s="6">
        <f t="shared" si="8"/>
        <v>0</v>
      </c>
      <c r="BL6" s="6">
        <f t="shared" si="8"/>
        <v>0</v>
      </c>
      <c r="BN6" s="6">
        <v>3</v>
      </c>
      <c r="BO6" s="6">
        <f t="shared" si="27"/>
        <v>0</v>
      </c>
      <c r="BP6" s="6">
        <f t="shared" si="9"/>
        <v>0</v>
      </c>
      <c r="BQ6" s="6">
        <f t="shared" si="9"/>
        <v>0</v>
      </c>
      <c r="BR6" s="6">
        <f t="shared" si="9"/>
        <v>0</v>
      </c>
      <c r="BS6" s="6">
        <f t="shared" si="9"/>
        <v>0</v>
      </c>
      <c r="BT6" s="6">
        <f t="shared" si="9"/>
        <v>0</v>
      </c>
      <c r="BU6" s="6">
        <f t="shared" si="9"/>
        <v>0</v>
      </c>
      <c r="BV6" s="6">
        <f t="shared" si="9"/>
        <v>0</v>
      </c>
      <c r="BW6" s="6">
        <f t="shared" si="9"/>
        <v>0</v>
      </c>
    </row>
    <row r="7" spans="1:75" x14ac:dyDescent="0.25">
      <c r="A7" s="24">
        <f t="shared" si="10"/>
        <v>1</v>
      </c>
      <c r="B7" s="25">
        <v>4</v>
      </c>
      <c r="C7" s="25" t="s">
        <v>43</v>
      </c>
      <c r="D7" s="93"/>
      <c r="E7" s="93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8"/>
      <c r="Q7" s="53"/>
      <c r="R7" s="62">
        <f t="shared" si="1"/>
        <v>0</v>
      </c>
      <c r="S7" s="8">
        <f t="shared" si="11"/>
        <v>0</v>
      </c>
      <c r="T7" s="8">
        <f t="shared" si="12"/>
        <v>1</v>
      </c>
      <c r="U7" s="14"/>
      <c r="V7" s="30"/>
      <c r="W7" s="31">
        <v>4</v>
      </c>
      <c r="X7" s="31" t="str">
        <f t="shared" si="13"/>
        <v>D</v>
      </c>
      <c r="Y7" s="32">
        <v>6</v>
      </c>
      <c r="Z7" s="33" t="str">
        <f t="shared" si="14"/>
        <v>D</v>
      </c>
      <c r="AA7" s="63">
        <f t="shared" si="15"/>
        <v>0</v>
      </c>
      <c r="AB7" s="34">
        <f t="shared" si="16"/>
        <v>0</v>
      </c>
      <c r="AC7" s="12">
        <f t="shared" si="17"/>
        <v>0</v>
      </c>
      <c r="AD7" s="34">
        <f t="shared" si="3"/>
        <v>0</v>
      </c>
      <c r="AE7" s="35">
        <f t="shared" si="4"/>
        <v>1000</v>
      </c>
      <c r="AF7" s="56"/>
      <c r="AG7" s="65">
        <f t="shared" si="18"/>
        <v>0</v>
      </c>
      <c r="AH7" s="66">
        <f t="shared" si="19"/>
        <v>0</v>
      </c>
      <c r="AI7" s="65">
        <f t="shared" si="5"/>
        <v>0</v>
      </c>
      <c r="AJ7" s="66">
        <f t="shared" si="20"/>
        <v>0</v>
      </c>
      <c r="AK7" s="65">
        <f t="shared" ref="AK7" si="28">IF(AJ7=$AJ$4,IF(H7="",0,H7))+IF(AJ7=$AJ$5,IF(I7="",0,I7))+IF(AJ7=$AJ$6,IF(J7="",0,J7))+IF(AK6=$AJ$7,IF(K7="",0,K7))+IF(AJ7=$AJ$8,IF(L7="",0,L7))+IF(AJ7=$AJ$9,IF(M7="",0,M7))+IF(AJ7=$AJ$10,IF(N7="",0,N7))+IF(AJ7=$AJ$11,IF(O7="",0,O7))</f>
        <v>0</v>
      </c>
      <c r="AL7" s="56">
        <f t="shared" si="21"/>
        <v>0</v>
      </c>
      <c r="AM7" s="56"/>
      <c r="AN7" s="56">
        <f t="shared" si="22"/>
        <v>0</v>
      </c>
      <c r="AO7" s="56">
        <f t="shared" si="23"/>
        <v>0</v>
      </c>
      <c r="AP7" s="56">
        <f t="shared" si="24"/>
        <v>0</v>
      </c>
      <c r="AQ7" s="56">
        <f t="shared" si="25"/>
        <v>1</v>
      </c>
      <c r="AR7" s="56"/>
      <c r="AS7" s="56"/>
      <c r="AT7" s="56"/>
      <c r="AU7" s="56"/>
      <c r="AV7" s="56"/>
      <c r="AW7" s="30"/>
      <c r="AX7" s="37">
        <v>4</v>
      </c>
      <c r="AY7" s="38">
        <f t="shared" si="6"/>
        <v>0</v>
      </c>
      <c r="AZ7" s="39" t="e">
        <f t="shared" si="7"/>
        <v>#VALUE!</v>
      </c>
      <c r="BA7" s="39">
        <f t="shared" si="26"/>
        <v>0</v>
      </c>
      <c r="BC7" s="6">
        <v>4</v>
      </c>
      <c r="BD7" s="6">
        <f t="shared" si="8"/>
        <v>0</v>
      </c>
      <c r="BE7" s="6">
        <f t="shared" si="8"/>
        <v>0</v>
      </c>
      <c r="BF7" s="6">
        <f t="shared" si="8"/>
        <v>0</v>
      </c>
      <c r="BG7" s="6">
        <f t="shared" si="8"/>
        <v>0</v>
      </c>
      <c r="BH7" s="6">
        <f t="shared" si="8"/>
        <v>0</v>
      </c>
      <c r="BI7" s="6">
        <f t="shared" si="8"/>
        <v>0</v>
      </c>
      <c r="BJ7" s="6">
        <f t="shared" si="8"/>
        <v>0</v>
      </c>
      <c r="BK7" s="6">
        <f t="shared" si="8"/>
        <v>0</v>
      </c>
      <c r="BL7" s="6">
        <f t="shared" si="8"/>
        <v>0</v>
      </c>
      <c r="BN7" s="6">
        <v>4</v>
      </c>
      <c r="BO7" s="6">
        <f t="shared" si="27"/>
        <v>0</v>
      </c>
      <c r="BP7" s="6">
        <f t="shared" si="9"/>
        <v>0</v>
      </c>
      <c r="BQ7" s="6">
        <f t="shared" si="9"/>
        <v>0</v>
      </c>
      <c r="BR7" s="6">
        <f t="shared" si="9"/>
        <v>0</v>
      </c>
      <c r="BS7" s="6">
        <f t="shared" si="9"/>
        <v>0</v>
      </c>
      <c r="BT7" s="6">
        <f t="shared" si="9"/>
        <v>0</v>
      </c>
      <c r="BU7" s="6">
        <f t="shared" si="9"/>
        <v>0</v>
      </c>
      <c r="BV7" s="6">
        <f t="shared" si="9"/>
        <v>0</v>
      </c>
      <c r="BW7" s="6">
        <f t="shared" si="9"/>
        <v>0</v>
      </c>
    </row>
    <row r="8" spans="1:75" x14ac:dyDescent="0.25">
      <c r="A8" s="24">
        <f t="shared" si="10"/>
        <v>1</v>
      </c>
      <c r="B8" s="25">
        <v>5</v>
      </c>
      <c r="C8" s="25" t="s">
        <v>47</v>
      </c>
      <c r="D8" s="93"/>
      <c r="E8" s="93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8"/>
      <c r="Q8" s="53"/>
      <c r="R8" s="62">
        <f t="shared" si="1"/>
        <v>0</v>
      </c>
      <c r="S8" s="8">
        <f t="shared" si="11"/>
        <v>0</v>
      </c>
      <c r="T8" s="8">
        <f t="shared" si="12"/>
        <v>1</v>
      </c>
      <c r="U8" s="14"/>
      <c r="V8" s="30"/>
      <c r="W8" s="31">
        <v>5</v>
      </c>
      <c r="X8" s="31" t="str">
        <f t="shared" si="13"/>
        <v>E</v>
      </c>
      <c r="Y8" s="32">
        <v>3</v>
      </c>
      <c r="Z8" s="33" t="str">
        <f t="shared" si="14"/>
        <v>E</v>
      </c>
      <c r="AA8" s="63">
        <f t="shared" si="15"/>
        <v>0</v>
      </c>
      <c r="AB8" s="34">
        <f t="shared" si="16"/>
        <v>0</v>
      </c>
      <c r="AC8" s="12">
        <f t="shared" si="17"/>
        <v>0</v>
      </c>
      <c r="AD8" s="34">
        <f t="shared" si="3"/>
        <v>0</v>
      </c>
      <c r="AE8" s="35">
        <f t="shared" si="4"/>
        <v>1000</v>
      </c>
      <c r="AF8" s="56"/>
      <c r="AG8" s="65">
        <f t="shared" si="18"/>
        <v>0</v>
      </c>
      <c r="AH8" s="66">
        <f t="shared" si="19"/>
        <v>0</v>
      </c>
      <c r="AI8" s="65">
        <f t="shared" si="5"/>
        <v>0</v>
      </c>
      <c r="AJ8" s="66">
        <f t="shared" si="20"/>
        <v>0</v>
      </c>
      <c r="AK8" s="65">
        <f>IF(AJ8=$AJ$4,IF(H8="",0,H8))+IF(AJ8=$AJ$5,IF(I8="",0,I8))+IF(AJ8=$AJ$6,IF(J8="",0,J8))+IF(AJ8=$AJ$7,IF(K8="",0,K8))+IF(AJ8=$AJ$8,IF(L8="",0,L8))+IF(AJ8=$AJ$9,IF(M8="",0,M8))+IF(AJ8=$AJ$10,IF(N8="",0,N8))+IF(AJ8=$AJ$11,IF(O8="",0,O8))</f>
        <v>0</v>
      </c>
      <c r="AL8" s="56">
        <f t="shared" si="21"/>
        <v>0</v>
      </c>
      <c r="AM8" s="56"/>
      <c r="AN8" s="56">
        <f t="shared" si="22"/>
        <v>0</v>
      </c>
      <c r="AO8" s="56">
        <f t="shared" si="23"/>
        <v>0</v>
      </c>
      <c r="AP8" s="56">
        <f t="shared" si="24"/>
        <v>0</v>
      </c>
      <c r="AQ8" s="56">
        <f t="shared" si="25"/>
        <v>1</v>
      </c>
      <c r="AR8" s="56"/>
      <c r="AS8" s="7"/>
      <c r="AT8" s="56"/>
      <c r="AU8" s="56"/>
      <c r="AV8" s="56"/>
      <c r="AW8" s="30"/>
      <c r="AX8" s="37">
        <v>5</v>
      </c>
      <c r="AY8" s="38">
        <f t="shared" si="6"/>
        <v>0</v>
      </c>
      <c r="AZ8" s="39" t="e">
        <f t="shared" si="7"/>
        <v>#VALUE!</v>
      </c>
      <c r="BA8" s="39">
        <f t="shared" si="26"/>
        <v>0</v>
      </c>
      <c r="BC8" s="6">
        <v>5</v>
      </c>
      <c r="BD8" s="6">
        <f t="shared" si="8"/>
        <v>0</v>
      </c>
      <c r="BE8" s="6">
        <f t="shared" si="8"/>
        <v>0</v>
      </c>
      <c r="BF8" s="6">
        <f t="shared" si="8"/>
        <v>0</v>
      </c>
      <c r="BG8" s="6">
        <f t="shared" si="8"/>
        <v>0</v>
      </c>
      <c r="BH8" s="6">
        <f t="shared" si="8"/>
        <v>0</v>
      </c>
      <c r="BI8" s="6">
        <f t="shared" si="8"/>
        <v>0</v>
      </c>
      <c r="BJ8" s="6">
        <f t="shared" si="8"/>
        <v>0</v>
      </c>
      <c r="BK8" s="6">
        <f t="shared" si="8"/>
        <v>0</v>
      </c>
      <c r="BL8" s="6">
        <f t="shared" si="8"/>
        <v>0</v>
      </c>
      <c r="BN8" s="6">
        <v>5</v>
      </c>
      <c r="BO8" s="6">
        <f t="shared" si="27"/>
        <v>0</v>
      </c>
      <c r="BP8" s="6">
        <f t="shared" si="9"/>
        <v>0</v>
      </c>
      <c r="BQ8" s="6">
        <f t="shared" si="9"/>
        <v>0</v>
      </c>
      <c r="BR8" s="6">
        <f t="shared" si="9"/>
        <v>0</v>
      </c>
      <c r="BS8" s="6">
        <f t="shared" si="9"/>
        <v>0</v>
      </c>
      <c r="BT8" s="6">
        <f t="shared" si="9"/>
        <v>0</v>
      </c>
      <c r="BU8" s="6">
        <f t="shared" si="9"/>
        <v>0</v>
      </c>
      <c r="BV8" s="6">
        <f t="shared" si="9"/>
        <v>0</v>
      </c>
      <c r="BW8" s="6">
        <f t="shared" si="9"/>
        <v>0</v>
      </c>
    </row>
    <row r="9" spans="1:75" x14ac:dyDescent="0.25">
      <c r="A9" s="24">
        <f t="shared" si="10"/>
        <v>1</v>
      </c>
      <c r="B9" s="25">
        <v>6</v>
      </c>
      <c r="C9" s="25" t="s">
        <v>44</v>
      </c>
      <c r="D9" s="93"/>
      <c r="E9" s="93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8"/>
      <c r="Q9" s="53"/>
      <c r="R9" s="62">
        <f t="shared" si="1"/>
        <v>0</v>
      </c>
      <c r="S9" s="8">
        <f t="shared" si="11"/>
        <v>0</v>
      </c>
      <c r="T9" s="8">
        <f t="shared" si="12"/>
        <v>1</v>
      </c>
      <c r="U9" s="14"/>
      <c r="V9" s="30"/>
      <c r="W9" s="31">
        <v>6</v>
      </c>
      <c r="X9" s="31" t="str">
        <f t="shared" si="13"/>
        <v>F</v>
      </c>
      <c r="Y9" s="32">
        <v>5</v>
      </c>
      <c r="Z9" s="33" t="str">
        <f t="shared" si="14"/>
        <v>F</v>
      </c>
      <c r="AA9" s="63">
        <f t="shared" si="15"/>
        <v>0</v>
      </c>
      <c r="AB9" s="34">
        <f t="shared" si="16"/>
        <v>0</v>
      </c>
      <c r="AC9" s="12">
        <f t="shared" si="17"/>
        <v>0</v>
      </c>
      <c r="AD9" s="34">
        <f t="shared" si="3"/>
        <v>0</v>
      </c>
      <c r="AE9" s="35">
        <f t="shared" si="4"/>
        <v>1000</v>
      </c>
      <c r="AF9" s="56"/>
      <c r="AG9" s="65">
        <f t="shared" si="18"/>
        <v>0</v>
      </c>
      <c r="AH9" s="66">
        <f t="shared" si="19"/>
        <v>0</v>
      </c>
      <c r="AI9" s="65">
        <f t="shared" si="5"/>
        <v>0</v>
      </c>
      <c r="AJ9" s="66">
        <f t="shared" si="20"/>
        <v>0</v>
      </c>
      <c r="AK9" s="65">
        <f>IF(AJ9=$AJ$4,IF(H9="",0,H9))+IF(AJ9=$AJ$5,IF(I9="",0,I9))+IF(AJ9=$AJ$6,IF(J9="",0,J9))+IF(AJ9=$AJ$7,IF(K9="",0,K9))+IF(AJ9=$AJ$8,IF(L9="",0,L9))+IF(AJ9=$AJ$9,IF(M9="",0,M9))+IF(AJ9=$AJ$10,IF(N9="",0,N9))+IF(AJ9=$AJ$11,IF(O9="",0,O9))</f>
        <v>0</v>
      </c>
      <c r="AL9" s="56">
        <f t="shared" si="21"/>
        <v>0</v>
      </c>
      <c r="AM9" s="56"/>
      <c r="AN9" s="56">
        <f t="shared" si="22"/>
        <v>0</v>
      </c>
      <c r="AO9" s="56">
        <f t="shared" si="23"/>
        <v>0</v>
      </c>
      <c r="AP9" s="56">
        <f t="shared" si="24"/>
        <v>0</v>
      </c>
      <c r="AQ9" s="56">
        <f t="shared" si="25"/>
        <v>1</v>
      </c>
      <c r="AR9" s="56"/>
      <c r="AS9" s="56"/>
      <c r="AT9" s="56"/>
      <c r="AU9" s="56"/>
      <c r="AV9" s="56"/>
      <c r="AW9" s="30"/>
      <c r="AX9" s="37">
        <v>6</v>
      </c>
      <c r="AY9" s="38">
        <f t="shared" si="6"/>
        <v>0</v>
      </c>
      <c r="AZ9" s="39" t="e">
        <f t="shared" si="7"/>
        <v>#VALUE!</v>
      </c>
      <c r="BA9" s="39">
        <f t="shared" si="26"/>
        <v>0</v>
      </c>
      <c r="BC9" s="6">
        <v>6</v>
      </c>
      <c r="BD9" s="6">
        <f t="shared" si="8"/>
        <v>0</v>
      </c>
      <c r="BE9" s="6">
        <f t="shared" si="8"/>
        <v>0</v>
      </c>
      <c r="BF9" s="6">
        <f t="shared" si="8"/>
        <v>0</v>
      </c>
      <c r="BG9" s="6">
        <f t="shared" si="8"/>
        <v>0</v>
      </c>
      <c r="BH9" s="6">
        <f t="shared" si="8"/>
        <v>0</v>
      </c>
      <c r="BI9" s="6">
        <f t="shared" si="8"/>
        <v>0</v>
      </c>
      <c r="BJ9" s="6">
        <f t="shared" si="8"/>
        <v>0</v>
      </c>
      <c r="BK9" s="6">
        <f t="shared" si="8"/>
        <v>0</v>
      </c>
      <c r="BL9" s="6">
        <f t="shared" si="8"/>
        <v>0</v>
      </c>
      <c r="BN9" s="6">
        <v>6</v>
      </c>
      <c r="BO9" s="6">
        <f t="shared" si="27"/>
        <v>0</v>
      </c>
      <c r="BP9" s="6">
        <f t="shared" si="9"/>
        <v>0</v>
      </c>
      <c r="BQ9" s="6">
        <f t="shared" si="9"/>
        <v>0</v>
      </c>
      <c r="BR9" s="6">
        <f t="shared" si="9"/>
        <v>0</v>
      </c>
      <c r="BS9" s="6">
        <f t="shared" si="9"/>
        <v>0</v>
      </c>
      <c r="BT9" s="6">
        <f t="shared" si="9"/>
        <v>0</v>
      </c>
      <c r="BU9" s="6">
        <f t="shared" si="9"/>
        <v>0</v>
      </c>
      <c r="BV9" s="6">
        <f t="shared" si="9"/>
        <v>0</v>
      </c>
      <c r="BW9" s="6">
        <f t="shared" si="9"/>
        <v>0</v>
      </c>
    </row>
    <row r="10" spans="1:75" x14ac:dyDescent="0.25">
      <c r="A10" s="24">
        <f t="shared" si="10"/>
        <v>1</v>
      </c>
      <c r="B10" s="25">
        <v>7</v>
      </c>
      <c r="C10" s="25" t="s">
        <v>45</v>
      </c>
      <c r="D10" s="93"/>
      <c r="E10" s="93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8"/>
      <c r="Q10" s="53"/>
      <c r="R10" s="62">
        <f t="shared" si="1"/>
        <v>0</v>
      </c>
      <c r="S10" s="8">
        <f t="shared" si="11"/>
        <v>0</v>
      </c>
      <c r="T10" s="8">
        <f t="shared" si="12"/>
        <v>1</v>
      </c>
      <c r="U10" s="14"/>
      <c r="V10" s="30"/>
      <c r="W10" s="31">
        <v>7</v>
      </c>
      <c r="X10" s="31" t="str">
        <f t="shared" si="13"/>
        <v>G</v>
      </c>
      <c r="Y10" s="32">
        <v>4</v>
      </c>
      <c r="Z10" s="33" t="str">
        <f t="shared" si="14"/>
        <v>G</v>
      </c>
      <c r="AA10" s="63">
        <f t="shared" si="15"/>
        <v>0</v>
      </c>
      <c r="AB10" s="34">
        <f t="shared" si="16"/>
        <v>0</v>
      </c>
      <c r="AC10" s="12">
        <f t="shared" si="17"/>
        <v>0</v>
      </c>
      <c r="AD10" s="34">
        <f t="shared" si="3"/>
        <v>0</v>
      </c>
      <c r="AE10" s="35">
        <f t="shared" si="4"/>
        <v>1000</v>
      </c>
      <c r="AF10" s="56"/>
      <c r="AG10" s="65">
        <f t="shared" si="18"/>
        <v>0</v>
      </c>
      <c r="AH10" s="66">
        <f t="shared" si="19"/>
        <v>0</v>
      </c>
      <c r="AI10" s="65">
        <f t="shared" si="5"/>
        <v>0</v>
      </c>
      <c r="AJ10" s="66">
        <f t="shared" si="20"/>
        <v>0</v>
      </c>
      <c r="AK10" s="65">
        <f>IF(AJ10=$AJ$4,IF(H10="",0,H10))+IF(AJ10=$AJ$5,IF(I10="",0,I10))+IF(AJ10=$AJ$6,IF(J10="",0,J10))+IF(AJ10=$AJ$7,IF(K10="",0,K10))+IF(AJ10=$AJ$8,IF(L10="",0,L10))+IF(AJ10=$AJ$9,IF(M10="",0,M10))+IF(AJ10=$AJ$10,IF(N10="",0,N10))+IF(AJ10=$AJ$11,IF(O10="",0,O10))</f>
        <v>0</v>
      </c>
      <c r="AL10" s="56">
        <f t="shared" si="21"/>
        <v>0</v>
      </c>
      <c r="AM10" s="56"/>
      <c r="AN10" s="56">
        <f t="shared" si="22"/>
        <v>0</v>
      </c>
      <c r="AO10" s="56">
        <f t="shared" si="23"/>
        <v>0</v>
      </c>
      <c r="AP10" s="56">
        <f t="shared" si="24"/>
        <v>0</v>
      </c>
      <c r="AQ10" s="56">
        <f t="shared" si="25"/>
        <v>1</v>
      </c>
      <c r="AR10" s="56"/>
      <c r="AS10" s="56"/>
      <c r="AT10" s="56"/>
      <c r="AU10" s="56"/>
      <c r="AV10" s="56"/>
      <c r="AW10" s="30"/>
      <c r="AX10" s="37">
        <v>7</v>
      </c>
      <c r="AY10" s="38">
        <f t="shared" si="6"/>
        <v>0</v>
      </c>
      <c r="AZ10" s="39" t="e">
        <f t="shared" si="7"/>
        <v>#VALUE!</v>
      </c>
      <c r="BA10" s="39">
        <f t="shared" si="26"/>
        <v>0</v>
      </c>
      <c r="BC10" s="6">
        <v>7</v>
      </c>
      <c r="BD10" s="6">
        <f t="shared" si="8"/>
        <v>0</v>
      </c>
      <c r="BE10" s="6">
        <f t="shared" si="8"/>
        <v>0</v>
      </c>
      <c r="BF10" s="6">
        <f t="shared" si="8"/>
        <v>0</v>
      </c>
      <c r="BG10" s="6">
        <f t="shared" si="8"/>
        <v>0</v>
      </c>
      <c r="BH10" s="6">
        <f t="shared" si="8"/>
        <v>0</v>
      </c>
      <c r="BI10" s="6">
        <f t="shared" si="8"/>
        <v>0</v>
      </c>
      <c r="BJ10" s="6">
        <f t="shared" si="8"/>
        <v>0</v>
      </c>
      <c r="BK10" s="6">
        <f t="shared" si="8"/>
        <v>0</v>
      </c>
      <c r="BL10" s="6">
        <f t="shared" si="8"/>
        <v>0</v>
      </c>
      <c r="BN10" s="6">
        <v>7</v>
      </c>
      <c r="BO10" s="6">
        <f t="shared" si="27"/>
        <v>0</v>
      </c>
      <c r="BP10" s="6">
        <f t="shared" si="9"/>
        <v>0</v>
      </c>
      <c r="BQ10" s="6">
        <f t="shared" si="9"/>
        <v>0</v>
      </c>
      <c r="BR10" s="6">
        <f t="shared" si="9"/>
        <v>0</v>
      </c>
      <c r="BS10" s="6">
        <f t="shared" si="9"/>
        <v>0</v>
      </c>
      <c r="BT10" s="6">
        <f t="shared" si="9"/>
        <v>0</v>
      </c>
      <c r="BU10" s="6">
        <f t="shared" si="9"/>
        <v>0</v>
      </c>
      <c r="BV10" s="6">
        <f t="shared" si="9"/>
        <v>0</v>
      </c>
      <c r="BW10" s="6">
        <f t="shared" si="9"/>
        <v>0</v>
      </c>
    </row>
    <row r="11" spans="1:75" x14ac:dyDescent="0.25">
      <c r="A11" s="24">
        <f t="shared" si="10"/>
        <v>1</v>
      </c>
      <c r="B11" s="25">
        <v>8</v>
      </c>
      <c r="C11" s="25" t="s">
        <v>46</v>
      </c>
      <c r="D11" s="93"/>
      <c r="E11" s="93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8"/>
      <c r="Q11" s="53"/>
      <c r="R11" s="62">
        <f t="shared" si="1"/>
        <v>0</v>
      </c>
      <c r="S11" s="8">
        <f t="shared" si="11"/>
        <v>0</v>
      </c>
      <c r="T11" s="8">
        <f t="shared" si="12"/>
        <v>1</v>
      </c>
      <c r="U11" s="14"/>
      <c r="V11" s="30"/>
      <c r="W11" s="31">
        <v>8</v>
      </c>
      <c r="X11" s="31" t="str">
        <f t="shared" si="13"/>
        <v>H</v>
      </c>
      <c r="Y11" s="32">
        <v>8</v>
      </c>
      <c r="Z11" s="33" t="str">
        <f t="shared" si="14"/>
        <v>H</v>
      </c>
      <c r="AA11" s="63">
        <f t="shared" si="15"/>
        <v>0</v>
      </c>
      <c r="AB11" s="34">
        <f t="shared" si="16"/>
        <v>0</v>
      </c>
      <c r="AC11" s="12">
        <f t="shared" si="17"/>
        <v>0</v>
      </c>
      <c r="AD11" s="34">
        <f t="shared" si="3"/>
        <v>0</v>
      </c>
      <c r="AE11" s="35">
        <f t="shared" si="4"/>
        <v>1000</v>
      </c>
      <c r="AF11" s="56"/>
      <c r="AG11" s="65">
        <f t="shared" si="18"/>
        <v>0</v>
      </c>
      <c r="AH11" s="66">
        <f t="shared" si="19"/>
        <v>0</v>
      </c>
      <c r="AI11" s="65">
        <f t="shared" si="5"/>
        <v>0</v>
      </c>
      <c r="AJ11" s="66">
        <f t="shared" si="20"/>
        <v>0</v>
      </c>
      <c r="AK11" s="65">
        <f>IF(AJ11=$AJ$4,IF(H11="",0,H11))+IF(AJ11=$AJ$5,IF(I11="",0,I11))+IF(AJ11=$AJ$6,IF(J11="",0,J11))+IF(AJ11=$AJ$7,IF(K11="",0,K11))+IF(AJ11=$AJ$8,IF(L11="",0,L11))+IF(AJ11=$AJ$9,IF(M11="",0,M11))+IF(AJ11=$AJ$10,IF(N11="",0,N11))+IF(AJ11=$AJ$11,IF(O11="",0,O11))</f>
        <v>0</v>
      </c>
      <c r="AL11" s="56">
        <f t="shared" si="21"/>
        <v>0</v>
      </c>
      <c r="AM11" s="56"/>
      <c r="AN11" s="56">
        <f t="shared" si="22"/>
        <v>0</v>
      </c>
      <c r="AO11" s="56">
        <f t="shared" si="23"/>
        <v>0</v>
      </c>
      <c r="AP11" s="56">
        <f t="shared" si="24"/>
        <v>0</v>
      </c>
      <c r="AQ11" s="56">
        <f t="shared" si="25"/>
        <v>1</v>
      </c>
      <c r="AR11" s="56"/>
      <c r="AS11" s="56"/>
      <c r="AT11" s="56"/>
      <c r="AU11" s="56"/>
      <c r="AV11" s="56"/>
      <c r="AW11" s="30"/>
      <c r="AX11" s="37">
        <v>8</v>
      </c>
      <c r="AY11" s="38">
        <f t="shared" si="6"/>
        <v>0</v>
      </c>
      <c r="AZ11" s="39" t="e">
        <f t="shared" si="7"/>
        <v>#VALUE!</v>
      </c>
      <c r="BA11" s="39">
        <f t="shared" si="26"/>
        <v>0</v>
      </c>
      <c r="BC11" s="6">
        <v>8</v>
      </c>
      <c r="BD11" s="6">
        <f t="shared" si="8"/>
        <v>0</v>
      </c>
      <c r="BE11" s="6">
        <f t="shared" si="8"/>
        <v>0</v>
      </c>
      <c r="BF11" s="6">
        <f t="shared" si="8"/>
        <v>0</v>
      </c>
      <c r="BG11" s="6">
        <f t="shared" si="8"/>
        <v>0</v>
      </c>
      <c r="BH11" s="6">
        <f t="shared" si="8"/>
        <v>0</v>
      </c>
      <c r="BI11" s="6">
        <f t="shared" si="8"/>
        <v>0</v>
      </c>
      <c r="BJ11" s="6">
        <f t="shared" si="8"/>
        <v>0</v>
      </c>
      <c r="BK11" s="6">
        <f t="shared" si="8"/>
        <v>0</v>
      </c>
      <c r="BL11" s="6">
        <f t="shared" si="8"/>
        <v>0</v>
      </c>
      <c r="BN11" s="6">
        <v>8</v>
      </c>
      <c r="BO11" s="6">
        <f t="shared" si="27"/>
        <v>0</v>
      </c>
      <c r="BP11" s="6">
        <f t="shared" si="9"/>
        <v>0</v>
      </c>
      <c r="BQ11" s="6">
        <f t="shared" si="9"/>
        <v>0</v>
      </c>
      <c r="BR11" s="6">
        <f t="shared" si="9"/>
        <v>0</v>
      </c>
      <c r="BS11" s="6">
        <f t="shared" si="9"/>
        <v>0</v>
      </c>
      <c r="BT11" s="6">
        <f t="shared" si="9"/>
        <v>0</v>
      </c>
      <c r="BU11" s="6">
        <f t="shared" si="9"/>
        <v>0</v>
      </c>
      <c r="BV11" s="6">
        <f t="shared" si="9"/>
        <v>0</v>
      </c>
      <c r="BW11" s="6">
        <f t="shared" si="9"/>
        <v>0</v>
      </c>
    </row>
    <row r="12" spans="1:75" hidden="1" x14ac:dyDescent="0.25">
      <c r="A12" s="6">
        <f t="shared" si="10"/>
        <v>1</v>
      </c>
      <c r="T12" s="10">
        <f t="shared" si="12"/>
        <v>1</v>
      </c>
      <c r="U12" s="10"/>
      <c r="Z12" s="33">
        <f t="shared" ref="Z12" si="29">IF(ISNA(VLOOKUP(B12,$A$4:$T$11,3,FALSE)),C12,VLOOKUP(B12,$A$4:$T$11,3,FALSE))</f>
        <v>0</v>
      </c>
      <c r="AA12" s="64" t="e">
        <f t="shared" ref="AA12" si="30">VLOOKUP($B12,$A$4:$T$11,18,FALSE)</f>
        <v>#N/A</v>
      </c>
      <c r="AH12" s="67"/>
      <c r="AK12" s="65">
        <f>IF(AJ12=$AJ$4,IF(H12="",0,H12))+IF(AJ12=$AJ$5,IF(I12="",0,I12))+IF(AJ12=$AJ$6,IF(J12="",0,J12))+IF(AK11=$AJ$7,IF(K12="",0,K12))+IF(AJ12=$AJ$8,IF(L12="",0,L12))+IF(AJ12=$AJ$9,IF(M12="",0,M12))+IF(AJ12=$AJ$10,IF(L12="",0,L12))+IF(AJ12=$AJ$11,IF(O12="",0,O12))</f>
        <v>0</v>
      </c>
      <c r="AO12" s="56">
        <f t="shared" si="23"/>
        <v>0</v>
      </c>
      <c r="AP12" s="56">
        <f t="shared" si="24"/>
        <v>0</v>
      </c>
      <c r="AQ12" s="56">
        <f>RANK(AP13,$AP$4:$AP$11,1)</f>
        <v>1</v>
      </c>
    </row>
    <row r="13" spans="1:75" x14ac:dyDescent="0.25">
      <c r="AG13" s="57">
        <f>2*MAX(AG4:AG11)+1</f>
        <v>1</v>
      </c>
      <c r="AH13" s="67"/>
      <c r="AI13" s="57">
        <f>2*MAX(AI4:AI11)+1</f>
        <v>1</v>
      </c>
      <c r="AK13" s="57">
        <f>2*MAX(AK4:AK11)+1</f>
        <v>1</v>
      </c>
      <c r="AX13" s="41" t="s">
        <v>39</v>
      </c>
      <c r="AY13" s="41" t="s">
        <v>0</v>
      </c>
      <c r="AZ13" s="41" t="s">
        <v>1</v>
      </c>
      <c r="BA13" s="41" t="s">
        <v>2</v>
      </c>
      <c r="BC13" s="42" t="s">
        <v>37</v>
      </c>
      <c r="BD13" s="42" t="s">
        <v>38</v>
      </c>
      <c r="BE13" s="6" t="s">
        <v>18</v>
      </c>
      <c r="BF13" s="6" t="s">
        <v>19</v>
      </c>
      <c r="BG13" s="6" t="s">
        <v>20</v>
      </c>
      <c r="BH13" s="6" t="s">
        <v>21</v>
      </c>
    </row>
    <row r="14" spans="1:75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BC14" s="43"/>
      <c r="BD14" s="43"/>
      <c r="BE14" s="44"/>
      <c r="BF14" s="44"/>
      <c r="BG14" s="44"/>
      <c r="BH14" s="44"/>
    </row>
    <row r="15" spans="1:75" x14ac:dyDescent="0.25">
      <c r="B15" s="45" t="s">
        <v>3</v>
      </c>
      <c r="BC15" s="42"/>
      <c r="BD15" s="42"/>
    </row>
    <row r="16" spans="1:75" x14ac:dyDescent="0.25">
      <c r="B16" s="6">
        <v>1</v>
      </c>
      <c r="C16" s="6" t="str">
        <f>VLOOKUP(AY16,$B$4:$F$11,2,FALSE)</f>
        <v>H</v>
      </c>
      <c r="D16" s="46" t="s">
        <v>5</v>
      </c>
      <c r="E16" s="84" t="str">
        <f>VLOOKUP(AZ16,$B$4:$F$11,2,FALSE)</f>
        <v>A</v>
      </c>
      <c r="F16" s="84"/>
      <c r="G16" s="84"/>
      <c r="H16" s="84"/>
      <c r="J16" s="84" t="str">
        <f>IF(T16="","",VLOOKUP(T16,Configuratie!$B$1:$E$10,3,FALSE))</f>
        <v/>
      </c>
      <c r="K16" s="84"/>
      <c r="L16" s="6" t="s">
        <v>5</v>
      </c>
      <c r="M16" s="84" t="str">
        <f>IF(T16="","",VLOOKUP(T16,Configuratie!$B$1:$E$10,4,FALSE))</f>
        <v/>
      </c>
      <c r="N16" s="84"/>
      <c r="R16" s="6" t="str">
        <f>IF(T16="","",VLOOKUP(T16,Configuratie!$B$1:$E$10,2,FALSE))</f>
        <v/>
      </c>
      <c r="T16" s="5"/>
      <c r="AX16" s="6">
        <v>1</v>
      </c>
      <c r="AY16" s="6">
        <v>8</v>
      </c>
      <c r="AZ16" s="6">
        <v>1</v>
      </c>
      <c r="BA16" s="6" t="str">
        <f>IF(AND(ISNUMBER(J16),ISNUMBER(M16)),IF(J16+M16=1,1,0),"")</f>
        <v/>
      </c>
      <c r="BC16" s="48">
        <f>AY16*100+AZ16</f>
        <v>801</v>
      </c>
      <c r="BD16" s="48">
        <f>AZ16*100+AY16</f>
        <v>108</v>
      </c>
      <c r="BE16" s="6">
        <v>0</v>
      </c>
      <c r="BF16" s="6">
        <v>0</v>
      </c>
      <c r="BG16" s="6" t="e">
        <f>J16*BF16</f>
        <v>#VALUE!</v>
      </c>
      <c r="BH16" s="6" t="e">
        <f>M16*BE16</f>
        <v>#VALUE!</v>
      </c>
    </row>
    <row r="17" spans="2:60" x14ac:dyDescent="0.25">
      <c r="B17" s="6">
        <v>2</v>
      </c>
      <c r="C17" s="6" t="str">
        <f t="shared" ref="C17:C19" si="31">VLOOKUP(AY17,$B$4:$F$11,2,FALSE)</f>
        <v>G</v>
      </c>
      <c r="D17" s="46" t="s">
        <v>5</v>
      </c>
      <c r="E17" s="84" t="str">
        <f t="shared" ref="E17:E19" si="32">VLOOKUP(AZ17,$B$4:$F$11,2,FALSE)</f>
        <v>B</v>
      </c>
      <c r="F17" s="84"/>
      <c r="G17" s="84"/>
      <c r="H17" s="84"/>
      <c r="J17" s="84" t="str">
        <f>IF(T17="","",VLOOKUP(T17,Configuratie!$B$1:$E$10,3,FALSE))</f>
        <v/>
      </c>
      <c r="K17" s="84"/>
      <c r="L17" s="6" t="s">
        <v>5</v>
      </c>
      <c r="M17" s="84" t="str">
        <f>IF(T17="","",VLOOKUP(T17,Configuratie!$B$1:$E$10,4,FALSE))</f>
        <v/>
      </c>
      <c r="N17" s="84"/>
      <c r="R17" s="6" t="str">
        <f>IF(T17="","",VLOOKUP(T17,Configuratie!$B$1:$E$10,2,FALSE))</f>
        <v/>
      </c>
      <c r="T17" s="5"/>
      <c r="AX17" s="6">
        <v>1</v>
      </c>
      <c r="AY17" s="6">
        <v>7</v>
      </c>
      <c r="AZ17" s="6">
        <v>2</v>
      </c>
      <c r="BA17" s="6" t="str">
        <f>IF(AND(ISNUMBER(J17),ISNUMBER(M17)),IF(J17+M17=1,1,0),"")</f>
        <v/>
      </c>
      <c r="BC17" s="48">
        <f>AY17*100+AZ17</f>
        <v>702</v>
      </c>
      <c r="BD17" s="48">
        <f>AZ17*100+AY17</f>
        <v>207</v>
      </c>
      <c r="BE17" s="6">
        <v>0</v>
      </c>
      <c r="BF17" s="6">
        <v>0</v>
      </c>
      <c r="BG17" s="6" t="e">
        <f>J17*BF17</f>
        <v>#VALUE!</v>
      </c>
      <c r="BH17" s="6" t="e">
        <f>M17*BE17</f>
        <v>#VALUE!</v>
      </c>
    </row>
    <row r="18" spans="2:60" x14ac:dyDescent="0.25">
      <c r="B18" s="6">
        <v>3</v>
      </c>
      <c r="C18" s="6" t="str">
        <f t="shared" si="31"/>
        <v>F</v>
      </c>
      <c r="D18" s="46" t="s">
        <v>5</v>
      </c>
      <c r="E18" s="84" t="str">
        <f t="shared" si="32"/>
        <v>C</v>
      </c>
      <c r="F18" s="84"/>
      <c r="G18" s="84"/>
      <c r="H18" s="84"/>
      <c r="J18" s="84" t="str">
        <f>IF(T18="","",VLOOKUP(T18,Configuratie!$B$1:$E$10,3,FALSE))</f>
        <v/>
      </c>
      <c r="K18" s="84"/>
      <c r="L18" s="6" t="s">
        <v>5</v>
      </c>
      <c r="M18" s="84" t="str">
        <f>IF(T18="","",VLOOKUP(T18,Configuratie!$B$1:$E$10,4,FALSE))</f>
        <v/>
      </c>
      <c r="N18" s="84"/>
      <c r="R18" s="6" t="str">
        <f>IF(T18="","",VLOOKUP(T18,Configuratie!$B$1:$E$10,2,FALSE))</f>
        <v/>
      </c>
      <c r="T18" s="5"/>
      <c r="AX18" s="6">
        <v>1</v>
      </c>
      <c r="AY18" s="6">
        <v>6</v>
      </c>
      <c r="AZ18" s="6">
        <v>3</v>
      </c>
      <c r="BA18" s="6" t="str">
        <f>IF(AND(ISNUMBER(J18),ISNUMBER(M18)),IF(J18+M18=1,1,0),"")</f>
        <v/>
      </c>
      <c r="BC18" s="48">
        <f>AY18*100+AZ18</f>
        <v>603</v>
      </c>
      <c r="BD18" s="48">
        <f>AZ18*100+AY18</f>
        <v>306</v>
      </c>
      <c r="BE18" s="6">
        <v>0</v>
      </c>
      <c r="BF18" s="6">
        <v>0</v>
      </c>
      <c r="BG18" s="6" t="e">
        <f>J18*BF18</f>
        <v>#VALUE!</v>
      </c>
      <c r="BH18" s="6" t="e">
        <f>M18*BE18</f>
        <v>#VALUE!</v>
      </c>
    </row>
    <row r="19" spans="2:60" x14ac:dyDescent="0.25">
      <c r="B19" s="6">
        <v>4</v>
      </c>
      <c r="C19" s="6" t="str">
        <f t="shared" si="31"/>
        <v>E</v>
      </c>
      <c r="D19" s="46" t="s">
        <v>5</v>
      </c>
      <c r="E19" s="84" t="str">
        <f t="shared" si="32"/>
        <v>D</v>
      </c>
      <c r="F19" s="84"/>
      <c r="G19" s="84"/>
      <c r="H19" s="84"/>
      <c r="J19" s="84" t="str">
        <f>IF(T19="","",VLOOKUP(T19,Configuratie!$B$1:$E$10,3,FALSE))</f>
        <v/>
      </c>
      <c r="K19" s="84"/>
      <c r="L19" s="6" t="s">
        <v>5</v>
      </c>
      <c r="M19" s="84" t="str">
        <f>IF(T19="","",VLOOKUP(T19,Configuratie!$B$1:$E$10,4,FALSE))</f>
        <v/>
      </c>
      <c r="N19" s="84"/>
      <c r="R19" s="6" t="str">
        <f>IF(T19="","",VLOOKUP(T19,Configuratie!$B$1:$E$10,2,FALSE))</f>
        <v/>
      </c>
      <c r="T19" s="5"/>
      <c r="AX19" s="6">
        <v>1</v>
      </c>
      <c r="AY19" s="6">
        <v>5</v>
      </c>
      <c r="AZ19" s="6">
        <v>4</v>
      </c>
      <c r="BA19" s="6" t="str">
        <f>IF(AND(ISNUMBER(J19),ISNUMBER(M19)),IF(J19+M19=1,1,0),"")</f>
        <v/>
      </c>
      <c r="BC19" s="48">
        <f>AY19*100+AZ19</f>
        <v>504</v>
      </c>
      <c r="BD19" s="48">
        <f>AZ19*100+AY19</f>
        <v>405</v>
      </c>
      <c r="BE19" s="6">
        <v>0</v>
      </c>
      <c r="BF19" s="6">
        <v>0</v>
      </c>
      <c r="BG19" s="6" t="e">
        <f>J19*BF19</f>
        <v>#VALUE!</v>
      </c>
      <c r="BH19" s="6" t="e">
        <f>M19*BE19</f>
        <v>#VALUE!</v>
      </c>
    </row>
    <row r="20" spans="2:60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BC20" s="42"/>
      <c r="BD20" s="42"/>
    </row>
    <row r="21" spans="2:60" x14ac:dyDescent="0.25">
      <c r="B21" s="45" t="s">
        <v>9</v>
      </c>
      <c r="BC21" s="42"/>
      <c r="BD21" s="42"/>
    </row>
    <row r="22" spans="2:60" x14ac:dyDescent="0.25">
      <c r="B22" s="6">
        <v>1</v>
      </c>
      <c r="C22" s="6" t="str">
        <f>VLOOKUP(AY22,$B$4:$F$11,2,FALSE)</f>
        <v>H</v>
      </c>
      <c r="D22" s="46" t="s">
        <v>5</v>
      </c>
      <c r="E22" s="84" t="str">
        <f>VLOOKUP(AZ22,$B$4:$F$11,2,FALSE)</f>
        <v>D</v>
      </c>
      <c r="F22" s="84"/>
      <c r="G22" s="84"/>
      <c r="H22" s="84"/>
      <c r="J22" s="84" t="str">
        <f>IF(T22="","",VLOOKUP(T22,Configuratie!$B$1:$E$10,3,FALSE))</f>
        <v/>
      </c>
      <c r="K22" s="84"/>
      <c r="L22" s="6" t="s">
        <v>5</v>
      </c>
      <c r="M22" s="84" t="str">
        <f>IF(T22="","",VLOOKUP(T22,Configuratie!$B$1:$E$10,4,FALSE))</f>
        <v/>
      </c>
      <c r="N22" s="84"/>
      <c r="R22" s="6" t="str">
        <f>IF(T22="","",VLOOKUP(T22,Configuratie!$B$1:$E$10,2,FALSE))</f>
        <v/>
      </c>
      <c r="T22" s="5"/>
      <c r="AX22" s="6">
        <v>2</v>
      </c>
      <c r="AY22" s="6">
        <v>8</v>
      </c>
      <c r="AZ22" s="6">
        <v>4</v>
      </c>
      <c r="BA22" s="6" t="str">
        <f>IF(AND(ISNUMBER(J22),ISNUMBER(M22)),IF(J22+M22=1,1,0),"")</f>
        <v/>
      </c>
      <c r="BC22" s="48">
        <f>AY22*100+AZ22</f>
        <v>804</v>
      </c>
      <c r="BD22" s="48">
        <f>AZ22*100+AY22</f>
        <v>408</v>
      </c>
      <c r="BE22" s="6">
        <f t="shared" ref="BE22:BF25" si="33">VLOOKUP(AY22,$BN$3:$BW$11,$AX22,FALSE)</f>
        <v>0</v>
      </c>
      <c r="BF22" s="6">
        <f t="shared" si="33"/>
        <v>0</v>
      </c>
      <c r="BG22" s="6" t="e">
        <f>J22*BF22</f>
        <v>#VALUE!</v>
      </c>
      <c r="BH22" s="6" t="e">
        <f>M22*BE22</f>
        <v>#VALUE!</v>
      </c>
    </row>
    <row r="23" spans="2:60" x14ac:dyDescent="0.25">
      <c r="B23" s="6">
        <v>2</v>
      </c>
      <c r="C23" s="6" t="str">
        <f>VLOOKUP(AY23,$B$4:$F$11,2,FALSE)</f>
        <v>C</v>
      </c>
      <c r="D23" s="46" t="s">
        <v>5</v>
      </c>
      <c r="E23" s="84" t="str">
        <f t="shared" ref="E23:E25" si="34">VLOOKUP(AZ23,$B$4:$F$11,2,FALSE)</f>
        <v>E</v>
      </c>
      <c r="F23" s="84"/>
      <c r="G23" s="84"/>
      <c r="H23" s="84"/>
      <c r="J23" s="84" t="str">
        <f>IF(T23="","",VLOOKUP(T23,Configuratie!$B$1:$E$10,3,FALSE))</f>
        <v/>
      </c>
      <c r="K23" s="84"/>
      <c r="L23" s="6" t="s">
        <v>5</v>
      </c>
      <c r="M23" s="84" t="str">
        <f>IF(T23="","",VLOOKUP(T23,Configuratie!$B$1:$E$10,4,FALSE))</f>
        <v/>
      </c>
      <c r="N23" s="84"/>
      <c r="R23" s="6" t="str">
        <f>IF(T23="","",VLOOKUP(T23,Configuratie!$B$1:$E$10,2,FALSE))</f>
        <v/>
      </c>
      <c r="T23" s="5"/>
      <c r="AX23" s="6">
        <v>2</v>
      </c>
      <c r="AY23" s="6">
        <v>3</v>
      </c>
      <c r="AZ23" s="6">
        <v>5</v>
      </c>
      <c r="BA23" s="6" t="str">
        <f t="shared" ref="BA23:BA25" si="35">IF(AND(ISNUMBER(J23),ISNUMBER(M23)),IF(J23+M23=1,1,0),"")</f>
        <v/>
      </c>
      <c r="BC23" s="48">
        <f>AY23*100+AZ23</f>
        <v>305</v>
      </c>
      <c r="BD23" s="48">
        <f>AZ23*100+AY23</f>
        <v>503</v>
      </c>
      <c r="BE23" s="6">
        <f t="shared" si="33"/>
        <v>0</v>
      </c>
      <c r="BF23" s="6">
        <f t="shared" si="33"/>
        <v>0</v>
      </c>
      <c r="BG23" s="6" t="e">
        <f>J23*BF23</f>
        <v>#VALUE!</v>
      </c>
      <c r="BH23" s="6" t="e">
        <f>M23*BE23</f>
        <v>#VALUE!</v>
      </c>
    </row>
    <row r="24" spans="2:60" x14ac:dyDescent="0.25">
      <c r="B24" s="6">
        <v>3</v>
      </c>
      <c r="C24" s="6" t="str">
        <f>VLOOKUP(AY24,$B$4:$F$11,2,FALSE)</f>
        <v>B</v>
      </c>
      <c r="D24" s="46" t="s">
        <v>5</v>
      </c>
      <c r="E24" s="84" t="str">
        <f t="shared" si="34"/>
        <v>F</v>
      </c>
      <c r="F24" s="84"/>
      <c r="G24" s="84"/>
      <c r="H24" s="84"/>
      <c r="J24" s="84" t="str">
        <f>IF(T24="","",VLOOKUP(T24,Configuratie!$B$1:$E$10,3,FALSE))</f>
        <v/>
      </c>
      <c r="K24" s="84"/>
      <c r="L24" s="6" t="s">
        <v>5</v>
      </c>
      <c r="M24" s="84" t="str">
        <f>IF(T24="","",VLOOKUP(T24,Configuratie!$B$1:$E$10,4,FALSE))</f>
        <v/>
      </c>
      <c r="N24" s="84"/>
      <c r="R24" s="6" t="str">
        <f>IF(T24="","",VLOOKUP(T24,Configuratie!$B$1:$E$10,2,FALSE))</f>
        <v/>
      </c>
      <c r="T24" s="5"/>
      <c r="AX24" s="6">
        <v>2</v>
      </c>
      <c r="AY24" s="6">
        <v>2</v>
      </c>
      <c r="AZ24" s="6">
        <v>6</v>
      </c>
      <c r="BA24" s="6" t="str">
        <f t="shared" si="35"/>
        <v/>
      </c>
      <c r="BC24" s="48">
        <f>AY24*100+AZ24</f>
        <v>206</v>
      </c>
      <c r="BD24" s="48">
        <f>AZ24*100+AY24</f>
        <v>602</v>
      </c>
      <c r="BE24" s="6">
        <f t="shared" si="33"/>
        <v>0</v>
      </c>
      <c r="BF24" s="6">
        <f t="shared" si="33"/>
        <v>0</v>
      </c>
      <c r="BG24" s="6" t="e">
        <f>J24*BF24</f>
        <v>#VALUE!</v>
      </c>
      <c r="BH24" s="6" t="e">
        <f>M24*BE24</f>
        <v>#VALUE!</v>
      </c>
    </row>
    <row r="25" spans="2:60" x14ac:dyDescent="0.25">
      <c r="B25" s="6">
        <v>4</v>
      </c>
      <c r="C25" s="6" t="str">
        <f>VLOOKUP(AY25,$B$4:$F$11,2,FALSE)</f>
        <v>A</v>
      </c>
      <c r="D25" s="46" t="s">
        <v>5</v>
      </c>
      <c r="E25" s="84" t="str">
        <f t="shared" si="34"/>
        <v>G</v>
      </c>
      <c r="F25" s="84"/>
      <c r="G25" s="84"/>
      <c r="H25" s="84"/>
      <c r="J25" s="84" t="str">
        <f>IF(T25="","",VLOOKUP(T25,Configuratie!$B$1:$E$10,3,FALSE))</f>
        <v/>
      </c>
      <c r="K25" s="84"/>
      <c r="L25" s="6" t="s">
        <v>5</v>
      </c>
      <c r="M25" s="84" t="str">
        <f>IF(T25="","",VLOOKUP(T25,Configuratie!$B$1:$E$10,4,FALSE))</f>
        <v/>
      </c>
      <c r="N25" s="84"/>
      <c r="R25" s="6" t="str">
        <f>IF(T25="","",VLOOKUP(T25,Configuratie!$B$1:$E$10,2,FALSE))</f>
        <v/>
      </c>
      <c r="T25" s="5"/>
      <c r="AX25" s="6">
        <v>2</v>
      </c>
      <c r="AY25" s="6">
        <v>1</v>
      </c>
      <c r="AZ25" s="6">
        <v>7</v>
      </c>
      <c r="BA25" s="6" t="str">
        <f t="shared" si="35"/>
        <v/>
      </c>
      <c r="BC25" s="48">
        <f>AY25*100+AZ25</f>
        <v>107</v>
      </c>
      <c r="BD25" s="48">
        <f>AZ25*100+AY25</f>
        <v>701</v>
      </c>
      <c r="BE25" s="6">
        <f t="shared" si="33"/>
        <v>0</v>
      </c>
      <c r="BF25" s="6">
        <f t="shared" si="33"/>
        <v>0</v>
      </c>
      <c r="BG25" s="6" t="e">
        <f>J25*BF25</f>
        <v>#VALUE!</v>
      </c>
      <c r="BH25" s="6" t="e">
        <f>M25*BE25</f>
        <v>#VALUE!</v>
      </c>
    </row>
    <row r="26" spans="2:60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BC26" s="42"/>
      <c r="BD26" s="42"/>
    </row>
    <row r="27" spans="2:60" x14ac:dyDescent="0.25">
      <c r="B27" s="45" t="s">
        <v>10</v>
      </c>
      <c r="BC27" s="42"/>
      <c r="BD27" s="42"/>
    </row>
    <row r="28" spans="2:60" x14ac:dyDescent="0.25">
      <c r="B28" s="6">
        <v>1</v>
      </c>
      <c r="C28" s="6" t="str">
        <f>VLOOKUP(AY28,$B$4:$F$11,2,FALSE)</f>
        <v>G</v>
      </c>
      <c r="D28" s="46" t="s">
        <v>5</v>
      </c>
      <c r="E28" s="84" t="str">
        <f>VLOOKUP(AZ28,$B$4:$F$11,2,FALSE)</f>
        <v>H</v>
      </c>
      <c r="F28" s="84"/>
      <c r="G28" s="84"/>
      <c r="H28" s="84"/>
      <c r="J28" s="84" t="str">
        <f>IF(T28="","",VLOOKUP(T28,Configuratie!$B$1:$E$10,3,FALSE))</f>
        <v/>
      </c>
      <c r="K28" s="84"/>
      <c r="L28" s="6" t="s">
        <v>5</v>
      </c>
      <c r="M28" s="84" t="str">
        <f>IF(T28="","",VLOOKUP(T28,Configuratie!$B$1:$E$10,4,FALSE))</f>
        <v/>
      </c>
      <c r="N28" s="84"/>
      <c r="R28" s="6" t="str">
        <f>IF(T28="","",VLOOKUP(T28,Configuratie!$B$1:$E$10,2,FALSE))</f>
        <v/>
      </c>
      <c r="T28" s="5"/>
      <c r="AX28" s="6">
        <v>3</v>
      </c>
      <c r="AY28" s="6">
        <v>7</v>
      </c>
      <c r="AZ28" s="6">
        <v>8</v>
      </c>
      <c r="BA28" s="6" t="str">
        <f>IF(AND(ISNUMBER(J28),ISNUMBER(M28)),IF(J28+M28=1,1,0),"")</f>
        <v/>
      </c>
      <c r="BC28" s="48">
        <f>AY28*100+AZ28</f>
        <v>708</v>
      </c>
      <c r="BD28" s="48">
        <f>AZ28*100+AY28</f>
        <v>807</v>
      </c>
      <c r="BE28" s="6">
        <f t="shared" ref="BE28:BF31" si="36">VLOOKUP(AY28,$BN$3:$BW$11,$AX28,FALSE)</f>
        <v>0</v>
      </c>
      <c r="BF28" s="6">
        <f t="shared" si="36"/>
        <v>0</v>
      </c>
      <c r="BG28" s="6" t="e">
        <f>J28*BF28</f>
        <v>#VALUE!</v>
      </c>
      <c r="BH28" s="6" t="e">
        <f>M28*BE28</f>
        <v>#VALUE!</v>
      </c>
    </row>
    <row r="29" spans="2:60" x14ac:dyDescent="0.25">
      <c r="B29" s="6">
        <v>2</v>
      </c>
      <c r="C29" s="6" t="str">
        <f>VLOOKUP(AY29,$B$4:$F$11,2,FALSE)</f>
        <v>F</v>
      </c>
      <c r="D29" s="46" t="s">
        <v>5</v>
      </c>
      <c r="E29" s="84" t="str">
        <f>VLOOKUP(AZ29,$B$4:$F$11,2,FALSE)</f>
        <v>A</v>
      </c>
      <c r="F29" s="84"/>
      <c r="G29" s="84"/>
      <c r="H29" s="84"/>
      <c r="J29" s="84" t="str">
        <f>IF(T29="","",VLOOKUP(T29,Configuratie!$B$1:$E$10,3,FALSE))</f>
        <v/>
      </c>
      <c r="K29" s="84"/>
      <c r="L29" s="6" t="s">
        <v>5</v>
      </c>
      <c r="M29" s="84" t="str">
        <f>IF(T29="","",VLOOKUP(T29,Configuratie!$B$1:$E$10,4,FALSE))</f>
        <v/>
      </c>
      <c r="N29" s="84"/>
      <c r="R29" s="6" t="str">
        <f>IF(T29="","",VLOOKUP(T29,Configuratie!$B$1:$E$10,2,FALSE))</f>
        <v/>
      </c>
      <c r="T29" s="5"/>
      <c r="AX29" s="6">
        <v>3</v>
      </c>
      <c r="AY29" s="6">
        <v>6</v>
      </c>
      <c r="AZ29" s="6">
        <v>1</v>
      </c>
      <c r="BA29" s="6" t="str">
        <f t="shared" ref="BA29:BA31" si="37">IF(AND(ISNUMBER(J29),ISNUMBER(M29)),IF(J29+M29=1,1,0),"")</f>
        <v/>
      </c>
      <c r="BC29" s="48">
        <f>AY29*100+AZ29</f>
        <v>601</v>
      </c>
      <c r="BD29" s="48">
        <f>AZ29*100+AY29</f>
        <v>106</v>
      </c>
      <c r="BE29" s="6">
        <f t="shared" si="36"/>
        <v>0</v>
      </c>
      <c r="BF29" s="6">
        <f t="shared" si="36"/>
        <v>0</v>
      </c>
      <c r="BG29" s="6" t="e">
        <f>J29*BF29</f>
        <v>#VALUE!</v>
      </c>
      <c r="BH29" s="6" t="e">
        <f>M29*BE29</f>
        <v>#VALUE!</v>
      </c>
    </row>
    <row r="30" spans="2:60" x14ac:dyDescent="0.25">
      <c r="B30" s="6">
        <v>3</v>
      </c>
      <c r="C30" s="6" t="str">
        <f>VLOOKUP(AY30,$B$4:$F$11,2,FALSE)</f>
        <v>E</v>
      </c>
      <c r="D30" s="46" t="s">
        <v>5</v>
      </c>
      <c r="E30" s="84" t="str">
        <f>VLOOKUP(AZ30,$B$4:$F$11,2,FALSE)</f>
        <v>B</v>
      </c>
      <c r="F30" s="84"/>
      <c r="G30" s="84"/>
      <c r="H30" s="84"/>
      <c r="J30" s="84" t="str">
        <f>IF(T30="","",VLOOKUP(T30,Configuratie!$B$1:$E$10,3,FALSE))</f>
        <v/>
      </c>
      <c r="K30" s="84"/>
      <c r="L30" s="6" t="s">
        <v>5</v>
      </c>
      <c r="M30" s="84" t="str">
        <f>IF(T30="","",VLOOKUP(T30,Configuratie!$B$1:$E$10,4,FALSE))</f>
        <v/>
      </c>
      <c r="N30" s="84"/>
      <c r="R30" s="6" t="str">
        <f>IF(T30="","",VLOOKUP(T30,Configuratie!$B$1:$E$10,2,FALSE))</f>
        <v/>
      </c>
      <c r="T30" s="5"/>
      <c r="AX30" s="6">
        <v>3</v>
      </c>
      <c r="AY30" s="6">
        <v>5</v>
      </c>
      <c r="AZ30" s="6">
        <v>2</v>
      </c>
      <c r="BA30" s="6" t="str">
        <f t="shared" si="37"/>
        <v/>
      </c>
      <c r="BC30" s="48">
        <f>AY30*100+AZ30</f>
        <v>502</v>
      </c>
      <c r="BD30" s="48">
        <f>AZ30*100+AY30</f>
        <v>205</v>
      </c>
      <c r="BE30" s="6">
        <f t="shared" si="36"/>
        <v>0</v>
      </c>
      <c r="BF30" s="6">
        <f t="shared" si="36"/>
        <v>0</v>
      </c>
      <c r="BG30" s="6" t="e">
        <f>J30*BF30</f>
        <v>#VALUE!</v>
      </c>
      <c r="BH30" s="6" t="e">
        <f>M30*BE30</f>
        <v>#VALUE!</v>
      </c>
    </row>
    <row r="31" spans="2:60" x14ac:dyDescent="0.25">
      <c r="B31" s="6">
        <v>4</v>
      </c>
      <c r="C31" s="6" t="str">
        <f>VLOOKUP(AY31,$B$4:$F$11,2,FALSE)</f>
        <v>D</v>
      </c>
      <c r="D31" s="46" t="s">
        <v>5</v>
      </c>
      <c r="E31" s="84" t="str">
        <f>VLOOKUP(AZ31,$B$4:$F$11,2,FALSE)</f>
        <v>C</v>
      </c>
      <c r="F31" s="84"/>
      <c r="G31" s="84"/>
      <c r="H31" s="84"/>
      <c r="J31" s="84" t="str">
        <f>IF(T31="","",VLOOKUP(T31,Configuratie!$B$1:$E$10,3,FALSE))</f>
        <v/>
      </c>
      <c r="K31" s="84"/>
      <c r="L31" s="6" t="s">
        <v>5</v>
      </c>
      <c r="M31" s="84" t="str">
        <f>IF(T31="","",VLOOKUP(T31,Configuratie!$B$1:$E$10,4,FALSE))</f>
        <v/>
      </c>
      <c r="N31" s="84"/>
      <c r="R31" s="6" t="str">
        <f>IF(T31="","",VLOOKUP(T31,Configuratie!$B$1:$E$10,2,FALSE))</f>
        <v/>
      </c>
      <c r="T31" s="5"/>
      <c r="AX31" s="6">
        <v>3</v>
      </c>
      <c r="AY31" s="6">
        <v>4</v>
      </c>
      <c r="AZ31" s="6">
        <v>3</v>
      </c>
      <c r="BA31" s="6" t="str">
        <f t="shared" si="37"/>
        <v/>
      </c>
      <c r="BC31" s="48">
        <f>AY31*100+AZ31</f>
        <v>403</v>
      </c>
      <c r="BD31" s="48">
        <f>AZ31*100+AY31</f>
        <v>304</v>
      </c>
      <c r="BE31" s="6">
        <f t="shared" si="36"/>
        <v>0</v>
      </c>
      <c r="BF31" s="6">
        <f t="shared" si="36"/>
        <v>0</v>
      </c>
      <c r="BG31" s="6" t="e">
        <f>J31*BF31</f>
        <v>#VALUE!</v>
      </c>
      <c r="BH31" s="6" t="e">
        <f>M31*BE31</f>
        <v>#VALUE!</v>
      </c>
    </row>
    <row r="32" spans="2:6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BC32" s="42"/>
      <c r="BD32" s="42"/>
    </row>
    <row r="33" spans="2:60" x14ac:dyDescent="0.25">
      <c r="B33" s="45" t="s">
        <v>11</v>
      </c>
      <c r="BC33" s="42"/>
      <c r="BD33" s="42"/>
    </row>
    <row r="34" spans="2:60" x14ac:dyDescent="0.25">
      <c r="B34" s="6">
        <v>1</v>
      </c>
      <c r="C34" s="6" t="str">
        <f>VLOOKUP(AY34,$B$4:$F$11,2,FALSE)</f>
        <v>H</v>
      </c>
      <c r="D34" s="46" t="s">
        <v>5</v>
      </c>
      <c r="E34" s="84" t="str">
        <f>VLOOKUP(AZ34,$B$4:$F$11,2,FALSE)</f>
        <v>C</v>
      </c>
      <c r="F34" s="84"/>
      <c r="G34" s="84"/>
      <c r="H34" s="84"/>
      <c r="J34" s="84" t="str">
        <f>IF(T34="","",VLOOKUP(T34,Configuratie!$B$1:$E$10,3,FALSE))</f>
        <v/>
      </c>
      <c r="K34" s="84"/>
      <c r="L34" s="6" t="s">
        <v>5</v>
      </c>
      <c r="M34" s="84" t="str">
        <f>IF(T34="","",VLOOKUP(T34,Configuratie!$B$1:$E$10,4,FALSE))</f>
        <v/>
      </c>
      <c r="N34" s="84"/>
      <c r="R34" s="6" t="str">
        <f>IF(T34="","",VLOOKUP(T34,Configuratie!$B$1:$E$10,2,FALSE))</f>
        <v/>
      </c>
      <c r="T34" s="5"/>
      <c r="AX34" s="6">
        <v>4</v>
      </c>
      <c r="AY34" s="6">
        <v>8</v>
      </c>
      <c r="AZ34" s="6">
        <v>3</v>
      </c>
      <c r="BA34" s="6" t="str">
        <f>IF(AND(ISNUMBER(J34),ISNUMBER(M34)),IF(J34+M34=1,1,0),"")</f>
        <v/>
      </c>
      <c r="BC34" s="48">
        <f>AY34*100+AZ34</f>
        <v>803</v>
      </c>
      <c r="BD34" s="48">
        <f>AZ34*100+AY34</f>
        <v>308</v>
      </c>
      <c r="BE34" s="6">
        <f t="shared" ref="BE34:BF37" si="38">VLOOKUP(AY34,$BN$3:$BW$11,$AX34,FALSE)</f>
        <v>0</v>
      </c>
      <c r="BF34" s="6">
        <f t="shared" si="38"/>
        <v>0</v>
      </c>
      <c r="BG34" s="6" t="e">
        <f>J34*BF34</f>
        <v>#VALUE!</v>
      </c>
      <c r="BH34" s="6" t="e">
        <f>M34*BE34</f>
        <v>#VALUE!</v>
      </c>
    </row>
    <row r="35" spans="2:60" x14ac:dyDescent="0.25">
      <c r="B35" s="6">
        <v>2</v>
      </c>
      <c r="C35" s="6" t="str">
        <f>VLOOKUP(AY35,$B$4:$F$11,2,FALSE)</f>
        <v>B</v>
      </c>
      <c r="D35" s="46" t="s">
        <v>5</v>
      </c>
      <c r="E35" s="84" t="str">
        <f>VLOOKUP(AZ35,$B$4:$F$11,2,FALSE)</f>
        <v>D</v>
      </c>
      <c r="F35" s="84"/>
      <c r="G35" s="84"/>
      <c r="H35" s="84"/>
      <c r="J35" s="84" t="str">
        <f>IF(T35="","",VLOOKUP(T35,Configuratie!$B$1:$E$10,3,FALSE))</f>
        <v/>
      </c>
      <c r="K35" s="84"/>
      <c r="L35" s="6" t="s">
        <v>5</v>
      </c>
      <c r="M35" s="84" t="str">
        <f>IF(T35="","",VLOOKUP(T35,Configuratie!$B$1:$E$10,4,FALSE))</f>
        <v/>
      </c>
      <c r="N35" s="84"/>
      <c r="R35" s="6" t="str">
        <f>IF(T35="","",VLOOKUP(T35,Configuratie!$B$1:$E$10,2,FALSE))</f>
        <v/>
      </c>
      <c r="T35" s="5"/>
      <c r="AX35" s="6">
        <v>4</v>
      </c>
      <c r="AY35" s="6">
        <v>2</v>
      </c>
      <c r="AZ35" s="6">
        <v>4</v>
      </c>
      <c r="BA35" s="6" t="str">
        <f>IF(AND(ISNUMBER(J35),ISNUMBER(M35)),IF(J35+M35=1,1,0),"")</f>
        <v/>
      </c>
      <c r="BC35" s="48">
        <f>AY35*100+AZ35</f>
        <v>204</v>
      </c>
      <c r="BD35" s="48">
        <f>AZ35*100+AY35</f>
        <v>402</v>
      </c>
      <c r="BE35" s="6">
        <f t="shared" si="38"/>
        <v>0</v>
      </c>
      <c r="BF35" s="6">
        <f t="shared" si="38"/>
        <v>0</v>
      </c>
      <c r="BG35" s="6" t="e">
        <f>J35*BF35</f>
        <v>#VALUE!</v>
      </c>
      <c r="BH35" s="6" t="e">
        <f>M35*BE35</f>
        <v>#VALUE!</v>
      </c>
    </row>
    <row r="36" spans="2:60" x14ac:dyDescent="0.25">
      <c r="B36" s="6">
        <v>3</v>
      </c>
      <c r="C36" s="6" t="str">
        <f>VLOOKUP(AY36,$B$4:$F$11,2,FALSE)</f>
        <v>A</v>
      </c>
      <c r="D36" s="46" t="s">
        <v>5</v>
      </c>
      <c r="E36" s="84" t="str">
        <f>VLOOKUP(AZ36,$B$4:$F$11,2,FALSE)</f>
        <v>E</v>
      </c>
      <c r="F36" s="84"/>
      <c r="G36" s="84"/>
      <c r="H36" s="84"/>
      <c r="J36" s="84" t="str">
        <f>IF(T36="","",VLOOKUP(T36,Configuratie!$B$1:$E$10,3,FALSE))</f>
        <v/>
      </c>
      <c r="K36" s="84"/>
      <c r="L36" s="6" t="s">
        <v>5</v>
      </c>
      <c r="M36" s="84" t="str">
        <f>IF(T36="","",VLOOKUP(T36,Configuratie!$B$1:$E$10,4,FALSE))</f>
        <v/>
      </c>
      <c r="N36" s="84"/>
      <c r="R36" s="6" t="str">
        <f>IF(T36="","",VLOOKUP(T36,Configuratie!$B$1:$E$10,2,FALSE))</f>
        <v/>
      </c>
      <c r="T36" s="5"/>
      <c r="AX36" s="6">
        <v>4</v>
      </c>
      <c r="AY36" s="6">
        <v>1</v>
      </c>
      <c r="AZ36" s="6">
        <v>5</v>
      </c>
      <c r="BA36" s="6" t="str">
        <f t="shared" ref="BA36:BA37" si="39">IF(AND(ISNUMBER(J36),ISNUMBER(M36)),IF(J36+M36=1,1,0),"")</f>
        <v/>
      </c>
      <c r="BC36" s="48">
        <f>AY36*100+AZ36</f>
        <v>105</v>
      </c>
      <c r="BD36" s="48">
        <f>AZ36*100+AY36</f>
        <v>501</v>
      </c>
      <c r="BE36" s="6">
        <f t="shared" si="38"/>
        <v>0</v>
      </c>
      <c r="BF36" s="6">
        <f t="shared" si="38"/>
        <v>0</v>
      </c>
      <c r="BG36" s="6" t="e">
        <f>J36*BF36</f>
        <v>#VALUE!</v>
      </c>
      <c r="BH36" s="6" t="e">
        <f>M36*BE36</f>
        <v>#VALUE!</v>
      </c>
    </row>
    <row r="37" spans="2:60" x14ac:dyDescent="0.25">
      <c r="B37" s="6">
        <v>4</v>
      </c>
      <c r="C37" s="6" t="str">
        <f>VLOOKUP(AY37,$B$4:$F$11,2,FALSE)</f>
        <v>G</v>
      </c>
      <c r="D37" s="46" t="s">
        <v>5</v>
      </c>
      <c r="E37" s="84" t="str">
        <f>VLOOKUP(AZ37,$B$4:$F$11,2,FALSE)</f>
        <v>F</v>
      </c>
      <c r="F37" s="84"/>
      <c r="G37" s="84"/>
      <c r="H37" s="84"/>
      <c r="J37" s="84" t="str">
        <f>IF(T37="","",VLOOKUP(T37,Configuratie!$B$1:$E$10,3,FALSE))</f>
        <v/>
      </c>
      <c r="K37" s="84"/>
      <c r="L37" s="6" t="s">
        <v>5</v>
      </c>
      <c r="M37" s="84" t="str">
        <f>IF(T37="","",VLOOKUP(T37,Configuratie!$B$1:$E$10,4,FALSE))</f>
        <v/>
      </c>
      <c r="N37" s="84"/>
      <c r="R37" s="6" t="str">
        <f>IF(T37="","",VLOOKUP(T37,Configuratie!$B$1:$E$10,2,FALSE))</f>
        <v/>
      </c>
      <c r="T37" s="5"/>
      <c r="AX37" s="6">
        <v>4</v>
      </c>
      <c r="AY37" s="6">
        <v>7</v>
      </c>
      <c r="AZ37" s="6">
        <v>6</v>
      </c>
      <c r="BA37" s="6" t="str">
        <f t="shared" si="39"/>
        <v/>
      </c>
      <c r="BC37" s="48">
        <f>AY37*100+AZ37</f>
        <v>706</v>
      </c>
      <c r="BD37" s="48">
        <f>AZ37*100+AY37</f>
        <v>607</v>
      </c>
      <c r="BE37" s="6">
        <f t="shared" si="38"/>
        <v>0</v>
      </c>
      <c r="BF37" s="6">
        <f t="shared" si="38"/>
        <v>0</v>
      </c>
      <c r="BG37" s="6" t="e">
        <f>J37*BF37</f>
        <v>#VALUE!</v>
      </c>
      <c r="BH37" s="6" t="e">
        <f>M37*BE37</f>
        <v>#VALUE!</v>
      </c>
    </row>
    <row r="38" spans="2:60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BC38" s="42"/>
      <c r="BD38" s="42"/>
    </row>
    <row r="39" spans="2:60" x14ac:dyDescent="0.25">
      <c r="B39" s="45" t="s">
        <v>12</v>
      </c>
      <c r="BC39" s="42"/>
      <c r="BD39" s="42"/>
    </row>
    <row r="40" spans="2:60" x14ac:dyDescent="0.25">
      <c r="B40" s="6">
        <v>1</v>
      </c>
      <c r="C40" s="6" t="str">
        <f>VLOOKUP(AY40,$B$4:$F$11,2,FALSE)</f>
        <v>F</v>
      </c>
      <c r="D40" s="46" t="s">
        <v>5</v>
      </c>
      <c r="E40" s="84" t="str">
        <f>VLOOKUP(AZ40,$B$4:$F$11,2,FALSE)</f>
        <v>H</v>
      </c>
      <c r="F40" s="84"/>
      <c r="G40" s="84"/>
      <c r="H40" s="84"/>
      <c r="J40" s="84" t="str">
        <f>IF(T40="","",VLOOKUP(T40,Configuratie!$B$1:$E$10,3,FALSE))</f>
        <v/>
      </c>
      <c r="K40" s="84"/>
      <c r="L40" s="6" t="s">
        <v>5</v>
      </c>
      <c r="M40" s="84" t="str">
        <f>IF(T40="","",VLOOKUP(T40,Configuratie!$B$1:$E$10,4,FALSE))</f>
        <v/>
      </c>
      <c r="N40" s="84"/>
      <c r="R40" s="6" t="str">
        <f>IF(T40="","",VLOOKUP(T40,Configuratie!$B$1:$E$10,2,FALSE))</f>
        <v/>
      </c>
      <c r="T40" s="5"/>
      <c r="AX40" s="6">
        <v>5</v>
      </c>
      <c r="AY40" s="6">
        <v>6</v>
      </c>
      <c r="AZ40" s="6">
        <v>8</v>
      </c>
      <c r="BA40" s="6" t="str">
        <f>IF(AND(ISNUMBER(J40),ISNUMBER(M40)),IF(J40+M40=1,1,0),"")</f>
        <v/>
      </c>
      <c r="BC40" s="48">
        <f>AY40*100+AZ40</f>
        <v>608</v>
      </c>
      <c r="BD40" s="48">
        <f>AZ40*100+AY40</f>
        <v>806</v>
      </c>
      <c r="BE40" s="6">
        <f t="shared" ref="BE40:BF43" si="40">VLOOKUP(AY40,$BN$3:$BW$11,$AX40,FALSE)</f>
        <v>0</v>
      </c>
      <c r="BF40" s="6">
        <f t="shared" si="40"/>
        <v>0</v>
      </c>
      <c r="BG40" s="6" t="e">
        <f>J40*BF40</f>
        <v>#VALUE!</v>
      </c>
      <c r="BH40" s="6" t="e">
        <f>M40*BE40</f>
        <v>#VALUE!</v>
      </c>
    </row>
    <row r="41" spans="2:60" x14ac:dyDescent="0.25">
      <c r="B41" s="6">
        <v>2</v>
      </c>
      <c r="C41" s="6" t="str">
        <f>VLOOKUP(AY41,$B$4:$F$11,2,FALSE)</f>
        <v>E</v>
      </c>
      <c r="D41" s="46" t="s">
        <v>5</v>
      </c>
      <c r="E41" s="84" t="str">
        <f>VLOOKUP(AZ41,$B$4:$F$11,2,FALSE)</f>
        <v>G</v>
      </c>
      <c r="F41" s="84"/>
      <c r="G41" s="84"/>
      <c r="H41" s="84"/>
      <c r="J41" s="84" t="str">
        <f>IF(T41="","",VLOOKUP(T41,Configuratie!$B$1:$E$10,3,FALSE))</f>
        <v/>
      </c>
      <c r="K41" s="84"/>
      <c r="L41" s="6" t="s">
        <v>5</v>
      </c>
      <c r="M41" s="84" t="str">
        <f>IF(T41="","",VLOOKUP(T41,Configuratie!$B$1:$E$10,4,FALSE))</f>
        <v/>
      </c>
      <c r="N41" s="84"/>
      <c r="R41" s="6" t="str">
        <f>IF(T41="","",VLOOKUP(T41,Configuratie!$B$1:$E$10,2,FALSE))</f>
        <v/>
      </c>
      <c r="T41" s="5"/>
      <c r="AX41" s="6">
        <v>5</v>
      </c>
      <c r="AY41" s="6">
        <v>5</v>
      </c>
      <c r="AZ41" s="6">
        <v>7</v>
      </c>
      <c r="BA41" s="6" t="str">
        <f t="shared" ref="BA41:BA43" si="41">IF(AND(ISNUMBER(J41),ISNUMBER(M41)),IF(J41+M41=1,1,0),"")</f>
        <v/>
      </c>
      <c r="BC41" s="48">
        <f>AY41*100+AZ41</f>
        <v>507</v>
      </c>
      <c r="BD41" s="48">
        <f>AZ41*100+AY41</f>
        <v>705</v>
      </c>
      <c r="BE41" s="6">
        <f t="shared" si="40"/>
        <v>0</v>
      </c>
      <c r="BF41" s="6">
        <f t="shared" si="40"/>
        <v>0</v>
      </c>
      <c r="BG41" s="6" t="e">
        <f>J41*BF41</f>
        <v>#VALUE!</v>
      </c>
      <c r="BH41" s="6" t="e">
        <f>M41*BE41</f>
        <v>#VALUE!</v>
      </c>
    </row>
    <row r="42" spans="2:60" x14ac:dyDescent="0.25">
      <c r="B42" s="6">
        <v>3</v>
      </c>
      <c r="C42" s="6" t="str">
        <f>VLOOKUP(AY42,$B$4:$F$11,2,FALSE)</f>
        <v>D</v>
      </c>
      <c r="D42" s="46" t="s">
        <v>5</v>
      </c>
      <c r="E42" s="84" t="str">
        <f>VLOOKUP(AZ42,$B$4:$F$11,2,FALSE)</f>
        <v>A</v>
      </c>
      <c r="F42" s="84"/>
      <c r="G42" s="84"/>
      <c r="H42" s="84"/>
      <c r="J42" s="84" t="str">
        <f>IF(T42="","",VLOOKUP(T42,Configuratie!$B$1:$E$10,3,FALSE))</f>
        <v/>
      </c>
      <c r="K42" s="84"/>
      <c r="L42" s="6" t="s">
        <v>5</v>
      </c>
      <c r="M42" s="84" t="str">
        <f>IF(T42="","",VLOOKUP(T42,Configuratie!$B$1:$E$10,4,FALSE))</f>
        <v/>
      </c>
      <c r="N42" s="84"/>
      <c r="R42" s="6" t="str">
        <f>IF(T42="","",VLOOKUP(T42,Configuratie!$B$1:$E$10,2,FALSE))</f>
        <v/>
      </c>
      <c r="T42" s="5"/>
      <c r="AX42" s="6">
        <v>5</v>
      </c>
      <c r="AY42" s="6">
        <v>4</v>
      </c>
      <c r="AZ42" s="6">
        <v>1</v>
      </c>
      <c r="BA42" s="6" t="str">
        <f t="shared" si="41"/>
        <v/>
      </c>
      <c r="BC42" s="48">
        <f>AY42*100+AZ42</f>
        <v>401</v>
      </c>
      <c r="BD42" s="48">
        <f>AZ42*100+AY42</f>
        <v>104</v>
      </c>
      <c r="BE42" s="6">
        <f t="shared" si="40"/>
        <v>0</v>
      </c>
      <c r="BF42" s="6">
        <f t="shared" si="40"/>
        <v>0</v>
      </c>
      <c r="BG42" s="6" t="e">
        <f>J42*BF42</f>
        <v>#VALUE!</v>
      </c>
      <c r="BH42" s="6" t="e">
        <f>M42*BE42</f>
        <v>#VALUE!</v>
      </c>
    </row>
    <row r="43" spans="2:60" x14ac:dyDescent="0.25">
      <c r="B43" s="6">
        <v>4</v>
      </c>
      <c r="C43" s="6" t="str">
        <f>VLOOKUP(AY43,$B$4:$F$11,2,FALSE)</f>
        <v>C</v>
      </c>
      <c r="D43" s="46" t="s">
        <v>5</v>
      </c>
      <c r="E43" s="84" t="str">
        <f>VLOOKUP(AZ43,$B$4:$F$11,2,FALSE)</f>
        <v>B</v>
      </c>
      <c r="F43" s="84"/>
      <c r="G43" s="84"/>
      <c r="H43" s="84"/>
      <c r="J43" s="84" t="str">
        <f>IF(T43="","",VLOOKUP(T43,Configuratie!$B$1:$E$10,3,FALSE))</f>
        <v/>
      </c>
      <c r="K43" s="84"/>
      <c r="L43" s="6" t="s">
        <v>5</v>
      </c>
      <c r="M43" s="84" t="str">
        <f>IF(T43="","",VLOOKUP(T43,Configuratie!$B$1:$E$10,4,FALSE))</f>
        <v/>
      </c>
      <c r="N43" s="84"/>
      <c r="R43" s="6" t="str">
        <f>IF(T43="","",VLOOKUP(T43,Configuratie!$B$1:$E$10,2,FALSE))</f>
        <v/>
      </c>
      <c r="T43" s="5"/>
      <c r="AX43" s="6">
        <v>5</v>
      </c>
      <c r="AY43" s="6">
        <v>3</v>
      </c>
      <c r="AZ43" s="6">
        <v>2</v>
      </c>
      <c r="BA43" s="6" t="str">
        <f t="shared" si="41"/>
        <v/>
      </c>
      <c r="BC43" s="48">
        <f>AY43*100+AZ43</f>
        <v>302</v>
      </c>
      <c r="BD43" s="48">
        <f>AZ43*100+AY43</f>
        <v>203</v>
      </c>
      <c r="BE43" s="6">
        <f t="shared" si="40"/>
        <v>0</v>
      </c>
      <c r="BF43" s="6">
        <f t="shared" si="40"/>
        <v>0</v>
      </c>
      <c r="BG43" s="6" t="e">
        <f>J43*BF43</f>
        <v>#VALUE!</v>
      </c>
      <c r="BH43" s="6" t="e">
        <f>M43*BE43</f>
        <v>#VALUE!</v>
      </c>
    </row>
    <row r="44" spans="2:60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BC44" s="42"/>
      <c r="BD44" s="42"/>
    </row>
    <row r="45" spans="2:60" x14ac:dyDescent="0.25">
      <c r="B45" s="45" t="s">
        <v>13</v>
      </c>
      <c r="BC45" s="42"/>
      <c r="BD45" s="42"/>
    </row>
    <row r="46" spans="2:60" x14ac:dyDescent="0.25">
      <c r="B46" s="6">
        <v>1</v>
      </c>
      <c r="C46" s="6" t="str">
        <f>VLOOKUP(AY46,$B$4:$F$11,2,FALSE)</f>
        <v>H</v>
      </c>
      <c r="D46" s="46" t="s">
        <v>5</v>
      </c>
      <c r="E46" s="84" t="str">
        <f>VLOOKUP(AZ46,$B$4:$F$11,2,FALSE)</f>
        <v>B</v>
      </c>
      <c r="F46" s="84"/>
      <c r="G46" s="84"/>
      <c r="H46" s="84"/>
      <c r="J46" s="84" t="str">
        <f>IF(T46="","",VLOOKUP(T46,Configuratie!$B$1:$E$10,3,FALSE))</f>
        <v/>
      </c>
      <c r="K46" s="84"/>
      <c r="L46" s="6" t="s">
        <v>5</v>
      </c>
      <c r="M46" s="84" t="str">
        <f>IF(T46="","",VLOOKUP(T46,Configuratie!$B$1:$E$10,4,FALSE))</f>
        <v/>
      </c>
      <c r="N46" s="84"/>
      <c r="R46" s="6" t="str">
        <f>IF(T46="","",VLOOKUP(T46,Configuratie!$B$1:$E$10,2,FALSE))</f>
        <v/>
      </c>
      <c r="T46" s="5"/>
      <c r="AX46" s="6">
        <v>6</v>
      </c>
      <c r="AY46" s="6">
        <v>8</v>
      </c>
      <c r="AZ46" s="6">
        <v>2</v>
      </c>
      <c r="BA46" s="6" t="str">
        <f>IF(AND(ISNUMBER(J46),ISNUMBER(M46)),IF(J46+M46=1,1,0),"")</f>
        <v/>
      </c>
      <c r="BC46" s="48">
        <f>AY46*100+AZ46</f>
        <v>802</v>
      </c>
      <c r="BD46" s="48">
        <f>AZ46*100+AY46</f>
        <v>208</v>
      </c>
      <c r="BE46" s="6">
        <f t="shared" ref="BE46:BF49" si="42">VLOOKUP(AY46,$BN$3:$BW$11,$AX46,FALSE)</f>
        <v>0</v>
      </c>
      <c r="BF46" s="6">
        <f t="shared" si="42"/>
        <v>0</v>
      </c>
      <c r="BG46" s="6" t="e">
        <f>J46*BF46</f>
        <v>#VALUE!</v>
      </c>
      <c r="BH46" s="6" t="e">
        <f>M46*BE46</f>
        <v>#VALUE!</v>
      </c>
    </row>
    <row r="47" spans="2:60" x14ac:dyDescent="0.25">
      <c r="B47" s="6">
        <v>2</v>
      </c>
      <c r="C47" s="6" t="str">
        <f>VLOOKUP(AY47,$B$4:$F$11,2,FALSE)</f>
        <v>A</v>
      </c>
      <c r="D47" s="46" t="s">
        <v>5</v>
      </c>
      <c r="E47" s="84" t="str">
        <f>VLOOKUP(AZ47,$B$4:$F$11,2,FALSE)</f>
        <v>C</v>
      </c>
      <c r="F47" s="84"/>
      <c r="G47" s="84"/>
      <c r="H47" s="84"/>
      <c r="J47" s="84" t="str">
        <f>IF(T47="","",VLOOKUP(T47,Configuratie!$B$1:$E$10,3,FALSE))</f>
        <v/>
      </c>
      <c r="K47" s="84"/>
      <c r="L47" s="6" t="s">
        <v>5</v>
      </c>
      <c r="M47" s="84" t="str">
        <f>IF(T47="","",VLOOKUP(T47,Configuratie!$B$1:$E$10,4,FALSE))</f>
        <v/>
      </c>
      <c r="N47" s="84"/>
      <c r="R47" s="6" t="str">
        <f>IF(T47="","",VLOOKUP(T47,Configuratie!$B$1:$E$10,2,FALSE))</f>
        <v/>
      </c>
      <c r="T47" s="5"/>
      <c r="AX47" s="6">
        <v>6</v>
      </c>
      <c r="AY47" s="6">
        <v>1</v>
      </c>
      <c r="AZ47" s="6">
        <v>3</v>
      </c>
      <c r="BA47" s="6" t="str">
        <f t="shared" ref="BA47:BA49" si="43">IF(AND(ISNUMBER(J47),ISNUMBER(M47)),IF(J47+M47=1,1,0),"")</f>
        <v/>
      </c>
      <c r="BC47" s="48">
        <f>AY47*100+AZ47</f>
        <v>103</v>
      </c>
      <c r="BD47" s="48">
        <f>AZ47*100+AY47</f>
        <v>301</v>
      </c>
      <c r="BE47" s="6">
        <f t="shared" si="42"/>
        <v>0</v>
      </c>
      <c r="BF47" s="6">
        <f t="shared" si="42"/>
        <v>0</v>
      </c>
      <c r="BG47" s="6" t="e">
        <f>J47*BF47</f>
        <v>#VALUE!</v>
      </c>
      <c r="BH47" s="6" t="e">
        <f>M47*BE47</f>
        <v>#VALUE!</v>
      </c>
    </row>
    <row r="48" spans="2:60" x14ac:dyDescent="0.25">
      <c r="B48" s="6">
        <v>3</v>
      </c>
      <c r="C48" s="6" t="str">
        <f>VLOOKUP(AY48,$B$4:$F$11,2,FALSE)</f>
        <v>G</v>
      </c>
      <c r="D48" s="46" t="s">
        <v>5</v>
      </c>
      <c r="E48" s="84" t="str">
        <f>VLOOKUP(AZ48,$B$4:$F$11,2,FALSE)</f>
        <v>D</v>
      </c>
      <c r="F48" s="84"/>
      <c r="G48" s="84"/>
      <c r="H48" s="84"/>
      <c r="J48" s="84" t="str">
        <f>IF(T48="","",VLOOKUP(T48,Configuratie!$B$1:$E$10,3,FALSE))</f>
        <v/>
      </c>
      <c r="K48" s="84"/>
      <c r="L48" s="6" t="s">
        <v>5</v>
      </c>
      <c r="M48" s="84" t="str">
        <f>IF(T48="","",VLOOKUP(T48,Configuratie!$B$1:$E$10,4,FALSE))</f>
        <v/>
      </c>
      <c r="N48" s="84"/>
      <c r="R48" s="6" t="str">
        <f>IF(T48="","",VLOOKUP(T48,Configuratie!$B$1:$E$10,2,FALSE))</f>
        <v/>
      </c>
      <c r="T48" s="5"/>
      <c r="AX48" s="6">
        <v>6</v>
      </c>
      <c r="AY48" s="6">
        <v>7</v>
      </c>
      <c r="AZ48" s="6">
        <v>4</v>
      </c>
      <c r="BA48" s="6" t="str">
        <f t="shared" si="43"/>
        <v/>
      </c>
      <c r="BC48" s="48">
        <f>AY48*100+AZ48</f>
        <v>704</v>
      </c>
      <c r="BD48" s="48">
        <f>AZ48*100+AY48</f>
        <v>407</v>
      </c>
      <c r="BE48" s="6">
        <f t="shared" si="42"/>
        <v>0</v>
      </c>
      <c r="BF48" s="6">
        <f t="shared" si="42"/>
        <v>0</v>
      </c>
      <c r="BG48" s="6" t="e">
        <f>J48*BF48</f>
        <v>#VALUE!</v>
      </c>
      <c r="BH48" s="6" t="e">
        <f>M48*BE48</f>
        <v>#VALUE!</v>
      </c>
    </row>
    <row r="49" spans="2:60" x14ac:dyDescent="0.25">
      <c r="B49" s="6">
        <v>4</v>
      </c>
      <c r="C49" s="6" t="str">
        <f>VLOOKUP(AY49,$B$4:$F$11,2,FALSE)</f>
        <v>F</v>
      </c>
      <c r="D49" s="46" t="s">
        <v>5</v>
      </c>
      <c r="E49" s="84" t="str">
        <f>VLOOKUP(AZ49,$B$4:$F$11,2,FALSE)</f>
        <v>E</v>
      </c>
      <c r="F49" s="84"/>
      <c r="G49" s="84"/>
      <c r="H49" s="84"/>
      <c r="J49" s="84" t="str">
        <f>IF(T49="","",VLOOKUP(T49,Configuratie!$B$1:$E$10,3,FALSE))</f>
        <v/>
      </c>
      <c r="K49" s="84"/>
      <c r="L49" s="6" t="s">
        <v>5</v>
      </c>
      <c r="M49" s="84" t="str">
        <f>IF(T49="","",VLOOKUP(T49,Configuratie!$B$1:$E$10,4,FALSE))</f>
        <v/>
      </c>
      <c r="N49" s="84"/>
      <c r="R49" s="6" t="str">
        <f>IF(T49="","",VLOOKUP(T49,Configuratie!$B$1:$E$10,2,FALSE))</f>
        <v/>
      </c>
      <c r="T49" s="5"/>
      <c r="AX49" s="6">
        <v>6</v>
      </c>
      <c r="AY49" s="6">
        <v>6</v>
      </c>
      <c r="AZ49" s="6">
        <v>5</v>
      </c>
      <c r="BA49" s="6" t="str">
        <f t="shared" si="43"/>
        <v/>
      </c>
      <c r="BC49" s="48">
        <f>AY49*100+AZ49</f>
        <v>605</v>
      </c>
      <c r="BD49" s="48">
        <f>AZ49*100+AY49</f>
        <v>506</v>
      </c>
      <c r="BE49" s="6">
        <f t="shared" si="42"/>
        <v>0</v>
      </c>
      <c r="BF49" s="6">
        <f t="shared" si="42"/>
        <v>0</v>
      </c>
      <c r="BG49" s="6" t="e">
        <f>J49*BF49</f>
        <v>#VALUE!</v>
      </c>
      <c r="BH49" s="6" t="e">
        <f>M49*BE49</f>
        <v>#VALUE!</v>
      </c>
    </row>
    <row r="50" spans="2:60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BC50" s="42"/>
      <c r="BD50" s="42"/>
    </row>
    <row r="51" spans="2:60" x14ac:dyDescent="0.25">
      <c r="B51" s="45" t="s">
        <v>14</v>
      </c>
      <c r="BC51" s="42"/>
      <c r="BD51" s="42"/>
    </row>
    <row r="52" spans="2:60" x14ac:dyDescent="0.25">
      <c r="B52" s="6">
        <v>1</v>
      </c>
      <c r="C52" s="6" t="str">
        <f>VLOOKUP(AY52,$B$4:$F$11,2,FALSE)</f>
        <v>E</v>
      </c>
      <c r="D52" s="46" t="s">
        <v>5</v>
      </c>
      <c r="E52" s="84" t="str">
        <f>VLOOKUP(AZ52,$B$4:$F$11,2,FALSE)</f>
        <v>H</v>
      </c>
      <c r="F52" s="84"/>
      <c r="G52" s="84"/>
      <c r="H52" s="84"/>
      <c r="J52" s="84" t="str">
        <f>IF(T52="","",VLOOKUP(T52,Configuratie!$B$1:$E$10,3,FALSE))</f>
        <v/>
      </c>
      <c r="K52" s="84"/>
      <c r="L52" s="6" t="s">
        <v>5</v>
      </c>
      <c r="M52" s="84" t="str">
        <f>IF(T52="","",VLOOKUP(T52,Configuratie!$B$1:$E$10,4,FALSE))</f>
        <v/>
      </c>
      <c r="N52" s="84"/>
      <c r="R52" s="6" t="str">
        <f>IF(T52="","",VLOOKUP(T52,Configuratie!$B$1:$E$10,2,FALSE))</f>
        <v/>
      </c>
      <c r="T52" s="5"/>
      <c r="AX52" s="6">
        <v>7</v>
      </c>
      <c r="AY52" s="6">
        <v>5</v>
      </c>
      <c r="AZ52" s="6">
        <v>8</v>
      </c>
      <c r="BA52" s="6" t="str">
        <f>IF(AND(ISNUMBER(J52),ISNUMBER(M52)),IF(J52+M52=1,1,0),"")</f>
        <v/>
      </c>
      <c r="BC52" s="48">
        <f>AY52*100+AZ52</f>
        <v>508</v>
      </c>
      <c r="BD52" s="48">
        <f>AZ52*100+AY52</f>
        <v>805</v>
      </c>
      <c r="BE52" s="6">
        <f t="shared" ref="BE52:BF55" si="44">VLOOKUP(AY52,$BN$3:$BW$11,$AX52,FALSE)</f>
        <v>0</v>
      </c>
      <c r="BF52" s="6">
        <f t="shared" si="44"/>
        <v>0</v>
      </c>
      <c r="BG52" s="6" t="e">
        <f>J52*BF52</f>
        <v>#VALUE!</v>
      </c>
      <c r="BH52" s="6" t="e">
        <f>M52*BE52</f>
        <v>#VALUE!</v>
      </c>
    </row>
    <row r="53" spans="2:60" x14ac:dyDescent="0.25">
      <c r="B53" s="6">
        <v>2</v>
      </c>
      <c r="C53" s="6" t="str">
        <f>VLOOKUP(AY53,$B$4:$F$11,2,FALSE)</f>
        <v>D</v>
      </c>
      <c r="D53" s="46" t="s">
        <v>5</v>
      </c>
      <c r="E53" s="84" t="str">
        <f>VLOOKUP(AZ53,$B$4:$F$11,2,FALSE)</f>
        <v>F</v>
      </c>
      <c r="F53" s="84"/>
      <c r="G53" s="84"/>
      <c r="H53" s="84"/>
      <c r="J53" s="84" t="str">
        <f>IF(T53="","",VLOOKUP(T53,Configuratie!$B$1:$E$10,3,FALSE))</f>
        <v/>
      </c>
      <c r="K53" s="84"/>
      <c r="L53" s="6" t="s">
        <v>5</v>
      </c>
      <c r="M53" s="84" t="str">
        <f>IF(T53="","",VLOOKUP(T53,Configuratie!$B$1:$E$10,4,FALSE))</f>
        <v/>
      </c>
      <c r="N53" s="84"/>
      <c r="R53" s="6" t="str">
        <f>IF(T53="","",VLOOKUP(T53,Configuratie!$B$1:$E$10,2,FALSE))</f>
        <v/>
      </c>
      <c r="T53" s="5"/>
      <c r="AX53" s="6">
        <v>7</v>
      </c>
      <c r="AY53" s="6">
        <v>4</v>
      </c>
      <c r="AZ53" s="6">
        <v>6</v>
      </c>
      <c r="BA53" s="6" t="str">
        <f t="shared" ref="BA53:BA55" si="45">IF(AND(ISNUMBER(J53),ISNUMBER(M53)),IF(J53+M53=1,1,0),"")</f>
        <v/>
      </c>
      <c r="BC53" s="48">
        <f>AY53*100+AZ53</f>
        <v>406</v>
      </c>
      <c r="BD53" s="48">
        <f>AZ53*100+AY53</f>
        <v>604</v>
      </c>
      <c r="BE53" s="6">
        <f t="shared" si="44"/>
        <v>0</v>
      </c>
      <c r="BF53" s="6">
        <f t="shared" si="44"/>
        <v>0</v>
      </c>
      <c r="BG53" s="6" t="e">
        <f>J53*BF53</f>
        <v>#VALUE!</v>
      </c>
      <c r="BH53" s="6" t="e">
        <f>M53*BE53</f>
        <v>#VALUE!</v>
      </c>
    </row>
    <row r="54" spans="2:60" x14ac:dyDescent="0.25">
      <c r="B54" s="6">
        <v>3</v>
      </c>
      <c r="C54" s="6" t="str">
        <f>VLOOKUP(AY54,$B$4:$F$11,2,FALSE)</f>
        <v>C</v>
      </c>
      <c r="D54" s="46" t="s">
        <v>5</v>
      </c>
      <c r="E54" s="84" t="str">
        <f>VLOOKUP(AZ54,$B$4:$F$11,2,FALSE)</f>
        <v>G</v>
      </c>
      <c r="F54" s="84"/>
      <c r="G54" s="84"/>
      <c r="H54" s="84"/>
      <c r="J54" s="84" t="str">
        <f>IF(T54="","",VLOOKUP(T54,Configuratie!$B$1:$E$10,3,FALSE))</f>
        <v/>
      </c>
      <c r="K54" s="84"/>
      <c r="L54" s="6" t="s">
        <v>5</v>
      </c>
      <c r="M54" s="84" t="str">
        <f>IF(T54="","",VLOOKUP(T54,Configuratie!$B$1:$E$10,4,FALSE))</f>
        <v/>
      </c>
      <c r="N54" s="84"/>
      <c r="R54" s="6" t="str">
        <f>IF(T54="","",VLOOKUP(T54,Configuratie!$B$1:$E$10,2,FALSE))</f>
        <v/>
      </c>
      <c r="T54" s="5"/>
      <c r="AX54" s="6">
        <v>7</v>
      </c>
      <c r="AY54" s="6">
        <v>3</v>
      </c>
      <c r="AZ54" s="6">
        <v>7</v>
      </c>
      <c r="BA54" s="6" t="str">
        <f t="shared" si="45"/>
        <v/>
      </c>
      <c r="BC54" s="48">
        <f>AY54*100+AZ54</f>
        <v>307</v>
      </c>
      <c r="BD54" s="48">
        <f>AZ54*100+AY54</f>
        <v>703</v>
      </c>
      <c r="BE54" s="6">
        <f t="shared" si="44"/>
        <v>0</v>
      </c>
      <c r="BF54" s="6">
        <f t="shared" si="44"/>
        <v>0</v>
      </c>
      <c r="BG54" s="6" t="e">
        <f>J54*BF54</f>
        <v>#VALUE!</v>
      </c>
      <c r="BH54" s="6" t="e">
        <f>M54*BE54</f>
        <v>#VALUE!</v>
      </c>
    </row>
    <row r="55" spans="2:60" x14ac:dyDescent="0.25">
      <c r="B55" s="6">
        <v>4</v>
      </c>
      <c r="C55" s="6" t="str">
        <f>VLOOKUP(AY55,$B$4:$F$11,2,FALSE)</f>
        <v>B</v>
      </c>
      <c r="D55" s="46" t="s">
        <v>5</v>
      </c>
      <c r="E55" s="84" t="str">
        <f>VLOOKUP(AZ55,$B$4:$F$11,2,FALSE)</f>
        <v>A</v>
      </c>
      <c r="F55" s="84"/>
      <c r="G55" s="84"/>
      <c r="H55" s="84"/>
      <c r="J55" s="84" t="str">
        <f>IF(T55="","",VLOOKUP(T55,Configuratie!$B$1:$E$10,3,FALSE))</f>
        <v/>
      </c>
      <c r="K55" s="84"/>
      <c r="L55" s="6" t="s">
        <v>5</v>
      </c>
      <c r="M55" s="84" t="str">
        <f>IF(T55="","",VLOOKUP(T55,Configuratie!$B$1:$E$10,4,FALSE))</f>
        <v/>
      </c>
      <c r="N55" s="84"/>
      <c r="R55" s="6" t="str">
        <f>IF(T55="","",VLOOKUP(T55,Configuratie!$B$1:$E$10,2,FALSE))</f>
        <v/>
      </c>
      <c r="T55" s="5"/>
      <c r="AX55" s="6">
        <v>7</v>
      </c>
      <c r="AY55" s="6">
        <v>2</v>
      </c>
      <c r="AZ55" s="6">
        <v>1</v>
      </c>
      <c r="BA55" s="6" t="str">
        <f t="shared" si="45"/>
        <v/>
      </c>
      <c r="BC55" s="48">
        <f>AY55*100+AZ55</f>
        <v>201</v>
      </c>
      <c r="BD55" s="48">
        <f>AZ55*100+AY55</f>
        <v>102</v>
      </c>
      <c r="BE55" s="6">
        <f t="shared" si="44"/>
        <v>0</v>
      </c>
      <c r="BF55" s="6">
        <f t="shared" si="44"/>
        <v>0</v>
      </c>
      <c r="BG55" s="6" t="e">
        <f>J55*BF55</f>
        <v>#VALUE!</v>
      </c>
      <c r="BH55" s="6" t="e">
        <f>M55*BE55</f>
        <v>#VALUE!</v>
      </c>
    </row>
  </sheetData>
  <sheetProtection password="CA5D" sheet="1" objects="1" scenarios="1" selectLockedCells="1"/>
  <sortState ref="Y4:AE11">
    <sortCondition descending="1" ref="AA4:AA11"/>
    <sortCondition descending="1" ref="AB4:AB11"/>
    <sortCondition descending="1" ref="AC4:AC11"/>
    <sortCondition descending="1" ref="AD4:AD11"/>
    <sortCondition descending="1" ref="AE4:AE11"/>
  </sortState>
  <mergeCells count="98">
    <mergeCell ref="D4:E4"/>
    <mergeCell ref="B1:F1"/>
    <mergeCell ref="G1:R1"/>
    <mergeCell ref="BD2:BL2"/>
    <mergeCell ref="BO2:BW2"/>
    <mergeCell ref="D3:E3"/>
    <mergeCell ref="W1:AC1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11" priority="4" stopIfTrue="1" operator="between">
      <formula>0</formula>
      <formula>1</formula>
    </cfRule>
  </conditionalFormatting>
  <conditionalFormatting sqref="T4:U11">
    <cfRule type="cellIs" dxfId="10" priority="1" operator="equal">
      <formula>3</formula>
    </cfRule>
    <cfRule type="cellIs" dxfId="9" priority="2" operator="equal">
      <formula>2</formula>
    </cfRule>
    <cfRule type="cellIs" dxfId="8" priority="3" operator="equal">
      <formula>1</formula>
    </cfRule>
  </conditionalFormatting>
  <printOptions horizontalCentered="1" verticalCentered="1"/>
  <pageMargins left="0.7" right="0.7" top="0.75" bottom="0.75" header="0.3" footer="0.3"/>
  <pageSetup paperSize="9" scale="78" orientation="portrait" horizontalDpi="4294967293" verticalDpi="4294967293" r:id="rId1"/>
  <rowBreaks count="1" manualBreakCount="1">
    <brk id="3" min="1" max="19" man="1"/>
  </rowBreaks>
  <colBreaks count="2" manualBreakCount="2">
    <brk id="12" max="54" man="1"/>
    <brk id="2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A1:BT54"/>
  <sheetViews>
    <sheetView tabSelected="1" view="pageBreakPreview" zoomScaleNormal="100" zoomScaleSheetLayoutView="100" workbookViewId="0">
      <selection activeCell="T14" sqref="T14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4" width="3.7109375" style="6" customWidth="1"/>
    <col min="15" max="17" width="3.7109375" style="6" hidden="1" customWidth="1"/>
    <col min="18" max="20" width="10.42578125" style="6" customWidth="1"/>
    <col min="21" max="21" width="3.7109375" style="6" customWidth="1"/>
    <col min="22" max="22" width="6.7109375" style="6" customWidth="1"/>
    <col min="23" max="23" width="3" style="6" hidden="1" customWidth="1"/>
    <col min="24" max="24" width="27.7109375" style="6" customWidth="1"/>
    <col min="25" max="25" width="6.7109375" style="6" customWidth="1"/>
    <col min="26" max="26" width="6.7109375" style="6" hidden="1" customWidth="1"/>
    <col min="27" max="27" width="6.7109375" style="6" customWidth="1"/>
    <col min="28" max="30" width="6.7109375" style="6" hidden="1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7" width="6.710937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71" width="3.7109375" style="6" hidden="1" customWidth="1"/>
    <col min="72" max="72" width="9.140625" style="6" hidden="1" customWidth="1"/>
    <col min="73" max="74" width="9.140625" style="6" customWidth="1"/>
    <col min="75" max="16384" width="9.140625" style="6"/>
  </cols>
  <sheetData>
    <row r="1" spans="1:71" ht="26.25" x14ac:dyDescent="0.4">
      <c r="A1" s="24">
        <v>6</v>
      </c>
      <c r="B1" s="83" t="s">
        <v>31</v>
      </c>
      <c r="C1" s="83"/>
      <c r="D1" s="83"/>
      <c r="E1" s="83"/>
      <c r="F1" s="83"/>
      <c r="G1" s="92" t="s">
        <v>32</v>
      </c>
      <c r="H1" s="92"/>
      <c r="I1" s="84"/>
      <c r="J1" s="84"/>
      <c r="K1" s="84"/>
      <c r="L1" s="84"/>
      <c r="M1" s="84"/>
      <c r="N1" s="84"/>
      <c r="O1" s="84"/>
      <c r="P1" s="84"/>
      <c r="Q1" s="84"/>
      <c r="R1" s="84"/>
      <c r="S1" s="47"/>
      <c r="T1" s="47"/>
      <c r="U1" s="15"/>
      <c r="V1" s="85" t="str">
        <f>"UITSLAG "&amp; G1</f>
        <v>UITSLAG GROEP A</v>
      </c>
      <c r="W1" s="86"/>
      <c r="X1" s="86"/>
      <c r="Y1" s="86"/>
      <c r="Z1" s="86"/>
      <c r="AA1" s="86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86" t="s">
        <v>22</v>
      </c>
      <c r="BA2" s="86"/>
      <c r="BB2" s="86"/>
      <c r="BC2" s="86"/>
      <c r="BD2" s="86"/>
      <c r="BE2" s="86"/>
      <c r="BF2" s="86"/>
      <c r="BG2" s="86"/>
      <c r="BH2" s="86"/>
      <c r="BI2" s="17"/>
      <c r="BJ2" s="18"/>
      <c r="BK2" s="86" t="s">
        <v>23</v>
      </c>
      <c r="BL2" s="86"/>
      <c r="BM2" s="86"/>
      <c r="BN2" s="86"/>
      <c r="BO2" s="86"/>
      <c r="BP2" s="86"/>
      <c r="BQ2" s="86"/>
      <c r="BR2" s="86"/>
      <c r="BS2" s="86"/>
    </row>
    <row r="3" spans="1:71" x14ac:dyDescent="0.25">
      <c r="B3" s="19" t="s">
        <v>4</v>
      </c>
      <c r="C3" s="19" t="s">
        <v>6</v>
      </c>
      <c r="D3" s="87" t="s">
        <v>7</v>
      </c>
      <c r="E3" s="87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96"/>
      <c r="O3" s="97"/>
      <c r="P3" s="49"/>
      <c r="Q3" s="50"/>
      <c r="R3" s="7" t="s">
        <v>17</v>
      </c>
      <c r="S3" s="7" t="s">
        <v>26</v>
      </c>
      <c r="T3" s="7" t="s">
        <v>69</v>
      </c>
      <c r="U3" s="21"/>
      <c r="V3" s="7" t="s">
        <v>33</v>
      </c>
      <c r="W3" s="22" t="s">
        <v>30</v>
      </c>
      <c r="X3" s="7" t="s">
        <v>6</v>
      </c>
      <c r="Y3" s="7" t="s">
        <v>29</v>
      </c>
      <c r="Z3" s="7" t="s">
        <v>24</v>
      </c>
      <c r="AA3" s="7" t="s">
        <v>26</v>
      </c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93"/>
      <c r="E4" s="93"/>
      <c r="F4" s="25">
        <v>1000</v>
      </c>
      <c r="H4" s="26" t="str">
        <f t="shared" ref="H4:M9" si="0">IF((SUMIF($AY$11:$AY$36,$B4*100+H$3,$AW$11:$AW$36)+SUMIF($AY$11:$AY$36,$B4+H$3*100,$AW$11:$AW$36))=1,(SUMIF($AY$11:$AY$36,$B4*100+H$3,$J$11:$J$36)+SUMIF($AZ$11:$AZ$36,$B4*100+H$3,$M$11:$M$36)),"")</f>
        <v/>
      </c>
      <c r="I4" s="27" t="str">
        <f>IF((SUMIF($AY$11:$AY$36,$B4*100+I$3,$AW$11:$AW$36)+SUMIF($AY$11:$AY$36,$B4+I$3*100,$AW$11:$AW$36))=1,(SUMIF($AY$11:$AY$36,$B4*100+I$3,$J$11:$J$36)+SUMIF($AZ$11:$AZ$36,$B4*100+I$3,$M$11:$M$36)),"")</f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94"/>
      <c r="O4" s="95"/>
      <c r="P4" s="52"/>
      <c r="Q4" s="53"/>
      <c r="R4" s="8">
        <f t="shared" ref="R4:R9" si="1">SUM(H4:Q4)</f>
        <v>0</v>
      </c>
      <c r="S4" s="8">
        <f>IF(H4="",0,H4)*$R$4+IF(I4="",0,I4)*$R$5+IF(J4="",0,J4)*$R$6+IF(K4="",0,K4)*$R$7+IF(L4="",0,L4)*$R$8+IF(M4="",0,M4)*$R$9</f>
        <v>0</v>
      </c>
      <c r="T4" s="54">
        <f>AO4</f>
        <v>1</v>
      </c>
      <c r="U4" s="30"/>
      <c r="V4" s="31">
        <v>1</v>
      </c>
      <c r="W4" s="32">
        <v>6</v>
      </c>
      <c r="X4" s="33" t="str">
        <f>IF(ISNA(VLOOKUP(V4,$A$4:$T$11,3,FALSE)),C4,VLOOKUP(V4,$A$4:$T$11,3,FALSE))</f>
        <v>A</v>
      </c>
      <c r="Y4" s="34">
        <f t="shared" ref="Y4:Y9" si="2">IF(ISNA(VLOOKUP(B4,$A$4:$S$11,18,FALSE)),0,VLOOKUP(B4,$A$4:$S$11,18,FALSE))</f>
        <v>0</v>
      </c>
      <c r="Z4" s="34">
        <f t="shared" ref="Z4:Z9" si="3">VLOOKUP($W4,$AT$4:$AW$9,2,FALSE)</f>
        <v>0</v>
      </c>
      <c r="AA4" s="55">
        <f t="shared" ref="AA4:AA9" si="4">IF(ISNA(VLOOKUP(B4,$A$4:$S$11,19,FALSE)),0,VLOOKUP(B4,$A$4:$S$11,19,FALSE))</f>
        <v>0</v>
      </c>
      <c r="AB4" s="34">
        <f t="shared" ref="AB4:AB9" si="5">VLOOKUP($W4,$AT$4:$AW$9,4,FALSE)</f>
        <v>0</v>
      </c>
      <c r="AC4" s="35">
        <f t="shared" ref="AC4:AC9" si="6">VLOOKUP($W4,$B$4:$R$9,5,FALSE)</f>
        <v>1000</v>
      </c>
      <c r="AD4" s="56"/>
      <c r="AE4" s="7">
        <f>IF(R4=$R$4,IF(H4="",0,H4))+IF(R4=$R$5,IF(I4="",0,I4))+IF(R4=$R$6,IF(J4="",0,J4))+IF(R4=$R$7,IF(K4="",0,K4))+IF(R4=$R$8,IF(L4="",0,L4))+IF(R4=$R$9,IF(M4="",0,M4))</f>
        <v>0</v>
      </c>
      <c r="AF4" s="7">
        <f>$AE$11*R4+AE4</f>
        <v>0</v>
      </c>
      <c r="AG4" s="7">
        <f>IF(AF4=$AF$4,IF(H4="",0,H4))+IF(AF4=$AF$5,IF(I4="",0,I4))+IF(AF4=$AF$6,IF(J4="",0,J4))+IF(AF4=$AF$7,IF(K4="",0,K4))+IF(AF4=$AF$8,IF(L4="",0,L4))+IF(AF4=$AF$9,IF(M4="",0,M4))</f>
        <v>0</v>
      </c>
      <c r="AH4" s="7">
        <f>$AG$11*AF4+AG4</f>
        <v>0</v>
      </c>
      <c r="AI4" s="7">
        <f>IF(AH4=$AH$4,IF(H4="",0,H4))+IF(AH4=$AH$5,IF(I4="",0,I4))+IF(AH4=$AH$6,IF(J4="",0,J4))+IF(AH4=$AH$7,IF(K4="",0,K4))+IF(AH4=$AH$8,IF(L4="",0,L4))+IF(AH4=$AH$9,IF(M4="",0,M4))</f>
        <v>0</v>
      </c>
      <c r="AJ4" s="7">
        <f>$AI$11*AH4+AI4</f>
        <v>0</v>
      </c>
      <c r="AK4" s="56"/>
      <c r="AL4" s="56">
        <f>RANK(AJ4,$AJ$4:$AJ$9,1)-1</f>
        <v>0</v>
      </c>
      <c r="AM4" s="56">
        <f>RANK(S4,$S$4:$S$9,1)-1</f>
        <v>0</v>
      </c>
      <c r="AN4" s="56">
        <f>6*AL4+AM4</f>
        <v>0</v>
      </c>
      <c r="AO4" s="56">
        <f>RANK(AN4,$AN$4:$AN$9)</f>
        <v>1</v>
      </c>
      <c r="AP4" s="56"/>
      <c r="AQ4" s="56"/>
      <c r="AR4" s="56"/>
      <c r="AS4" s="30"/>
      <c r="AT4" s="37">
        <v>1</v>
      </c>
      <c r="AU4" s="38">
        <f t="shared" ref="AU4:AU9" si="7">SUMIF($AU$11:$AU$36,B4,$BA$11:$BA$36)+SUMIF($AV$11:$AV$36,B4,$BB$11:$BB$36)</f>
        <v>0</v>
      </c>
      <c r="AV4" s="39" t="e">
        <f t="shared" ref="AV4:AV9" si="8">SUMIF($AU$11:$AU$36,B4,$BC$11:$BC$36)+SUMIF($AV$11:$AV$36,B4,$BD$11:$BD$36)</f>
        <v>#VALUE!</v>
      </c>
      <c r="AW4" s="39">
        <f>SUM(BK4:BS4)</f>
        <v>0</v>
      </c>
      <c r="AY4" s="6">
        <v>1</v>
      </c>
      <c r="AZ4" s="6">
        <f t="shared" ref="AZ4:BH9" si="9" xml:space="preserve"> SUMIFS( $J$14:$J$36, $AU$14:$AU$36,$AY4, $AT$14:$AT$36,AZ$3) + SUMIFS( $M$14:$M$36, $AV$14:$AV$36,$AY4, $AT$14:$AT$36,AZ$3)</f>
        <v>0</v>
      </c>
      <c r="BA4" s="6">
        <f t="shared" si="9"/>
        <v>0</v>
      </c>
      <c r="BB4" s="6">
        <f t="shared" si="9"/>
        <v>0</v>
      </c>
      <c r="BC4" s="6">
        <f t="shared" si="9"/>
        <v>0</v>
      </c>
      <c r="BD4" s="6">
        <f t="shared" si="9"/>
        <v>0</v>
      </c>
      <c r="BE4" s="6">
        <f t="shared" si="9"/>
        <v>0</v>
      </c>
      <c r="BF4" s="6">
        <f t="shared" si="9"/>
        <v>0</v>
      </c>
      <c r="BG4" s="6">
        <f t="shared" si="9"/>
        <v>0</v>
      </c>
      <c r="BH4" s="6">
        <f t="shared" si="9"/>
        <v>0</v>
      </c>
      <c r="BJ4" s="6">
        <v>1</v>
      </c>
      <c r="BK4" s="6">
        <f>AZ4</f>
        <v>0</v>
      </c>
      <c r="BL4" s="6">
        <f t="shared" ref="BL4:BS9" si="10">BK4+BA4</f>
        <v>0</v>
      </c>
      <c r="BM4" s="6">
        <f t="shared" si="10"/>
        <v>0</v>
      </c>
      <c r="BN4" s="6">
        <f t="shared" si="10"/>
        <v>0</v>
      </c>
      <c r="BO4" s="6">
        <f t="shared" si="10"/>
        <v>0</v>
      </c>
      <c r="BP4" s="6">
        <f t="shared" si="10"/>
        <v>0</v>
      </c>
      <c r="BQ4" s="6">
        <f t="shared" si="10"/>
        <v>0</v>
      </c>
      <c r="BR4" s="6">
        <f t="shared" si="10"/>
        <v>0</v>
      </c>
      <c r="BS4" s="6">
        <f t="shared" si="10"/>
        <v>0</v>
      </c>
    </row>
    <row r="5" spans="1:71" x14ac:dyDescent="0.25">
      <c r="A5" s="51">
        <f t="shared" ref="A5:A9" si="11">T5</f>
        <v>1</v>
      </c>
      <c r="B5" s="25">
        <v>2</v>
      </c>
      <c r="C5" s="25" t="s">
        <v>41</v>
      </c>
      <c r="D5" s="93"/>
      <c r="E5" s="93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94"/>
      <c r="O5" s="95"/>
      <c r="P5" s="52"/>
      <c r="Q5" s="53"/>
      <c r="R5" s="8">
        <f t="shared" si="1"/>
        <v>0</v>
      </c>
      <c r="S5" s="8">
        <f t="shared" ref="S5:S9" si="12">IF(H5="",0,H5)*$R$4+IF(I5="",0,I5)*$R$5+IF(J5="",0,J5)*$R$6+IF(K5="",0,K5)*$R$7+IF(L5="",0,L5)*$R$8+IF(M5="",0,M5)*$R$9</f>
        <v>0</v>
      </c>
      <c r="T5" s="54">
        <f t="shared" ref="T5:T9" si="13">AO5</f>
        <v>1</v>
      </c>
      <c r="U5" s="30"/>
      <c r="V5" s="31">
        <v>2</v>
      </c>
      <c r="W5" s="32">
        <v>5</v>
      </c>
      <c r="X5" s="33" t="str">
        <f t="shared" ref="X5:X9" si="14">IF(ISNA(VLOOKUP(V5,$A$4:$T$11,3,FALSE)),C5,VLOOKUP(V5,$A$4:$T$11,3,FALSE))</f>
        <v>B</v>
      </c>
      <c r="Y5" s="34">
        <f t="shared" si="2"/>
        <v>0</v>
      </c>
      <c r="Z5" s="34">
        <f t="shared" si="3"/>
        <v>0</v>
      </c>
      <c r="AA5" s="55">
        <f t="shared" si="4"/>
        <v>0</v>
      </c>
      <c r="AB5" s="34">
        <f t="shared" si="5"/>
        <v>0</v>
      </c>
      <c r="AC5" s="35">
        <f t="shared" si="6"/>
        <v>1000</v>
      </c>
      <c r="AD5" s="56"/>
      <c r="AE5" s="7">
        <f t="shared" ref="AE5:AE9" si="15">IF(R5=$R$4,IF(H5="",0,H5))+IF(R5=$R$5,IF(I5="",0,I5))+IF(R5=$R$6,IF(J5="",0,J5))+IF(R5=$R$7,IF(K5="",0,K5))+IF(R5=$R$8,IF(L5="",0,L5))+IF(R5=$R$9,IF(M5="",0,M5))</f>
        <v>0</v>
      </c>
      <c r="AF5" s="7">
        <f t="shared" ref="AF5:AF9" si="16">$AE$11*R5+AE5</f>
        <v>0</v>
      </c>
      <c r="AG5" s="7">
        <f t="shared" ref="AG5:AG9" si="17">IF(AF5=$AF$4,IF(H5="",0,H5))+IF(AF5=$AF$5,IF(I5="",0,I5))+IF(AF5=$AF$6,IF(J5="",0,J5))+IF(AF5=$AF$7,IF(K5="",0,K5))+IF(AF5=$AF$8,IF(L5="",0,L5))+IF(AF5=$AF$9,IF(M5="",0,M5))</f>
        <v>0</v>
      </c>
      <c r="AH5" s="7">
        <f t="shared" ref="AH5:AH9" si="18">$AG$11*AF5+AG5</f>
        <v>0</v>
      </c>
      <c r="AI5" s="7">
        <f t="shared" ref="AI5:AI9" si="19">IF(AH5=$AH$4,IF(H5="",0,H5))+IF(AH5=$AH$5,IF(I5="",0,I5))+IF(AH5=$AH$6,IF(J5="",0,J5))+IF(AH5=$AH$7,IF(K5="",0,K5))+IF(AH5=$AH$8,IF(L5="",0,L5))+IF(AH5=$AH$9,IF(M5="",0,M5))</f>
        <v>0</v>
      </c>
      <c r="AJ5" s="7">
        <f t="shared" ref="AJ5:AJ9" si="20">$AI$11*AH5+AI5</f>
        <v>0</v>
      </c>
      <c r="AK5" s="56"/>
      <c r="AL5" s="56">
        <f t="shared" ref="AL5:AL9" si="21">RANK(AJ5,$AJ$4:$AJ$9,1)-1</f>
        <v>0</v>
      </c>
      <c r="AM5" s="56">
        <f t="shared" ref="AM5:AM9" si="22">RANK(S5,$S$4:$S$9,1)-1</f>
        <v>0</v>
      </c>
      <c r="AN5" s="56">
        <f t="shared" ref="AN5:AN9" si="23">6*AL5+AM5</f>
        <v>0</v>
      </c>
      <c r="AO5" s="56">
        <f t="shared" ref="AO5:AO9" si="24">RANK(AN5,$AN$4:$AN$9)</f>
        <v>1</v>
      </c>
      <c r="AP5" s="56"/>
      <c r="AQ5" s="56"/>
      <c r="AR5" s="56"/>
      <c r="AS5" s="30"/>
      <c r="AT5" s="37">
        <v>2</v>
      </c>
      <c r="AU5" s="38">
        <f t="shared" si="7"/>
        <v>0</v>
      </c>
      <c r="AV5" s="39" t="e">
        <f t="shared" si="8"/>
        <v>#VALUE!</v>
      </c>
      <c r="AW5" s="39">
        <f t="shared" ref="AW5:AW9" si="25">SUM(BK5:BS5)</f>
        <v>0</v>
      </c>
      <c r="AY5" s="6">
        <v>2</v>
      </c>
      <c r="AZ5" s="6">
        <f t="shared" si="9"/>
        <v>0</v>
      </c>
      <c r="BA5" s="6">
        <f t="shared" si="9"/>
        <v>0</v>
      </c>
      <c r="BB5" s="6">
        <f t="shared" si="9"/>
        <v>0</v>
      </c>
      <c r="BC5" s="6">
        <f t="shared" si="9"/>
        <v>0</v>
      </c>
      <c r="BD5" s="6">
        <f t="shared" si="9"/>
        <v>0</v>
      </c>
      <c r="BE5" s="6">
        <f t="shared" si="9"/>
        <v>0</v>
      </c>
      <c r="BF5" s="6">
        <f t="shared" si="9"/>
        <v>0</v>
      </c>
      <c r="BG5" s="6">
        <f t="shared" si="9"/>
        <v>0</v>
      </c>
      <c r="BH5" s="6">
        <f t="shared" si="9"/>
        <v>0</v>
      </c>
      <c r="BJ5" s="6">
        <v>2</v>
      </c>
      <c r="BK5" s="6">
        <f t="shared" ref="BK5:BK9" si="26">AZ5</f>
        <v>0</v>
      </c>
      <c r="BL5" s="6">
        <f t="shared" si="10"/>
        <v>0</v>
      </c>
      <c r="BM5" s="6">
        <f t="shared" si="10"/>
        <v>0</v>
      </c>
      <c r="BN5" s="6">
        <f t="shared" si="10"/>
        <v>0</v>
      </c>
      <c r="BO5" s="6">
        <f t="shared" si="10"/>
        <v>0</v>
      </c>
      <c r="BP5" s="6">
        <f t="shared" si="10"/>
        <v>0</v>
      </c>
      <c r="BQ5" s="6">
        <f t="shared" si="10"/>
        <v>0</v>
      </c>
      <c r="BR5" s="6">
        <f t="shared" si="10"/>
        <v>0</v>
      </c>
      <c r="BS5" s="6">
        <f t="shared" si="10"/>
        <v>0</v>
      </c>
    </row>
    <row r="6" spans="1:71" x14ac:dyDescent="0.25">
      <c r="A6" s="51">
        <f t="shared" si="11"/>
        <v>1</v>
      </c>
      <c r="B6" s="25">
        <v>3</v>
      </c>
      <c r="C6" s="25" t="s">
        <v>42</v>
      </c>
      <c r="D6" s="93"/>
      <c r="E6" s="93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94"/>
      <c r="O6" s="95"/>
      <c r="P6" s="52"/>
      <c r="Q6" s="53"/>
      <c r="R6" s="8">
        <f t="shared" si="1"/>
        <v>0</v>
      </c>
      <c r="S6" s="8">
        <f t="shared" si="12"/>
        <v>0</v>
      </c>
      <c r="T6" s="54">
        <f t="shared" si="13"/>
        <v>1</v>
      </c>
      <c r="U6" s="30"/>
      <c r="V6" s="31">
        <v>3</v>
      </c>
      <c r="W6" s="32">
        <v>4</v>
      </c>
      <c r="X6" s="33" t="str">
        <f t="shared" si="14"/>
        <v>C</v>
      </c>
      <c r="Y6" s="34">
        <f t="shared" si="2"/>
        <v>0</v>
      </c>
      <c r="Z6" s="34">
        <f t="shared" si="3"/>
        <v>0</v>
      </c>
      <c r="AA6" s="55">
        <f t="shared" si="4"/>
        <v>0</v>
      </c>
      <c r="AB6" s="34">
        <f t="shared" si="5"/>
        <v>0</v>
      </c>
      <c r="AC6" s="35">
        <f t="shared" si="6"/>
        <v>1000</v>
      </c>
      <c r="AD6" s="56"/>
      <c r="AE6" s="7">
        <f t="shared" si="15"/>
        <v>0</v>
      </c>
      <c r="AF6" s="7">
        <f t="shared" si="16"/>
        <v>0</v>
      </c>
      <c r="AG6" s="7">
        <f t="shared" si="17"/>
        <v>0</v>
      </c>
      <c r="AH6" s="7">
        <f t="shared" si="18"/>
        <v>0</v>
      </c>
      <c r="AI6" s="7">
        <f t="shared" si="19"/>
        <v>0</v>
      </c>
      <c r="AJ6" s="7">
        <f t="shared" si="20"/>
        <v>0</v>
      </c>
      <c r="AK6" s="56"/>
      <c r="AL6" s="56">
        <f t="shared" si="21"/>
        <v>0</v>
      </c>
      <c r="AM6" s="56">
        <f t="shared" si="22"/>
        <v>0</v>
      </c>
      <c r="AN6" s="56">
        <f t="shared" si="23"/>
        <v>0</v>
      </c>
      <c r="AO6" s="56">
        <f t="shared" si="24"/>
        <v>1</v>
      </c>
      <c r="AP6" s="56"/>
      <c r="AQ6" s="56"/>
      <c r="AR6" s="56"/>
      <c r="AS6" s="30"/>
      <c r="AT6" s="37">
        <v>3</v>
      </c>
      <c r="AU6" s="38">
        <f t="shared" si="7"/>
        <v>0</v>
      </c>
      <c r="AV6" s="39" t="e">
        <f t="shared" si="8"/>
        <v>#VALUE!</v>
      </c>
      <c r="AW6" s="39">
        <f t="shared" si="25"/>
        <v>0</v>
      </c>
      <c r="AY6" s="6">
        <v>3</v>
      </c>
      <c r="AZ6" s="6">
        <f t="shared" si="9"/>
        <v>0</v>
      </c>
      <c r="BA6" s="6">
        <f t="shared" si="9"/>
        <v>0</v>
      </c>
      <c r="BB6" s="6">
        <f t="shared" si="9"/>
        <v>0</v>
      </c>
      <c r="BC6" s="6">
        <f t="shared" si="9"/>
        <v>0</v>
      </c>
      <c r="BD6" s="6">
        <f t="shared" si="9"/>
        <v>0</v>
      </c>
      <c r="BE6" s="6">
        <f t="shared" si="9"/>
        <v>0</v>
      </c>
      <c r="BF6" s="6">
        <f t="shared" si="9"/>
        <v>0</v>
      </c>
      <c r="BG6" s="6">
        <f t="shared" si="9"/>
        <v>0</v>
      </c>
      <c r="BH6" s="6">
        <f t="shared" si="9"/>
        <v>0</v>
      </c>
      <c r="BJ6" s="6">
        <v>3</v>
      </c>
      <c r="BK6" s="6">
        <f t="shared" si="26"/>
        <v>0</v>
      </c>
      <c r="BL6" s="6">
        <f t="shared" si="10"/>
        <v>0</v>
      </c>
      <c r="BM6" s="6">
        <f t="shared" si="10"/>
        <v>0</v>
      </c>
      <c r="BN6" s="6">
        <f t="shared" si="10"/>
        <v>0</v>
      </c>
      <c r="BO6" s="6">
        <f t="shared" si="10"/>
        <v>0</v>
      </c>
      <c r="BP6" s="6">
        <f t="shared" si="10"/>
        <v>0</v>
      </c>
      <c r="BQ6" s="6">
        <f t="shared" si="10"/>
        <v>0</v>
      </c>
      <c r="BR6" s="6">
        <f t="shared" si="10"/>
        <v>0</v>
      </c>
      <c r="BS6" s="6">
        <f t="shared" si="10"/>
        <v>0</v>
      </c>
    </row>
    <row r="7" spans="1:71" x14ac:dyDescent="0.25">
      <c r="A7" s="51">
        <f t="shared" si="11"/>
        <v>1</v>
      </c>
      <c r="B7" s="25">
        <v>4</v>
      </c>
      <c r="C7" s="25" t="s">
        <v>43</v>
      </c>
      <c r="D7" s="93"/>
      <c r="E7" s="93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94"/>
      <c r="O7" s="95"/>
      <c r="P7" s="52"/>
      <c r="Q7" s="53"/>
      <c r="R7" s="8">
        <f t="shared" si="1"/>
        <v>0</v>
      </c>
      <c r="S7" s="8">
        <f t="shared" si="12"/>
        <v>0</v>
      </c>
      <c r="T7" s="54">
        <f t="shared" si="13"/>
        <v>1</v>
      </c>
      <c r="U7" s="30"/>
      <c r="V7" s="31">
        <v>4</v>
      </c>
      <c r="W7" s="32">
        <v>3</v>
      </c>
      <c r="X7" s="33" t="str">
        <f t="shared" si="14"/>
        <v>D</v>
      </c>
      <c r="Y7" s="34">
        <f t="shared" si="2"/>
        <v>0</v>
      </c>
      <c r="Z7" s="34">
        <f t="shared" si="3"/>
        <v>0</v>
      </c>
      <c r="AA7" s="55">
        <f t="shared" si="4"/>
        <v>0</v>
      </c>
      <c r="AB7" s="34">
        <f t="shared" si="5"/>
        <v>0</v>
      </c>
      <c r="AC7" s="35">
        <f t="shared" si="6"/>
        <v>1000</v>
      </c>
      <c r="AD7" s="56"/>
      <c r="AE7" s="7">
        <f t="shared" si="15"/>
        <v>0</v>
      </c>
      <c r="AF7" s="7">
        <f t="shared" si="16"/>
        <v>0</v>
      </c>
      <c r="AG7" s="7">
        <f t="shared" si="17"/>
        <v>0</v>
      </c>
      <c r="AH7" s="7">
        <f t="shared" si="18"/>
        <v>0</v>
      </c>
      <c r="AI7" s="7">
        <f t="shared" si="19"/>
        <v>0</v>
      </c>
      <c r="AJ7" s="7">
        <f t="shared" si="20"/>
        <v>0</v>
      </c>
      <c r="AK7" s="56"/>
      <c r="AL7" s="56">
        <f t="shared" si="21"/>
        <v>0</v>
      </c>
      <c r="AM7" s="56">
        <f t="shared" si="22"/>
        <v>0</v>
      </c>
      <c r="AN7" s="56">
        <f t="shared" si="23"/>
        <v>0</v>
      </c>
      <c r="AO7" s="56">
        <f t="shared" si="24"/>
        <v>1</v>
      </c>
      <c r="AP7" s="56"/>
      <c r="AQ7" s="56"/>
      <c r="AR7" s="56"/>
      <c r="AS7" s="30"/>
      <c r="AT7" s="37">
        <v>4</v>
      </c>
      <c r="AU7" s="38">
        <f t="shared" si="7"/>
        <v>0</v>
      </c>
      <c r="AV7" s="39" t="e">
        <f t="shared" si="8"/>
        <v>#VALUE!</v>
      </c>
      <c r="AW7" s="39">
        <f t="shared" si="25"/>
        <v>0</v>
      </c>
      <c r="AY7" s="6">
        <v>4</v>
      </c>
      <c r="AZ7" s="6">
        <f t="shared" si="9"/>
        <v>0</v>
      </c>
      <c r="BA7" s="6">
        <f t="shared" si="9"/>
        <v>0</v>
      </c>
      <c r="BB7" s="6">
        <f t="shared" si="9"/>
        <v>0</v>
      </c>
      <c r="BC7" s="6">
        <f t="shared" si="9"/>
        <v>0</v>
      </c>
      <c r="BD7" s="6">
        <f t="shared" si="9"/>
        <v>0</v>
      </c>
      <c r="BE7" s="6">
        <f t="shared" si="9"/>
        <v>0</v>
      </c>
      <c r="BF7" s="6">
        <f t="shared" si="9"/>
        <v>0</v>
      </c>
      <c r="BG7" s="6">
        <f t="shared" si="9"/>
        <v>0</v>
      </c>
      <c r="BH7" s="6">
        <f t="shared" si="9"/>
        <v>0</v>
      </c>
      <c r="BJ7" s="6">
        <v>4</v>
      </c>
      <c r="BK7" s="6">
        <f t="shared" si="26"/>
        <v>0</v>
      </c>
      <c r="BL7" s="6">
        <f t="shared" si="10"/>
        <v>0</v>
      </c>
      <c r="BM7" s="6">
        <f t="shared" si="10"/>
        <v>0</v>
      </c>
      <c r="BN7" s="6">
        <f t="shared" si="10"/>
        <v>0</v>
      </c>
      <c r="BO7" s="6">
        <f t="shared" si="10"/>
        <v>0</v>
      </c>
      <c r="BP7" s="6">
        <f t="shared" si="10"/>
        <v>0</v>
      </c>
      <c r="BQ7" s="6">
        <f t="shared" si="10"/>
        <v>0</v>
      </c>
      <c r="BR7" s="6">
        <f t="shared" si="10"/>
        <v>0</v>
      </c>
      <c r="BS7" s="6">
        <f t="shared" si="10"/>
        <v>0</v>
      </c>
    </row>
    <row r="8" spans="1:71" x14ac:dyDescent="0.25">
      <c r="A8" s="51">
        <f t="shared" si="11"/>
        <v>1</v>
      </c>
      <c r="B8" s="25">
        <v>5</v>
      </c>
      <c r="C8" s="25" t="s">
        <v>47</v>
      </c>
      <c r="D8" s="93"/>
      <c r="E8" s="93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94"/>
      <c r="O8" s="95"/>
      <c r="P8" s="52"/>
      <c r="Q8" s="53"/>
      <c r="R8" s="8">
        <f t="shared" si="1"/>
        <v>0</v>
      </c>
      <c r="S8" s="8">
        <f t="shared" si="12"/>
        <v>0</v>
      </c>
      <c r="T8" s="54">
        <f t="shared" si="13"/>
        <v>1</v>
      </c>
      <c r="U8" s="30"/>
      <c r="V8" s="31">
        <v>5</v>
      </c>
      <c r="W8" s="32">
        <v>2</v>
      </c>
      <c r="X8" s="33" t="str">
        <f t="shared" si="14"/>
        <v>E</v>
      </c>
      <c r="Y8" s="34">
        <f t="shared" si="2"/>
        <v>0</v>
      </c>
      <c r="Z8" s="34">
        <f t="shared" si="3"/>
        <v>0</v>
      </c>
      <c r="AA8" s="55">
        <f t="shared" si="4"/>
        <v>0</v>
      </c>
      <c r="AB8" s="34">
        <f t="shared" si="5"/>
        <v>0</v>
      </c>
      <c r="AC8" s="35">
        <f t="shared" si="6"/>
        <v>1000</v>
      </c>
      <c r="AD8" s="56"/>
      <c r="AE8" s="7">
        <f t="shared" si="15"/>
        <v>0</v>
      </c>
      <c r="AF8" s="7">
        <f t="shared" si="16"/>
        <v>0</v>
      </c>
      <c r="AG8" s="7">
        <f t="shared" si="17"/>
        <v>0</v>
      </c>
      <c r="AH8" s="7">
        <f t="shared" si="18"/>
        <v>0</v>
      </c>
      <c r="AI8" s="7">
        <f t="shared" si="19"/>
        <v>0</v>
      </c>
      <c r="AJ8" s="7">
        <f t="shared" si="20"/>
        <v>0</v>
      </c>
      <c r="AK8" s="56"/>
      <c r="AL8" s="56">
        <f t="shared" si="21"/>
        <v>0</v>
      </c>
      <c r="AM8" s="56">
        <f t="shared" si="22"/>
        <v>0</v>
      </c>
      <c r="AN8" s="56">
        <f t="shared" si="23"/>
        <v>0</v>
      </c>
      <c r="AO8" s="56">
        <f t="shared" si="24"/>
        <v>1</v>
      </c>
      <c r="AP8" s="56"/>
      <c r="AQ8" s="56"/>
      <c r="AR8" s="56"/>
      <c r="AS8" s="30"/>
      <c r="AT8" s="37">
        <v>5</v>
      </c>
      <c r="AU8" s="38">
        <f t="shared" si="7"/>
        <v>0</v>
      </c>
      <c r="AV8" s="39" t="e">
        <f t="shared" si="8"/>
        <v>#VALUE!</v>
      </c>
      <c r="AW8" s="39">
        <f t="shared" si="25"/>
        <v>0</v>
      </c>
      <c r="AY8" s="6">
        <v>5</v>
      </c>
      <c r="AZ8" s="6">
        <f t="shared" si="9"/>
        <v>0</v>
      </c>
      <c r="BA8" s="6">
        <f t="shared" si="9"/>
        <v>0</v>
      </c>
      <c r="BB8" s="6">
        <f t="shared" si="9"/>
        <v>0</v>
      </c>
      <c r="BC8" s="6">
        <f t="shared" si="9"/>
        <v>0</v>
      </c>
      <c r="BD8" s="6">
        <f t="shared" si="9"/>
        <v>0</v>
      </c>
      <c r="BE8" s="6">
        <f t="shared" si="9"/>
        <v>0</v>
      </c>
      <c r="BF8" s="6">
        <f t="shared" si="9"/>
        <v>0</v>
      </c>
      <c r="BG8" s="6">
        <f t="shared" si="9"/>
        <v>0</v>
      </c>
      <c r="BH8" s="6">
        <f t="shared" si="9"/>
        <v>0</v>
      </c>
      <c r="BJ8" s="6">
        <v>5</v>
      </c>
      <c r="BK8" s="6">
        <f t="shared" si="26"/>
        <v>0</v>
      </c>
      <c r="BL8" s="6">
        <f t="shared" si="10"/>
        <v>0</v>
      </c>
      <c r="BM8" s="6">
        <f t="shared" si="10"/>
        <v>0</v>
      </c>
      <c r="BN8" s="6">
        <f t="shared" si="10"/>
        <v>0</v>
      </c>
      <c r="BO8" s="6">
        <f t="shared" si="10"/>
        <v>0</v>
      </c>
      <c r="BP8" s="6">
        <f t="shared" si="10"/>
        <v>0</v>
      </c>
      <c r="BQ8" s="6">
        <f t="shared" si="10"/>
        <v>0</v>
      </c>
      <c r="BR8" s="6">
        <f t="shared" si="10"/>
        <v>0</v>
      </c>
      <c r="BS8" s="6">
        <f t="shared" si="10"/>
        <v>0</v>
      </c>
    </row>
    <row r="9" spans="1:71" x14ac:dyDescent="0.25">
      <c r="A9" s="51">
        <f t="shared" si="11"/>
        <v>1</v>
      </c>
      <c r="B9" s="25">
        <v>6</v>
      </c>
      <c r="C9" s="25" t="s">
        <v>44</v>
      </c>
      <c r="D9" s="93"/>
      <c r="E9" s="93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94"/>
      <c r="O9" s="95"/>
      <c r="P9" s="52"/>
      <c r="Q9" s="53"/>
      <c r="R9" s="8">
        <f t="shared" si="1"/>
        <v>0</v>
      </c>
      <c r="S9" s="8">
        <f t="shared" si="12"/>
        <v>0</v>
      </c>
      <c r="T9" s="54">
        <f t="shared" si="13"/>
        <v>1</v>
      </c>
      <c r="U9" s="30"/>
      <c r="V9" s="31">
        <v>6</v>
      </c>
      <c r="W9" s="32">
        <v>1</v>
      </c>
      <c r="X9" s="33" t="str">
        <f t="shared" si="14"/>
        <v>F</v>
      </c>
      <c r="Y9" s="34">
        <f t="shared" si="2"/>
        <v>0</v>
      </c>
      <c r="Z9" s="34">
        <f t="shared" si="3"/>
        <v>0</v>
      </c>
      <c r="AA9" s="55">
        <f t="shared" si="4"/>
        <v>0</v>
      </c>
      <c r="AB9" s="34">
        <f t="shared" si="5"/>
        <v>0</v>
      </c>
      <c r="AC9" s="35">
        <f t="shared" si="6"/>
        <v>1000</v>
      </c>
      <c r="AD9" s="56"/>
      <c r="AE9" s="7">
        <f t="shared" si="15"/>
        <v>0</v>
      </c>
      <c r="AF9" s="7">
        <f t="shared" si="16"/>
        <v>0</v>
      </c>
      <c r="AG9" s="7">
        <f t="shared" si="17"/>
        <v>0</v>
      </c>
      <c r="AH9" s="7">
        <f t="shared" si="18"/>
        <v>0</v>
      </c>
      <c r="AI9" s="7">
        <f t="shared" si="19"/>
        <v>0</v>
      </c>
      <c r="AJ9" s="7">
        <f t="shared" si="20"/>
        <v>0</v>
      </c>
      <c r="AK9" s="56"/>
      <c r="AL9" s="56">
        <f t="shared" si="21"/>
        <v>0</v>
      </c>
      <c r="AM9" s="56">
        <f t="shared" si="22"/>
        <v>0</v>
      </c>
      <c r="AN9" s="56">
        <f t="shared" si="23"/>
        <v>0</v>
      </c>
      <c r="AO9" s="56">
        <f t="shared" si="24"/>
        <v>1</v>
      </c>
      <c r="AP9" s="56"/>
      <c r="AQ9" s="56"/>
      <c r="AR9" s="56"/>
      <c r="AS9" s="30"/>
      <c r="AT9" s="37">
        <v>6</v>
      </c>
      <c r="AU9" s="38">
        <f t="shared" si="7"/>
        <v>0</v>
      </c>
      <c r="AV9" s="39" t="e">
        <f t="shared" si="8"/>
        <v>#VALUE!</v>
      </c>
      <c r="AW9" s="39">
        <f t="shared" si="25"/>
        <v>0</v>
      </c>
      <c r="AY9" s="6">
        <v>6</v>
      </c>
      <c r="AZ9" s="6">
        <f t="shared" si="9"/>
        <v>0</v>
      </c>
      <c r="BA9" s="6">
        <f t="shared" si="9"/>
        <v>0</v>
      </c>
      <c r="BB9" s="6">
        <f t="shared" si="9"/>
        <v>0</v>
      </c>
      <c r="BC9" s="6">
        <f t="shared" si="9"/>
        <v>0</v>
      </c>
      <c r="BD9" s="6">
        <f t="shared" si="9"/>
        <v>0</v>
      </c>
      <c r="BE9" s="6">
        <f t="shared" si="9"/>
        <v>0</v>
      </c>
      <c r="BF9" s="6">
        <f t="shared" si="9"/>
        <v>0</v>
      </c>
      <c r="BG9" s="6">
        <f t="shared" si="9"/>
        <v>0</v>
      </c>
      <c r="BH9" s="6">
        <f t="shared" si="9"/>
        <v>0</v>
      </c>
      <c r="BJ9" s="6">
        <v>6</v>
      </c>
      <c r="BK9" s="6">
        <f t="shared" si="26"/>
        <v>0</v>
      </c>
      <c r="BL9" s="6">
        <f t="shared" si="10"/>
        <v>0</v>
      </c>
      <c r="BM9" s="6">
        <f t="shared" si="10"/>
        <v>0</v>
      </c>
      <c r="BN9" s="6">
        <f t="shared" si="10"/>
        <v>0</v>
      </c>
      <c r="BO9" s="6">
        <f t="shared" si="10"/>
        <v>0</v>
      </c>
      <c r="BP9" s="6">
        <f t="shared" si="10"/>
        <v>0</v>
      </c>
      <c r="BQ9" s="6">
        <f t="shared" si="10"/>
        <v>0</v>
      </c>
      <c r="BR9" s="6">
        <f t="shared" si="10"/>
        <v>0</v>
      </c>
      <c r="BS9" s="6">
        <f t="shared" si="10"/>
        <v>0</v>
      </c>
    </row>
    <row r="10" spans="1:71" hidden="1" x14ac:dyDescent="0.25">
      <c r="X10" s="33">
        <f t="shared" ref="X10" si="27">IF(ISNA(VLOOKUP(B10,$A$4:$T$11,3,FALSE)),C10,VLOOKUP(B10,$A$4:$T$11,3,FALSE))</f>
        <v>0</v>
      </c>
    </row>
    <row r="11" spans="1:71" x14ac:dyDescent="0.25">
      <c r="X11" s="33"/>
      <c r="AE11" s="57">
        <f>2*MAX(AE4:AE9)+1</f>
        <v>1</v>
      </c>
      <c r="AG11" s="57">
        <f>2*MAX(AG4:AG9)+1</f>
        <v>1</v>
      </c>
      <c r="AI11" s="57">
        <f>2*MAX(AI4:AI9)+1</f>
        <v>1</v>
      </c>
      <c r="AT11" s="41" t="s">
        <v>39</v>
      </c>
      <c r="AU11" s="41" t="s">
        <v>0</v>
      </c>
      <c r="AV11" s="41" t="s">
        <v>1</v>
      </c>
      <c r="AW11" s="41" t="s">
        <v>2</v>
      </c>
      <c r="AY11" s="42" t="s">
        <v>37</v>
      </c>
      <c r="AZ11" s="42" t="s">
        <v>38</v>
      </c>
      <c r="BA11" s="6" t="s">
        <v>18</v>
      </c>
      <c r="BB11" s="6" t="s">
        <v>19</v>
      </c>
      <c r="BC11" s="6" t="s">
        <v>20</v>
      </c>
      <c r="BD11" s="6" t="s">
        <v>21</v>
      </c>
    </row>
    <row r="12" spans="1:71" ht="3" customHeight="1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AY12" s="43"/>
      <c r="AZ12" s="43"/>
      <c r="BA12" s="44"/>
      <c r="BB12" s="44"/>
      <c r="BC12" s="44"/>
      <c r="BD12" s="44"/>
    </row>
    <row r="13" spans="1:71" x14ac:dyDescent="0.25">
      <c r="B13" s="45" t="s">
        <v>3</v>
      </c>
      <c r="AY13" s="42"/>
      <c r="AZ13" s="42"/>
    </row>
    <row r="14" spans="1:71" x14ac:dyDescent="0.25">
      <c r="B14" s="6">
        <v>1</v>
      </c>
      <c r="C14" s="6" t="str">
        <f>VLOOKUP(AU14,$B$4:$F$9,2,FALSE)</f>
        <v>F</v>
      </c>
      <c r="D14" s="46" t="s">
        <v>5</v>
      </c>
      <c r="E14" s="84" t="str">
        <f>VLOOKUP(AV14,$B$4:$F$9,2,FALSE)</f>
        <v>A</v>
      </c>
      <c r="F14" s="84"/>
      <c r="G14" s="84"/>
      <c r="H14" s="84"/>
      <c r="J14" s="84" t="str">
        <f>IF(T14="","",VLOOKUP(T14,Configuratie!$B$1:$E$10,3,FALSE))</f>
        <v/>
      </c>
      <c r="K14" s="84"/>
      <c r="L14" s="6" t="s">
        <v>5</v>
      </c>
      <c r="M14" s="84" t="str">
        <f>IF(T14="","",VLOOKUP(T14,Configuratie!$B$1:$E$10,4,FALSE))</f>
        <v/>
      </c>
      <c r="N14" s="84"/>
      <c r="R14" s="6" t="str">
        <f>IF(T14="","",VLOOKUP(T14,Configuratie!$B$1:$E$10,2,FALSE))</f>
        <v/>
      </c>
      <c r="T14" s="5"/>
      <c r="AI14" s="7"/>
      <c r="AT14" s="6">
        <v>1</v>
      </c>
      <c r="AU14" s="6">
        <v>6</v>
      </c>
      <c r="AV14" s="6">
        <v>1</v>
      </c>
      <c r="AW14" s="6" t="str">
        <f>IF(AND(ISNUMBER(J14),ISNUMBER(M14)),IF(J14+M14=1,1,0),"")</f>
        <v/>
      </c>
      <c r="AY14" s="48">
        <f>AU14*100+AV14</f>
        <v>601</v>
      </c>
      <c r="AZ14" s="48">
        <f>AV14*100+AU14</f>
        <v>106</v>
      </c>
      <c r="BA14" s="6">
        <v>0</v>
      </c>
      <c r="BB14" s="6">
        <v>0</v>
      </c>
      <c r="BC14" s="6" t="e">
        <f>J14*BB14</f>
        <v>#VALUE!</v>
      </c>
      <c r="BD14" s="6" t="e">
        <f>M14*BA14</f>
        <v>#VALUE!</v>
      </c>
    </row>
    <row r="15" spans="1:71" x14ac:dyDescent="0.25">
      <c r="B15" s="6">
        <v>2</v>
      </c>
      <c r="C15" s="6" t="str">
        <f>VLOOKUP(AU15,$B$4:$F$9,2,FALSE)</f>
        <v>E</v>
      </c>
      <c r="D15" s="46" t="s">
        <v>5</v>
      </c>
      <c r="E15" s="84" t="str">
        <f>VLOOKUP(AV15,$B$4:$F$9,2,FALSE)</f>
        <v>B</v>
      </c>
      <c r="F15" s="84"/>
      <c r="G15" s="84"/>
      <c r="H15" s="84"/>
      <c r="J15" s="84" t="str">
        <f>IF(T15="","",VLOOKUP(T15,Configuratie!$B$1:$E$10,3,FALSE))</f>
        <v/>
      </c>
      <c r="K15" s="84"/>
      <c r="L15" s="6" t="s">
        <v>5</v>
      </c>
      <c r="M15" s="84" t="str">
        <f>IF(T15="","",VLOOKUP(T15,Configuratie!$B$1:$E$10,4,FALSE))</f>
        <v/>
      </c>
      <c r="N15" s="84"/>
      <c r="R15" s="6" t="str">
        <f>IF(T15="","",VLOOKUP(T15,Configuratie!$B$1:$E$10,2,FALSE))</f>
        <v/>
      </c>
      <c r="T15" s="5"/>
      <c r="AI15" s="56"/>
      <c r="AT15" s="6">
        <v>1</v>
      </c>
      <c r="AU15" s="6">
        <v>5</v>
      </c>
      <c r="AV15" s="6">
        <v>2</v>
      </c>
      <c r="AW15" s="6" t="str">
        <f t="shared" ref="AW15:AW16" si="28">IF(AND(ISNUMBER(J15),ISNUMBER(M15)),IF(J15+M15=1,1,0),"")</f>
        <v/>
      </c>
      <c r="AY15" s="48">
        <f>AU15*100+AV15</f>
        <v>502</v>
      </c>
      <c r="AZ15" s="48">
        <f>AV15*100+AU15</f>
        <v>205</v>
      </c>
      <c r="BA15" s="6">
        <v>0</v>
      </c>
      <c r="BB15" s="6">
        <v>0</v>
      </c>
      <c r="BC15" s="6" t="e">
        <f>J15*BB15</f>
        <v>#VALUE!</v>
      </c>
      <c r="BD15" s="6" t="e">
        <f>M15*BA15</f>
        <v>#VALUE!</v>
      </c>
    </row>
    <row r="16" spans="1:71" x14ac:dyDescent="0.25">
      <c r="B16" s="6">
        <v>3</v>
      </c>
      <c r="C16" s="6" t="str">
        <f>VLOOKUP(AU16,$B$4:$F$9,2,FALSE)</f>
        <v>D</v>
      </c>
      <c r="D16" s="46" t="s">
        <v>5</v>
      </c>
      <c r="E16" s="84" t="str">
        <f>VLOOKUP(AV16,$B$4:$F$9,2,FALSE)</f>
        <v>C</v>
      </c>
      <c r="F16" s="84"/>
      <c r="G16" s="84"/>
      <c r="H16" s="84"/>
      <c r="J16" s="84" t="str">
        <f>IF(T16="","",VLOOKUP(T16,Configuratie!$B$1:$E$10,3,FALSE))</f>
        <v/>
      </c>
      <c r="K16" s="84"/>
      <c r="L16" s="6" t="s">
        <v>5</v>
      </c>
      <c r="M16" s="84" t="str">
        <f>IF(T16="","",VLOOKUP(T16,Configuratie!$B$1:$E$10,4,FALSE))</f>
        <v/>
      </c>
      <c r="N16" s="84"/>
      <c r="R16" s="6" t="str">
        <f>IF(T16="","",VLOOKUP(T16,Configuratie!$B$1:$E$10,2,FALSE))</f>
        <v/>
      </c>
      <c r="T16" s="5"/>
      <c r="AI16" s="56"/>
      <c r="AT16" s="6">
        <v>1</v>
      </c>
      <c r="AU16" s="6">
        <v>4</v>
      </c>
      <c r="AV16" s="6">
        <v>3</v>
      </c>
      <c r="AW16" s="6" t="str">
        <f t="shared" si="28"/>
        <v/>
      </c>
      <c r="AY16" s="48">
        <f>AU16*100+AV16</f>
        <v>403</v>
      </c>
      <c r="AZ16" s="48">
        <f>AV16*100+AU16</f>
        <v>304</v>
      </c>
      <c r="BA16" s="6">
        <v>0</v>
      </c>
      <c r="BB16" s="6">
        <v>0</v>
      </c>
      <c r="BC16" s="6" t="e">
        <f>J16*BB16</f>
        <v>#VALUE!</v>
      </c>
      <c r="BD16" s="6" t="e">
        <f>M16*BA16</f>
        <v>#VALUE!</v>
      </c>
    </row>
    <row r="17" spans="2:56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AI17" s="56"/>
      <c r="AY17" s="42"/>
      <c r="AZ17" s="42"/>
    </row>
    <row r="18" spans="2:56" x14ac:dyDescent="0.25">
      <c r="B18" s="45" t="s">
        <v>9</v>
      </c>
      <c r="AI18" s="56"/>
      <c r="AY18" s="42"/>
      <c r="AZ18" s="42"/>
    </row>
    <row r="19" spans="2:56" x14ac:dyDescent="0.25">
      <c r="B19" s="6">
        <v>1</v>
      </c>
      <c r="C19" s="6" t="str">
        <f>VLOOKUP(AU19,$B$4:$F$9,2,FALSE)</f>
        <v>F</v>
      </c>
      <c r="D19" s="46" t="s">
        <v>5</v>
      </c>
      <c r="E19" s="84" t="str">
        <f>VLOOKUP(AV19,$B$4:$F$9,2,FALSE)</f>
        <v>C</v>
      </c>
      <c r="F19" s="84"/>
      <c r="G19" s="84"/>
      <c r="H19" s="84"/>
      <c r="J19" s="84" t="str">
        <f>IF(T19="","",VLOOKUP(T19,Configuratie!$B$1:$E$10,3,FALSE))</f>
        <v/>
      </c>
      <c r="K19" s="84"/>
      <c r="L19" s="6" t="s">
        <v>5</v>
      </c>
      <c r="M19" s="84" t="str">
        <f>IF(T19="","",VLOOKUP(T19,Configuratie!$B$1:$E$10,4,FALSE))</f>
        <v/>
      </c>
      <c r="N19" s="84"/>
      <c r="R19" s="6" t="str">
        <f>IF(T19="","",VLOOKUP(T19,Configuratie!$B$1:$E$10,2,FALSE))</f>
        <v/>
      </c>
      <c r="T19" s="5"/>
      <c r="AI19" s="56"/>
      <c r="AT19" s="6">
        <v>2</v>
      </c>
      <c r="AU19" s="6">
        <v>6</v>
      </c>
      <c r="AV19" s="6">
        <v>3</v>
      </c>
      <c r="AW19" s="6" t="str">
        <f>IF(AND(ISNUMBER(J19),ISNUMBER(M19)),IF(J19+M19=1,1,0),"")</f>
        <v/>
      </c>
      <c r="AY19" s="48">
        <f>AU19*100+AV19</f>
        <v>603</v>
      </c>
      <c r="AZ19" s="48">
        <f>AV19*100+AU19</f>
        <v>306</v>
      </c>
      <c r="BA19" s="6">
        <f t="shared" ref="BA19:BB21" si="29">VLOOKUP(AU19,$BJ$3:$BS$9,$AT19,FALSE)</f>
        <v>0</v>
      </c>
      <c r="BB19" s="6">
        <f t="shared" si="29"/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2</v>
      </c>
      <c r="C20" s="6" t="str">
        <f>VLOOKUP(AU20,$B$4:$F$9,2,FALSE)</f>
        <v>B</v>
      </c>
      <c r="D20" s="46" t="s">
        <v>5</v>
      </c>
      <c r="E20" s="84" t="str">
        <f>VLOOKUP(AV20,$B$4:$F$9,2,FALSE)</f>
        <v>D</v>
      </c>
      <c r="F20" s="84"/>
      <c r="G20" s="84"/>
      <c r="H20" s="84"/>
      <c r="J20" s="84" t="str">
        <f>IF(T20="","",VLOOKUP(T20,Configuratie!$B$1:$E$10,3,FALSE))</f>
        <v/>
      </c>
      <c r="K20" s="84"/>
      <c r="L20" s="6" t="s">
        <v>5</v>
      </c>
      <c r="M20" s="84" t="str">
        <f>IF(T20="","",VLOOKUP(T20,Configuratie!$B$1:$E$10,4,FALSE))</f>
        <v/>
      </c>
      <c r="N20" s="84"/>
      <c r="R20" s="6" t="str">
        <f>IF(T20="","",VLOOKUP(T20,Configuratie!$B$1:$E$10,2,FALSE))</f>
        <v/>
      </c>
      <c r="T20" s="5"/>
      <c r="AT20" s="6">
        <v>2</v>
      </c>
      <c r="AU20" s="6">
        <v>2</v>
      </c>
      <c r="AV20" s="6">
        <v>4</v>
      </c>
      <c r="AW20" s="6" t="str">
        <f t="shared" ref="AW20:AW21" si="30">IF(AND(ISNUMBER(J20),ISNUMBER(M20)),IF(J20+M20=1,1,0),"")</f>
        <v/>
      </c>
      <c r="AY20" s="48">
        <f>AU20*100+AV20</f>
        <v>204</v>
      </c>
      <c r="AZ20" s="48">
        <f>AV20*100+AU20</f>
        <v>402</v>
      </c>
      <c r="BA20" s="6">
        <f t="shared" si="29"/>
        <v>0</v>
      </c>
      <c r="BB20" s="6">
        <f t="shared" si="29"/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3</v>
      </c>
      <c r="C21" s="6" t="str">
        <f>VLOOKUP(AU21,$B$4:$F$9,2,FALSE)</f>
        <v>A</v>
      </c>
      <c r="D21" s="46" t="s">
        <v>5</v>
      </c>
      <c r="E21" s="84" t="str">
        <f>VLOOKUP(AV21,$B$4:$F$9,2,FALSE)</f>
        <v>E</v>
      </c>
      <c r="F21" s="84"/>
      <c r="G21" s="84"/>
      <c r="H21" s="84"/>
      <c r="J21" s="84" t="str">
        <f>IF(T21="","",VLOOKUP(T21,Configuratie!$B$1:$E$10,3,FALSE))</f>
        <v/>
      </c>
      <c r="K21" s="84"/>
      <c r="L21" s="6" t="s">
        <v>5</v>
      </c>
      <c r="M21" s="84" t="str">
        <f>IF(T21="","",VLOOKUP(T21,Configuratie!$B$1:$E$10,4,FALSE))</f>
        <v/>
      </c>
      <c r="N21" s="84"/>
      <c r="R21" s="6" t="str">
        <f>IF(T21="","",VLOOKUP(T21,Configuratie!$B$1:$E$10,2,FALSE))</f>
        <v/>
      </c>
      <c r="T21" s="5"/>
      <c r="AT21" s="6">
        <v>2</v>
      </c>
      <c r="AU21" s="6">
        <v>1</v>
      </c>
      <c r="AV21" s="6">
        <v>5</v>
      </c>
      <c r="AW21" s="6" t="str">
        <f t="shared" si="30"/>
        <v/>
      </c>
      <c r="AY21" s="48">
        <f>AU21*100+AV21</f>
        <v>105</v>
      </c>
      <c r="AZ21" s="48">
        <f>AV21*100+AU21</f>
        <v>501</v>
      </c>
      <c r="BA21" s="6">
        <f t="shared" si="29"/>
        <v>0</v>
      </c>
      <c r="BB21" s="6">
        <f t="shared" si="29"/>
        <v>0</v>
      </c>
      <c r="BC21" s="6" t="e">
        <f>J21*BB21</f>
        <v>#VALUE!</v>
      </c>
      <c r="BD21" s="6" t="e">
        <f>M21*BA21</f>
        <v>#VALUE!</v>
      </c>
    </row>
    <row r="22" spans="2:56" ht="3" customHeight="1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AY22" s="42"/>
      <c r="AZ22" s="42"/>
    </row>
    <row r="23" spans="2:56" x14ac:dyDescent="0.25">
      <c r="B23" s="45" t="s">
        <v>10</v>
      </c>
      <c r="AY23" s="42"/>
      <c r="AZ23" s="42"/>
    </row>
    <row r="24" spans="2:56" x14ac:dyDescent="0.25">
      <c r="B24" s="6">
        <v>1</v>
      </c>
      <c r="C24" s="6" t="str">
        <f>VLOOKUP(AU24,$B$4:$F$9,2,FALSE)</f>
        <v>E</v>
      </c>
      <c r="D24" s="46" t="s">
        <v>5</v>
      </c>
      <c r="E24" s="84" t="str">
        <f>VLOOKUP(AV24,$B$4:$F$9,2,FALSE)</f>
        <v>F</v>
      </c>
      <c r="F24" s="84"/>
      <c r="G24" s="84"/>
      <c r="H24" s="84"/>
      <c r="J24" s="84" t="str">
        <f>IF(T24="","",VLOOKUP(T24,Configuratie!$B$1:$E$10,3,FALSE))</f>
        <v/>
      </c>
      <c r="K24" s="84"/>
      <c r="L24" s="6" t="s">
        <v>5</v>
      </c>
      <c r="M24" s="84" t="str">
        <f>IF(T24="","",VLOOKUP(T24,Configuratie!$B$1:$E$10,4,FALSE))</f>
        <v/>
      </c>
      <c r="N24" s="84"/>
      <c r="R24" s="6" t="str">
        <f>IF(T24="","",VLOOKUP(T24,Configuratie!$B$1:$E$10,2,FALSE))</f>
        <v/>
      </c>
      <c r="T24" s="5"/>
      <c r="AT24" s="6">
        <v>3</v>
      </c>
      <c r="AU24" s="6">
        <v>5</v>
      </c>
      <c r="AV24" s="6">
        <v>6</v>
      </c>
      <c r="AW24" s="6" t="str">
        <f>IF(AND(ISNUMBER(J24),ISNUMBER(M24)),IF(J24+M24=1,1,0),"")</f>
        <v/>
      </c>
      <c r="AY24" s="48">
        <f>AU24*100+AV24</f>
        <v>506</v>
      </c>
      <c r="AZ24" s="48">
        <f>AV24*100+AU24</f>
        <v>605</v>
      </c>
      <c r="BA24" s="6">
        <f t="shared" ref="BA24:BB26" si="31">VLOOKUP(AU24,$BJ$3:$BS$9,$AT24,FALSE)</f>
        <v>0</v>
      </c>
      <c r="BB24" s="6">
        <f t="shared" si="31"/>
        <v>0</v>
      </c>
      <c r="BC24" s="6" t="e">
        <f>J24*BB24</f>
        <v>#VALUE!</v>
      </c>
      <c r="BD24" s="6" t="e">
        <f>M24*BA24</f>
        <v>#VALUE!</v>
      </c>
    </row>
    <row r="25" spans="2:56" x14ac:dyDescent="0.25">
      <c r="B25" s="6">
        <v>2</v>
      </c>
      <c r="C25" s="6" t="str">
        <f>VLOOKUP(AU25,$B$4:$F$9,2,FALSE)</f>
        <v>D</v>
      </c>
      <c r="D25" s="46" t="s">
        <v>5</v>
      </c>
      <c r="E25" s="84" t="str">
        <f>VLOOKUP(AV25,$B$4:$F$9,2,FALSE)</f>
        <v>A</v>
      </c>
      <c r="F25" s="84"/>
      <c r="G25" s="84"/>
      <c r="H25" s="84"/>
      <c r="J25" s="84" t="str">
        <f>IF(T25="","",VLOOKUP(T25,Configuratie!$B$1:$E$10,3,FALSE))</f>
        <v/>
      </c>
      <c r="K25" s="84"/>
      <c r="L25" s="6" t="s">
        <v>5</v>
      </c>
      <c r="M25" s="84" t="str">
        <f>IF(T25="","",VLOOKUP(T25,Configuratie!$B$1:$E$10,4,FALSE))</f>
        <v/>
      </c>
      <c r="N25" s="84"/>
      <c r="R25" s="6" t="str">
        <f>IF(T25="","",VLOOKUP(T25,Configuratie!$B$1:$E$10,2,FALSE))</f>
        <v/>
      </c>
      <c r="T25" s="5"/>
      <c r="AT25" s="6">
        <v>3</v>
      </c>
      <c r="AU25" s="6">
        <v>4</v>
      </c>
      <c r="AV25" s="6">
        <v>1</v>
      </c>
      <c r="AW25" s="6" t="str">
        <f t="shared" ref="AW25:AW26" si="32">IF(AND(ISNUMBER(J25),ISNUMBER(M25)),IF(J25+M25=1,1,0),"")</f>
        <v/>
      </c>
      <c r="AY25" s="48">
        <f>AU25*100+AV25</f>
        <v>401</v>
      </c>
      <c r="AZ25" s="48">
        <f>AV25*100+AU25</f>
        <v>104</v>
      </c>
      <c r="BA25" s="6">
        <f t="shared" si="31"/>
        <v>0</v>
      </c>
      <c r="BB25" s="6">
        <f t="shared" si="31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3</v>
      </c>
      <c r="C26" s="6" t="str">
        <f>VLOOKUP(AU26,$B$4:$F$9,2,FALSE)</f>
        <v>C</v>
      </c>
      <c r="D26" s="46" t="s">
        <v>5</v>
      </c>
      <c r="E26" s="84" t="str">
        <f>VLOOKUP(AV26,$B$4:$F$9,2,FALSE)</f>
        <v>B</v>
      </c>
      <c r="F26" s="84"/>
      <c r="G26" s="84"/>
      <c r="H26" s="84"/>
      <c r="J26" s="84" t="str">
        <f>IF(T26="","",VLOOKUP(T26,Configuratie!$B$1:$E$10,3,FALSE))</f>
        <v/>
      </c>
      <c r="K26" s="84"/>
      <c r="L26" s="6" t="s">
        <v>5</v>
      </c>
      <c r="M26" s="84" t="str">
        <f>IF(T26="","",VLOOKUP(T26,Configuratie!$B$1:$E$10,4,FALSE))</f>
        <v/>
      </c>
      <c r="N26" s="84"/>
      <c r="R26" s="6" t="str">
        <f>IF(T26="","",VLOOKUP(T26,Configuratie!$B$1:$E$10,2,FALSE))</f>
        <v/>
      </c>
      <c r="T26" s="5"/>
      <c r="AT26" s="6">
        <v>3</v>
      </c>
      <c r="AU26" s="6">
        <v>3</v>
      </c>
      <c r="AV26" s="6">
        <v>2</v>
      </c>
      <c r="AW26" s="6" t="str">
        <f t="shared" si="32"/>
        <v/>
      </c>
      <c r="AY26" s="48">
        <f>AU26*100+AV26</f>
        <v>302</v>
      </c>
      <c r="AZ26" s="48">
        <f>AV26*100+AU26</f>
        <v>203</v>
      </c>
      <c r="BA26" s="6">
        <f t="shared" si="31"/>
        <v>0</v>
      </c>
      <c r="BB26" s="6">
        <f t="shared" si="31"/>
        <v>0</v>
      </c>
      <c r="BC26" s="6" t="e">
        <f>J26*BB26</f>
        <v>#VALUE!</v>
      </c>
      <c r="BD26" s="6" t="e">
        <f>M26*BA26</f>
        <v>#VALUE!</v>
      </c>
    </row>
    <row r="27" spans="2:56" ht="3" customHeight="1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AY27" s="42"/>
      <c r="AZ27" s="42"/>
    </row>
    <row r="28" spans="2:56" x14ac:dyDescent="0.25">
      <c r="B28" s="45" t="s">
        <v>11</v>
      </c>
      <c r="AY28" s="42"/>
      <c r="AZ28" s="42"/>
    </row>
    <row r="29" spans="2:56" x14ac:dyDescent="0.25">
      <c r="B29" s="6">
        <v>1</v>
      </c>
      <c r="C29" s="6" t="str">
        <f>VLOOKUP(AU29,$B$4:$F$9,2,FALSE)</f>
        <v>F</v>
      </c>
      <c r="D29" s="46" t="s">
        <v>5</v>
      </c>
      <c r="E29" s="84" t="str">
        <f>VLOOKUP(AV29,$B$4:$F$9,2,FALSE)</f>
        <v>B</v>
      </c>
      <c r="F29" s="84"/>
      <c r="G29" s="84"/>
      <c r="H29" s="84"/>
      <c r="J29" s="84" t="str">
        <f>IF(T29="","",VLOOKUP(T29,Configuratie!$B$1:$E$10,3,FALSE))</f>
        <v/>
      </c>
      <c r="K29" s="84"/>
      <c r="L29" s="6" t="s">
        <v>5</v>
      </c>
      <c r="M29" s="84" t="str">
        <f>IF(T29="","",VLOOKUP(T29,Configuratie!$B$1:$E$10,4,FALSE))</f>
        <v/>
      </c>
      <c r="N29" s="84"/>
      <c r="R29" s="6" t="str">
        <f>IF(T29="","",VLOOKUP(T29,Configuratie!$B$1:$E$10,2,FALSE))</f>
        <v/>
      </c>
      <c r="T29" s="5"/>
      <c r="AT29" s="6">
        <v>4</v>
      </c>
      <c r="AU29" s="6">
        <v>6</v>
      </c>
      <c r="AV29" s="6">
        <v>2</v>
      </c>
      <c r="AW29" s="6" t="str">
        <f>IF(AND(ISNUMBER(J29),ISNUMBER(M29)),IF(J29+M29=1,1,0),"")</f>
        <v/>
      </c>
      <c r="AY29" s="48">
        <f>AU29*100+AV29</f>
        <v>602</v>
      </c>
      <c r="AZ29" s="48">
        <f>AV29*100+AU29</f>
        <v>206</v>
      </c>
      <c r="BA29" s="6">
        <f t="shared" ref="BA29:BB31" si="33">VLOOKUP(AU29,$BJ$3:$BS$9,$AT29,FALSE)</f>
        <v>0</v>
      </c>
      <c r="BB29" s="6">
        <f t="shared" si="33"/>
        <v>0</v>
      </c>
      <c r="BC29" s="6" t="e">
        <f>J29*BB29</f>
        <v>#VALUE!</v>
      </c>
      <c r="BD29" s="6" t="e">
        <f>M29*BA29</f>
        <v>#VALUE!</v>
      </c>
    </row>
    <row r="30" spans="2:56" x14ac:dyDescent="0.25">
      <c r="B30" s="6">
        <v>2</v>
      </c>
      <c r="C30" s="6" t="str">
        <f>VLOOKUP(AU30,$B$4:$F$9,2,FALSE)</f>
        <v>A</v>
      </c>
      <c r="D30" s="46" t="s">
        <v>5</v>
      </c>
      <c r="E30" s="84" t="str">
        <f>VLOOKUP(AV30,$B$4:$F$9,2,FALSE)</f>
        <v>C</v>
      </c>
      <c r="F30" s="84"/>
      <c r="G30" s="84"/>
      <c r="H30" s="84"/>
      <c r="J30" s="84" t="str">
        <f>IF(T30="","",VLOOKUP(T30,Configuratie!$B$1:$E$10,3,FALSE))</f>
        <v/>
      </c>
      <c r="K30" s="84"/>
      <c r="L30" s="6" t="s">
        <v>5</v>
      </c>
      <c r="M30" s="84" t="str">
        <f>IF(T30="","",VLOOKUP(T30,Configuratie!$B$1:$E$10,4,FALSE))</f>
        <v/>
      </c>
      <c r="N30" s="84"/>
      <c r="R30" s="6" t="str">
        <f>IF(T30="","",VLOOKUP(T30,Configuratie!$B$1:$E$10,2,FALSE))</f>
        <v/>
      </c>
      <c r="T30" s="5"/>
      <c r="AT30" s="6">
        <v>4</v>
      </c>
      <c r="AU30" s="6">
        <v>1</v>
      </c>
      <c r="AV30" s="6">
        <v>3</v>
      </c>
      <c r="AW30" s="6" t="str">
        <f t="shared" ref="AW30:AW31" si="34">IF(AND(ISNUMBER(J30),ISNUMBER(M30)),IF(J30+M30=1,1,0),"")</f>
        <v/>
      </c>
      <c r="AY30" s="48">
        <f>AU30*100+AV30</f>
        <v>103</v>
      </c>
      <c r="AZ30" s="48">
        <f>AV30*100+AU30</f>
        <v>301</v>
      </c>
      <c r="BA30" s="6">
        <f t="shared" si="33"/>
        <v>0</v>
      </c>
      <c r="BB30" s="6">
        <f t="shared" si="33"/>
        <v>0</v>
      </c>
      <c r="BC30" s="6" t="e">
        <f>J30*BB30</f>
        <v>#VALUE!</v>
      </c>
      <c r="BD30" s="6" t="e">
        <f>M30*BA30</f>
        <v>#VALUE!</v>
      </c>
    </row>
    <row r="31" spans="2:56" x14ac:dyDescent="0.25">
      <c r="B31" s="6">
        <v>3</v>
      </c>
      <c r="C31" s="6" t="str">
        <f>VLOOKUP(AU31,$B$4:$F$9,2,FALSE)</f>
        <v>E</v>
      </c>
      <c r="D31" s="46" t="s">
        <v>5</v>
      </c>
      <c r="E31" s="84" t="str">
        <f>VLOOKUP(AV31,$B$4:$F$9,2,FALSE)</f>
        <v>D</v>
      </c>
      <c r="F31" s="84"/>
      <c r="G31" s="84"/>
      <c r="H31" s="84"/>
      <c r="J31" s="84" t="str">
        <f>IF(T31="","",VLOOKUP(T31,Configuratie!$B$1:$E$10,3,FALSE))</f>
        <v/>
      </c>
      <c r="K31" s="84"/>
      <c r="L31" s="6" t="s">
        <v>5</v>
      </c>
      <c r="M31" s="84" t="str">
        <f>IF(T31="","",VLOOKUP(T31,Configuratie!$B$1:$E$10,4,FALSE))</f>
        <v/>
      </c>
      <c r="N31" s="84"/>
      <c r="R31" s="6" t="str">
        <f>IF(T31="","",VLOOKUP(T31,Configuratie!$B$1:$E$10,2,FALSE))</f>
        <v/>
      </c>
      <c r="T31" s="5"/>
      <c r="AT31" s="6">
        <v>4</v>
      </c>
      <c r="AU31" s="6">
        <v>5</v>
      </c>
      <c r="AV31" s="6">
        <v>4</v>
      </c>
      <c r="AW31" s="6" t="str">
        <f t="shared" si="34"/>
        <v/>
      </c>
      <c r="AY31" s="48">
        <f>AU31*100+AV31</f>
        <v>504</v>
      </c>
      <c r="AZ31" s="48">
        <f>AV31*100+AU31</f>
        <v>405</v>
      </c>
      <c r="BA31" s="6">
        <f t="shared" si="33"/>
        <v>0</v>
      </c>
      <c r="BB31" s="6">
        <f t="shared" si="33"/>
        <v>0</v>
      </c>
      <c r="BC31" s="6" t="e">
        <f>J31*BB31</f>
        <v>#VALUE!</v>
      </c>
      <c r="BD31" s="6" t="e">
        <f>M31*BA31</f>
        <v>#VALUE!</v>
      </c>
    </row>
    <row r="32" spans="2:56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AY32" s="42"/>
      <c r="AZ32" s="42"/>
    </row>
    <row r="33" spans="2:56" x14ac:dyDescent="0.25">
      <c r="B33" s="45" t="s">
        <v>12</v>
      </c>
      <c r="AY33" s="42"/>
      <c r="AZ33" s="42"/>
    </row>
    <row r="34" spans="2:56" x14ac:dyDescent="0.25">
      <c r="B34" s="6">
        <v>1</v>
      </c>
      <c r="C34" s="6" t="str">
        <f>VLOOKUP(AU34,$B$4:$F$9,2,FALSE)</f>
        <v>D</v>
      </c>
      <c r="D34" s="46" t="s">
        <v>5</v>
      </c>
      <c r="E34" s="84" t="str">
        <f>VLOOKUP(AV34,$B$4:$F$9,2,FALSE)</f>
        <v>F</v>
      </c>
      <c r="F34" s="84"/>
      <c r="G34" s="84"/>
      <c r="H34" s="84"/>
      <c r="J34" s="84" t="str">
        <f>IF(T34="","",VLOOKUP(T34,Configuratie!$B$1:$E$10,3,FALSE))</f>
        <v/>
      </c>
      <c r="K34" s="84"/>
      <c r="L34" s="6" t="s">
        <v>5</v>
      </c>
      <c r="M34" s="84" t="str">
        <f>IF(T34="","",VLOOKUP(T34,Configuratie!$B$1:$E$10,4,FALSE))</f>
        <v/>
      </c>
      <c r="N34" s="84"/>
      <c r="R34" s="6" t="str">
        <f>IF(T34="","",VLOOKUP(T34,Configuratie!$B$1:$E$10,2,FALSE))</f>
        <v/>
      </c>
      <c r="T34" s="5"/>
      <c r="AT34" s="6">
        <v>5</v>
      </c>
      <c r="AU34" s="6">
        <v>4</v>
      </c>
      <c r="AV34" s="6">
        <v>6</v>
      </c>
      <c r="AW34" s="6" t="str">
        <f>IF(AND(ISNUMBER(J34),ISNUMBER(M34)),IF(J34+M34=1,1,0),"")</f>
        <v/>
      </c>
      <c r="AY34" s="48">
        <f>AU34*100+AV34</f>
        <v>406</v>
      </c>
      <c r="AZ34" s="48">
        <f>AV34*100+AU34</f>
        <v>604</v>
      </c>
      <c r="BA34" s="6">
        <f t="shared" ref="BA34:BB36" si="35">VLOOKUP(AU34,$BJ$3:$BS$9,$AT34,FALSE)</f>
        <v>0</v>
      </c>
      <c r="BB34" s="6">
        <f t="shared" si="35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2</v>
      </c>
      <c r="C35" s="6" t="str">
        <f>VLOOKUP(AU35,$B$4:$F$9,2,FALSE)</f>
        <v>C</v>
      </c>
      <c r="D35" s="46" t="s">
        <v>5</v>
      </c>
      <c r="E35" s="84" t="str">
        <f>VLOOKUP(AV35,$B$4:$F$9,2,FALSE)</f>
        <v>E</v>
      </c>
      <c r="F35" s="84"/>
      <c r="G35" s="84"/>
      <c r="H35" s="84"/>
      <c r="J35" s="84" t="str">
        <f>IF(T35="","",VLOOKUP(T35,Configuratie!$B$1:$E$10,3,FALSE))</f>
        <v/>
      </c>
      <c r="K35" s="84"/>
      <c r="L35" s="6" t="s">
        <v>5</v>
      </c>
      <c r="M35" s="84" t="str">
        <f>IF(T35="","",VLOOKUP(T35,Configuratie!$B$1:$E$10,4,FALSE))</f>
        <v/>
      </c>
      <c r="N35" s="84"/>
      <c r="R35" s="6" t="str">
        <f>IF(T35="","",VLOOKUP(T35,Configuratie!$B$1:$E$10,2,FALSE))</f>
        <v/>
      </c>
      <c r="T35" s="5"/>
      <c r="AT35" s="6">
        <v>5</v>
      </c>
      <c r="AU35" s="6">
        <v>3</v>
      </c>
      <c r="AV35" s="6">
        <v>5</v>
      </c>
      <c r="AW35" s="6" t="str">
        <f t="shared" ref="AW35:AW36" si="36">IF(AND(ISNUMBER(J35),ISNUMBER(M35)),IF(J35+M35=1,1,0),"")</f>
        <v/>
      </c>
      <c r="AY35" s="48">
        <f>AU35*100+AV35</f>
        <v>305</v>
      </c>
      <c r="AZ35" s="48">
        <f>AV35*100+AU35</f>
        <v>503</v>
      </c>
      <c r="BA35" s="6">
        <f t="shared" si="35"/>
        <v>0</v>
      </c>
      <c r="BB35" s="6">
        <f t="shared" si="35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3</v>
      </c>
      <c r="C36" s="6" t="str">
        <f>VLOOKUP(AU36,$B$4:$F$9,2,FALSE)</f>
        <v>B</v>
      </c>
      <c r="D36" s="46" t="s">
        <v>5</v>
      </c>
      <c r="E36" s="84" t="str">
        <f>VLOOKUP(AV36,$B$4:$F$9,2,FALSE)</f>
        <v>A</v>
      </c>
      <c r="F36" s="84"/>
      <c r="G36" s="84"/>
      <c r="H36" s="84"/>
      <c r="J36" s="84" t="str">
        <f>IF(T36="","",VLOOKUP(T36,Configuratie!$B$1:$E$10,3,FALSE))</f>
        <v/>
      </c>
      <c r="K36" s="84"/>
      <c r="L36" s="6" t="s">
        <v>5</v>
      </c>
      <c r="M36" s="84" t="str">
        <f>IF(T36="","",VLOOKUP(T36,Configuratie!$B$1:$E$10,4,FALSE))</f>
        <v/>
      </c>
      <c r="N36" s="84"/>
      <c r="R36" s="6" t="str">
        <f>IF(T36="","",VLOOKUP(T36,Configuratie!$B$1:$E$10,2,FALSE))</f>
        <v/>
      </c>
      <c r="T36" s="5"/>
      <c r="AT36" s="6">
        <v>5</v>
      </c>
      <c r="AU36" s="6">
        <v>2</v>
      </c>
      <c r="AV36" s="6">
        <v>1</v>
      </c>
      <c r="AW36" s="6" t="str">
        <f t="shared" si="36"/>
        <v/>
      </c>
      <c r="AY36" s="48">
        <f>AU36*100+AV36</f>
        <v>201</v>
      </c>
      <c r="AZ36" s="48">
        <f>AV36*100+AU36</f>
        <v>102</v>
      </c>
      <c r="BA36" s="6">
        <f t="shared" si="35"/>
        <v>0</v>
      </c>
      <c r="BB36" s="6">
        <f t="shared" si="35"/>
        <v>0</v>
      </c>
      <c r="BC36" s="6" t="e">
        <f>J36*BB36</f>
        <v>#VALUE!</v>
      </c>
      <c r="BD36" s="6" t="e">
        <f>M36*BA36</f>
        <v>#VALUE!</v>
      </c>
    </row>
    <row r="52" spans="13:14" x14ac:dyDescent="0.25">
      <c r="M52" s="84"/>
      <c r="N52" s="84"/>
    </row>
    <row r="53" spans="13:14" x14ac:dyDescent="0.25">
      <c r="M53" s="84"/>
      <c r="N53" s="84"/>
    </row>
    <row r="54" spans="13:14" x14ac:dyDescent="0.25">
      <c r="M54" s="84"/>
      <c r="N54" s="84"/>
    </row>
  </sheetData>
  <sheetProtection algorithmName="SHA-512" hashValue="WbLEPqwDw8aknLsm9vPySOSWHhNzyUwSogfeM6WtT8N3ym0RlnUr1vK5Udh6W1Xyek8eDfNKd3+nVhLw/phzyg==" saltValue="ch9pWqtov6j7c4adZzgMHA==" spinCount="100000" sheet="1" selectLockedCells="1"/>
  <sortState ref="U4:AA9">
    <sortCondition descending="1" ref="W4:W9"/>
    <sortCondition descending="1" ref="X4:X9"/>
    <sortCondition descending="1" ref="Y4:Y9"/>
    <sortCondition descending="1" ref="Z4:Z9"/>
    <sortCondition descending="1" ref="AA4:AA9"/>
  </sortState>
  <mergeCells count="71">
    <mergeCell ref="D4:E4"/>
    <mergeCell ref="B1:F1"/>
    <mergeCell ref="AZ2:BH2"/>
    <mergeCell ref="BK2:BS2"/>
    <mergeCell ref="D3:E3"/>
    <mergeCell ref="N3:O3"/>
    <mergeCell ref="N4:O4"/>
    <mergeCell ref="M1:N1"/>
    <mergeCell ref="O1:P1"/>
    <mergeCell ref="Q1:R1"/>
    <mergeCell ref="K1:L1"/>
    <mergeCell ref="V1:AA1"/>
    <mergeCell ref="G1:J1"/>
    <mergeCell ref="D5:E5"/>
    <mergeCell ref="D6:E6"/>
    <mergeCell ref="D7:E7"/>
    <mergeCell ref="D8:E8"/>
    <mergeCell ref="D9:E9"/>
    <mergeCell ref="E16:H16"/>
    <mergeCell ref="J16:K16"/>
    <mergeCell ref="M16:N16"/>
    <mergeCell ref="E14:H14"/>
    <mergeCell ref="J14:K14"/>
    <mergeCell ref="M14:N14"/>
    <mergeCell ref="E15:H15"/>
    <mergeCell ref="J15:K15"/>
    <mergeCell ref="M15:N1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N5:O5"/>
    <mergeCell ref="N6:O6"/>
    <mergeCell ref="M52:N52"/>
    <mergeCell ref="M53:N53"/>
    <mergeCell ref="M54:N54"/>
    <mergeCell ref="N7:O7"/>
    <mergeCell ref="N8:O8"/>
    <mergeCell ref="N9:O9"/>
  </mergeCells>
  <conditionalFormatting sqref="H4:N9 P4:Q9">
    <cfRule type="cellIs" dxfId="7" priority="4" stopIfTrue="1" operator="between">
      <formula>0</formula>
      <formula>1</formula>
    </cfRule>
  </conditionalFormatting>
  <conditionalFormatting sqref="T4:T9">
    <cfRule type="cellIs" dxfId="6" priority="1" operator="equal">
      <formula>3</formula>
    </cfRule>
    <cfRule type="cellIs" dxfId="5" priority="2" operator="equal">
      <formula>2</formula>
    </cfRule>
    <cfRule type="cellIs" dxfId="4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3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pageSetUpPr fitToPage="1"/>
  </sheetPr>
  <dimension ref="A1:BQ21"/>
  <sheetViews>
    <sheetView view="pageBreakPreview" zoomScaleNormal="100" zoomScaleSheetLayoutView="100" workbookViewId="0">
      <selection activeCell="S12" sqref="S12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2" width="3.7109375" style="6" customWidth="1"/>
    <col min="13" max="13" width="3.85546875" style="6" customWidth="1"/>
    <col min="14" max="14" width="4.28515625" style="6" customWidth="1"/>
    <col min="15" max="15" width="5.28515625" style="6" customWidth="1"/>
    <col min="16" max="16" width="3.7109375" style="6" customWidth="1"/>
    <col min="17" max="17" width="10.140625" style="6" customWidth="1"/>
    <col min="18" max="18" width="7" style="6" customWidth="1"/>
    <col min="19" max="19" width="6.7109375" style="6" customWidth="1"/>
    <col min="20" max="20" width="3.7109375" style="6" customWidth="1"/>
    <col min="21" max="21" width="6.7109375" style="6" customWidth="1"/>
    <col min="22" max="22" width="3" style="6" hidden="1" customWidth="1"/>
    <col min="23" max="23" width="27.7109375" style="6" customWidth="1"/>
    <col min="24" max="24" width="6.7109375" style="6" customWidth="1"/>
    <col min="25" max="25" width="6.7109375" style="6" hidden="1" customWidth="1"/>
    <col min="26" max="26" width="6.7109375" style="6" customWidth="1"/>
    <col min="27" max="28" width="6.7109375" style="6" hidden="1" customWidth="1"/>
    <col min="29" max="29" width="3.5703125" style="6" hidden="1" customWidth="1"/>
    <col min="30" max="30" width="8.85546875" style="6" hidden="1" customWidth="1"/>
    <col min="31" max="31" width="6.140625" style="6" hidden="1" customWidth="1"/>
    <col min="32" max="32" width="8.5703125" style="6" hidden="1" customWidth="1"/>
    <col min="33" max="33" width="6.140625" style="6" hidden="1" customWidth="1"/>
    <col min="34" max="34" width="8.5703125" style="6" hidden="1" customWidth="1"/>
    <col min="35" max="36" width="6.7109375" style="6" hidden="1" customWidth="1"/>
    <col min="37" max="37" width="10.42578125" style="6" hidden="1" customWidth="1"/>
    <col min="38" max="42" width="6.7109375" style="6" hidden="1" customWidth="1"/>
    <col min="43" max="46" width="9.140625" style="6" hidden="1" customWidth="1"/>
    <col min="47" max="48" width="4.42578125" style="6" hidden="1" customWidth="1"/>
    <col min="49" max="67" width="3.7109375" style="6" hidden="1" customWidth="1"/>
    <col min="68" max="69" width="9.140625" style="6" hidden="1" customWidth="1"/>
    <col min="70" max="85" width="9.140625" style="6" customWidth="1"/>
    <col min="86" max="16384" width="9.140625" style="6"/>
  </cols>
  <sheetData>
    <row r="1" spans="1:67" ht="26.25" x14ac:dyDescent="0.4">
      <c r="A1" s="24">
        <v>4</v>
      </c>
      <c r="B1" s="83" t="s">
        <v>31</v>
      </c>
      <c r="C1" s="83"/>
      <c r="D1" s="83"/>
      <c r="E1" s="83"/>
      <c r="F1" s="83"/>
      <c r="G1" s="92" t="s">
        <v>32</v>
      </c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15"/>
      <c r="U1" s="85" t="str">
        <f>"UITSLAG " &amp; G1</f>
        <v>UITSLAG GROEP A</v>
      </c>
      <c r="V1" s="86"/>
      <c r="W1" s="86"/>
      <c r="X1" s="86"/>
      <c r="Y1" s="86"/>
      <c r="Z1" s="86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spans="1:67" x14ac:dyDescent="0.25">
      <c r="AQ2" s="16" t="s">
        <v>27</v>
      </c>
      <c r="AR2" s="16" t="s">
        <v>26</v>
      </c>
      <c r="AS2" s="16" t="s">
        <v>28</v>
      </c>
      <c r="AV2" s="86" t="s">
        <v>22</v>
      </c>
      <c r="AW2" s="86"/>
      <c r="AX2" s="86"/>
      <c r="AY2" s="86"/>
      <c r="AZ2" s="86"/>
      <c r="BA2" s="86"/>
      <c r="BB2" s="86"/>
      <c r="BC2" s="86"/>
      <c r="BD2" s="86"/>
      <c r="BE2" s="17"/>
      <c r="BF2" s="18"/>
      <c r="BG2" s="86" t="s">
        <v>23</v>
      </c>
      <c r="BH2" s="86"/>
      <c r="BI2" s="86"/>
      <c r="BJ2" s="86"/>
      <c r="BK2" s="86"/>
      <c r="BL2" s="86"/>
      <c r="BM2" s="86"/>
      <c r="BN2" s="86"/>
      <c r="BO2" s="86"/>
    </row>
    <row r="3" spans="1:67" x14ac:dyDescent="0.25">
      <c r="B3" s="19" t="s">
        <v>4</v>
      </c>
      <c r="C3" s="19" t="s">
        <v>6</v>
      </c>
      <c r="D3" s="87" t="s">
        <v>7</v>
      </c>
      <c r="E3" s="87"/>
      <c r="F3" s="19" t="s">
        <v>8</v>
      </c>
      <c r="M3" s="7">
        <v>1</v>
      </c>
      <c r="N3" s="7">
        <v>2</v>
      </c>
      <c r="O3" s="7">
        <v>3</v>
      </c>
      <c r="P3" s="7">
        <v>4</v>
      </c>
      <c r="Q3" s="20" t="s">
        <v>17</v>
      </c>
      <c r="R3" s="7" t="s">
        <v>26</v>
      </c>
      <c r="S3" s="7" t="s">
        <v>69</v>
      </c>
      <c r="T3" s="21"/>
      <c r="U3" s="7" t="s">
        <v>33</v>
      </c>
      <c r="V3" s="22" t="s">
        <v>30</v>
      </c>
      <c r="W3" s="7" t="s">
        <v>6</v>
      </c>
      <c r="X3" s="7" t="s">
        <v>29</v>
      </c>
      <c r="Y3" s="7" t="s">
        <v>24</v>
      </c>
      <c r="Z3" s="7" t="s">
        <v>26</v>
      </c>
      <c r="AA3" s="7" t="s">
        <v>34</v>
      </c>
      <c r="AB3" s="7" t="s">
        <v>35</v>
      </c>
      <c r="AC3" s="21"/>
      <c r="AD3" s="7" t="s">
        <v>60</v>
      </c>
      <c r="AE3" s="7" t="s">
        <v>61</v>
      </c>
      <c r="AF3" s="7" t="s">
        <v>62</v>
      </c>
      <c r="AG3" s="7" t="s">
        <v>63</v>
      </c>
      <c r="AH3" s="7" t="s">
        <v>64</v>
      </c>
      <c r="AI3" s="7" t="s">
        <v>65</v>
      </c>
      <c r="AJ3" s="7"/>
      <c r="AK3" s="7" t="s">
        <v>66</v>
      </c>
      <c r="AL3" s="7" t="s">
        <v>67</v>
      </c>
      <c r="AM3" s="7" t="s">
        <v>68</v>
      </c>
      <c r="AN3" s="7" t="s">
        <v>69</v>
      </c>
      <c r="AO3" s="21"/>
      <c r="AP3" s="7" t="s">
        <v>36</v>
      </c>
      <c r="AQ3" s="23" t="s">
        <v>25</v>
      </c>
      <c r="AR3" s="16" t="s">
        <v>25</v>
      </c>
      <c r="AS3" s="16" t="s">
        <v>25</v>
      </c>
      <c r="AU3" s="6" t="s">
        <v>30</v>
      </c>
      <c r="AV3" s="18">
        <v>1</v>
      </c>
      <c r="AW3" s="18">
        <v>2</v>
      </c>
      <c r="AX3" s="18">
        <v>3</v>
      </c>
      <c r="AY3" s="18">
        <v>4</v>
      </c>
      <c r="AZ3" s="18">
        <v>5</v>
      </c>
      <c r="BA3" s="18">
        <v>6</v>
      </c>
      <c r="BB3" s="18">
        <v>7</v>
      </c>
      <c r="BC3" s="18">
        <v>8</v>
      </c>
      <c r="BD3" s="18">
        <v>9</v>
      </c>
      <c r="BE3" s="18"/>
      <c r="BF3" s="6" t="s">
        <v>30</v>
      </c>
      <c r="BG3" s="18">
        <v>1</v>
      </c>
      <c r="BH3" s="18">
        <v>2</v>
      </c>
      <c r="BI3" s="18">
        <v>3</v>
      </c>
      <c r="BJ3" s="18">
        <v>4</v>
      </c>
      <c r="BK3" s="18">
        <v>5</v>
      </c>
      <c r="BL3" s="18">
        <v>6</v>
      </c>
      <c r="BM3" s="18">
        <v>7</v>
      </c>
      <c r="BN3" s="18">
        <v>8</v>
      </c>
      <c r="BO3" s="18">
        <v>9</v>
      </c>
    </row>
    <row r="4" spans="1:67" x14ac:dyDescent="0.25">
      <c r="A4" s="24">
        <f>S4</f>
        <v>1</v>
      </c>
      <c r="B4" s="25">
        <v>1</v>
      </c>
      <c r="C4" s="25" t="s">
        <v>40</v>
      </c>
      <c r="D4" s="93"/>
      <c r="E4" s="93"/>
      <c r="F4" s="25">
        <v>1000</v>
      </c>
      <c r="M4" s="26" t="str">
        <f t="shared" ref="M4:P7" si="0">IF((SUMIF($AU$9:$AU$21,$B4*100+M$3,$AS$9:$AS$21)+SUMIF($AU$9:$AU$21,$B4+M$3*100,$AS$9:$AS$21))=1,(SUMIF($AU$9:$AU$21,$B4*100+M$3,$J$9:$J$21)+SUMIF($AV$9:$AV$21,$B4*100+M$3,$N$9:$N$21)),"")</f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8">
        <f>SUM(M4:P4)</f>
        <v>0</v>
      </c>
      <c r="R4" s="29">
        <f>IF(M4="",0,M4)*$Q$4+IF(N4="",0,N4)*$Q$5+IF(O4="",0,O4)*$Q$6+IF(P4="",0,P4)*$Q$7</f>
        <v>0</v>
      </c>
      <c r="S4" s="27">
        <f>AN4</f>
        <v>1</v>
      </c>
      <c r="T4" s="30"/>
      <c r="U4" s="31">
        <v>1</v>
      </c>
      <c r="V4" s="32">
        <v>4</v>
      </c>
      <c r="W4" s="33" t="str">
        <f>IF(ISNA(VLOOKUP(U4,$A$4:$T$7,3,FALSE)),C4,VLOOKUP(U4,$A$4:$T$7,3,FALSE))</f>
        <v>A</v>
      </c>
      <c r="X4" s="34">
        <f>IF(ISNA(VLOOKUP($B4,$A$4:$S$7,17,FALSE)),0,VLOOKUP($B4,$A$4:$S$7,17,FALSE))</f>
        <v>0</v>
      </c>
      <c r="Y4" s="34">
        <f t="shared" ref="Y4" si="1">IF(ISNA(VLOOKUP($B4,$A$4:$S$7,17,FALSE)),0,VLOOKUP($B4,$A$4:$S$7,17,FALSE))</f>
        <v>0</v>
      </c>
      <c r="Z4" s="34">
        <f>IF(ISNA(VLOOKUP($B4,$A$4:$S$7,18,FALSE)),0,VLOOKUP($B4,$A$4:$S$7,18,FALSE))</f>
        <v>0</v>
      </c>
      <c r="AA4" s="34">
        <f>VLOOKUP($V4,$AP$4:$AS$7,4,FALSE)</f>
        <v>0</v>
      </c>
      <c r="AB4" s="35">
        <f>VLOOKUP($V4,$B$4:$K$7,5,FALSE)</f>
        <v>1000</v>
      </c>
      <c r="AC4" s="30"/>
      <c r="AD4" s="36">
        <f>IF(Q4=$Q$4,IF(M4="",0,M4))+IF(Q4=$Q$5,IF(N4="",0,N4))+IF(Q4=$Q$6,IF(O4="",0,O4))+IF(Q4=$Q$7,IF(P4="",0,P4))</f>
        <v>0</v>
      </c>
      <c r="AE4" s="30">
        <f>$AD$9*Q4+AD4</f>
        <v>0</v>
      </c>
      <c r="AF4" s="30">
        <f>IF(AE4=$AEE$4,IF(M4="",0,M4))+IF(AE4=$AE$5,IF(N4="",0,N4))+IF(AE4=$AE$6,IF(O4="",0,O4))+IF(AE4=$AE$7,IF(P4="",0,P4))</f>
        <v>0</v>
      </c>
      <c r="AG4" s="30">
        <f>$AF$9*AE4+AF4</f>
        <v>0</v>
      </c>
      <c r="AH4" s="30">
        <f>IF(AG4=$AG$4,IF(M4="",0,M4))+IF(AG4=$AG$5,IF(N4="",0,N4))+IF(AG4=$AG$6,IF(O4="",0,O4))+IF(AG4=$AG$7,IF(O4="",0,O4))</f>
        <v>0</v>
      </c>
      <c r="AI4" s="30">
        <f>$AH$9*AG4+AJ4</f>
        <v>0</v>
      </c>
      <c r="AJ4" s="30"/>
      <c r="AK4" s="30">
        <f>RANK(AI4,$AI$4:$AI$7,1)-1</f>
        <v>0</v>
      </c>
      <c r="AL4" s="30">
        <f>RANK(R4,$R$4:$R$7,1)-1</f>
        <v>0</v>
      </c>
      <c r="AM4" s="30">
        <f>4*AK4+AL4</f>
        <v>0</v>
      </c>
      <c r="AN4" s="30">
        <f>RANK(AM4,$AM$4:$AM$7)</f>
        <v>1</v>
      </c>
      <c r="AO4" s="30"/>
      <c r="AP4" s="37">
        <v>1</v>
      </c>
      <c r="AQ4" s="38">
        <f>SUMIF($AQ$9:$AQ$21,B4,$AW$9:$AW$21)+SUMIF($AR$9:$AR$21,B4,$AX$9:$AX$21)</f>
        <v>0</v>
      </c>
      <c r="AR4" s="39" t="e">
        <f>SUMIF($AQ$9:$AQ$21,B4,$AY$9:$AY$21)+SUMIF($AR$9:$AR$21,B4,$AZ$9:$AZ$21)</f>
        <v>#VALUE!</v>
      </c>
      <c r="AS4" s="39">
        <f>SUM(BG4:BO4)</f>
        <v>0</v>
      </c>
      <c r="AU4" s="6">
        <v>1</v>
      </c>
      <c r="AV4" s="6">
        <f t="shared" ref="AV4:BD7" si="2" xml:space="preserve"> SUMIFS( $J$12:$J$21, $AQ$12:$AQ$21,$AU4, $AP$12:$AP$21,AV$3) + SUMIFS( $N$12:$N$21, $AR$12:$AR$21,$AU4, $AP$12:$AP$21,AV$3)</f>
        <v>0</v>
      </c>
      <c r="AW4" s="6">
        <f t="shared" si="2"/>
        <v>0</v>
      </c>
      <c r="AX4" s="6">
        <f t="shared" si="2"/>
        <v>0</v>
      </c>
      <c r="AY4" s="6">
        <f t="shared" si="2"/>
        <v>0</v>
      </c>
      <c r="AZ4" s="6">
        <f t="shared" si="2"/>
        <v>0</v>
      </c>
      <c r="BA4" s="6">
        <f t="shared" si="2"/>
        <v>0</v>
      </c>
      <c r="BB4" s="6">
        <f t="shared" si="2"/>
        <v>0</v>
      </c>
      <c r="BC4" s="6">
        <f t="shared" si="2"/>
        <v>0</v>
      </c>
      <c r="BD4" s="6">
        <f t="shared" si="2"/>
        <v>0</v>
      </c>
      <c r="BF4" s="6">
        <v>1</v>
      </c>
      <c r="BG4" s="6">
        <f>AV4</f>
        <v>0</v>
      </c>
      <c r="BH4" s="6">
        <f t="shared" ref="BH4:BO7" si="3">BG4+AW4</f>
        <v>0</v>
      </c>
      <c r="BI4" s="6">
        <f t="shared" si="3"/>
        <v>0</v>
      </c>
      <c r="BJ4" s="6">
        <f t="shared" si="3"/>
        <v>0</v>
      </c>
      <c r="BK4" s="6">
        <f t="shared" si="3"/>
        <v>0</v>
      </c>
      <c r="BL4" s="6">
        <f t="shared" si="3"/>
        <v>0</v>
      </c>
      <c r="BM4" s="6">
        <f t="shared" si="3"/>
        <v>0</v>
      </c>
      <c r="BN4" s="6">
        <f t="shared" si="3"/>
        <v>0</v>
      </c>
      <c r="BO4" s="6">
        <f t="shared" si="3"/>
        <v>0</v>
      </c>
    </row>
    <row r="5" spans="1:67" x14ac:dyDescent="0.25">
      <c r="A5" s="24">
        <f t="shared" ref="A5:A7" si="4">S5</f>
        <v>1</v>
      </c>
      <c r="B5" s="25">
        <v>2</v>
      </c>
      <c r="C5" s="25" t="s">
        <v>41</v>
      </c>
      <c r="D5" s="93"/>
      <c r="E5" s="93"/>
      <c r="F5" s="25">
        <v>1000</v>
      </c>
      <c r="M5" s="27" t="str">
        <f t="shared" si="0"/>
        <v/>
      </c>
      <c r="N5" s="26" t="str">
        <f t="shared" si="0"/>
        <v/>
      </c>
      <c r="O5" s="27" t="str">
        <f t="shared" si="0"/>
        <v/>
      </c>
      <c r="P5" s="27" t="str">
        <f t="shared" si="0"/>
        <v/>
      </c>
      <c r="Q5" s="28">
        <f>SUM(M5:P5)</f>
        <v>0</v>
      </c>
      <c r="R5" s="29">
        <f t="shared" ref="R5:R7" si="5">IF(M5="",0,M5)*$Q$4+IF(N5="",0,N5)*$Q$5+IF(O5="",0,O5)*$Q$6+IF(P5="",0,P5)*$Q$7</f>
        <v>0</v>
      </c>
      <c r="S5" s="27">
        <f t="shared" ref="S5:S8" si="6">AN5</f>
        <v>1</v>
      </c>
      <c r="T5" s="30"/>
      <c r="U5" s="31">
        <v>2</v>
      </c>
      <c r="V5" s="32">
        <v>3</v>
      </c>
      <c r="W5" s="33" t="str">
        <f t="shared" ref="W5:W8" si="7">IF(ISNA(VLOOKUP(U5,$A$4:$T$7,3,FALSE)),C5,VLOOKUP(U5,$A$4:$T$7,3,FALSE))</f>
        <v>B</v>
      </c>
      <c r="X5" s="34">
        <f t="shared" ref="X5:Y7" si="8">IF(ISNA(VLOOKUP($B5,$A$4:$S$7,17,FALSE)),0,VLOOKUP($B5,$A$4:$S$7,17,FALSE))</f>
        <v>0</v>
      </c>
      <c r="Y5" s="34">
        <f t="shared" si="8"/>
        <v>0</v>
      </c>
      <c r="Z5" s="34">
        <f t="shared" ref="Z5:Z7" si="9">IF(ISNA(VLOOKUP($B5,$A$4:$S$7,18,FALSE)),0,VLOOKUP($B5,$A$4:$S$7,18,FALSE))</f>
        <v>0</v>
      </c>
      <c r="AA5" s="34">
        <f>VLOOKUP($V5,$AP$4:$AS$7,4,FALSE)</f>
        <v>0</v>
      </c>
      <c r="AB5" s="35">
        <f>VLOOKUP($V5,$B$4:$K$7,5,FALSE)</f>
        <v>1000</v>
      </c>
      <c r="AC5" s="30"/>
      <c r="AD5" s="36">
        <f t="shared" ref="AD5:AD7" si="10">IF(Q5=$Q$4,IF(M5="",0,M5))+IF(Q5=$Q$5,IF(N5="",0,N5))+IF(Q5=$Q$6,IF(O5="",0,O5))+IF(Q5=$Q$7,IF(P5="",0,P5))</f>
        <v>0</v>
      </c>
      <c r="AE5" s="30">
        <f>$AD$9*Q5+AD5</f>
        <v>0</v>
      </c>
      <c r="AF5" s="30">
        <f>IF(AE5=$AEE$4,IF(M5="",0,M5))+IF(AE5=$AE$5,IF(N5="",0,N5))+IF(AE5=$AE$6,IF(O5="",0,O5))+IF(AE5=$AE$7,IF(P5="",0,P5))</f>
        <v>0</v>
      </c>
      <c r="AG5" s="30">
        <f t="shared" ref="AG5:AG7" si="11">$AF$9*AE5+AF5</f>
        <v>0</v>
      </c>
      <c r="AH5" s="30">
        <f t="shared" ref="AH5:AH7" si="12">IF(AG5=$AG$4,IF(M5="",0,M5))+IF(AG5=$AG$5,IF(N5="",0,N5))+IF(AG5=$AG$6,IF(O5="",0,O5))+IF(AG5=$AG$7,IF(O5="",0,O5))</f>
        <v>0</v>
      </c>
      <c r="AI5" s="30">
        <f t="shared" ref="AI5:AI7" si="13">$AH$9*AG5+AJ5</f>
        <v>0</v>
      </c>
      <c r="AJ5" s="30"/>
      <c r="AK5" s="30">
        <f t="shared" ref="AK5:AK7" si="14">RANK(AI5,$AI$4:$AI$7,1)-1</f>
        <v>0</v>
      </c>
      <c r="AL5" s="30">
        <f t="shared" ref="AL5:AL7" si="15">RANK(R5,$R$4:$R$7,1)-1</f>
        <v>0</v>
      </c>
      <c r="AM5" s="30">
        <f t="shared" ref="AM5:AM7" si="16">4*AK5+AL5</f>
        <v>0</v>
      </c>
      <c r="AN5" s="30">
        <f t="shared" ref="AN5:AN7" si="17">RANK(AM5,$AM$4:$AM$7)</f>
        <v>1</v>
      </c>
      <c r="AO5" s="30"/>
      <c r="AP5" s="37">
        <v>2</v>
      </c>
      <c r="AQ5" s="38">
        <f>SUMIF($AQ$9:$AQ$21,B5,$AW$9:$AW$21)+SUMIF($AR$9:$AR$21,B5,$AX$9:$AX$21)</f>
        <v>0</v>
      </c>
      <c r="AR5" s="39" t="e">
        <f>SUMIF($AQ$9:$AQ$21,B5,$AY$9:$AY$21)+SUMIF($AR$9:$AR$21,B5,$AZ$9:$AZ$21)</f>
        <v>#VALUE!</v>
      </c>
      <c r="AS5" s="39">
        <f t="shared" ref="AS5:AS7" si="18">SUM(BG5:BO5)</f>
        <v>0</v>
      </c>
      <c r="AU5" s="6">
        <v>2</v>
      </c>
      <c r="AV5" s="6">
        <f t="shared" si="2"/>
        <v>0</v>
      </c>
      <c r="AW5" s="6">
        <f t="shared" si="2"/>
        <v>0</v>
      </c>
      <c r="AX5" s="6">
        <f t="shared" si="2"/>
        <v>0</v>
      </c>
      <c r="AY5" s="6">
        <f t="shared" si="2"/>
        <v>0</v>
      </c>
      <c r="AZ5" s="6">
        <f t="shared" si="2"/>
        <v>0</v>
      </c>
      <c r="BA5" s="6">
        <f t="shared" si="2"/>
        <v>0</v>
      </c>
      <c r="BB5" s="6">
        <f t="shared" si="2"/>
        <v>0</v>
      </c>
      <c r="BC5" s="6">
        <f t="shared" si="2"/>
        <v>0</v>
      </c>
      <c r="BD5" s="6">
        <f t="shared" si="2"/>
        <v>0</v>
      </c>
      <c r="BF5" s="6">
        <v>2</v>
      </c>
      <c r="BG5" s="6">
        <f t="shared" ref="BG5:BG7" si="19">AV5</f>
        <v>0</v>
      </c>
      <c r="BH5" s="6">
        <f t="shared" si="3"/>
        <v>0</v>
      </c>
      <c r="BI5" s="6">
        <f t="shared" si="3"/>
        <v>0</v>
      </c>
      <c r="BJ5" s="6">
        <f t="shared" si="3"/>
        <v>0</v>
      </c>
      <c r="BK5" s="6">
        <f t="shared" si="3"/>
        <v>0</v>
      </c>
      <c r="BL5" s="6">
        <f t="shared" si="3"/>
        <v>0</v>
      </c>
      <c r="BM5" s="6">
        <f t="shared" si="3"/>
        <v>0</v>
      </c>
      <c r="BN5" s="6">
        <f t="shared" si="3"/>
        <v>0</v>
      </c>
      <c r="BO5" s="6">
        <f t="shared" si="3"/>
        <v>0</v>
      </c>
    </row>
    <row r="6" spans="1:67" x14ac:dyDescent="0.25">
      <c r="A6" s="24">
        <f t="shared" si="4"/>
        <v>1</v>
      </c>
      <c r="B6" s="25">
        <v>3</v>
      </c>
      <c r="C6" s="25" t="s">
        <v>42</v>
      </c>
      <c r="D6" s="93"/>
      <c r="E6" s="93"/>
      <c r="F6" s="25">
        <v>1000</v>
      </c>
      <c r="M6" s="27" t="str">
        <f t="shared" si="0"/>
        <v/>
      </c>
      <c r="N6" s="27" t="str">
        <f t="shared" si="0"/>
        <v/>
      </c>
      <c r="O6" s="26" t="str">
        <f t="shared" si="0"/>
        <v/>
      </c>
      <c r="P6" s="27" t="str">
        <f t="shared" si="0"/>
        <v/>
      </c>
      <c r="Q6" s="28">
        <f>SUM(M6:P6)</f>
        <v>0</v>
      </c>
      <c r="R6" s="29">
        <f t="shared" si="5"/>
        <v>0</v>
      </c>
      <c r="S6" s="27">
        <f t="shared" si="6"/>
        <v>1</v>
      </c>
      <c r="T6" s="30"/>
      <c r="U6" s="31">
        <v>3</v>
      </c>
      <c r="V6" s="32">
        <v>2</v>
      </c>
      <c r="W6" s="33" t="str">
        <f t="shared" si="7"/>
        <v>C</v>
      </c>
      <c r="X6" s="34">
        <f t="shared" si="8"/>
        <v>0</v>
      </c>
      <c r="Y6" s="34">
        <f t="shared" si="8"/>
        <v>0</v>
      </c>
      <c r="Z6" s="34">
        <f t="shared" si="9"/>
        <v>0</v>
      </c>
      <c r="AA6" s="34">
        <f>VLOOKUP($V6,$AP$4:$AS$7,4,FALSE)</f>
        <v>0</v>
      </c>
      <c r="AB6" s="35">
        <f>VLOOKUP($V6,$B$4:$K$7,5,FALSE)</f>
        <v>1000</v>
      </c>
      <c r="AC6" s="30"/>
      <c r="AD6" s="36">
        <f t="shared" si="10"/>
        <v>0</v>
      </c>
      <c r="AE6" s="30">
        <f>$AD$9*Q6+AD6</f>
        <v>0</v>
      </c>
      <c r="AF6" s="30">
        <f>IF(AE6=$AEE$4,IF(M6="",0,M6))+IF(AE6=$AE$5,IF(N6="",0,N6))+IF(AE6=$AE$6,IF(O6="",0,O6))+IF(AE6=$AE$7,IF(P6="",0,P6))</f>
        <v>0</v>
      </c>
      <c r="AG6" s="30">
        <f t="shared" si="11"/>
        <v>0</v>
      </c>
      <c r="AH6" s="30">
        <f t="shared" si="12"/>
        <v>0</v>
      </c>
      <c r="AI6" s="30">
        <f t="shared" si="13"/>
        <v>0</v>
      </c>
      <c r="AJ6" s="30"/>
      <c r="AK6" s="30">
        <f t="shared" si="14"/>
        <v>0</v>
      </c>
      <c r="AL6" s="30">
        <f t="shared" si="15"/>
        <v>0</v>
      </c>
      <c r="AM6" s="30">
        <f t="shared" si="16"/>
        <v>0</v>
      </c>
      <c r="AN6" s="30">
        <f t="shared" si="17"/>
        <v>1</v>
      </c>
      <c r="AO6" s="30"/>
      <c r="AP6" s="37">
        <v>3</v>
      </c>
      <c r="AQ6" s="38">
        <f>SUMIF($AQ$9:$AQ$21,B6,$AW$9:$AW$21)+SUMIF($AR$9:$AR$21,B6,$AX$9:$AX$21)</f>
        <v>0</v>
      </c>
      <c r="AR6" s="39" t="e">
        <f>SUMIF($AQ$9:$AQ$21,B6,$AY$9:$AY$21)+SUMIF($AR$9:$AR$21,B6,$AZ$9:$AZ$21)</f>
        <v>#VALUE!</v>
      </c>
      <c r="AS6" s="39">
        <f t="shared" si="18"/>
        <v>0</v>
      </c>
      <c r="AU6" s="6">
        <v>3</v>
      </c>
      <c r="AV6" s="6">
        <f t="shared" si="2"/>
        <v>0</v>
      </c>
      <c r="AW6" s="6">
        <f t="shared" si="2"/>
        <v>0</v>
      </c>
      <c r="AX6" s="6">
        <f t="shared" si="2"/>
        <v>0</v>
      </c>
      <c r="AY6" s="6">
        <f t="shared" si="2"/>
        <v>0</v>
      </c>
      <c r="AZ6" s="6">
        <f t="shared" si="2"/>
        <v>0</v>
      </c>
      <c r="BA6" s="6">
        <f t="shared" si="2"/>
        <v>0</v>
      </c>
      <c r="BB6" s="6">
        <f t="shared" si="2"/>
        <v>0</v>
      </c>
      <c r="BC6" s="6">
        <f t="shared" si="2"/>
        <v>0</v>
      </c>
      <c r="BD6" s="6">
        <f t="shared" si="2"/>
        <v>0</v>
      </c>
      <c r="BF6" s="6">
        <v>3</v>
      </c>
      <c r="BG6" s="6">
        <f t="shared" si="19"/>
        <v>0</v>
      </c>
      <c r="BH6" s="6">
        <f t="shared" si="3"/>
        <v>0</v>
      </c>
      <c r="BI6" s="6">
        <f t="shared" si="3"/>
        <v>0</v>
      </c>
      <c r="BJ6" s="6">
        <f t="shared" si="3"/>
        <v>0</v>
      </c>
      <c r="BK6" s="6">
        <f t="shared" si="3"/>
        <v>0</v>
      </c>
      <c r="BL6" s="6">
        <f t="shared" si="3"/>
        <v>0</v>
      </c>
      <c r="BM6" s="6">
        <f t="shared" si="3"/>
        <v>0</v>
      </c>
      <c r="BN6" s="6">
        <f t="shared" si="3"/>
        <v>0</v>
      </c>
      <c r="BO6" s="6">
        <f t="shared" si="3"/>
        <v>0</v>
      </c>
    </row>
    <row r="7" spans="1:67" x14ac:dyDescent="0.25">
      <c r="A7" s="24">
        <f t="shared" si="4"/>
        <v>1</v>
      </c>
      <c r="B7" s="25">
        <v>4</v>
      </c>
      <c r="C7" s="25" t="s">
        <v>43</v>
      </c>
      <c r="D7" s="93"/>
      <c r="E7" s="93"/>
      <c r="F7" s="25">
        <v>1000</v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6" t="str">
        <f t="shared" si="0"/>
        <v/>
      </c>
      <c r="Q7" s="28">
        <f>SUM(M7:P7)</f>
        <v>0</v>
      </c>
      <c r="R7" s="29">
        <f t="shared" si="5"/>
        <v>0</v>
      </c>
      <c r="S7" s="27">
        <f t="shared" si="6"/>
        <v>1</v>
      </c>
      <c r="T7" s="30"/>
      <c r="U7" s="31">
        <v>4</v>
      </c>
      <c r="V7" s="32">
        <v>1</v>
      </c>
      <c r="W7" s="33" t="str">
        <f t="shared" si="7"/>
        <v>D</v>
      </c>
      <c r="X7" s="34">
        <f t="shared" si="8"/>
        <v>0</v>
      </c>
      <c r="Y7" s="34">
        <f t="shared" si="8"/>
        <v>0</v>
      </c>
      <c r="Z7" s="34">
        <f t="shared" si="9"/>
        <v>0</v>
      </c>
      <c r="AA7" s="34">
        <f>VLOOKUP($V7,$AP$4:$AS$7,4,FALSE)</f>
        <v>0</v>
      </c>
      <c r="AB7" s="35">
        <f>VLOOKUP($V7,$B$4:$K$7,5,FALSE)</f>
        <v>1000</v>
      </c>
      <c r="AC7" s="30"/>
      <c r="AD7" s="36">
        <f t="shared" si="10"/>
        <v>0</v>
      </c>
      <c r="AE7" s="30">
        <f>$AD$9*Q7+AD7</f>
        <v>0</v>
      </c>
      <c r="AF7" s="30">
        <f>IF(AE7=$AEE$4,IF(M7="",0,M7))+IF(AE7=$AE$5,IF(N7="",0,N7))+IF(AE7=$AE$6,IF(O7="",0,O7))+IF(AE7=$AE$7,IF(P7="",0,P7))</f>
        <v>0</v>
      </c>
      <c r="AG7" s="30">
        <f t="shared" si="11"/>
        <v>0</v>
      </c>
      <c r="AH7" s="30">
        <f t="shared" si="12"/>
        <v>0</v>
      </c>
      <c r="AI7" s="30">
        <f t="shared" si="13"/>
        <v>0</v>
      </c>
      <c r="AJ7" s="30"/>
      <c r="AK7" s="30">
        <f t="shared" si="14"/>
        <v>0</v>
      </c>
      <c r="AL7" s="30">
        <f t="shared" si="15"/>
        <v>0</v>
      </c>
      <c r="AM7" s="30">
        <f t="shared" si="16"/>
        <v>0</v>
      </c>
      <c r="AN7" s="30">
        <f t="shared" si="17"/>
        <v>1</v>
      </c>
      <c r="AO7" s="30"/>
      <c r="AP7" s="37">
        <v>4</v>
      </c>
      <c r="AQ7" s="38">
        <f>SUMIF($AQ$9:$AQ$21,B7,$AW$9:$AW$21)+SUMIF($AR$9:$AR$21,B7,$AX$9:$AX$21)</f>
        <v>0</v>
      </c>
      <c r="AR7" s="39" t="e">
        <f>SUMIF($AQ$9:$AQ$21,B7,$AY$9:$AY$21)+SUMIF($AR$9:$AR$21,B7,$AZ$9:$AZ$21)</f>
        <v>#VALUE!</v>
      </c>
      <c r="AS7" s="39">
        <f t="shared" si="18"/>
        <v>0</v>
      </c>
      <c r="AU7" s="6">
        <v>4</v>
      </c>
      <c r="AV7" s="6">
        <f t="shared" si="2"/>
        <v>0</v>
      </c>
      <c r="AW7" s="6">
        <f t="shared" si="2"/>
        <v>0</v>
      </c>
      <c r="AX7" s="6">
        <f t="shared" si="2"/>
        <v>0</v>
      </c>
      <c r="AY7" s="6">
        <f t="shared" si="2"/>
        <v>0</v>
      </c>
      <c r="AZ7" s="6">
        <f t="shared" si="2"/>
        <v>0</v>
      </c>
      <c r="BA7" s="6">
        <f t="shared" si="2"/>
        <v>0</v>
      </c>
      <c r="BB7" s="6">
        <f t="shared" si="2"/>
        <v>0</v>
      </c>
      <c r="BC7" s="6">
        <f t="shared" si="2"/>
        <v>0</v>
      </c>
      <c r="BD7" s="6">
        <f t="shared" si="2"/>
        <v>0</v>
      </c>
      <c r="BF7" s="6">
        <v>4</v>
      </c>
      <c r="BG7" s="6">
        <f t="shared" si="19"/>
        <v>0</v>
      </c>
      <c r="BH7" s="6">
        <f t="shared" si="3"/>
        <v>0</v>
      </c>
      <c r="BI7" s="6">
        <f t="shared" si="3"/>
        <v>0</v>
      </c>
      <c r="BJ7" s="6">
        <f t="shared" si="3"/>
        <v>0</v>
      </c>
      <c r="BK7" s="6">
        <f t="shared" si="3"/>
        <v>0</v>
      </c>
      <c r="BL7" s="6">
        <f t="shared" si="3"/>
        <v>0</v>
      </c>
      <c r="BM7" s="6">
        <f t="shared" si="3"/>
        <v>0</v>
      </c>
      <c r="BN7" s="6">
        <f t="shared" si="3"/>
        <v>0</v>
      </c>
      <c r="BO7" s="6">
        <f t="shared" si="3"/>
        <v>0</v>
      </c>
    </row>
    <row r="8" spans="1:67" hidden="1" x14ac:dyDescent="0.25">
      <c r="R8" s="27">
        <f>IF(L8="",0,L8)*$Q$4+IF(M8="",0,M8)*$Q$5+IF(N8="",N8)*$Q$6+IF(O8="",O8)*$Q$7</f>
        <v>0</v>
      </c>
      <c r="S8" s="27">
        <f t="shared" si="6"/>
        <v>0</v>
      </c>
      <c r="W8" s="33">
        <f t="shared" si="7"/>
        <v>0</v>
      </c>
      <c r="AD8" s="40"/>
      <c r="AL8" s="30">
        <f t="shared" ref="AL8" si="20">RANK(R8,R8:R11,1)-1</f>
        <v>0</v>
      </c>
    </row>
    <row r="9" spans="1:67" x14ac:dyDescent="0.25">
      <c r="AD9" s="36">
        <f>2*MAX(AD4:AD7)+1</f>
        <v>1</v>
      </c>
      <c r="AF9" s="30">
        <f>2*MAX(AF4:AF7)+1</f>
        <v>1</v>
      </c>
      <c r="AH9" s="30">
        <f>2*MAX(AH4:AH7)+1</f>
        <v>1</v>
      </c>
      <c r="AP9" s="41" t="s">
        <v>39</v>
      </c>
      <c r="AQ9" s="41" t="s">
        <v>0</v>
      </c>
      <c r="AR9" s="41" t="s">
        <v>1</v>
      </c>
      <c r="AS9" s="41" t="s">
        <v>2</v>
      </c>
      <c r="AU9" s="42" t="s">
        <v>37</v>
      </c>
      <c r="AV9" s="42" t="s">
        <v>38</v>
      </c>
      <c r="AW9" s="6" t="s">
        <v>18</v>
      </c>
      <c r="AX9" s="6" t="s">
        <v>19</v>
      </c>
      <c r="AY9" s="6" t="s">
        <v>20</v>
      </c>
      <c r="AZ9" s="6" t="s">
        <v>21</v>
      </c>
    </row>
    <row r="10" spans="1:67" ht="3" customHeight="1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AU10" s="43"/>
      <c r="AV10" s="43"/>
      <c r="AW10" s="44"/>
      <c r="AX10" s="44"/>
      <c r="AY10" s="44"/>
      <c r="AZ10" s="44"/>
    </row>
    <row r="11" spans="1:67" x14ac:dyDescent="0.25">
      <c r="B11" s="45" t="s">
        <v>3</v>
      </c>
      <c r="AU11" s="42"/>
      <c r="AV11" s="42"/>
    </row>
    <row r="12" spans="1:67" x14ac:dyDescent="0.25">
      <c r="B12" s="6">
        <v>1</v>
      </c>
      <c r="C12" s="6" t="str">
        <f>VLOOKUP(AQ12,$B$4:$F$7,2,FALSE)</f>
        <v>D</v>
      </c>
      <c r="D12" s="46" t="s">
        <v>5</v>
      </c>
      <c r="E12" s="84" t="str">
        <f>VLOOKUP(AR12,$B$4:$F$7,2,FALSE)</f>
        <v>A</v>
      </c>
      <c r="F12" s="84"/>
      <c r="G12" s="84"/>
      <c r="H12" s="84"/>
      <c r="J12" s="84" t="str">
        <f>IF(S12="","",VLOOKUP(S12,Configuratie!$B$1:$E$10,3,FALSE))</f>
        <v/>
      </c>
      <c r="K12" s="84"/>
      <c r="L12" s="47" t="s">
        <v>5</v>
      </c>
      <c r="N12" s="84" t="str">
        <f>IF(S12="","",VLOOKUP(S12,Configuratie!$B$1:$E$10,4,FALSE))</f>
        <v/>
      </c>
      <c r="O12" s="84"/>
      <c r="Q12" s="6" t="str">
        <f>IF(S12="","",VLOOKUP(S12,Configuratie!$B$1:$E$10,2,FALSE))</f>
        <v/>
      </c>
      <c r="S12" s="5"/>
      <c r="AP12" s="6">
        <v>1</v>
      </c>
      <c r="AQ12" s="6">
        <v>4</v>
      </c>
      <c r="AR12" s="6">
        <v>1</v>
      </c>
      <c r="AS12" s="6" t="str">
        <f>IF(AND(ISNUMBER(J12),ISNUMBER(N12)),IF(J12+N12=1,1,0),"")</f>
        <v/>
      </c>
      <c r="AU12" s="48">
        <f>AQ12*100+AR12</f>
        <v>401</v>
      </c>
      <c r="AV12" s="48">
        <f>AR12*100+AQ12</f>
        <v>104</v>
      </c>
      <c r="AW12" s="6">
        <v>0</v>
      </c>
      <c r="AX12" s="6">
        <v>0</v>
      </c>
      <c r="AY12" s="6" t="e">
        <f>J12*AX12</f>
        <v>#VALUE!</v>
      </c>
      <c r="AZ12" s="6" t="e">
        <f>N12*AW12</f>
        <v>#VALUE!</v>
      </c>
    </row>
    <row r="13" spans="1:67" x14ac:dyDescent="0.25">
      <c r="B13" s="6">
        <v>2</v>
      </c>
      <c r="C13" s="6" t="str">
        <f>VLOOKUP(AQ13,$B$4:$F$7,2,FALSE)</f>
        <v>C</v>
      </c>
      <c r="D13" s="46" t="s">
        <v>5</v>
      </c>
      <c r="E13" s="84" t="str">
        <f>VLOOKUP(AR13,$B$4:$F$7,2,FALSE)</f>
        <v>B</v>
      </c>
      <c r="F13" s="84"/>
      <c r="G13" s="84"/>
      <c r="H13" s="84"/>
      <c r="J13" s="84" t="str">
        <f>IF(S13="","",VLOOKUP(S13,Configuratie!$B$1:$E$10,3,FALSE))</f>
        <v/>
      </c>
      <c r="K13" s="84"/>
      <c r="L13" s="47" t="s">
        <v>5</v>
      </c>
      <c r="N13" s="84" t="str">
        <f>IF(S13="","",VLOOKUP(S13,Configuratie!$B$1:$E$10,4,FALSE))</f>
        <v/>
      </c>
      <c r="O13" s="84"/>
      <c r="Q13" s="6" t="str">
        <f>IF(S13="","",VLOOKUP(S13,Configuratie!$B$1:$E$10,2,FALSE))</f>
        <v/>
      </c>
      <c r="S13" s="5"/>
      <c r="AP13" s="6">
        <v>1</v>
      </c>
      <c r="AQ13" s="6">
        <v>3</v>
      </c>
      <c r="AR13" s="6">
        <v>2</v>
      </c>
      <c r="AS13" s="6" t="str">
        <f>IF(AND(ISNUMBER(J13),ISNUMBER(N13)),IF(J13+N13=1,1,0),"")</f>
        <v/>
      </c>
      <c r="AU13" s="48">
        <f>AQ13*100+AR13</f>
        <v>302</v>
      </c>
      <c r="AV13" s="48">
        <f>AR13*100+AQ13</f>
        <v>203</v>
      </c>
      <c r="AW13" s="6">
        <v>0</v>
      </c>
      <c r="AX13" s="6">
        <v>0</v>
      </c>
      <c r="AY13" s="6" t="e">
        <f>J13*AX13</f>
        <v>#VALUE!</v>
      </c>
      <c r="AZ13" s="6" t="e">
        <f>N13*AW13</f>
        <v>#VALUE!</v>
      </c>
    </row>
    <row r="14" spans="1:67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AU14" s="42"/>
      <c r="AV14" s="42"/>
    </row>
    <row r="15" spans="1:67" x14ac:dyDescent="0.25">
      <c r="B15" s="45" t="s">
        <v>9</v>
      </c>
      <c r="AU15" s="42"/>
      <c r="AV15" s="42"/>
    </row>
    <row r="16" spans="1:67" x14ac:dyDescent="0.25">
      <c r="B16" s="6">
        <v>1</v>
      </c>
      <c r="C16" s="6" t="str">
        <f>VLOOKUP(AQ16,$B$4:$F$7,2,FALSE)</f>
        <v>D</v>
      </c>
      <c r="D16" s="46" t="s">
        <v>5</v>
      </c>
      <c r="E16" s="84" t="str">
        <f>VLOOKUP(AR16,$B$4:$F$7,2,FALSE)</f>
        <v>B</v>
      </c>
      <c r="F16" s="84"/>
      <c r="G16" s="84"/>
      <c r="H16" s="84"/>
      <c r="J16" s="84" t="str">
        <f>IF(S16="","",VLOOKUP(S16,Configuratie!$B$1:$E$10,3,FALSE))</f>
        <v/>
      </c>
      <c r="K16" s="84"/>
      <c r="L16" s="47" t="s">
        <v>5</v>
      </c>
      <c r="N16" s="84" t="str">
        <f>IF(S16="","",VLOOKUP(S16,Configuratie!$B$1:$E$10,4,FALSE))</f>
        <v/>
      </c>
      <c r="O16" s="84"/>
      <c r="Q16" s="6" t="str">
        <f>IF(S16="","",VLOOKUP(S16,Configuratie!$B$1:$E$10,2,FALSE))</f>
        <v/>
      </c>
      <c r="S16" s="5"/>
      <c r="AP16" s="6">
        <v>2</v>
      </c>
      <c r="AQ16" s="6">
        <v>4</v>
      </c>
      <c r="AR16" s="6">
        <v>2</v>
      </c>
      <c r="AS16" s="6" t="str">
        <f>IF(AND(ISNUMBER(J16),ISNUMBER(N16)),IF(J16+N16=1,1,0),"")</f>
        <v/>
      </c>
      <c r="AU16" s="48">
        <f>AQ16*100+AR16</f>
        <v>402</v>
      </c>
      <c r="AV16" s="48">
        <f>AR16*100+AQ16</f>
        <v>204</v>
      </c>
      <c r="AW16" s="6">
        <f>VLOOKUP(AQ16,$BF$3:$BO$7,$AP16,FALSE)</f>
        <v>0</v>
      </c>
      <c r="AX16" s="6">
        <f>VLOOKUP(AR16,$BF$3:$BO$7,$AP16,FALSE)</f>
        <v>0</v>
      </c>
      <c r="AY16" s="6" t="e">
        <f>J16*AX16</f>
        <v>#VALUE!</v>
      </c>
      <c r="AZ16" s="6" t="e">
        <f>N16*AW16</f>
        <v>#VALUE!</v>
      </c>
    </row>
    <row r="17" spans="2:52" x14ac:dyDescent="0.25">
      <c r="B17" s="6">
        <v>2</v>
      </c>
      <c r="C17" s="6" t="str">
        <f>VLOOKUP(AQ17,$B$4:$F$7,2,FALSE)</f>
        <v>A</v>
      </c>
      <c r="D17" s="46" t="s">
        <v>5</v>
      </c>
      <c r="E17" s="84" t="str">
        <f>VLOOKUP(AR17,$B$4:$F$7,2,FALSE)</f>
        <v>C</v>
      </c>
      <c r="F17" s="84"/>
      <c r="G17" s="84"/>
      <c r="H17" s="84"/>
      <c r="J17" s="84" t="str">
        <f>IF(S17="","",VLOOKUP(S17,Configuratie!$B$1:$E$10,3,FALSE))</f>
        <v/>
      </c>
      <c r="K17" s="84"/>
      <c r="L17" s="47" t="s">
        <v>5</v>
      </c>
      <c r="N17" s="84" t="str">
        <f>IF(S17="","",VLOOKUP(S17,Configuratie!$B$1:$E$10,4,FALSE))</f>
        <v/>
      </c>
      <c r="O17" s="84"/>
      <c r="Q17" s="6" t="str">
        <f>IF(S17="","",VLOOKUP(S17,Configuratie!$B$1:$E$10,2,FALSE))</f>
        <v/>
      </c>
      <c r="S17" s="5"/>
      <c r="AP17" s="6">
        <v>2</v>
      </c>
      <c r="AQ17" s="6">
        <v>1</v>
      </c>
      <c r="AR17" s="6">
        <v>3</v>
      </c>
      <c r="AS17" s="6" t="str">
        <f>IF(AND(ISNUMBER(J17),ISNUMBER(N17)),IF(J17+N17=1,1,0),"")</f>
        <v/>
      </c>
      <c r="AU17" s="48">
        <f>AQ17*100+AR17</f>
        <v>103</v>
      </c>
      <c r="AV17" s="48">
        <f>AR17*100+AQ17</f>
        <v>301</v>
      </c>
      <c r="AW17" s="6">
        <f>VLOOKUP(AQ17,$BF$3:$BO$7,$AP17,FALSE)</f>
        <v>0</v>
      </c>
      <c r="AX17" s="6">
        <f>VLOOKUP(AR17,$BF$3:$BO$7,$AP17,FALSE)</f>
        <v>0</v>
      </c>
      <c r="AY17" s="6" t="e">
        <f>J17*AX17</f>
        <v>#VALUE!</v>
      </c>
      <c r="AZ17" s="6" t="e">
        <f>N17*AW17</f>
        <v>#VALUE!</v>
      </c>
    </row>
    <row r="18" spans="2:52" ht="3" customHeight="1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AU18" s="42"/>
      <c r="AV18" s="42"/>
    </row>
    <row r="19" spans="2:52" x14ac:dyDescent="0.25">
      <c r="B19" s="45" t="s">
        <v>10</v>
      </c>
      <c r="AU19" s="42"/>
      <c r="AV19" s="42"/>
    </row>
    <row r="20" spans="2:52" x14ac:dyDescent="0.25">
      <c r="B20" s="6">
        <v>1</v>
      </c>
      <c r="C20" s="6" t="str">
        <f>VLOOKUP(AQ20,$B$4:$F$7,2,FALSE)</f>
        <v>C</v>
      </c>
      <c r="D20" s="46" t="s">
        <v>5</v>
      </c>
      <c r="E20" s="84" t="str">
        <f>VLOOKUP(AR20,$B$4:$F$7,2,FALSE)</f>
        <v>D</v>
      </c>
      <c r="F20" s="84"/>
      <c r="G20" s="84"/>
      <c r="H20" s="84"/>
      <c r="J20" s="84" t="str">
        <f>IF(S20="","",VLOOKUP(S20,Configuratie!$B$1:$E$10,3,FALSE))</f>
        <v/>
      </c>
      <c r="K20" s="84"/>
      <c r="L20" s="47" t="s">
        <v>5</v>
      </c>
      <c r="N20" s="84" t="str">
        <f>IF(S20="","",VLOOKUP(S20,Configuratie!$B$1:$E$10,4,FALSE))</f>
        <v/>
      </c>
      <c r="O20" s="84"/>
      <c r="Q20" s="6" t="str">
        <f>IF(S20="","",VLOOKUP(S20,Configuratie!$B$1:$E$10,2,FALSE))</f>
        <v/>
      </c>
      <c r="S20" s="5"/>
      <c r="AP20" s="6">
        <v>3</v>
      </c>
      <c r="AQ20" s="6">
        <v>3</v>
      </c>
      <c r="AR20" s="6">
        <v>4</v>
      </c>
      <c r="AS20" s="6" t="str">
        <f>IF(AND(ISNUMBER(J20),ISNUMBER(N20)),IF(J20+N20=1,1,0),"")</f>
        <v/>
      </c>
      <c r="AU20" s="48">
        <f>AQ20*100+AR20</f>
        <v>304</v>
      </c>
      <c r="AV20" s="48">
        <f>AR20*100+AQ20</f>
        <v>403</v>
      </c>
      <c r="AW20" s="6">
        <f>VLOOKUP(AQ20,$BF$3:$BO$7,$AP20,FALSE)</f>
        <v>0</v>
      </c>
      <c r="AX20" s="6">
        <f>VLOOKUP(AR20,$BF$3:$BO$7,$AP20,FALSE)</f>
        <v>0</v>
      </c>
      <c r="AY20" s="6" t="e">
        <f>J20*AX20</f>
        <v>#VALUE!</v>
      </c>
      <c r="AZ20" s="6" t="e">
        <f>N20*AW20</f>
        <v>#VALUE!</v>
      </c>
    </row>
    <row r="21" spans="2:52" x14ac:dyDescent="0.25">
      <c r="B21" s="6">
        <v>2</v>
      </c>
      <c r="C21" s="6" t="str">
        <f>VLOOKUP(AQ21,$B$4:$F$7,2,FALSE)</f>
        <v>B</v>
      </c>
      <c r="D21" s="46" t="s">
        <v>5</v>
      </c>
      <c r="E21" s="84" t="str">
        <f>VLOOKUP(AR21,$B$4:$F$7,2,FALSE)</f>
        <v>A</v>
      </c>
      <c r="F21" s="84"/>
      <c r="G21" s="84"/>
      <c r="H21" s="84"/>
      <c r="J21" s="84" t="str">
        <f>IF(S21="","",VLOOKUP(S21,Configuratie!$B$1:$E$10,3,FALSE))</f>
        <v/>
      </c>
      <c r="K21" s="84"/>
      <c r="L21" s="47" t="s">
        <v>5</v>
      </c>
      <c r="N21" s="84" t="str">
        <f>IF(S21="","",VLOOKUP(S21,Configuratie!$B$1:$E$10,4,FALSE))</f>
        <v/>
      </c>
      <c r="O21" s="84"/>
      <c r="Q21" s="6" t="str">
        <f>IF(S21="","",VLOOKUP(S21,Configuratie!$B$1:$E$10,2,FALSE))</f>
        <v/>
      </c>
      <c r="S21" s="5"/>
      <c r="AP21" s="6">
        <v>3</v>
      </c>
      <c r="AQ21" s="6">
        <v>2</v>
      </c>
      <c r="AR21" s="6">
        <v>1</v>
      </c>
      <c r="AS21" s="6" t="str">
        <f>IF(AND(ISNUMBER(J21),ISNUMBER(N21)),IF(J21+N21=1,1,0),"")</f>
        <v/>
      </c>
      <c r="AU21" s="48">
        <f>AQ21*100+AR21</f>
        <v>201</v>
      </c>
      <c r="AV21" s="48">
        <f>AR21*100+AQ21</f>
        <v>102</v>
      </c>
      <c r="AW21" s="6">
        <f>VLOOKUP(AQ21,$BF$3:$BO$7,$AP21,FALSE)</f>
        <v>0</v>
      </c>
      <c r="AX21" s="6">
        <f>VLOOKUP(AR21,$BF$3:$BO$7,$AP21,FALSE)</f>
        <v>0</v>
      </c>
      <c r="AY21" s="6" t="e">
        <f>J21*AX21</f>
        <v>#VALUE!</v>
      </c>
      <c r="AZ21" s="6" t="e">
        <f>N21*AW21</f>
        <v>#VALUE!</v>
      </c>
    </row>
  </sheetData>
  <sheetProtection password="CA5D" sheet="1" objects="1" scenarios="1" selectLockedCells="1"/>
  <sortState ref="U4:AA7">
    <sortCondition descending="1" ref="W4:W7"/>
    <sortCondition descending="1" ref="X4:X7"/>
    <sortCondition descending="1" ref="Y4:Y7"/>
    <sortCondition descending="1" ref="Z4:Z7"/>
    <sortCondition descending="1" ref="AA4:AA7"/>
  </sortState>
  <mergeCells count="28">
    <mergeCell ref="U1:Z1"/>
    <mergeCell ref="G1:S1"/>
    <mergeCell ref="AV2:BD2"/>
    <mergeCell ref="BG2:BO2"/>
    <mergeCell ref="D3:E3"/>
    <mergeCell ref="D7:E7"/>
    <mergeCell ref="D4:E4"/>
    <mergeCell ref="D5:E5"/>
    <mergeCell ref="D6:E6"/>
    <mergeCell ref="B1:F1"/>
    <mergeCell ref="E12:H12"/>
    <mergeCell ref="J12:K12"/>
    <mergeCell ref="N12:O12"/>
    <mergeCell ref="E13:H13"/>
    <mergeCell ref="J13:K13"/>
    <mergeCell ref="N13:O13"/>
    <mergeCell ref="E17:H17"/>
    <mergeCell ref="J17:K17"/>
    <mergeCell ref="N17:O17"/>
    <mergeCell ref="E16:H16"/>
    <mergeCell ref="J16:K16"/>
    <mergeCell ref="N16:O16"/>
    <mergeCell ref="E20:H20"/>
    <mergeCell ref="J20:K20"/>
    <mergeCell ref="N20:O20"/>
    <mergeCell ref="E21:H21"/>
    <mergeCell ref="J21:K21"/>
    <mergeCell ref="N21:O21"/>
  </mergeCells>
  <conditionalFormatting sqref="M4:Q7 R4:S8">
    <cfRule type="cellIs" dxfId="3" priority="5" stopIfTrue="1" operator="between">
      <formula>0</formula>
      <formula>1</formula>
    </cfRule>
  </conditionalFormatting>
  <conditionalFormatting sqref="S4:S7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2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241"/>
  <sheetViews>
    <sheetView workbookViewId="0">
      <selection activeCell="E14" sqref="E14"/>
    </sheetView>
  </sheetViews>
  <sheetFormatPr defaultRowHeight="15" x14ac:dyDescent="0.25"/>
  <cols>
    <col min="2" max="2" width="42.5703125" customWidth="1"/>
  </cols>
  <sheetData>
    <row r="1" spans="1:11" ht="26.25" x14ac:dyDescent="0.4">
      <c r="A1" s="98" t="s">
        <v>51</v>
      </c>
      <c r="B1" s="98"/>
      <c r="C1" s="98"/>
      <c r="D1" s="98"/>
      <c r="E1" s="98"/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2"/>
      <c r="B3" s="2"/>
      <c r="C3" s="2"/>
      <c r="D3" s="2"/>
      <c r="E3" s="2"/>
      <c r="F3" s="1"/>
      <c r="G3" s="1"/>
      <c r="H3" s="1"/>
      <c r="I3" s="1"/>
      <c r="J3" s="1"/>
      <c r="K3" s="1"/>
    </row>
    <row r="4" spans="1:11" x14ac:dyDescent="0.25">
      <c r="A4" s="3"/>
      <c r="B4" s="3"/>
      <c r="C4" s="3"/>
      <c r="D4" s="3"/>
      <c r="E4" s="3"/>
      <c r="F4" s="1"/>
      <c r="G4" s="1"/>
      <c r="H4" s="1"/>
      <c r="I4" s="1"/>
      <c r="J4" s="1"/>
      <c r="K4" s="1"/>
    </row>
    <row r="5" spans="1:1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5">
      <c r="A236" s="1"/>
      <c r="B236" s="1"/>
      <c r="C236" s="1"/>
      <c r="D236" s="1"/>
      <c r="E236" s="1"/>
      <c r="F236" s="1"/>
      <c r="G236" s="1"/>
    </row>
    <row r="237" spans="1:11" x14ac:dyDescent="0.25">
      <c r="A237" s="1"/>
      <c r="B237" s="1"/>
      <c r="C237" s="1"/>
      <c r="D237" s="1"/>
      <c r="E237" s="1"/>
      <c r="F237" s="1"/>
      <c r="G237" s="1"/>
    </row>
    <row r="238" spans="1:11" x14ac:dyDescent="0.25">
      <c r="A238" s="1"/>
      <c r="B238" s="1"/>
      <c r="C238" s="1"/>
      <c r="D238" s="1"/>
      <c r="E238" s="1"/>
      <c r="F238" s="1"/>
      <c r="G238" s="1"/>
    </row>
    <row r="239" spans="1:11" x14ac:dyDescent="0.25">
      <c r="A239" s="1"/>
      <c r="B239" s="1"/>
      <c r="C239" s="1"/>
      <c r="D239" s="1"/>
      <c r="E239" s="1"/>
      <c r="F239" s="1"/>
      <c r="G239" s="1"/>
    </row>
    <row r="240" spans="1:11" x14ac:dyDescent="0.25">
      <c r="A240" s="1"/>
      <c r="B240" s="1"/>
      <c r="C240" s="1"/>
      <c r="D240" s="1"/>
      <c r="E240" s="1"/>
      <c r="F240" s="1"/>
      <c r="G240" s="1"/>
    </row>
    <row r="241" spans="1:7" x14ac:dyDescent="0.25">
      <c r="A241" s="1"/>
      <c r="B241" s="1"/>
      <c r="C241" s="1"/>
      <c r="D241" s="1"/>
      <c r="E241" s="1"/>
      <c r="F241" s="1"/>
      <c r="G241" s="1"/>
    </row>
  </sheetData>
  <sheetProtection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223"/>
  <sheetViews>
    <sheetView workbookViewId="0">
      <selection activeCell="E14" sqref="E14"/>
    </sheetView>
  </sheetViews>
  <sheetFormatPr defaultRowHeight="15" x14ac:dyDescent="0.25"/>
  <cols>
    <col min="1" max="1" width="41" customWidth="1"/>
    <col min="2" max="2" width="13.42578125" customWidth="1"/>
  </cols>
  <sheetData>
    <row r="1" spans="1:8" ht="26.25" x14ac:dyDescent="0.4">
      <c r="A1" s="98" t="s">
        <v>50</v>
      </c>
      <c r="B1" s="98"/>
      <c r="C1" s="98"/>
      <c r="D1" s="98"/>
      <c r="E1" s="98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2"/>
      <c r="B3" s="2"/>
      <c r="C3" s="2"/>
      <c r="D3" s="2"/>
      <c r="E3" s="2"/>
      <c r="F3" s="1"/>
      <c r="G3" s="1"/>
      <c r="H3" s="1"/>
    </row>
    <row r="4" spans="1:8" x14ac:dyDescent="0.25">
      <c r="A4" s="3"/>
      <c r="B4" s="3"/>
      <c r="C4" s="3"/>
      <c r="D4" s="3"/>
      <c r="E4" s="3"/>
      <c r="F4" s="1"/>
      <c r="G4" s="1"/>
      <c r="H4" s="1"/>
    </row>
    <row r="5" spans="1:8" x14ac:dyDescent="0.25">
      <c r="A5" s="1"/>
      <c r="B5" s="1"/>
      <c r="C5" s="1"/>
      <c r="D5" s="1"/>
      <c r="E5" s="1"/>
      <c r="F5" s="1"/>
      <c r="G5" s="1"/>
      <c r="H5" s="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"/>
      <c r="B7" s="1"/>
      <c r="C7" s="1"/>
      <c r="D7" s="1"/>
      <c r="E7" s="1"/>
      <c r="F7" s="1"/>
      <c r="G7" s="1"/>
      <c r="H7" s="1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9" spans="1:8" x14ac:dyDescent="0.25">
      <c r="A9" s="1"/>
      <c r="B9" s="1"/>
      <c r="C9" s="1"/>
      <c r="D9" s="1"/>
      <c r="E9" s="1"/>
      <c r="F9" s="1"/>
      <c r="G9" s="1"/>
      <c r="H9" s="1"/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A11" s="1"/>
      <c r="B11" s="1"/>
      <c r="C11" s="1"/>
      <c r="D11" s="1"/>
      <c r="E11" s="1"/>
      <c r="F11" s="1"/>
      <c r="G11" s="1"/>
      <c r="H11" s="1"/>
    </row>
    <row r="12" spans="1:8" x14ac:dyDescent="0.25">
      <c r="A12" s="1"/>
      <c r="B12" s="1"/>
      <c r="C12" s="1"/>
      <c r="D12" s="1"/>
      <c r="E12" s="1"/>
      <c r="F12" s="1"/>
      <c r="G12" s="1"/>
      <c r="H12" s="1"/>
    </row>
    <row r="13" spans="1:8" x14ac:dyDescent="0.25">
      <c r="A13" s="1"/>
      <c r="B13" s="1"/>
      <c r="C13" s="1"/>
      <c r="D13" s="1"/>
      <c r="E13" s="1"/>
      <c r="F13" s="1"/>
      <c r="G13" s="1"/>
      <c r="H13" s="1"/>
    </row>
    <row r="14" spans="1:8" x14ac:dyDescent="0.25">
      <c r="A14" s="1"/>
      <c r="B14" s="1"/>
      <c r="C14" s="1"/>
      <c r="D14" s="1"/>
      <c r="E14" s="1"/>
      <c r="F14" s="1"/>
      <c r="G14" s="1"/>
      <c r="H14" s="1"/>
    </row>
    <row r="15" spans="1:8" x14ac:dyDescent="0.25">
      <c r="A15" s="1"/>
      <c r="B15" s="1"/>
      <c r="C15" s="1"/>
      <c r="D15" s="1"/>
      <c r="E15" s="1"/>
      <c r="F15" s="1"/>
      <c r="G15" s="1"/>
      <c r="H15" s="1"/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  <row r="43" spans="1:8" x14ac:dyDescent="0.25">
      <c r="A43" s="1"/>
      <c r="B43" s="1"/>
      <c r="C43" s="1"/>
      <c r="D43" s="1"/>
      <c r="E43" s="1"/>
      <c r="F43" s="1"/>
      <c r="G43" s="1"/>
      <c r="H43" s="1"/>
    </row>
    <row r="44" spans="1:8" x14ac:dyDescent="0.25">
      <c r="A44" s="1"/>
      <c r="B44" s="1"/>
      <c r="C44" s="1"/>
      <c r="D44" s="1"/>
      <c r="E44" s="1"/>
      <c r="F44" s="1"/>
      <c r="G44" s="1"/>
      <c r="H44" s="1"/>
    </row>
    <row r="45" spans="1:8" x14ac:dyDescent="0.25">
      <c r="A45" s="1"/>
      <c r="B45" s="1"/>
      <c r="C45" s="1"/>
      <c r="D45" s="1"/>
      <c r="E45" s="1"/>
      <c r="F45" s="1"/>
      <c r="G45" s="1"/>
      <c r="H45" s="1"/>
    </row>
    <row r="46" spans="1:8" x14ac:dyDescent="0.25">
      <c r="A46" s="1"/>
      <c r="B46" s="1"/>
      <c r="C46" s="1"/>
      <c r="D46" s="1"/>
      <c r="E46" s="1"/>
      <c r="F46" s="1"/>
      <c r="G46" s="1"/>
      <c r="H46" s="1"/>
    </row>
    <row r="47" spans="1:8" x14ac:dyDescent="0.25">
      <c r="A47" s="1"/>
      <c r="B47" s="1"/>
      <c r="C47" s="1"/>
      <c r="D47" s="1"/>
      <c r="E47" s="1"/>
      <c r="F47" s="1"/>
      <c r="G47" s="1"/>
      <c r="H47" s="1"/>
    </row>
    <row r="48" spans="1:8" x14ac:dyDescent="0.25">
      <c r="A48" s="1"/>
      <c r="B48" s="1"/>
      <c r="C48" s="1"/>
      <c r="D48" s="1"/>
      <c r="E48" s="1"/>
      <c r="F48" s="1"/>
      <c r="G48" s="1"/>
      <c r="H48" s="1"/>
    </row>
    <row r="49" spans="1:8" x14ac:dyDescent="0.25">
      <c r="A49" s="1"/>
      <c r="B49" s="1"/>
      <c r="C49" s="1"/>
      <c r="D49" s="1"/>
      <c r="E49" s="1"/>
      <c r="F49" s="1"/>
      <c r="G49" s="1"/>
      <c r="H49" s="1"/>
    </row>
    <row r="50" spans="1:8" x14ac:dyDescent="0.25">
      <c r="A50" s="1"/>
      <c r="B50" s="1"/>
      <c r="C50" s="1"/>
      <c r="D50" s="1"/>
      <c r="E50" s="1"/>
      <c r="F50" s="1"/>
      <c r="G50" s="1"/>
      <c r="H50" s="1"/>
    </row>
    <row r="51" spans="1:8" x14ac:dyDescent="0.25">
      <c r="A51" s="1"/>
      <c r="B51" s="1"/>
      <c r="C51" s="1"/>
      <c r="D51" s="1"/>
      <c r="E51" s="1"/>
      <c r="F51" s="1"/>
      <c r="G51" s="1"/>
      <c r="H51" s="1"/>
    </row>
    <row r="52" spans="1:8" x14ac:dyDescent="0.25">
      <c r="A52" s="1"/>
      <c r="B52" s="1"/>
      <c r="C52" s="1"/>
      <c r="D52" s="1"/>
      <c r="E52" s="1"/>
      <c r="F52" s="1"/>
      <c r="G52" s="1"/>
      <c r="H52" s="1"/>
    </row>
    <row r="53" spans="1:8" x14ac:dyDescent="0.25">
      <c r="A53" s="1"/>
      <c r="B53" s="1"/>
      <c r="C53" s="1"/>
      <c r="D53" s="1"/>
      <c r="E53" s="1"/>
      <c r="F53" s="1"/>
      <c r="G53" s="1"/>
      <c r="H53" s="1"/>
    </row>
    <row r="54" spans="1:8" x14ac:dyDescent="0.25">
      <c r="A54" s="1"/>
      <c r="B54" s="1"/>
      <c r="C54" s="1"/>
      <c r="D54" s="1"/>
      <c r="E54" s="1"/>
      <c r="F54" s="1"/>
      <c r="G54" s="1"/>
      <c r="H54" s="1"/>
    </row>
    <row r="55" spans="1:8" x14ac:dyDescent="0.25">
      <c r="A55" s="1"/>
      <c r="B55" s="1"/>
      <c r="C55" s="1"/>
      <c r="D55" s="1"/>
      <c r="E55" s="1"/>
      <c r="F55" s="1"/>
      <c r="G55" s="1"/>
      <c r="H55" s="1"/>
    </row>
    <row r="56" spans="1:8" x14ac:dyDescent="0.25">
      <c r="A56" s="1"/>
      <c r="B56" s="1"/>
      <c r="C56" s="1"/>
      <c r="D56" s="1"/>
      <c r="E56" s="1"/>
      <c r="F56" s="1"/>
      <c r="G56" s="1"/>
      <c r="H56" s="1"/>
    </row>
    <row r="57" spans="1:8" x14ac:dyDescent="0.25">
      <c r="A57" s="1"/>
      <c r="B57" s="1"/>
      <c r="C57" s="1"/>
      <c r="D57" s="1"/>
      <c r="E57" s="1"/>
      <c r="F57" s="1"/>
      <c r="G57" s="1"/>
      <c r="H57" s="1"/>
    </row>
    <row r="58" spans="1:8" x14ac:dyDescent="0.25">
      <c r="A58" s="1"/>
      <c r="B58" s="1"/>
      <c r="C58" s="1"/>
      <c r="D58" s="1"/>
      <c r="E58" s="1"/>
      <c r="F58" s="1"/>
      <c r="G58" s="1"/>
      <c r="H58" s="1"/>
    </row>
    <row r="59" spans="1:8" x14ac:dyDescent="0.25">
      <c r="A59" s="1"/>
      <c r="B59" s="1"/>
      <c r="C59" s="1"/>
      <c r="D59" s="1"/>
      <c r="E59" s="1"/>
      <c r="F59" s="1"/>
      <c r="G59" s="1"/>
      <c r="H59" s="1"/>
    </row>
    <row r="60" spans="1:8" x14ac:dyDescent="0.25">
      <c r="A60" s="1"/>
      <c r="B60" s="1"/>
      <c r="C60" s="1"/>
      <c r="D60" s="1"/>
      <c r="E60" s="1"/>
      <c r="F60" s="1"/>
      <c r="G60" s="1"/>
      <c r="H60" s="1"/>
    </row>
    <row r="61" spans="1:8" x14ac:dyDescent="0.25">
      <c r="A61" s="1"/>
      <c r="B61" s="1"/>
      <c r="C61" s="1"/>
      <c r="D61" s="1"/>
      <c r="E61" s="1"/>
      <c r="F61" s="1"/>
      <c r="G61" s="1"/>
      <c r="H61" s="1"/>
    </row>
    <row r="62" spans="1:8" x14ac:dyDescent="0.25">
      <c r="A62" s="1"/>
      <c r="B62" s="1"/>
      <c r="C62" s="1"/>
      <c r="D62" s="1"/>
      <c r="E62" s="1"/>
      <c r="F62" s="1"/>
      <c r="G62" s="1"/>
      <c r="H62" s="1"/>
    </row>
    <row r="63" spans="1:8" x14ac:dyDescent="0.25">
      <c r="A63" s="1"/>
      <c r="B63" s="1"/>
      <c r="C63" s="1"/>
      <c r="D63" s="1"/>
      <c r="E63" s="1"/>
      <c r="F63" s="1"/>
      <c r="G63" s="1"/>
      <c r="H63" s="1"/>
    </row>
    <row r="64" spans="1:8" x14ac:dyDescent="0.25">
      <c r="A64" s="1"/>
      <c r="B64" s="1"/>
      <c r="C64" s="1"/>
      <c r="D64" s="1"/>
      <c r="E64" s="1"/>
      <c r="F64" s="1"/>
      <c r="G64" s="1"/>
      <c r="H64" s="1"/>
    </row>
    <row r="65" spans="1:8" x14ac:dyDescent="0.25">
      <c r="A65" s="1"/>
      <c r="B65" s="1"/>
      <c r="C65" s="1"/>
      <c r="D65" s="1"/>
      <c r="E65" s="1"/>
      <c r="F65" s="1"/>
      <c r="G65" s="1"/>
      <c r="H65" s="1"/>
    </row>
    <row r="66" spans="1:8" x14ac:dyDescent="0.25">
      <c r="A66" s="1"/>
      <c r="B66" s="1"/>
      <c r="C66" s="1"/>
      <c r="D66" s="1"/>
      <c r="E66" s="1"/>
      <c r="F66" s="1"/>
      <c r="G66" s="1"/>
      <c r="H66" s="1"/>
    </row>
    <row r="67" spans="1:8" x14ac:dyDescent="0.25">
      <c r="A67" s="1"/>
      <c r="B67" s="1"/>
      <c r="C67" s="1"/>
      <c r="D67" s="1"/>
      <c r="E67" s="1"/>
      <c r="F67" s="1"/>
      <c r="G67" s="1"/>
      <c r="H67" s="1"/>
    </row>
    <row r="68" spans="1:8" x14ac:dyDescent="0.25">
      <c r="A68" s="1"/>
      <c r="B68" s="1"/>
      <c r="C68" s="1"/>
      <c r="D68" s="1"/>
      <c r="E68" s="1"/>
      <c r="F68" s="1"/>
      <c r="G68" s="1"/>
      <c r="H68" s="1"/>
    </row>
    <row r="69" spans="1:8" x14ac:dyDescent="0.25">
      <c r="A69" s="1"/>
      <c r="B69" s="1"/>
      <c r="C69" s="1"/>
      <c r="D69" s="1"/>
      <c r="E69" s="1"/>
      <c r="F69" s="1"/>
      <c r="G69" s="1"/>
      <c r="H69" s="1"/>
    </row>
    <row r="70" spans="1:8" x14ac:dyDescent="0.25">
      <c r="A70" s="1"/>
      <c r="B70" s="1"/>
      <c r="C70" s="1"/>
      <c r="D70" s="1"/>
      <c r="E70" s="1"/>
      <c r="F70" s="1"/>
      <c r="G70" s="1"/>
      <c r="H70" s="1"/>
    </row>
    <row r="71" spans="1:8" x14ac:dyDescent="0.25">
      <c r="A71" s="1"/>
      <c r="B71" s="1"/>
      <c r="C71" s="1"/>
      <c r="D71" s="1"/>
      <c r="E71" s="1"/>
      <c r="F71" s="1"/>
      <c r="G71" s="1"/>
      <c r="H71" s="1"/>
    </row>
    <row r="72" spans="1:8" x14ac:dyDescent="0.25">
      <c r="A72" s="1"/>
      <c r="B72" s="1"/>
      <c r="C72" s="1"/>
      <c r="D72" s="1"/>
      <c r="E72" s="1"/>
      <c r="F72" s="1"/>
      <c r="G72" s="1"/>
      <c r="H72" s="1"/>
    </row>
    <row r="73" spans="1:8" x14ac:dyDescent="0.25">
      <c r="A73" s="1"/>
      <c r="B73" s="1"/>
      <c r="C73" s="1"/>
      <c r="D73" s="1"/>
      <c r="E73" s="1"/>
      <c r="F73" s="1"/>
      <c r="G73" s="1"/>
      <c r="H73" s="1"/>
    </row>
    <row r="74" spans="1:8" x14ac:dyDescent="0.25">
      <c r="A74" s="1"/>
      <c r="B74" s="1"/>
      <c r="C74" s="1"/>
      <c r="D74" s="1"/>
      <c r="E74" s="1"/>
      <c r="F74" s="1"/>
      <c r="G74" s="1"/>
      <c r="H74" s="1"/>
    </row>
    <row r="75" spans="1:8" x14ac:dyDescent="0.25">
      <c r="A75" s="1"/>
      <c r="B75" s="1"/>
      <c r="C75" s="1"/>
      <c r="D75" s="1"/>
      <c r="E75" s="1"/>
      <c r="F75" s="1"/>
      <c r="G75" s="1"/>
      <c r="H75" s="1"/>
    </row>
    <row r="76" spans="1:8" x14ac:dyDescent="0.25">
      <c r="A76" s="1"/>
      <c r="B76" s="1"/>
      <c r="C76" s="1"/>
      <c r="D76" s="1"/>
      <c r="E76" s="1"/>
      <c r="F76" s="1"/>
      <c r="G76" s="1"/>
      <c r="H76" s="1"/>
    </row>
    <row r="77" spans="1:8" x14ac:dyDescent="0.25">
      <c r="A77" s="1"/>
      <c r="B77" s="1"/>
      <c r="C77" s="1"/>
      <c r="D77" s="1"/>
      <c r="E77" s="1"/>
      <c r="F77" s="1"/>
      <c r="G77" s="1"/>
      <c r="H77" s="1"/>
    </row>
    <row r="78" spans="1:8" x14ac:dyDescent="0.25">
      <c r="A78" s="1"/>
      <c r="B78" s="1"/>
      <c r="C78" s="1"/>
      <c r="D78" s="1"/>
      <c r="E78" s="1"/>
      <c r="F78" s="1"/>
      <c r="G78" s="1"/>
      <c r="H78" s="1"/>
    </row>
    <row r="79" spans="1:8" x14ac:dyDescent="0.25">
      <c r="A79" s="1"/>
      <c r="B79" s="1"/>
      <c r="C79" s="1"/>
      <c r="D79" s="1"/>
      <c r="E79" s="1"/>
      <c r="F79" s="1"/>
      <c r="G79" s="1"/>
      <c r="H79" s="1"/>
    </row>
    <row r="80" spans="1:8" x14ac:dyDescent="0.25">
      <c r="A80" s="1"/>
      <c r="B80" s="1"/>
      <c r="C80" s="1"/>
      <c r="D80" s="1"/>
      <c r="E80" s="1"/>
      <c r="F80" s="1"/>
      <c r="G80" s="1"/>
      <c r="H80" s="1"/>
    </row>
    <row r="81" spans="1:8" x14ac:dyDescent="0.25">
      <c r="A81" s="1"/>
      <c r="B81" s="1"/>
      <c r="C81" s="1"/>
      <c r="D81" s="1"/>
      <c r="E81" s="1"/>
      <c r="F81" s="1"/>
      <c r="G81" s="1"/>
      <c r="H81" s="1"/>
    </row>
    <row r="82" spans="1:8" x14ac:dyDescent="0.25">
      <c r="A82" s="1"/>
      <c r="B82" s="1"/>
      <c r="C82" s="1"/>
      <c r="D82" s="1"/>
      <c r="E82" s="1"/>
      <c r="F82" s="1"/>
      <c r="G82" s="1"/>
      <c r="H82" s="1"/>
    </row>
    <row r="83" spans="1:8" x14ac:dyDescent="0.25">
      <c r="A83" s="1"/>
      <c r="B83" s="1"/>
      <c r="C83" s="1"/>
      <c r="D83" s="1"/>
      <c r="E83" s="1"/>
      <c r="F83" s="1"/>
      <c r="G83" s="1"/>
      <c r="H83" s="1"/>
    </row>
    <row r="84" spans="1:8" x14ac:dyDescent="0.25">
      <c r="A84" s="1"/>
      <c r="B84" s="1"/>
      <c r="C84" s="1"/>
      <c r="D84" s="1"/>
      <c r="E84" s="1"/>
      <c r="F84" s="1"/>
      <c r="G84" s="1"/>
      <c r="H84" s="1"/>
    </row>
    <row r="85" spans="1:8" x14ac:dyDescent="0.25">
      <c r="A85" s="1"/>
      <c r="B85" s="1"/>
      <c r="C85" s="1"/>
      <c r="D85" s="1"/>
      <c r="E85" s="1"/>
      <c r="F85" s="1"/>
      <c r="G85" s="1"/>
      <c r="H85" s="1"/>
    </row>
    <row r="86" spans="1:8" x14ac:dyDescent="0.25">
      <c r="A86" s="1"/>
      <c r="B86" s="1"/>
      <c r="C86" s="1"/>
      <c r="D86" s="1"/>
      <c r="E86" s="1"/>
      <c r="F86" s="1"/>
      <c r="G86" s="1"/>
      <c r="H86" s="1"/>
    </row>
    <row r="87" spans="1:8" x14ac:dyDescent="0.25">
      <c r="A87" s="1"/>
      <c r="B87" s="1"/>
      <c r="C87" s="1"/>
      <c r="D87" s="1"/>
      <c r="E87" s="1"/>
      <c r="F87" s="1"/>
      <c r="G87" s="1"/>
      <c r="H87" s="1"/>
    </row>
    <row r="88" spans="1:8" x14ac:dyDescent="0.25">
      <c r="A88" s="1"/>
      <c r="B88" s="1"/>
      <c r="C88" s="1"/>
      <c r="D88" s="1"/>
      <c r="E88" s="1"/>
      <c r="F88" s="1"/>
      <c r="G88" s="1"/>
      <c r="H88" s="1"/>
    </row>
    <row r="89" spans="1:8" x14ac:dyDescent="0.25">
      <c r="A89" s="1"/>
      <c r="B89" s="1"/>
      <c r="C89" s="1"/>
      <c r="D89" s="1"/>
      <c r="E89" s="1"/>
      <c r="F89" s="1"/>
      <c r="G89" s="1"/>
      <c r="H89" s="1"/>
    </row>
    <row r="90" spans="1:8" x14ac:dyDescent="0.25">
      <c r="A90" s="1"/>
      <c r="B90" s="1"/>
      <c r="C90" s="1"/>
      <c r="D90" s="1"/>
      <c r="E90" s="1"/>
      <c r="F90" s="1"/>
      <c r="G90" s="1"/>
      <c r="H90" s="1"/>
    </row>
    <row r="91" spans="1:8" x14ac:dyDescent="0.25">
      <c r="A91" s="1"/>
      <c r="B91" s="1"/>
      <c r="C91" s="1"/>
      <c r="D91" s="1"/>
      <c r="E91" s="1"/>
      <c r="F91" s="1"/>
      <c r="G91" s="1"/>
      <c r="H91" s="1"/>
    </row>
    <row r="92" spans="1:8" x14ac:dyDescent="0.25">
      <c r="A92" s="1"/>
      <c r="B92" s="1"/>
      <c r="C92" s="1"/>
      <c r="D92" s="1"/>
      <c r="E92" s="1"/>
      <c r="F92" s="1"/>
      <c r="G92" s="1"/>
      <c r="H92" s="1"/>
    </row>
    <row r="93" spans="1:8" x14ac:dyDescent="0.25">
      <c r="A93" s="1"/>
      <c r="B93" s="1"/>
      <c r="C93" s="1"/>
      <c r="D93" s="1"/>
      <c r="E93" s="1"/>
      <c r="F93" s="1"/>
      <c r="G93" s="1"/>
      <c r="H93" s="1"/>
    </row>
    <row r="94" spans="1:8" x14ac:dyDescent="0.25">
      <c r="A94" s="1"/>
      <c r="B94" s="1"/>
      <c r="C94" s="1"/>
      <c r="D94" s="1"/>
      <c r="E94" s="1"/>
      <c r="F94" s="1"/>
      <c r="G94" s="1"/>
      <c r="H94" s="1"/>
    </row>
    <row r="95" spans="1:8" x14ac:dyDescent="0.25">
      <c r="A95" s="1"/>
      <c r="B95" s="1"/>
      <c r="C95" s="1"/>
      <c r="D95" s="1"/>
      <c r="E95" s="1"/>
      <c r="F95" s="1"/>
      <c r="G95" s="1"/>
      <c r="H95" s="1"/>
    </row>
    <row r="96" spans="1:8" x14ac:dyDescent="0.25">
      <c r="A96" s="1"/>
      <c r="B96" s="1"/>
      <c r="C96" s="1"/>
      <c r="D96" s="1"/>
      <c r="E96" s="1"/>
      <c r="F96" s="1"/>
      <c r="G96" s="1"/>
      <c r="H96" s="1"/>
    </row>
    <row r="97" spans="1:8" x14ac:dyDescent="0.25">
      <c r="A97" s="1"/>
      <c r="B97" s="1"/>
      <c r="C97" s="1"/>
      <c r="D97" s="1"/>
      <c r="E97" s="1"/>
      <c r="F97" s="1"/>
      <c r="G97" s="1"/>
      <c r="H97" s="1"/>
    </row>
    <row r="98" spans="1:8" x14ac:dyDescent="0.25">
      <c r="A98" s="1"/>
      <c r="B98" s="1"/>
      <c r="C98" s="1"/>
      <c r="D98" s="1"/>
      <c r="E98" s="1"/>
      <c r="F98" s="1"/>
      <c r="G98" s="1"/>
      <c r="H98" s="1"/>
    </row>
    <row r="99" spans="1:8" x14ac:dyDescent="0.25">
      <c r="A99" s="1"/>
      <c r="B99" s="1"/>
      <c r="C99" s="1"/>
      <c r="D99" s="1"/>
      <c r="E99" s="1"/>
      <c r="F99" s="1"/>
      <c r="G99" s="1"/>
      <c r="H99" s="1"/>
    </row>
    <row r="100" spans="1:8" x14ac:dyDescent="0.25">
      <c r="A100" s="1"/>
      <c r="B100" s="1"/>
      <c r="C100" s="1"/>
      <c r="D100" s="1"/>
      <c r="E100" s="1"/>
      <c r="F100" s="1"/>
      <c r="G100" s="1"/>
      <c r="H100" s="1"/>
    </row>
    <row r="101" spans="1:8" x14ac:dyDescent="0.25">
      <c r="A101" s="1"/>
      <c r="B101" s="1"/>
      <c r="C101" s="1"/>
      <c r="D101" s="1"/>
      <c r="E101" s="1"/>
      <c r="F101" s="1"/>
      <c r="G101" s="1"/>
      <c r="H101" s="1"/>
    </row>
    <row r="102" spans="1:8" x14ac:dyDescent="0.25">
      <c r="A102" s="1"/>
      <c r="B102" s="1"/>
      <c r="C102" s="1"/>
      <c r="D102" s="1"/>
      <c r="E102" s="1"/>
      <c r="F102" s="1"/>
      <c r="G102" s="1"/>
      <c r="H102" s="1"/>
    </row>
    <row r="103" spans="1:8" x14ac:dyDescent="0.25">
      <c r="A103" s="1"/>
      <c r="B103" s="1"/>
      <c r="C103" s="1"/>
      <c r="D103" s="1"/>
      <c r="E103" s="1"/>
      <c r="F103" s="1"/>
      <c r="G103" s="1"/>
      <c r="H103" s="1"/>
    </row>
    <row r="104" spans="1:8" x14ac:dyDescent="0.25">
      <c r="A104" s="1"/>
      <c r="B104" s="1"/>
      <c r="C104" s="1"/>
      <c r="D104" s="1"/>
      <c r="E104" s="1"/>
      <c r="F104" s="1"/>
      <c r="G104" s="1"/>
      <c r="H104" s="1"/>
    </row>
    <row r="105" spans="1:8" x14ac:dyDescent="0.25">
      <c r="A105" s="1"/>
      <c r="B105" s="1"/>
      <c r="C105" s="1"/>
      <c r="D105" s="1"/>
      <c r="E105" s="1"/>
      <c r="F105" s="1"/>
      <c r="G105" s="1"/>
      <c r="H105" s="1"/>
    </row>
    <row r="106" spans="1:8" x14ac:dyDescent="0.25">
      <c r="A106" s="1"/>
      <c r="B106" s="1"/>
      <c r="C106" s="1"/>
      <c r="D106" s="1"/>
      <c r="E106" s="1"/>
      <c r="F106" s="1"/>
      <c r="G106" s="1"/>
      <c r="H106" s="1"/>
    </row>
    <row r="107" spans="1:8" x14ac:dyDescent="0.25">
      <c r="A107" s="1"/>
      <c r="B107" s="1"/>
      <c r="C107" s="1"/>
      <c r="D107" s="1"/>
      <c r="E107" s="1"/>
      <c r="F107" s="1"/>
      <c r="G107" s="1"/>
      <c r="H107" s="1"/>
    </row>
    <row r="108" spans="1:8" x14ac:dyDescent="0.25">
      <c r="A108" s="1"/>
      <c r="B108" s="1"/>
      <c r="C108" s="1"/>
      <c r="D108" s="1"/>
      <c r="E108" s="1"/>
      <c r="F108" s="1"/>
      <c r="G108" s="1"/>
      <c r="H108" s="1"/>
    </row>
    <row r="109" spans="1:8" x14ac:dyDescent="0.25">
      <c r="A109" s="1"/>
      <c r="B109" s="1"/>
      <c r="C109" s="1"/>
      <c r="D109" s="1"/>
      <c r="E109" s="1"/>
      <c r="F109" s="1"/>
      <c r="G109" s="1"/>
      <c r="H109" s="1"/>
    </row>
    <row r="110" spans="1:8" x14ac:dyDescent="0.25">
      <c r="A110" s="1"/>
      <c r="B110" s="1"/>
      <c r="C110" s="1"/>
      <c r="D110" s="1"/>
      <c r="E110" s="1"/>
      <c r="F110" s="1"/>
      <c r="G110" s="1"/>
      <c r="H110" s="1"/>
    </row>
    <row r="111" spans="1:8" x14ac:dyDescent="0.25">
      <c r="A111" s="1"/>
      <c r="B111" s="1"/>
      <c r="C111" s="1"/>
      <c r="D111" s="1"/>
      <c r="E111" s="1"/>
      <c r="F111" s="1"/>
      <c r="G111" s="1"/>
      <c r="H111" s="1"/>
    </row>
    <row r="112" spans="1:8" x14ac:dyDescent="0.25">
      <c r="A112" s="1"/>
      <c r="B112" s="1"/>
      <c r="C112" s="1"/>
      <c r="D112" s="1"/>
      <c r="E112" s="1"/>
      <c r="F112" s="1"/>
      <c r="G112" s="1"/>
      <c r="H112" s="1"/>
    </row>
    <row r="113" spans="1:8" x14ac:dyDescent="0.25">
      <c r="A113" s="1"/>
      <c r="B113" s="1"/>
      <c r="C113" s="1"/>
      <c r="D113" s="1"/>
      <c r="E113" s="1"/>
      <c r="F113" s="1"/>
      <c r="G113" s="1"/>
      <c r="H113" s="1"/>
    </row>
    <row r="114" spans="1:8" x14ac:dyDescent="0.25">
      <c r="A114" s="1"/>
      <c r="B114" s="1"/>
      <c r="C114" s="1"/>
      <c r="D114" s="1"/>
      <c r="E114" s="1"/>
      <c r="F114" s="1"/>
      <c r="G114" s="1"/>
      <c r="H114" s="1"/>
    </row>
    <row r="115" spans="1:8" x14ac:dyDescent="0.25">
      <c r="A115" s="1"/>
      <c r="B115" s="1"/>
      <c r="C115" s="1"/>
      <c r="D115" s="1"/>
      <c r="E115" s="1"/>
      <c r="F115" s="1"/>
      <c r="G115" s="1"/>
      <c r="H115" s="1"/>
    </row>
    <row r="116" spans="1:8" x14ac:dyDescent="0.25">
      <c r="A116" s="1"/>
      <c r="B116" s="1"/>
      <c r="C116" s="1"/>
      <c r="D116" s="1"/>
      <c r="E116" s="1"/>
      <c r="F116" s="1"/>
      <c r="G116" s="1"/>
      <c r="H116" s="1"/>
    </row>
    <row r="117" spans="1:8" x14ac:dyDescent="0.25">
      <c r="A117" s="1"/>
      <c r="B117" s="1"/>
      <c r="C117" s="1"/>
      <c r="D117" s="1"/>
      <c r="E117" s="1"/>
      <c r="F117" s="1"/>
      <c r="G117" s="1"/>
      <c r="H117" s="1"/>
    </row>
    <row r="118" spans="1:8" x14ac:dyDescent="0.25">
      <c r="A118" s="1"/>
      <c r="B118" s="1"/>
      <c r="C118" s="1"/>
      <c r="D118" s="1"/>
      <c r="E118" s="1"/>
      <c r="F118" s="1"/>
      <c r="G118" s="1"/>
      <c r="H118" s="1"/>
    </row>
    <row r="119" spans="1:8" x14ac:dyDescent="0.25">
      <c r="A119" s="1"/>
      <c r="B119" s="1"/>
      <c r="C119" s="1"/>
      <c r="D119" s="1"/>
      <c r="E119" s="1"/>
      <c r="F119" s="1"/>
      <c r="G119" s="1"/>
      <c r="H119" s="1"/>
    </row>
    <row r="120" spans="1:8" x14ac:dyDescent="0.25">
      <c r="A120" s="1"/>
      <c r="B120" s="1"/>
      <c r="C120" s="1"/>
      <c r="D120" s="1"/>
      <c r="E120" s="1"/>
      <c r="F120" s="1"/>
      <c r="G120" s="1"/>
      <c r="H120" s="1"/>
    </row>
    <row r="121" spans="1:8" x14ac:dyDescent="0.25">
      <c r="A121" s="1"/>
      <c r="B121" s="1"/>
      <c r="C121" s="1"/>
      <c r="D121" s="1"/>
      <c r="E121" s="1"/>
      <c r="F121" s="1"/>
      <c r="G121" s="1"/>
      <c r="H121" s="1"/>
    </row>
    <row r="122" spans="1:8" x14ac:dyDescent="0.25">
      <c r="A122" s="1"/>
      <c r="B122" s="1"/>
      <c r="C122" s="1"/>
      <c r="D122" s="1"/>
      <c r="E122" s="1"/>
      <c r="F122" s="1"/>
      <c r="G122" s="1"/>
      <c r="H122" s="1"/>
    </row>
    <row r="123" spans="1:8" x14ac:dyDescent="0.25">
      <c r="A123" s="1"/>
      <c r="B123" s="1"/>
      <c r="C123" s="1"/>
      <c r="D123" s="1"/>
      <c r="E123" s="1"/>
      <c r="F123" s="1"/>
      <c r="G123" s="1"/>
      <c r="H123" s="1"/>
    </row>
    <row r="124" spans="1:8" x14ac:dyDescent="0.25">
      <c r="A124" s="1"/>
      <c r="B124" s="1"/>
      <c r="C124" s="1"/>
      <c r="D124" s="1"/>
      <c r="E124" s="1"/>
      <c r="F124" s="1"/>
      <c r="G124" s="1"/>
      <c r="H124" s="1"/>
    </row>
    <row r="125" spans="1:8" x14ac:dyDescent="0.25">
      <c r="A125" s="1"/>
      <c r="B125" s="1"/>
      <c r="C125" s="1"/>
      <c r="D125" s="1"/>
      <c r="E125" s="1"/>
      <c r="F125" s="1"/>
      <c r="G125" s="1"/>
      <c r="H125" s="1"/>
    </row>
    <row r="126" spans="1:8" x14ac:dyDescent="0.25">
      <c r="A126" s="1"/>
      <c r="B126" s="1"/>
      <c r="C126" s="1"/>
      <c r="D126" s="1"/>
      <c r="E126" s="1"/>
      <c r="F126" s="1"/>
      <c r="G126" s="1"/>
      <c r="H126" s="1"/>
    </row>
    <row r="127" spans="1:8" x14ac:dyDescent="0.25">
      <c r="A127" s="1"/>
      <c r="B127" s="1"/>
      <c r="C127" s="1"/>
      <c r="D127" s="1"/>
      <c r="E127" s="1"/>
      <c r="F127" s="1"/>
      <c r="G127" s="1"/>
      <c r="H127" s="1"/>
    </row>
    <row r="128" spans="1:8" x14ac:dyDescent="0.25">
      <c r="A128" s="1"/>
      <c r="B128" s="1"/>
      <c r="C128" s="1"/>
      <c r="D128" s="1"/>
      <c r="E128" s="1"/>
      <c r="F128" s="1"/>
      <c r="G128" s="1"/>
      <c r="H128" s="1"/>
    </row>
    <row r="129" spans="1:8" x14ac:dyDescent="0.25">
      <c r="A129" s="1"/>
      <c r="B129" s="1"/>
      <c r="C129" s="1"/>
      <c r="D129" s="1"/>
      <c r="E129" s="1"/>
      <c r="F129" s="1"/>
      <c r="G129" s="1"/>
      <c r="H129" s="1"/>
    </row>
    <row r="130" spans="1:8" x14ac:dyDescent="0.25">
      <c r="A130" s="1"/>
      <c r="B130" s="1"/>
      <c r="C130" s="1"/>
      <c r="D130" s="1"/>
      <c r="E130" s="1"/>
      <c r="F130" s="1"/>
      <c r="G130" s="1"/>
      <c r="H130" s="1"/>
    </row>
    <row r="131" spans="1:8" x14ac:dyDescent="0.25">
      <c r="A131" s="1"/>
      <c r="B131" s="1"/>
      <c r="C131" s="1"/>
      <c r="D131" s="1"/>
      <c r="E131" s="1"/>
      <c r="F131" s="1"/>
      <c r="G131" s="1"/>
      <c r="H131" s="1"/>
    </row>
    <row r="132" spans="1:8" x14ac:dyDescent="0.25">
      <c r="A132" s="1"/>
      <c r="B132" s="1"/>
      <c r="C132" s="1"/>
      <c r="D132" s="1"/>
      <c r="E132" s="1"/>
      <c r="F132" s="1"/>
      <c r="G132" s="1"/>
      <c r="H132" s="1"/>
    </row>
    <row r="133" spans="1:8" x14ac:dyDescent="0.25">
      <c r="A133" s="1"/>
      <c r="B133" s="1"/>
      <c r="C133" s="1"/>
      <c r="D133" s="1"/>
      <c r="E133" s="1"/>
      <c r="F133" s="1"/>
      <c r="G133" s="1"/>
      <c r="H133" s="1"/>
    </row>
    <row r="134" spans="1:8" x14ac:dyDescent="0.25">
      <c r="A134" s="1"/>
      <c r="B134" s="1"/>
      <c r="C134" s="1"/>
      <c r="D134" s="1"/>
      <c r="E134" s="1"/>
      <c r="F134" s="1"/>
      <c r="G134" s="1"/>
      <c r="H134" s="1"/>
    </row>
    <row r="135" spans="1:8" x14ac:dyDescent="0.25">
      <c r="A135" s="1"/>
      <c r="B135" s="1"/>
      <c r="C135" s="1"/>
      <c r="D135" s="1"/>
      <c r="E135" s="1"/>
      <c r="F135" s="1"/>
      <c r="G135" s="1"/>
      <c r="H135" s="1"/>
    </row>
    <row r="136" spans="1:8" x14ac:dyDescent="0.25">
      <c r="A136" s="1"/>
      <c r="B136" s="1"/>
      <c r="C136" s="1"/>
      <c r="D136" s="1"/>
      <c r="E136" s="1"/>
      <c r="F136" s="1"/>
      <c r="G136" s="1"/>
      <c r="H136" s="1"/>
    </row>
    <row r="137" spans="1:8" x14ac:dyDescent="0.25">
      <c r="A137" s="1"/>
      <c r="B137" s="1"/>
      <c r="C137" s="1"/>
      <c r="D137" s="1"/>
      <c r="E137" s="1"/>
      <c r="F137" s="1"/>
      <c r="G137" s="1"/>
      <c r="H137" s="1"/>
    </row>
    <row r="138" spans="1:8" x14ac:dyDescent="0.25">
      <c r="A138" s="1"/>
      <c r="B138" s="1"/>
      <c r="C138" s="1"/>
      <c r="D138" s="1"/>
      <c r="E138" s="1"/>
      <c r="F138" s="1"/>
      <c r="G138" s="1"/>
      <c r="H138" s="1"/>
    </row>
    <row r="139" spans="1:8" x14ac:dyDescent="0.25">
      <c r="A139" s="1"/>
      <c r="B139" s="1"/>
      <c r="C139" s="1"/>
      <c r="D139" s="1"/>
      <c r="E139" s="1"/>
      <c r="F139" s="1"/>
      <c r="G139" s="1"/>
      <c r="H139" s="1"/>
    </row>
    <row r="140" spans="1:8" x14ac:dyDescent="0.25">
      <c r="A140" s="1"/>
      <c r="B140" s="1"/>
      <c r="C140" s="1"/>
      <c r="D140" s="1"/>
      <c r="E140" s="1"/>
      <c r="F140" s="1"/>
      <c r="G140" s="1"/>
      <c r="H140" s="1"/>
    </row>
    <row r="141" spans="1:8" x14ac:dyDescent="0.25">
      <c r="A141" s="1"/>
      <c r="B141" s="1"/>
      <c r="C141" s="1"/>
      <c r="D141" s="1"/>
      <c r="E141" s="1"/>
      <c r="F141" s="1"/>
      <c r="G141" s="1"/>
      <c r="H141" s="1"/>
    </row>
    <row r="142" spans="1:8" x14ac:dyDescent="0.25">
      <c r="A142" s="1"/>
      <c r="B142" s="1"/>
      <c r="C142" s="1"/>
      <c r="D142" s="1"/>
      <c r="E142" s="1"/>
      <c r="F142" s="1"/>
      <c r="G142" s="1"/>
      <c r="H142" s="1"/>
    </row>
    <row r="143" spans="1:8" x14ac:dyDescent="0.25">
      <c r="A143" s="1"/>
      <c r="B143" s="1"/>
      <c r="C143" s="1"/>
      <c r="D143" s="1"/>
      <c r="E143" s="1"/>
      <c r="F143" s="1"/>
      <c r="G143" s="1"/>
      <c r="H143" s="1"/>
    </row>
    <row r="144" spans="1:8" x14ac:dyDescent="0.25">
      <c r="A144" s="1"/>
      <c r="B144" s="1"/>
      <c r="C144" s="1"/>
      <c r="D144" s="1"/>
      <c r="E144" s="1"/>
      <c r="F144" s="1"/>
      <c r="G144" s="1"/>
      <c r="H144" s="1"/>
    </row>
    <row r="145" spans="1:8" x14ac:dyDescent="0.25">
      <c r="A145" s="1"/>
      <c r="B145" s="1"/>
      <c r="C145" s="1"/>
      <c r="D145" s="1"/>
      <c r="E145" s="1"/>
      <c r="F145" s="1"/>
      <c r="G145" s="1"/>
      <c r="H145" s="1"/>
    </row>
    <row r="146" spans="1:8" x14ac:dyDescent="0.25">
      <c r="A146" s="1"/>
      <c r="B146" s="1"/>
      <c r="C146" s="1"/>
      <c r="D146" s="1"/>
      <c r="E146" s="1"/>
      <c r="F146" s="1"/>
      <c r="G146" s="1"/>
      <c r="H146" s="1"/>
    </row>
    <row r="147" spans="1:8" x14ac:dyDescent="0.25">
      <c r="A147" s="1"/>
      <c r="B147" s="1"/>
      <c r="C147" s="1"/>
      <c r="D147" s="1"/>
      <c r="E147" s="1"/>
      <c r="F147" s="1"/>
      <c r="G147" s="1"/>
      <c r="H147" s="1"/>
    </row>
    <row r="148" spans="1:8" x14ac:dyDescent="0.25">
      <c r="A148" s="1"/>
      <c r="B148" s="1"/>
      <c r="C148" s="1"/>
      <c r="D148" s="1"/>
      <c r="E148" s="1"/>
      <c r="F148" s="1"/>
      <c r="G148" s="1"/>
      <c r="H148" s="1"/>
    </row>
    <row r="149" spans="1:8" x14ac:dyDescent="0.25">
      <c r="A149" s="1"/>
      <c r="B149" s="1"/>
      <c r="C149" s="1"/>
      <c r="D149" s="1"/>
      <c r="E149" s="1"/>
      <c r="F149" s="1"/>
      <c r="G149" s="1"/>
      <c r="H149" s="1"/>
    </row>
    <row r="150" spans="1:8" x14ac:dyDescent="0.25">
      <c r="A150" s="1"/>
      <c r="B150" s="1"/>
      <c r="C150" s="1"/>
      <c r="D150" s="1"/>
      <c r="E150" s="1"/>
      <c r="F150" s="1"/>
      <c r="G150" s="1"/>
      <c r="H150" s="1"/>
    </row>
    <row r="151" spans="1:8" x14ac:dyDescent="0.25">
      <c r="A151" s="1"/>
      <c r="B151" s="1"/>
      <c r="C151" s="1"/>
      <c r="D151" s="1"/>
      <c r="E151" s="1"/>
      <c r="F151" s="1"/>
      <c r="G151" s="1"/>
      <c r="H151" s="1"/>
    </row>
    <row r="152" spans="1:8" x14ac:dyDescent="0.25">
      <c r="A152" s="1"/>
      <c r="B152" s="1"/>
      <c r="C152" s="1"/>
      <c r="D152" s="1"/>
      <c r="E152" s="1"/>
      <c r="F152" s="1"/>
      <c r="G152" s="1"/>
      <c r="H152" s="1"/>
    </row>
    <row r="153" spans="1:8" x14ac:dyDescent="0.25">
      <c r="A153" s="1"/>
      <c r="B153" s="1"/>
      <c r="C153" s="1"/>
      <c r="D153" s="1"/>
      <c r="E153" s="1"/>
      <c r="F153" s="1"/>
      <c r="G153" s="1"/>
      <c r="H153" s="1"/>
    </row>
    <row r="154" spans="1:8" x14ac:dyDescent="0.25">
      <c r="A154" s="1"/>
      <c r="B154" s="1"/>
      <c r="C154" s="1"/>
      <c r="D154" s="1"/>
      <c r="E154" s="1"/>
      <c r="F154" s="1"/>
      <c r="G154" s="1"/>
      <c r="H154" s="1"/>
    </row>
    <row r="155" spans="1:8" x14ac:dyDescent="0.25">
      <c r="A155" s="1"/>
      <c r="B155" s="1"/>
      <c r="C155" s="1"/>
      <c r="D155" s="1"/>
      <c r="E155" s="1"/>
      <c r="F155" s="1"/>
      <c r="G155" s="1"/>
      <c r="H155" s="1"/>
    </row>
    <row r="156" spans="1:8" x14ac:dyDescent="0.25">
      <c r="A156" s="1"/>
      <c r="B156" s="1"/>
      <c r="C156" s="1"/>
      <c r="D156" s="1"/>
      <c r="E156" s="1"/>
      <c r="F156" s="1"/>
      <c r="G156" s="1"/>
      <c r="H156" s="1"/>
    </row>
    <row r="157" spans="1:8" x14ac:dyDescent="0.25">
      <c r="A157" s="1"/>
      <c r="B157" s="1"/>
      <c r="C157" s="1"/>
      <c r="D157" s="1"/>
      <c r="E157" s="1"/>
      <c r="F157" s="1"/>
      <c r="G157" s="1"/>
      <c r="H157" s="1"/>
    </row>
    <row r="158" spans="1:8" x14ac:dyDescent="0.25">
      <c r="A158" s="1"/>
      <c r="B158" s="1"/>
      <c r="C158" s="1"/>
      <c r="D158" s="1"/>
      <c r="E158" s="1"/>
      <c r="F158" s="1"/>
      <c r="G158" s="1"/>
      <c r="H158" s="1"/>
    </row>
    <row r="159" spans="1:8" x14ac:dyDescent="0.25">
      <c r="A159" s="1"/>
      <c r="B159" s="1"/>
      <c r="C159" s="1"/>
      <c r="D159" s="1"/>
      <c r="E159" s="1"/>
      <c r="F159" s="1"/>
      <c r="G159" s="1"/>
      <c r="H159" s="1"/>
    </row>
    <row r="160" spans="1:8" x14ac:dyDescent="0.25">
      <c r="A160" s="1"/>
      <c r="B160" s="1"/>
      <c r="C160" s="1"/>
      <c r="D160" s="1"/>
      <c r="E160" s="1"/>
      <c r="F160" s="1"/>
      <c r="G160" s="1"/>
      <c r="H160" s="1"/>
    </row>
    <row r="161" spans="1:8" x14ac:dyDescent="0.25">
      <c r="A161" s="1"/>
      <c r="B161" s="1"/>
      <c r="C161" s="1"/>
      <c r="D161" s="1"/>
      <c r="E161" s="1"/>
      <c r="F161" s="1"/>
      <c r="G161" s="1"/>
      <c r="H161" s="1"/>
    </row>
    <row r="162" spans="1:8" x14ac:dyDescent="0.25">
      <c r="A162" s="1"/>
      <c r="B162" s="1"/>
      <c r="C162" s="1"/>
      <c r="D162" s="1"/>
      <c r="E162" s="1"/>
      <c r="F162" s="1"/>
      <c r="G162" s="1"/>
      <c r="H162" s="1"/>
    </row>
    <row r="163" spans="1:8" x14ac:dyDescent="0.25">
      <c r="A163" s="1"/>
      <c r="B163" s="1"/>
      <c r="C163" s="1"/>
      <c r="D163" s="1"/>
      <c r="E163" s="1"/>
      <c r="F163" s="1"/>
      <c r="G163" s="1"/>
      <c r="H163" s="1"/>
    </row>
    <row r="164" spans="1:8" x14ac:dyDescent="0.25">
      <c r="A164" s="1"/>
      <c r="B164" s="1"/>
      <c r="C164" s="1"/>
      <c r="D164" s="1"/>
      <c r="E164" s="1"/>
      <c r="F164" s="1"/>
      <c r="G164" s="1"/>
      <c r="H164" s="1"/>
    </row>
    <row r="165" spans="1:8" x14ac:dyDescent="0.25">
      <c r="A165" s="1"/>
      <c r="B165" s="1"/>
      <c r="C165" s="1"/>
      <c r="D165" s="1"/>
      <c r="E165" s="1"/>
      <c r="F165" s="1"/>
      <c r="G165" s="1"/>
      <c r="H165" s="1"/>
    </row>
    <row r="166" spans="1:8" x14ac:dyDescent="0.25">
      <c r="A166" s="1"/>
      <c r="B166" s="1"/>
      <c r="C166" s="1"/>
      <c r="D166" s="1"/>
      <c r="E166" s="1"/>
      <c r="F166" s="1"/>
      <c r="G166" s="1"/>
      <c r="H166" s="1"/>
    </row>
    <row r="167" spans="1:8" x14ac:dyDescent="0.25">
      <c r="A167" s="1"/>
      <c r="B167" s="1"/>
      <c r="C167" s="1"/>
      <c r="D167" s="1"/>
      <c r="E167" s="1"/>
      <c r="F167" s="1"/>
      <c r="G167" s="1"/>
      <c r="H167" s="1"/>
    </row>
    <row r="168" spans="1:8" x14ac:dyDescent="0.25">
      <c r="A168" s="1"/>
      <c r="B168" s="1"/>
      <c r="C168" s="1"/>
      <c r="D168" s="1"/>
      <c r="E168" s="1"/>
      <c r="F168" s="1"/>
      <c r="G168" s="1"/>
      <c r="H168" s="1"/>
    </row>
    <row r="169" spans="1:8" x14ac:dyDescent="0.25">
      <c r="A169" s="1"/>
      <c r="B169" s="1"/>
      <c r="C169" s="1"/>
      <c r="D169" s="1"/>
      <c r="E169" s="1"/>
      <c r="F169" s="1"/>
      <c r="G169" s="1"/>
      <c r="H169" s="1"/>
    </row>
    <row r="170" spans="1:8" x14ac:dyDescent="0.25">
      <c r="A170" s="1"/>
      <c r="B170" s="1"/>
      <c r="C170" s="1"/>
      <c r="D170" s="1"/>
      <c r="E170" s="1"/>
      <c r="F170" s="1"/>
      <c r="G170" s="1"/>
      <c r="H170" s="1"/>
    </row>
    <row r="171" spans="1:8" x14ac:dyDescent="0.25">
      <c r="A171" s="1"/>
      <c r="B171" s="1"/>
      <c r="C171" s="1"/>
      <c r="D171" s="1"/>
      <c r="E171" s="1"/>
      <c r="F171" s="1"/>
      <c r="G171" s="1"/>
      <c r="H171" s="1"/>
    </row>
    <row r="172" spans="1:8" x14ac:dyDescent="0.25">
      <c r="A172" s="1"/>
      <c r="B172" s="1"/>
      <c r="C172" s="1"/>
      <c r="D172" s="1"/>
      <c r="E172" s="1"/>
      <c r="F172" s="1"/>
      <c r="G172" s="1"/>
      <c r="H172" s="1"/>
    </row>
    <row r="173" spans="1:8" x14ac:dyDescent="0.25">
      <c r="A173" s="1"/>
      <c r="B173" s="1"/>
      <c r="C173" s="1"/>
      <c r="D173" s="1"/>
      <c r="E173" s="1"/>
      <c r="F173" s="1"/>
      <c r="G173" s="1"/>
      <c r="H173" s="1"/>
    </row>
    <row r="174" spans="1:8" x14ac:dyDescent="0.25">
      <c r="A174" s="1"/>
      <c r="B174" s="1"/>
      <c r="C174" s="1"/>
      <c r="D174" s="1"/>
      <c r="E174" s="1"/>
      <c r="F174" s="1"/>
      <c r="G174" s="1"/>
      <c r="H174" s="1"/>
    </row>
    <row r="175" spans="1:8" x14ac:dyDescent="0.25">
      <c r="A175" s="1"/>
      <c r="B175" s="1"/>
      <c r="C175" s="1"/>
      <c r="D175" s="1"/>
      <c r="E175" s="1"/>
      <c r="F175" s="1"/>
      <c r="G175" s="1"/>
      <c r="H175" s="1"/>
    </row>
    <row r="176" spans="1:8" x14ac:dyDescent="0.25">
      <c r="A176" s="1"/>
      <c r="B176" s="1"/>
      <c r="C176" s="1"/>
      <c r="D176" s="1"/>
      <c r="E176" s="1"/>
      <c r="F176" s="1"/>
      <c r="G176" s="1"/>
      <c r="H176" s="1"/>
    </row>
    <row r="177" spans="1:8" x14ac:dyDescent="0.25">
      <c r="A177" s="1"/>
      <c r="B177" s="1"/>
      <c r="C177" s="1"/>
      <c r="D177" s="1"/>
      <c r="E177" s="1"/>
      <c r="F177" s="1"/>
      <c r="G177" s="1"/>
      <c r="H177" s="1"/>
    </row>
    <row r="178" spans="1:8" x14ac:dyDescent="0.25">
      <c r="A178" s="1"/>
      <c r="B178" s="1"/>
      <c r="C178" s="1"/>
      <c r="D178" s="1"/>
      <c r="E178" s="1"/>
      <c r="F178" s="1"/>
      <c r="G178" s="1"/>
      <c r="H178" s="1"/>
    </row>
    <row r="179" spans="1:8" x14ac:dyDescent="0.25">
      <c r="A179" s="1"/>
      <c r="B179" s="1"/>
      <c r="C179" s="1"/>
      <c r="D179" s="1"/>
      <c r="E179" s="1"/>
      <c r="F179" s="1"/>
      <c r="G179" s="1"/>
      <c r="H179" s="1"/>
    </row>
    <row r="180" spans="1:8" x14ac:dyDescent="0.25">
      <c r="A180" s="1"/>
      <c r="B180" s="1"/>
      <c r="C180" s="1"/>
      <c r="D180" s="1"/>
      <c r="E180" s="1"/>
      <c r="F180" s="1"/>
      <c r="G180" s="1"/>
      <c r="H180" s="1"/>
    </row>
    <row r="181" spans="1:8" x14ac:dyDescent="0.25">
      <c r="A181" s="1"/>
      <c r="B181" s="1"/>
      <c r="C181" s="1"/>
      <c r="D181" s="1"/>
      <c r="E181" s="1"/>
      <c r="F181" s="1"/>
      <c r="G181" s="1"/>
      <c r="H181" s="1"/>
    </row>
    <row r="182" spans="1:8" x14ac:dyDescent="0.25">
      <c r="A182" s="1"/>
      <c r="B182" s="1"/>
      <c r="C182" s="1"/>
      <c r="D182" s="1"/>
      <c r="E182" s="1"/>
      <c r="F182" s="1"/>
      <c r="G182" s="1"/>
      <c r="H182" s="1"/>
    </row>
    <row r="183" spans="1:8" x14ac:dyDescent="0.25">
      <c r="A183" s="1"/>
      <c r="B183" s="1"/>
      <c r="C183" s="1"/>
      <c r="D183" s="1"/>
      <c r="E183" s="1"/>
      <c r="F183" s="1"/>
      <c r="G183" s="1"/>
      <c r="H183" s="1"/>
    </row>
    <row r="184" spans="1:8" x14ac:dyDescent="0.25">
      <c r="A184" s="1"/>
      <c r="B184" s="1"/>
      <c r="C184" s="1"/>
      <c r="D184" s="1"/>
      <c r="E184" s="1"/>
      <c r="F184" s="1"/>
      <c r="G184" s="1"/>
      <c r="H184" s="1"/>
    </row>
    <row r="185" spans="1:8" x14ac:dyDescent="0.25">
      <c r="A185" s="1"/>
      <c r="B185" s="1"/>
      <c r="C185" s="1"/>
      <c r="D185" s="1"/>
      <c r="E185" s="1"/>
      <c r="F185" s="1"/>
      <c r="G185" s="1"/>
      <c r="H185" s="1"/>
    </row>
    <row r="186" spans="1:8" x14ac:dyDescent="0.25">
      <c r="A186" s="1"/>
      <c r="B186" s="1"/>
      <c r="C186" s="1"/>
      <c r="D186" s="1"/>
      <c r="E186" s="1"/>
      <c r="F186" s="1"/>
      <c r="G186" s="1"/>
      <c r="H186" s="1"/>
    </row>
    <row r="187" spans="1:8" x14ac:dyDescent="0.25">
      <c r="A187" s="1"/>
      <c r="B187" s="1"/>
      <c r="C187" s="1"/>
      <c r="D187" s="1"/>
      <c r="E187" s="1"/>
      <c r="F187" s="1"/>
      <c r="G187" s="1"/>
      <c r="H187" s="1"/>
    </row>
    <row r="188" spans="1:8" x14ac:dyDescent="0.25">
      <c r="A188" s="1"/>
      <c r="B188" s="1"/>
      <c r="C188" s="1"/>
      <c r="D188" s="1"/>
      <c r="E188" s="1"/>
      <c r="F188" s="1"/>
      <c r="G188" s="1"/>
      <c r="H188" s="1"/>
    </row>
    <row r="189" spans="1:8" x14ac:dyDescent="0.25">
      <c r="A189" s="1"/>
      <c r="B189" s="1"/>
      <c r="C189" s="1"/>
      <c r="D189" s="1"/>
      <c r="E189" s="1"/>
      <c r="F189" s="1"/>
      <c r="G189" s="1"/>
      <c r="H189" s="1"/>
    </row>
    <row r="190" spans="1:8" x14ac:dyDescent="0.25">
      <c r="A190" s="1"/>
      <c r="B190" s="1"/>
      <c r="C190" s="1"/>
      <c r="D190" s="1"/>
      <c r="E190" s="1"/>
      <c r="F190" s="1"/>
      <c r="G190" s="1"/>
      <c r="H190" s="1"/>
    </row>
    <row r="191" spans="1:8" x14ac:dyDescent="0.25">
      <c r="A191" s="1"/>
      <c r="B191" s="1"/>
      <c r="C191" s="1"/>
      <c r="D191" s="1"/>
      <c r="E191" s="1"/>
      <c r="F191" s="1"/>
      <c r="G191" s="1"/>
      <c r="H191" s="1"/>
    </row>
    <row r="192" spans="1:8" x14ac:dyDescent="0.25">
      <c r="A192" s="1"/>
      <c r="B192" s="1"/>
      <c r="C192" s="1"/>
      <c r="D192" s="1"/>
      <c r="E192" s="1"/>
      <c r="F192" s="1"/>
      <c r="G192" s="1"/>
      <c r="H192" s="1"/>
    </row>
    <row r="193" spans="1:8" x14ac:dyDescent="0.25">
      <c r="A193" s="1"/>
      <c r="B193" s="1"/>
      <c r="C193" s="1"/>
      <c r="D193" s="1"/>
      <c r="E193" s="1"/>
      <c r="F193" s="1"/>
      <c r="G193" s="1"/>
      <c r="H193" s="1"/>
    </row>
    <row r="194" spans="1:8" x14ac:dyDescent="0.25">
      <c r="A194" s="1"/>
      <c r="B194" s="1"/>
      <c r="C194" s="1"/>
      <c r="D194" s="1"/>
      <c r="E194" s="1"/>
      <c r="F194" s="1"/>
      <c r="G194" s="1"/>
      <c r="H194" s="1"/>
    </row>
    <row r="195" spans="1:8" x14ac:dyDescent="0.25">
      <c r="A195" s="1"/>
      <c r="B195" s="1"/>
      <c r="C195" s="1"/>
      <c r="D195" s="1"/>
      <c r="E195" s="1"/>
      <c r="F195" s="1"/>
      <c r="G195" s="1"/>
      <c r="H195" s="1"/>
    </row>
    <row r="196" spans="1:8" x14ac:dyDescent="0.25">
      <c r="A196" s="1"/>
      <c r="B196" s="1"/>
      <c r="C196" s="1"/>
      <c r="D196" s="1"/>
      <c r="E196" s="1"/>
      <c r="F196" s="1"/>
      <c r="G196" s="1"/>
      <c r="H196" s="1"/>
    </row>
    <row r="197" spans="1:8" x14ac:dyDescent="0.25">
      <c r="A197" s="1"/>
      <c r="B197" s="1"/>
      <c r="C197" s="1"/>
      <c r="D197" s="1"/>
      <c r="E197" s="1"/>
      <c r="F197" s="1"/>
      <c r="G197" s="1"/>
      <c r="H197" s="1"/>
    </row>
    <row r="198" spans="1:8" x14ac:dyDescent="0.25">
      <c r="A198" s="1"/>
      <c r="B198" s="1"/>
      <c r="C198" s="1"/>
      <c r="D198" s="1"/>
      <c r="E198" s="1"/>
      <c r="F198" s="1"/>
      <c r="G198" s="1"/>
      <c r="H198" s="1"/>
    </row>
    <row r="199" spans="1:8" x14ac:dyDescent="0.25">
      <c r="A199" s="1"/>
      <c r="B199" s="1"/>
      <c r="C199" s="1"/>
      <c r="D199" s="1"/>
      <c r="E199" s="1"/>
      <c r="F199" s="1"/>
      <c r="G199" s="1"/>
      <c r="H199" s="1"/>
    </row>
    <row r="200" spans="1:8" x14ac:dyDescent="0.25">
      <c r="A200" s="1"/>
      <c r="B200" s="1"/>
      <c r="C200" s="1"/>
      <c r="D200" s="1"/>
      <c r="E200" s="1"/>
      <c r="F200" s="1"/>
      <c r="G200" s="1"/>
      <c r="H200" s="1"/>
    </row>
    <row r="201" spans="1:8" x14ac:dyDescent="0.25">
      <c r="A201" s="1"/>
      <c r="B201" s="1"/>
      <c r="C201" s="1"/>
      <c r="D201" s="1"/>
      <c r="E201" s="1"/>
      <c r="F201" s="1"/>
      <c r="G201" s="1"/>
      <c r="H201" s="1"/>
    </row>
    <row r="202" spans="1:8" x14ac:dyDescent="0.25">
      <c r="A202" s="1"/>
      <c r="B202" s="1"/>
      <c r="C202" s="1"/>
      <c r="D202" s="1"/>
      <c r="E202" s="1"/>
      <c r="F202" s="1"/>
      <c r="G202" s="1"/>
      <c r="H202" s="1"/>
    </row>
    <row r="203" spans="1:8" x14ac:dyDescent="0.25">
      <c r="A203" s="1"/>
      <c r="B203" s="1"/>
      <c r="C203" s="1"/>
      <c r="D203" s="1"/>
      <c r="E203" s="1"/>
      <c r="F203" s="1"/>
      <c r="G203" s="1"/>
      <c r="H203" s="1"/>
    </row>
    <row r="204" spans="1:8" x14ac:dyDescent="0.25">
      <c r="A204" s="1"/>
      <c r="B204" s="1"/>
      <c r="C204" s="1"/>
      <c r="D204" s="1"/>
      <c r="E204" s="1"/>
      <c r="F204" s="1"/>
      <c r="G204" s="1"/>
      <c r="H204" s="1"/>
    </row>
    <row r="205" spans="1:8" x14ac:dyDescent="0.25">
      <c r="A205" s="1"/>
      <c r="B205" s="1"/>
      <c r="C205" s="1"/>
      <c r="D205" s="1"/>
      <c r="E205" s="1"/>
      <c r="F205" s="1"/>
      <c r="G205" s="1"/>
      <c r="H205" s="1"/>
    </row>
    <row r="206" spans="1:8" x14ac:dyDescent="0.25">
      <c r="A206" s="1"/>
      <c r="B206" s="1"/>
      <c r="C206" s="1"/>
      <c r="D206" s="1"/>
      <c r="E206" s="1"/>
      <c r="F206" s="1"/>
      <c r="G206" s="1"/>
      <c r="H206" s="1"/>
    </row>
    <row r="207" spans="1:8" x14ac:dyDescent="0.25">
      <c r="A207" s="1"/>
      <c r="B207" s="1"/>
      <c r="C207" s="1"/>
      <c r="D207" s="1"/>
      <c r="E207" s="1"/>
      <c r="F207" s="1"/>
      <c r="G207" s="1"/>
      <c r="H207" s="1"/>
    </row>
    <row r="208" spans="1:8" x14ac:dyDescent="0.25">
      <c r="A208" s="1"/>
      <c r="B208" s="1"/>
      <c r="C208" s="1"/>
      <c r="D208" s="1"/>
      <c r="E208" s="1"/>
      <c r="F208" s="1"/>
      <c r="G208" s="1"/>
      <c r="H208" s="1"/>
    </row>
    <row r="209" spans="1:8" x14ac:dyDescent="0.25">
      <c r="A209" s="1"/>
      <c r="B209" s="1"/>
      <c r="C209" s="1"/>
      <c r="D209" s="1"/>
      <c r="E209" s="1"/>
      <c r="F209" s="1"/>
      <c r="G209" s="1"/>
      <c r="H209" s="1"/>
    </row>
    <row r="210" spans="1:8" x14ac:dyDescent="0.25">
      <c r="A210" s="1"/>
      <c r="B210" s="1"/>
      <c r="C210" s="1"/>
      <c r="D210" s="1"/>
      <c r="E210" s="1"/>
      <c r="F210" s="1"/>
      <c r="G210" s="1"/>
      <c r="H210" s="1"/>
    </row>
    <row r="211" spans="1:8" x14ac:dyDescent="0.25">
      <c r="A211" s="1"/>
      <c r="B211" s="1"/>
      <c r="C211" s="1"/>
      <c r="D211" s="1"/>
      <c r="E211" s="1"/>
      <c r="F211" s="1"/>
      <c r="G211" s="1"/>
      <c r="H211" s="1"/>
    </row>
    <row r="212" spans="1:8" x14ac:dyDescent="0.25">
      <c r="A212" s="1"/>
      <c r="B212" s="1"/>
      <c r="C212" s="1"/>
      <c r="D212" s="1"/>
      <c r="E212" s="1"/>
      <c r="F212" s="1"/>
      <c r="G212" s="1"/>
      <c r="H212" s="1"/>
    </row>
    <row r="213" spans="1:8" x14ac:dyDescent="0.25">
      <c r="A213" s="1"/>
      <c r="B213" s="1"/>
      <c r="C213" s="1"/>
      <c r="D213" s="1"/>
      <c r="E213" s="1"/>
      <c r="F213" s="1"/>
      <c r="G213" s="1"/>
      <c r="H213" s="1"/>
    </row>
    <row r="214" spans="1:8" x14ac:dyDescent="0.25">
      <c r="A214" s="1"/>
      <c r="B214" s="1"/>
      <c r="C214" s="1"/>
      <c r="D214" s="1"/>
      <c r="E214" s="1"/>
      <c r="F214" s="1"/>
      <c r="G214" s="1"/>
      <c r="H214" s="1"/>
    </row>
    <row r="215" spans="1:8" x14ac:dyDescent="0.25">
      <c r="A215" s="1"/>
      <c r="B215" s="1"/>
      <c r="C215" s="1"/>
      <c r="D215" s="1"/>
      <c r="E215" s="1"/>
      <c r="F215" s="1"/>
      <c r="G215" s="1"/>
      <c r="H215" s="1"/>
    </row>
    <row r="216" spans="1:8" x14ac:dyDescent="0.25">
      <c r="A216" s="1"/>
      <c r="B216" s="1"/>
      <c r="C216" s="1"/>
      <c r="D216" s="1"/>
      <c r="E216" s="1"/>
      <c r="F216" s="1"/>
      <c r="G216" s="1"/>
      <c r="H216" s="1"/>
    </row>
    <row r="217" spans="1:8" x14ac:dyDescent="0.25">
      <c r="A217" s="1"/>
      <c r="B217" s="1"/>
      <c r="C217" s="1"/>
      <c r="D217" s="1"/>
      <c r="E217" s="1"/>
      <c r="F217" s="1"/>
      <c r="G217" s="1"/>
      <c r="H217" s="1"/>
    </row>
    <row r="218" spans="1:8" x14ac:dyDescent="0.25">
      <c r="A218" s="1"/>
      <c r="B218" s="1"/>
      <c r="C218" s="1"/>
      <c r="D218" s="1"/>
      <c r="E218" s="1"/>
      <c r="F218" s="1"/>
      <c r="G218" s="1"/>
      <c r="H218" s="1"/>
    </row>
    <row r="219" spans="1:8" x14ac:dyDescent="0.25">
      <c r="A219" s="1"/>
      <c r="B219" s="1"/>
      <c r="C219" s="1"/>
      <c r="D219" s="1"/>
      <c r="E219" s="1"/>
      <c r="F219" s="1"/>
      <c r="G219" s="1"/>
      <c r="H219" s="1"/>
    </row>
    <row r="220" spans="1:8" x14ac:dyDescent="0.25">
      <c r="A220" s="1"/>
      <c r="B220" s="1"/>
      <c r="C220" s="1"/>
      <c r="D220" s="1"/>
      <c r="E220" s="1"/>
      <c r="F220" s="1"/>
      <c r="G220" s="1"/>
      <c r="H220" s="1"/>
    </row>
    <row r="221" spans="1:8" x14ac:dyDescent="0.25">
      <c r="A221" s="1"/>
      <c r="B221" s="1"/>
      <c r="C221" s="1"/>
      <c r="D221" s="1"/>
      <c r="E221" s="1"/>
      <c r="F221" s="1"/>
      <c r="G221" s="1"/>
      <c r="H221" s="1"/>
    </row>
    <row r="222" spans="1:8" x14ac:dyDescent="0.25">
      <c r="A222" s="1"/>
      <c r="B222" s="1"/>
      <c r="C222" s="1"/>
      <c r="D222" s="1"/>
      <c r="E222" s="1"/>
      <c r="F222" s="1"/>
      <c r="G222" s="1"/>
      <c r="H222" s="1"/>
    </row>
    <row r="223" spans="1:8" x14ac:dyDescent="0.25">
      <c r="A223" s="1"/>
      <c r="B223" s="1"/>
      <c r="C223" s="1"/>
      <c r="D223" s="1"/>
      <c r="E223" s="1"/>
      <c r="F223" s="1"/>
      <c r="G223" s="1"/>
      <c r="H223" s="1"/>
    </row>
  </sheetData>
  <sheetProtection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E10"/>
  <sheetViews>
    <sheetView zoomScale="110" zoomScaleNormal="110" workbookViewId="0"/>
  </sheetViews>
  <sheetFormatPr defaultRowHeight="15" x14ac:dyDescent="0.25"/>
  <cols>
    <col min="1" max="1" width="20.7109375" bestFit="1" customWidth="1"/>
    <col min="6" max="6" width="9.140625" bestFit="1" customWidth="1"/>
  </cols>
  <sheetData>
    <row r="1" spans="1:5" x14ac:dyDescent="0.25">
      <c r="A1" s="4" t="s">
        <v>52</v>
      </c>
      <c r="B1">
        <v>0</v>
      </c>
      <c r="C1" s="4" t="s">
        <v>54</v>
      </c>
      <c r="D1">
        <v>0</v>
      </c>
      <c r="E1">
        <v>1</v>
      </c>
    </row>
    <row r="2" spans="1:5" x14ac:dyDescent="0.25">
      <c r="A2" t="s">
        <v>74</v>
      </c>
      <c r="B2">
        <v>1</v>
      </c>
      <c r="C2" s="4" t="s">
        <v>53</v>
      </c>
      <c r="D2">
        <v>1</v>
      </c>
      <c r="E2">
        <v>0</v>
      </c>
    </row>
    <row r="3" spans="1:5" x14ac:dyDescent="0.25">
      <c r="B3">
        <v>2</v>
      </c>
      <c r="C3" s="4" t="s">
        <v>55</v>
      </c>
      <c r="D3">
        <v>0.5</v>
      </c>
      <c r="E3">
        <v>0.5</v>
      </c>
    </row>
    <row r="4" spans="1:5" x14ac:dyDescent="0.25">
      <c r="B4">
        <v>3</v>
      </c>
      <c r="C4" s="4" t="s">
        <v>72</v>
      </c>
      <c r="D4">
        <v>0</v>
      </c>
      <c r="E4">
        <v>1</v>
      </c>
    </row>
    <row r="5" spans="1:5" x14ac:dyDescent="0.25">
      <c r="B5">
        <v>4</v>
      </c>
      <c r="C5" s="4" t="s">
        <v>71</v>
      </c>
      <c r="D5">
        <v>1</v>
      </c>
      <c r="E5">
        <v>0</v>
      </c>
    </row>
    <row r="6" spans="1:5" x14ac:dyDescent="0.25">
      <c r="B6">
        <v>5</v>
      </c>
      <c r="C6" s="4" t="s">
        <v>73</v>
      </c>
      <c r="D6">
        <v>0.5</v>
      </c>
      <c r="E6">
        <v>0.5</v>
      </c>
    </row>
    <row r="7" spans="1:5" x14ac:dyDescent="0.25">
      <c r="B7">
        <v>6</v>
      </c>
      <c r="C7" s="4" t="s">
        <v>57</v>
      </c>
      <c r="D7">
        <v>0</v>
      </c>
      <c r="E7">
        <v>0</v>
      </c>
    </row>
    <row r="8" spans="1:5" x14ac:dyDescent="0.25">
      <c r="B8">
        <v>7</v>
      </c>
      <c r="C8" s="4" t="s">
        <v>58</v>
      </c>
      <c r="D8">
        <v>0</v>
      </c>
      <c r="E8">
        <v>1</v>
      </c>
    </row>
    <row r="9" spans="1:5" x14ac:dyDescent="0.25">
      <c r="B9">
        <v>8</v>
      </c>
      <c r="C9" s="4" t="s">
        <v>56</v>
      </c>
      <c r="D9">
        <v>1</v>
      </c>
      <c r="E9">
        <v>0</v>
      </c>
    </row>
    <row r="10" spans="1:5" x14ac:dyDescent="0.25">
      <c r="B10">
        <v>9</v>
      </c>
      <c r="C10" s="4" t="s">
        <v>59</v>
      </c>
      <c r="D10">
        <v>0.5</v>
      </c>
      <c r="E10">
        <v>0.5</v>
      </c>
    </row>
  </sheetData>
  <sheetProtection password="CA5D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11</vt:i4>
      </vt:variant>
    </vt:vector>
  </HeadingPairs>
  <TitlesOfParts>
    <vt:vector size="20" baseType="lpstr">
      <vt:lpstr>14</vt:lpstr>
      <vt:lpstr>12</vt:lpstr>
      <vt:lpstr>10</vt:lpstr>
      <vt:lpstr>8</vt:lpstr>
      <vt:lpstr>6</vt:lpstr>
      <vt:lpstr>4</vt:lpstr>
      <vt:lpstr>Groepsindeling</vt:lpstr>
      <vt:lpstr>Deelnemerslijst</vt:lpstr>
      <vt:lpstr>Configuratie</vt:lpstr>
      <vt:lpstr>'10'!Afdrukbereik</vt:lpstr>
      <vt:lpstr>'14'!Afdrukbereik</vt:lpstr>
      <vt:lpstr>'4'!Afdrukbereik</vt:lpstr>
      <vt:lpstr>'6'!Afdrukbereik</vt:lpstr>
      <vt:lpstr>'8'!Afdrukbereik</vt:lpstr>
      <vt:lpstr>uitslag1_1</vt:lpstr>
      <vt:lpstr>uitslag1_2</vt:lpstr>
      <vt:lpstr>uitslag2_1</vt:lpstr>
      <vt:lpstr>uitslag2_2</vt:lpstr>
      <vt:lpstr>uitslag3_1</vt:lpstr>
      <vt:lpstr>uitslag3_2</vt:lpstr>
    </vt:vector>
  </TitlesOfParts>
  <Company>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Dam</dc:creator>
  <cp:lastModifiedBy>Lars Dam</cp:lastModifiedBy>
  <cp:lastPrinted>2018-06-24T16:40:59Z</cp:lastPrinted>
  <dcterms:created xsi:type="dcterms:W3CDTF">2017-03-20T06:37:04Z</dcterms:created>
  <dcterms:modified xsi:type="dcterms:W3CDTF">2018-12-01T12:05:35Z</dcterms:modified>
</cp:coreProperties>
</file>