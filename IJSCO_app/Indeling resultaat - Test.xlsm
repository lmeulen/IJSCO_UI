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s Dam\Documents\Repos\IJSCO_UI\IJSCO_app\"/>
    </mc:Choice>
  </mc:AlternateContent>
  <xr:revisionPtr revIDLastSave="0" documentId="13_ncr:1_{648B850D-4797-4F92-A1AA-1B5DED4E08F5}" xr6:coauthVersionLast="43" xr6:coauthVersionMax="43" xr10:uidLastSave="{00000000-0000-0000-0000-000000000000}"/>
  <bookViews>
    <workbookView xWindow="-120" yWindow="-120" windowWidth="20730" windowHeight="11160" activeTab="4" xr2:uid="{00000000-000D-0000-FFFF-FFFF00000000}"/>
  </bookViews>
  <sheets>
    <sheet name="Groepsindeling" sheetId="6" r:id="rId1"/>
    <sheet name="Deelnemerslijst" sheetId="5" r:id="rId2"/>
    <sheet name="Configuratie" sheetId="7" r:id="rId3"/>
    <sheet name="Groep A" sheetId="10" r:id="rId4"/>
    <sheet name="Groep B" sheetId="11" r:id="rId5"/>
    <sheet name="Deelnemerslijst (naam)" sheetId="12" r:id="rId6"/>
  </sheets>
  <externalReferences>
    <externalReference r:id="rId7"/>
  </externalReferences>
  <definedNames>
    <definedName name="_xlnm.Print_Area" localSheetId="3">'Groep A'!$B$1:$AA$55</definedName>
    <definedName name="_xlnm.Print_Area" localSheetId="4">'Groep B'!$B$1:$AA$55</definedName>
    <definedName name="uitslag1_1">'[1]4'!$S$12</definedName>
    <definedName name="uitslag1_2">'[1]4'!$S$13</definedName>
    <definedName name="uitslag2_1">'[1]4'!$S$16</definedName>
    <definedName name="uitslag2_2">'[1]4'!$S$17</definedName>
    <definedName name="uitslag3_1">'[1]4'!$S$20</definedName>
    <definedName name="uitslag3_2">'[1]4'!$S$21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12" l="1"/>
  <c r="B19" i="12"/>
  <c r="A19" i="12"/>
  <c r="C18" i="12"/>
  <c r="B18" i="12"/>
  <c r="A18" i="12"/>
  <c r="C17" i="12"/>
  <c r="B17" i="12"/>
  <c r="A17" i="12"/>
  <c r="C16" i="12"/>
  <c r="B16" i="12"/>
  <c r="A16" i="12"/>
  <c r="C15" i="12"/>
  <c r="B15" i="12"/>
  <c r="A15" i="12"/>
  <c r="C14" i="12"/>
  <c r="B14" i="12"/>
  <c r="A14" i="12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C6" i="12"/>
  <c r="B6" i="12"/>
  <c r="A6" i="12"/>
  <c r="C5" i="12"/>
  <c r="B5" i="12"/>
  <c r="A5" i="12"/>
  <c r="C4" i="12"/>
  <c r="B4" i="12"/>
  <c r="A4" i="12"/>
  <c r="C67" i="11"/>
  <c r="C66" i="11"/>
  <c r="C65" i="11"/>
  <c r="C64" i="11"/>
  <c r="C63" i="11"/>
  <c r="C62" i="11"/>
  <c r="C61" i="11"/>
  <c r="C60" i="11"/>
  <c r="B57" i="11"/>
  <c r="AW55" i="11"/>
  <c r="AV55" i="11"/>
  <c r="R55" i="11"/>
  <c r="M55" i="11"/>
  <c r="J55" i="11"/>
  <c r="E55" i="11"/>
  <c r="C55" i="11"/>
  <c r="AW54" i="11"/>
  <c r="AV54" i="11"/>
  <c r="R54" i="11"/>
  <c r="M54" i="11"/>
  <c r="J54" i="11"/>
  <c r="E54" i="11"/>
  <c r="C54" i="11"/>
  <c r="AW53" i="11"/>
  <c r="AV53" i="11"/>
  <c r="R53" i="11"/>
  <c r="M53" i="11"/>
  <c r="J53" i="11"/>
  <c r="AT53" i="11" s="1"/>
  <c r="E53" i="11"/>
  <c r="C53" i="11"/>
  <c r="AW52" i="11"/>
  <c r="AV52" i="11"/>
  <c r="R52" i="11"/>
  <c r="M52" i="11"/>
  <c r="J52" i="11"/>
  <c r="AT52" i="11" s="1"/>
  <c r="E52" i="11"/>
  <c r="C52" i="11"/>
  <c r="AW49" i="11"/>
  <c r="AV49" i="11"/>
  <c r="R49" i="11"/>
  <c r="M49" i="11"/>
  <c r="J49" i="11"/>
  <c r="AT49" i="11" s="1"/>
  <c r="E49" i="11"/>
  <c r="C49" i="11"/>
  <c r="AW48" i="11"/>
  <c r="AV48" i="11"/>
  <c r="R48" i="11"/>
  <c r="M48" i="11"/>
  <c r="J48" i="11"/>
  <c r="E48" i="11"/>
  <c r="C48" i="11"/>
  <c r="AW47" i="11"/>
  <c r="AV47" i="11"/>
  <c r="R47" i="11"/>
  <c r="M47" i="11"/>
  <c r="J47" i="11"/>
  <c r="AT47" i="11" s="1"/>
  <c r="E47" i="11"/>
  <c r="C47" i="11"/>
  <c r="AW46" i="11"/>
  <c r="AV46" i="11"/>
  <c r="R46" i="11"/>
  <c r="M46" i="11"/>
  <c r="J46" i="11"/>
  <c r="E46" i="11"/>
  <c r="C46" i="11"/>
  <c r="AW43" i="11"/>
  <c r="AV43" i="11"/>
  <c r="R43" i="11"/>
  <c r="M43" i="11"/>
  <c r="J43" i="11"/>
  <c r="AT43" i="11" s="1"/>
  <c r="E43" i="11"/>
  <c r="C43" i="11"/>
  <c r="AW42" i="11"/>
  <c r="AV42" i="11"/>
  <c r="R42" i="11"/>
  <c r="M42" i="11"/>
  <c r="J42" i="11"/>
  <c r="AT42" i="11" s="1"/>
  <c r="E42" i="11"/>
  <c r="C42" i="11"/>
  <c r="AW41" i="11"/>
  <c r="AV41" i="11"/>
  <c r="R41" i="11"/>
  <c r="M41" i="11"/>
  <c r="J41" i="11"/>
  <c r="AT41" i="11" s="1"/>
  <c r="L10" i="11" s="1"/>
  <c r="E41" i="11"/>
  <c r="C41" i="11"/>
  <c r="AW40" i="11"/>
  <c r="AV40" i="11"/>
  <c r="R40" i="11"/>
  <c r="M40" i="11"/>
  <c r="J40" i="11"/>
  <c r="E40" i="11"/>
  <c r="C40" i="11"/>
  <c r="AW37" i="11"/>
  <c r="AV37" i="11"/>
  <c r="R37" i="11"/>
  <c r="M37" i="11"/>
  <c r="J37" i="11"/>
  <c r="E37" i="11"/>
  <c r="C37" i="11"/>
  <c r="AW36" i="11"/>
  <c r="AV36" i="11"/>
  <c r="R36" i="11"/>
  <c r="M36" i="11"/>
  <c r="J36" i="11"/>
  <c r="E36" i="11"/>
  <c r="C36" i="11"/>
  <c r="AW35" i="11"/>
  <c r="AV35" i="11"/>
  <c r="R35" i="11"/>
  <c r="M35" i="11"/>
  <c r="J35" i="11"/>
  <c r="AT35" i="11" s="1"/>
  <c r="E35" i="11"/>
  <c r="C35" i="11"/>
  <c r="AW34" i="11"/>
  <c r="AV34" i="11"/>
  <c r="R34" i="11"/>
  <c r="M34" i="11"/>
  <c r="J34" i="11"/>
  <c r="E34" i="11"/>
  <c r="C34" i="11"/>
  <c r="AW31" i="11"/>
  <c r="AV31" i="11"/>
  <c r="R31" i="11"/>
  <c r="M31" i="11"/>
  <c r="J31" i="11"/>
  <c r="AT31" i="11" s="1"/>
  <c r="E31" i="11"/>
  <c r="C31" i="11"/>
  <c r="AW30" i="11"/>
  <c r="AV30" i="11"/>
  <c r="R30" i="11"/>
  <c r="M30" i="11"/>
  <c r="J30" i="11"/>
  <c r="E30" i="11"/>
  <c r="C30" i="11"/>
  <c r="AW29" i="11"/>
  <c r="AV29" i="11"/>
  <c r="R29" i="11"/>
  <c r="M29" i="11"/>
  <c r="J29" i="11"/>
  <c r="E29" i="11"/>
  <c r="C29" i="11"/>
  <c r="AW28" i="11"/>
  <c r="AV28" i="11"/>
  <c r="R28" i="11"/>
  <c r="M28" i="11"/>
  <c r="J28" i="11"/>
  <c r="AT28" i="11" s="1"/>
  <c r="E28" i="11"/>
  <c r="C28" i="11"/>
  <c r="AW25" i="11"/>
  <c r="AV25" i="11"/>
  <c r="R25" i="11"/>
  <c r="M25" i="11"/>
  <c r="J25" i="11"/>
  <c r="AT25" i="11" s="1"/>
  <c r="E25" i="11"/>
  <c r="C25" i="11"/>
  <c r="AW24" i="11"/>
  <c r="AV24" i="11"/>
  <c r="R24" i="11"/>
  <c r="M24" i="11"/>
  <c r="J24" i="11"/>
  <c r="E24" i="11"/>
  <c r="C24" i="11"/>
  <c r="AW23" i="11"/>
  <c r="AV23" i="11"/>
  <c r="R23" i="11"/>
  <c r="M23" i="11"/>
  <c r="J23" i="11"/>
  <c r="AT23" i="11" s="1"/>
  <c r="E23" i="11"/>
  <c r="C23" i="11"/>
  <c r="AW22" i="11"/>
  <c r="AV22" i="11"/>
  <c r="R22" i="11"/>
  <c r="M22" i="11"/>
  <c r="J22" i="11"/>
  <c r="AT22" i="11" s="1"/>
  <c r="K11" i="11" s="1"/>
  <c r="E22" i="11"/>
  <c r="C22" i="11"/>
  <c r="AW19" i="11"/>
  <c r="AV19" i="11"/>
  <c r="R19" i="11"/>
  <c r="M19" i="11"/>
  <c r="BA19" i="11" s="1"/>
  <c r="J19" i="11"/>
  <c r="AT19" i="11" s="1"/>
  <c r="E19" i="11"/>
  <c r="C19" i="11"/>
  <c r="AW18" i="11"/>
  <c r="AV18" i="11"/>
  <c r="R18" i="11"/>
  <c r="M18" i="11"/>
  <c r="BA18" i="11" s="1"/>
  <c r="J18" i="11"/>
  <c r="E18" i="11"/>
  <c r="C18" i="11"/>
  <c r="AW17" i="11"/>
  <c r="AV17" i="11"/>
  <c r="R17" i="11"/>
  <c r="M17" i="11"/>
  <c r="BA17" i="11" s="1"/>
  <c r="J17" i="11"/>
  <c r="AT17" i="11" s="1"/>
  <c r="E17" i="11"/>
  <c r="C17" i="11"/>
  <c r="AW16" i="11"/>
  <c r="AV16" i="11"/>
  <c r="R16" i="11"/>
  <c r="M16" i="11"/>
  <c r="BA16" i="11" s="1"/>
  <c r="J16" i="11"/>
  <c r="E16" i="11"/>
  <c r="C16" i="11"/>
  <c r="BE11" i="11"/>
  <c r="BD11" i="11"/>
  <c r="BC11" i="11"/>
  <c r="BA11" i="11"/>
  <c r="AY11" i="11"/>
  <c r="X11" i="11"/>
  <c r="O11" i="11"/>
  <c r="BE10" i="11"/>
  <c r="BD10" i="11"/>
  <c r="BC10" i="11"/>
  <c r="BA10" i="11"/>
  <c r="AX10" i="11"/>
  <c r="AW10" i="11"/>
  <c r="BH10" i="11" s="1"/>
  <c r="X10" i="11"/>
  <c r="N10" i="11"/>
  <c r="H10" i="11"/>
  <c r="BE9" i="11"/>
  <c r="BD9" i="11"/>
  <c r="BC9" i="11"/>
  <c r="BB9" i="11"/>
  <c r="AZ9" i="11"/>
  <c r="AX9" i="11"/>
  <c r="X9" i="11"/>
  <c r="M9" i="11"/>
  <c r="L9" i="11"/>
  <c r="K9" i="11"/>
  <c r="BE8" i="11"/>
  <c r="BD8" i="11"/>
  <c r="BC8" i="11"/>
  <c r="BB8" i="11"/>
  <c r="BA8" i="11"/>
  <c r="AZ8" i="11"/>
  <c r="AY8" i="11"/>
  <c r="AX8" i="11"/>
  <c r="AW8" i="11"/>
  <c r="BH8" i="11" s="1"/>
  <c r="AY23" i="11" s="1"/>
  <c r="X8" i="11"/>
  <c r="N8" i="11"/>
  <c r="M8" i="11"/>
  <c r="L8" i="11"/>
  <c r="K8" i="11"/>
  <c r="J8" i="11"/>
  <c r="BE7" i="11"/>
  <c r="BD7" i="11"/>
  <c r="BC7" i="11"/>
  <c r="BB7" i="11"/>
  <c r="BA7" i="11"/>
  <c r="AZ7" i="11"/>
  <c r="AY7" i="11"/>
  <c r="AX7" i="11"/>
  <c r="AW7" i="11"/>
  <c r="BH7" i="11" s="1"/>
  <c r="X7" i="11"/>
  <c r="O7" i="11"/>
  <c r="M7" i="11"/>
  <c r="L7" i="11"/>
  <c r="K7" i="11"/>
  <c r="J7" i="11"/>
  <c r="I7" i="11"/>
  <c r="H7" i="11"/>
  <c r="BE6" i="11"/>
  <c r="BD6" i="11"/>
  <c r="BC6" i="11"/>
  <c r="BB6" i="11"/>
  <c r="BA6" i="11"/>
  <c r="AZ6" i="11"/>
  <c r="AY6" i="11"/>
  <c r="AX6" i="11"/>
  <c r="AW6" i="11"/>
  <c r="BH6" i="11" s="1"/>
  <c r="X6" i="11"/>
  <c r="L6" i="11"/>
  <c r="K6" i="11"/>
  <c r="J6" i="11"/>
  <c r="I6" i="11"/>
  <c r="H6" i="11"/>
  <c r="BE5" i="11"/>
  <c r="BD5" i="11"/>
  <c r="BC5" i="11"/>
  <c r="BB5" i="11"/>
  <c r="BA5" i="11"/>
  <c r="AZ5" i="11"/>
  <c r="AY5" i="11"/>
  <c r="AX5" i="11"/>
  <c r="AW5" i="11"/>
  <c r="BH5" i="11" s="1"/>
  <c r="X5" i="11"/>
  <c r="N5" i="11"/>
  <c r="K5" i="11"/>
  <c r="J5" i="11"/>
  <c r="I5" i="11"/>
  <c r="BE4" i="11"/>
  <c r="BD4" i="11"/>
  <c r="BC4" i="11"/>
  <c r="BB4" i="11"/>
  <c r="BA4" i="11"/>
  <c r="AZ4" i="11"/>
  <c r="AY4" i="11"/>
  <c r="AX4" i="11"/>
  <c r="AW4" i="11"/>
  <c r="BH4" i="11" s="1"/>
  <c r="X4" i="11"/>
  <c r="N4" i="11"/>
  <c r="K4" i="11"/>
  <c r="J4" i="11"/>
  <c r="H4" i="11"/>
  <c r="T1" i="11"/>
  <c r="C67" i="10"/>
  <c r="C66" i="10"/>
  <c r="C65" i="10"/>
  <c r="C64" i="10"/>
  <c r="C63" i="10"/>
  <c r="C62" i="10"/>
  <c r="C61" i="10"/>
  <c r="C60" i="10"/>
  <c r="B57" i="10"/>
  <c r="AW55" i="10"/>
  <c r="AV55" i="10"/>
  <c r="R55" i="10"/>
  <c r="M55" i="10"/>
  <c r="J55" i="10"/>
  <c r="AT55" i="10" s="1"/>
  <c r="E55" i="10"/>
  <c r="C55" i="10"/>
  <c r="AW54" i="10"/>
  <c r="AV54" i="10"/>
  <c r="R54" i="10"/>
  <c r="M54" i="10"/>
  <c r="J54" i="10"/>
  <c r="AT54" i="10" s="1"/>
  <c r="J10" i="10" s="1"/>
  <c r="E54" i="10"/>
  <c r="C54" i="10"/>
  <c r="AW53" i="10"/>
  <c r="AV53" i="10"/>
  <c r="R53" i="10"/>
  <c r="M53" i="10"/>
  <c r="J53" i="10"/>
  <c r="AT53" i="10" s="1"/>
  <c r="E53" i="10"/>
  <c r="C53" i="10"/>
  <c r="AW52" i="10"/>
  <c r="AV52" i="10"/>
  <c r="R52" i="10"/>
  <c r="M52" i="10"/>
  <c r="BC11" i="10" s="1"/>
  <c r="J52" i="10"/>
  <c r="E52" i="10"/>
  <c r="C52" i="10"/>
  <c r="AW49" i="10"/>
  <c r="AV49" i="10"/>
  <c r="R49" i="10"/>
  <c r="M49" i="10"/>
  <c r="J49" i="10"/>
  <c r="E49" i="10"/>
  <c r="C49" i="10"/>
  <c r="AW48" i="10"/>
  <c r="AV48" i="10"/>
  <c r="R48" i="10"/>
  <c r="M48" i="10"/>
  <c r="J48" i="10"/>
  <c r="AT48" i="10" s="1"/>
  <c r="E48" i="10"/>
  <c r="C48" i="10"/>
  <c r="AW47" i="10"/>
  <c r="AV47" i="10"/>
  <c r="R47" i="10"/>
  <c r="M47" i="10"/>
  <c r="J47" i="10"/>
  <c r="E47" i="10"/>
  <c r="C47" i="10"/>
  <c r="AW46" i="10"/>
  <c r="AV46" i="10"/>
  <c r="R46" i="10"/>
  <c r="M46" i="10"/>
  <c r="J46" i="10"/>
  <c r="AT46" i="10" s="1"/>
  <c r="I11" i="10" s="1"/>
  <c r="E46" i="10"/>
  <c r="C46" i="10"/>
  <c r="AW43" i="10"/>
  <c r="AV43" i="10"/>
  <c r="R43" i="10"/>
  <c r="M43" i="10"/>
  <c r="J43" i="10"/>
  <c r="AT43" i="10" s="1"/>
  <c r="E43" i="10"/>
  <c r="C43" i="10"/>
  <c r="AW42" i="10"/>
  <c r="AV42" i="10"/>
  <c r="R42" i="10"/>
  <c r="M42" i="10"/>
  <c r="J42" i="10"/>
  <c r="AT42" i="10" s="1"/>
  <c r="H7" i="10" s="1"/>
  <c r="E42" i="10"/>
  <c r="C42" i="10"/>
  <c r="AW41" i="10"/>
  <c r="AV41" i="10"/>
  <c r="R41" i="10"/>
  <c r="M41" i="10"/>
  <c r="J41" i="10"/>
  <c r="E41" i="10"/>
  <c r="C41" i="10"/>
  <c r="AW40" i="10"/>
  <c r="AV40" i="10"/>
  <c r="R40" i="10"/>
  <c r="M40" i="10"/>
  <c r="J40" i="10"/>
  <c r="E40" i="10"/>
  <c r="C40" i="10"/>
  <c r="AW37" i="10"/>
  <c r="AV37" i="10"/>
  <c r="R37" i="10"/>
  <c r="M37" i="10"/>
  <c r="AT37" i="10" s="1"/>
  <c r="J37" i="10"/>
  <c r="E37" i="10"/>
  <c r="C37" i="10"/>
  <c r="AW36" i="10"/>
  <c r="AV36" i="10"/>
  <c r="R36" i="10"/>
  <c r="M36" i="10"/>
  <c r="AT36" i="10" s="1"/>
  <c r="J36" i="10"/>
  <c r="E36" i="10"/>
  <c r="C36" i="10"/>
  <c r="AW35" i="10"/>
  <c r="AV35" i="10"/>
  <c r="R35" i="10"/>
  <c r="M35" i="10"/>
  <c r="AT35" i="10" s="1"/>
  <c r="J35" i="10"/>
  <c r="E35" i="10"/>
  <c r="C35" i="10"/>
  <c r="AW34" i="10"/>
  <c r="AV34" i="10"/>
  <c r="R34" i="10"/>
  <c r="M34" i="10"/>
  <c r="AT34" i="10" s="1"/>
  <c r="J34" i="10"/>
  <c r="E34" i="10"/>
  <c r="C34" i="10"/>
  <c r="AW31" i="10"/>
  <c r="AV31" i="10"/>
  <c r="R31" i="10"/>
  <c r="M31" i="10"/>
  <c r="AT31" i="10" s="1"/>
  <c r="J31" i="10"/>
  <c r="E31" i="10"/>
  <c r="C31" i="10"/>
  <c r="AW30" i="10"/>
  <c r="AV30" i="10"/>
  <c r="R30" i="10"/>
  <c r="M30" i="10"/>
  <c r="AT30" i="10" s="1"/>
  <c r="J30" i="10"/>
  <c r="E30" i="10"/>
  <c r="C30" i="10"/>
  <c r="AW29" i="10"/>
  <c r="AV29" i="10"/>
  <c r="R29" i="10"/>
  <c r="M29" i="10"/>
  <c r="AT29" i="10" s="1"/>
  <c r="J29" i="10"/>
  <c r="E29" i="10"/>
  <c r="C29" i="10"/>
  <c r="AW28" i="10"/>
  <c r="AV28" i="10"/>
  <c r="R28" i="10"/>
  <c r="M28" i="10"/>
  <c r="J28" i="10"/>
  <c r="E28" i="10"/>
  <c r="C28" i="10"/>
  <c r="AW25" i="10"/>
  <c r="AV25" i="10"/>
  <c r="R25" i="10"/>
  <c r="M25" i="10"/>
  <c r="AT25" i="10" s="1"/>
  <c r="J25" i="10"/>
  <c r="E25" i="10"/>
  <c r="C25" i="10"/>
  <c r="AW24" i="10"/>
  <c r="AV24" i="10"/>
  <c r="R24" i="10"/>
  <c r="M24" i="10"/>
  <c r="AT24" i="10" s="1"/>
  <c r="J24" i="10"/>
  <c r="E24" i="10"/>
  <c r="C24" i="10"/>
  <c r="AW23" i="10"/>
  <c r="AV23" i="10"/>
  <c r="R23" i="10"/>
  <c r="M23" i="10"/>
  <c r="AT23" i="10" s="1"/>
  <c r="J23" i="10"/>
  <c r="E23" i="10"/>
  <c r="C23" i="10"/>
  <c r="AW22" i="10"/>
  <c r="AV22" i="10"/>
  <c r="R22" i="10"/>
  <c r="M22" i="10"/>
  <c r="AT22" i="10" s="1"/>
  <c r="J22" i="10"/>
  <c r="E22" i="10"/>
  <c r="C22" i="10"/>
  <c r="AW19" i="10"/>
  <c r="AV19" i="10"/>
  <c r="R19" i="10"/>
  <c r="M19" i="10"/>
  <c r="BA19" i="10" s="1"/>
  <c r="J19" i="10"/>
  <c r="AT19" i="10" s="1"/>
  <c r="E19" i="10"/>
  <c r="C19" i="10"/>
  <c r="AW18" i="10"/>
  <c r="AV18" i="10"/>
  <c r="R18" i="10"/>
  <c r="M18" i="10"/>
  <c r="BA18" i="10" s="1"/>
  <c r="J18" i="10"/>
  <c r="AZ18" i="10" s="1"/>
  <c r="E18" i="10"/>
  <c r="C18" i="10"/>
  <c r="AW17" i="10"/>
  <c r="AV17" i="10"/>
  <c r="R17" i="10"/>
  <c r="M17" i="10"/>
  <c r="BA17" i="10" s="1"/>
  <c r="J17" i="10"/>
  <c r="E17" i="10"/>
  <c r="C17" i="10"/>
  <c r="AW16" i="10"/>
  <c r="AV16" i="10"/>
  <c r="R16" i="10"/>
  <c r="M16" i="10"/>
  <c r="BA16" i="10" s="1"/>
  <c r="J16" i="10"/>
  <c r="AZ16" i="10" s="1"/>
  <c r="E16" i="10"/>
  <c r="C16" i="10"/>
  <c r="BE11" i="10"/>
  <c r="BD11" i="10"/>
  <c r="BB11" i="10"/>
  <c r="BA11" i="10"/>
  <c r="AZ11" i="10"/>
  <c r="AY11" i="10"/>
  <c r="AX11" i="10"/>
  <c r="AW11" i="10"/>
  <c r="BH11" i="10" s="1"/>
  <c r="X11" i="10"/>
  <c r="O11" i="10"/>
  <c r="BE10" i="10"/>
  <c r="BD10" i="10"/>
  <c r="BC10" i="10"/>
  <c r="BB10" i="10"/>
  <c r="BA10" i="10"/>
  <c r="AZ10" i="10"/>
  <c r="AY10" i="10"/>
  <c r="AX10" i="10"/>
  <c r="AW10" i="10"/>
  <c r="BH10" i="10" s="1"/>
  <c r="AY25" i="10" s="1"/>
  <c r="X10" i="10"/>
  <c r="N10" i="10"/>
  <c r="BE9" i="10"/>
  <c r="BD9" i="10"/>
  <c r="BC9" i="10"/>
  <c r="BB9" i="10"/>
  <c r="BA9" i="10"/>
  <c r="AZ9" i="10"/>
  <c r="AY9" i="10"/>
  <c r="AX9" i="10"/>
  <c r="AW9" i="10"/>
  <c r="BH9" i="10" s="1"/>
  <c r="AY24" i="10" s="1"/>
  <c r="X9" i="10"/>
  <c r="M9" i="10"/>
  <c r="BE8" i="10"/>
  <c r="BD8" i="10"/>
  <c r="BC8" i="10"/>
  <c r="BB8" i="10"/>
  <c r="BA8" i="10"/>
  <c r="AZ8" i="10"/>
  <c r="AY8" i="10"/>
  <c r="AX8" i="10"/>
  <c r="AW8" i="10"/>
  <c r="BH8" i="10" s="1"/>
  <c r="X8" i="10"/>
  <c r="L8" i="10"/>
  <c r="BE7" i="10"/>
  <c r="BD7" i="10"/>
  <c r="BC7" i="10"/>
  <c r="BB7" i="10"/>
  <c r="BA7" i="10"/>
  <c r="AZ7" i="10"/>
  <c r="AY7" i="10"/>
  <c r="AX7" i="10"/>
  <c r="AW7" i="10"/>
  <c r="BH7" i="10" s="1"/>
  <c r="X7" i="10"/>
  <c r="K7" i="10"/>
  <c r="BE6" i="10"/>
  <c r="BD6" i="10"/>
  <c r="BC6" i="10"/>
  <c r="BB6" i="10"/>
  <c r="AZ6" i="10"/>
  <c r="AY6" i="10"/>
  <c r="AX6" i="10"/>
  <c r="AW6" i="10"/>
  <c r="BH6" i="10" s="1"/>
  <c r="X6" i="10"/>
  <c r="N6" i="10"/>
  <c r="J6" i="10"/>
  <c r="BE5" i="10"/>
  <c r="BD5" i="10"/>
  <c r="BC5" i="10"/>
  <c r="BB5" i="10"/>
  <c r="BA5" i="10"/>
  <c r="AZ5" i="10"/>
  <c r="AY5" i="10"/>
  <c r="AX5" i="10"/>
  <c r="AW5" i="10"/>
  <c r="BH5" i="10" s="1"/>
  <c r="AX24" i="10" s="1"/>
  <c r="X5" i="10"/>
  <c r="O5" i="10"/>
  <c r="I5" i="10"/>
  <c r="H5" i="10"/>
  <c r="BE4" i="10"/>
  <c r="BD4" i="10"/>
  <c r="BC4" i="10"/>
  <c r="BB4" i="10"/>
  <c r="BA4" i="10"/>
  <c r="AZ4" i="10"/>
  <c r="AY4" i="10"/>
  <c r="AX4" i="10"/>
  <c r="AW4" i="10"/>
  <c r="BH4" i="10" s="1"/>
  <c r="X4" i="10"/>
  <c r="K4" i="10"/>
  <c r="I4" i="10"/>
  <c r="H4" i="10"/>
  <c r="T1" i="10"/>
  <c r="C19" i="5"/>
  <c r="B19" i="5"/>
  <c r="A19" i="5"/>
  <c r="C18" i="5"/>
  <c r="B18" i="5"/>
  <c r="A18" i="5"/>
  <c r="C17" i="5"/>
  <c r="B17" i="5"/>
  <c r="A17" i="5"/>
  <c r="C16" i="5"/>
  <c r="B16" i="5"/>
  <c r="A16" i="5"/>
  <c r="C15" i="5"/>
  <c r="B15" i="5"/>
  <c r="A15" i="5"/>
  <c r="C14" i="5"/>
  <c r="B14" i="5"/>
  <c r="A14" i="5"/>
  <c r="C13" i="5"/>
  <c r="B13" i="5"/>
  <c r="A13" i="5"/>
  <c r="C12" i="5"/>
  <c r="B12" i="5"/>
  <c r="A12" i="5"/>
  <c r="C11" i="5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C5" i="5"/>
  <c r="B5" i="5"/>
  <c r="A5" i="5"/>
  <c r="C4" i="5"/>
  <c r="B4" i="5"/>
  <c r="A4" i="5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2" i="6"/>
  <c r="C12" i="6"/>
  <c r="B12" i="6"/>
  <c r="D11" i="6"/>
  <c r="C11" i="6"/>
  <c r="B11" i="6"/>
  <c r="D10" i="6"/>
  <c r="C10" i="6"/>
  <c r="B10" i="6"/>
  <c r="D9" i="6"/>
  <c r="C9" i="6"/>
  <c r="B9" i="6"/>
  <c r="D8" i="6"/>
  <c r="C8" i="6"/>
  <c r="B8" i="6"/>
  <c r="D7" i="6"/>
  <c r="C7" i="6"/>
  <c r="B7" i="6"/>
  <c r="D6" i="6"/>
  <c r="C6" i="6"/>
  <c r="B6" i="6"/>
  <c r="D5" i="6"/>
  <c r="C5" i="6"/>
  <c r="B5" i="6"/>
  <c r="AT55" i="11" l="1"/>
  <c r="AT54" i="11"/>
  <c r="AT46" i="11"/>
  <c r="O5" i="11" s="1"/>
  <c r="AT36" i="11"/>
  <c r="AT30" i="11"/>
  <c r="BI10" i="11"/>
  <c r="AX28" i="11" s="1"/>
  <c r="BA28" i="11" s="1"/>
  <c r="AT24" i="11"/>
  <c r="AZ19" i="11"/>
  <c r="AZ17" i="11"/>
  <c r="BI8" i="11"/>
  <c r="AX30" i="11" s="1"/>
  <c r="BA30" i="11" s="1"/>
  <c r="L11" i="10"/>
  <c r="AT52" i="10"/>
  <c r="O8" i="10" s="1"/>
  <c r="AT40" i="10"/>
  <c r="AT28" i="10"/>
  <c r="AT49" i="10"/>
  <c r="AT47" i="10"/>
  <c r="BA6" i="10"/>
  <c r="AT41" i="10"/>
  <c r="O9" i="10"/>
  <c r="M11" i="10"/>
  <c r="M10" i="10"/>
  <c r="N9" i="10"/>
  <c r="L4" i="10"/>
  <c r="H8" i="10"/>
  <c r="K5" i="10"/>
  <c r="I7" i="10"/>
  <c r="J11" i="10"/>
  <c r="O6" i="10"/>
  <c r="K6" i="10"/>
  <c r="J7" i="10"/>
  <c r="L5" i="10"/>
  <c r="I8" i="10"/>
  <c r="H9" i="10"/>
  <c r="M4" i="10"/>
  <c r="O10" i="10"/>
  <c r="N11" i="10"/>
  <c r="H10" i="10"/>
  <c r="N4" i="10"/>
  <c r="M5" i="10"/>
  <c r="I9" i="10"/>
  <c r="J8" i="10"/>
  <c r="L6" i="10"/>
  <c r="O7" i="10"/>
  <c r="K11" i="10"/>
  <c r="AT18" i="10"/>
  <c r="AT17" i="10"/>
  <c r="BI5" i="10"/>
  <c r="AY30" i="10" s="1"/>
  <c r="AZ30" i="10" s="1"/>
  <c r="AT16" i="10"/>
  <c r="AX23" i="10"/>
  <c r="BA23" i="10" s="1"/>
  <c r="BI6" i="10"/>
  <c r="AX25" i="10"/>
  <c r="BA25" i="10" s="1"/>
  <c r="BI4" i="10"/>
  <c r="AY22" i="10"/>
  <c r="AZ22" i="10" s="1"/>
  <c r="BI7" i="10"/>
  <c r="I6" i="10"/>
  <c r="J5" i="10"/>
  <c r="L9" i="10"/>
  <c r="M8" i="10"/>
  <c r="AX22" i="10"/>
  <c r="BA22" i="10" s="1"/>
  <c r="BI11" i="10"/>
  <c r="K10" i="10"/>
  <c r="N7" i="10"/>
  <c r="AY23" i="10"/>
  <c r="AZ23" i="10" s="1"/>
  <c r="BI8" i="10"/>
  <c r="I10" i="10"/>
  <c r="N5" i="10"/>
  <c r="AZ24" i="10"/>
  <c r="AZ25" i="10"/>
  <c r="L10" i="10"/>
  <c r="N8" i="10"/>
  <c r="K9" i="10"/>
  <c r="M7" i="10"/>
  <c r="K8" i="10"/>
  <c r="L7" i="10"/>
  <c r="BA24" i="10"/>
  <c r="BI10" i="10"/>
  <c r="AZ17" i="10"/>
  <c r="AZ19" i="10"/>
  <c r="AX25" i="11"/>
  <c r="BA25" i="11" s="1"/>
  <c r="BI4" i="11"/>
  <c r="AX24" i="11"/>
  <c r="BA24" i="11" s="1"/>
  <c r="BI5" i="11"/>
  <c r="AX23" i="11"/>
  <c r="BA23" i="11" s="1"/>
  <c r="BI6" i="11"/>
  <c r="AY22" i="11"/>
  <c r="AZ22" i="11" s="1"/>
  <c r="BI7" i="11"/>
  <c r="BI9" i="10"/>
  <c r="AT16" i="11"/>
  <c r="O4" i="11" s="1"/>
  <c r="AW11" i="11"/>
  <c r="BH11" i="11" s="1"/>
  <c r="AZ16" i="11"/>
  <c r="AT18" i="11"/>
  <c r="M6" i="11" s="1"/>
  <c r="AZ18" i="11"/>
  <c r="AW9" i="11"/>
  <c r="BH9" i="11" s="1"/>
  <c r="AT29" i="11"/>
  <c r="AY9" i="11"/>
  <c r="AT34" i="11"/>
  <c r="O6" i="11" s="1"/>
  <c r="AZ11" i="11"/>
  <c r="AT37" i="11"/>
  <c r="M10" i="11" s="1"/>
  <c r="AZ10" i="11"/>
  <c r="AT40" i="11"/>
  <c r="O9" i="11" s="1"/>
  <c r="BA9" i="11"/>
  <c r="AT48" i="11"/>
  <c r="N7" i="11" s="1"/>
  <c r="R7" i="11" s="1"/>
  <c r="BB10" i="11"/>
  <c r="AY25" i="11"/>
  <c r="AZ25" i="11" s="1"/>
  <c r="BB11" i="11"/>
  <c r="AZ23" i="11"/>
  <c r="AX11" i="11"/>
  <c r="AY10" i="11"/>
  <c r="N11" i="11"/>
  <c r="J11" i="11"/>
  <c r="O10" i="11"/>
  <c r="M11" i="11"/>
  <c r="I11" i="11"/>
  <c r="L11" i="11"/>
  <c r="H11" i="11"/>
  <c r="I10" i="11"/>
  <c r="J9" i="11"/>
  <c r="O8" i="11"/>
  <c r="H5" i="11" l="1"/>
  <c r="I4" i="11"/>
  <c r="J10" i="11"/>
  <c r="N6" i="11"/>
  <c r="R6" i="11" s="1"/>
  <c r="K10" i="11"/>
  <c r="BJ10" i="11"/>
  <c r="BK10" i="11" s="1"/>
  <c r="BJ8" i="11"/>
  <c r="N9" i="11"/>
  <c r="H8" i="11"/>
  <c r="L4" i="11"/>
  <c r="I8" i="11"/>
  <c r="L5" i="11"/>
  <c r="M5" i="11"/>
  <c r="I9" i="11"/>
  <c r="J4" i="10"/>
  <c r="H6" i="10"/>
  <c r="BJ5" i="10"/>
  <c r="R7" i="10"/>
  <c r="R8" i="10"/>
  <c r="R10" i="10"/>
  <c r="M6" i="10"/>
  <c r="J9" i="10"/>
  <c r="R9" i="10" s="1"/>
  <c r="R5" i="10"/>
  <c r="H11" i="10"/>
  <c r="R11" i="10" s="1"/>
  <c r="O4" i="10"/>
  <c r="R4" i="10" s="1"/>
  <c r="AX37" i="11"/>
  <c r="BA37" i="11" s="1"/>
  <c r="AY36" i="11"/>
  <c r="AZ36" i="11" s="1"/>
  <c r="BK8" i="11"/>
  <c r="AY24" i="11"/>
  <c r="AZ24" i="11" s="1"/>
  <c r="BI9" i="11"/>
  <c r="AX22" i="11"/>
  <c r="BI11" i="11"/>
  <c r="AX31" i="11"/>
  <c r="BJ7" i="11"/>
  <c r="AX35" i="10"/>
  <c r="BK5" i="10"/>
  <c r="AX31" i="10"/>
  <c r="BJ7" i="10"/>
  <c r="R11" i="11"/>
  <c r="AY30" i="11"/>
  <c r="AZ30" i="11" s="1"/>
  <c r="BJ5" i="11"/>
  <c r="AX28" i="10"/>
  <c r="BJ10" i="10"/>
  <c r="AY28" i="10"/>
  <c r="AZ28" i="10" s="1"/>
  <c r="BJ11" i="10"/>
  <c r="AY31" i="10"/>
  <c r="AZ31" i="10" s="1"/>
  <c r="BJ6" i="10"/>
  <c r="H9" i="11"/>
  <c r="M4" i="11"/>
  <c r="AX29" i="10"/>
  <c r="BJ9" i="10"/>
  <c r="AY31" i="11"/>
  <c r="AZ31" i="11" s="1"/>
  <c r="BJ6" i="11"/>
  <c r="AY29" i="11"/>
  <c r="AZ29" i="11" s="1"/>
  <c r="BJ4" i="11"/>
  <c r="BJ8" i="10"/>
  <c r="AX30" i="10"/>
  <c r="AY29" i="10"/>
  <c r="AZ29" i="10" s="1"/>
  <c r="BJ4" i="10"/>
  <c r="R10" i="11" l="1"/>
  <c r="R4" i="11"/>
  <c r="R8" i="11"/>
  <c r="R5" i="11"/>
  <c r="R6" i="10"/>
  <c r="Z4" i="10" s="1"/>
  <c r="Z9" i="10"/>
  <c r="S6" i="10"/>
  <c r="Z10" i="10"/>
  <c r="S8" i="10"/>
  <c r="S5" i="10"/>
  <c r="Z6" i="10"/>
  <c r="Z8" i="10"/>
  <c r="S11" i="10"/>
  <c r="S4" i="10"/>
  <c r="AX36" i="11"/>
  <c r="BK4" i="11"/>
  <c r="BA28" i="10"/>
  <c r="AY43" i="10"/>
  <c r="AZ43" i="10" s="1"/>
  <c r="BL5" i="10"/>
  <c r="AY35" i="11"/>
  <c r="AZ35" i="11" s="1"/>
  <c r="BK7" i="11"/>
  <c r="BA22" i="11"/>
  <c r="AX41" i="11"/>
  <c r="BL8" i="11"/>
  <c r="R9" i="11"/>
  <c r="BK11" i="10"/>
  <c r="AX34" i="10"/>
  <c r="AY35" i="10"/>
  <c r="AZ35" i="10" s="1"/>
  <c r="BK7" i="10"/>
  <c r="BA35" i="10"/>
  <c r="BA31" i="11"/>
  <c r="AX37" i="10"/>
  <c r="BA37" i="10" s="1"/>
  <c r="BK10" i="10"/>
  <c r="AY37" i="10"/>
  <c r="AZ37" i="10" s="1"/>
  <c r="BK9" i="10"/>
  <c r="BA30" i="10"/>
  <c r="BA29" i="10"/>
  <c r="AX36" i="10"/>
  <c r="BK4" i="10"/>
  <c r="AY36" i="10"/>
  <c r="AZ36" i="10" s="1"/>
  <c r="BK8" i="10"/>
  <c r="AY34" i="11"/>
  <c r="AZ34" i="11" s="1"/>
  <c r="BK6" i="11"/>
  <c r="AY34" i="10"/>
  <c r="AZ34" i="10" s="1"/>
  <c r="BK6" i="10"/>
  <c r="AX35" i="11"/>
  <c r="BK5" i="11"/>
  <c r="BA31" i="10"/>
  <c r="AY28" i="11"/>
  <c r="AZ28" i="11" s="1"/>
  <c r="BJ11" i="11"/>
  <c r="AX29" i="11"/>
  <c r="BJ9" i="11"/>
  <c r="AY41" i="11"/>
  <c r="AZ41" i="11" s="1"/>
  <c r="BL10" i="11"/>
  <c r="Z11" i="11" l="1"/>
  <c r="Z9" i="11"/>
  <c r="Z10" i="11"/>
  <c r="Z5" i="11"/>
  <c r="S11" i="11"/>
  <c r="Z7" i="11"/>
  <c r="Z7" i="10"/>
  <c r="Z5" i="10"/>
  <c r="S7" i="10"/>
  <c r="Z11" i="10"/>
  <c r="Z13" i="10" s="1"/>
  <c r="S10" i="10"/>
  <c r="S9" i="10"/>
  <c r="AH9" i="10" s="1"/>
  <c r="AH7" i="10"/>
  <c r="AX43" i="11"/>
  <c r="BL6" i="11"/>
  <c r="AX40" i="10"/>
  <c r="BL9" i="10"/>
  <c r="S9" i="11"/>
  <c r="S5" i="11"/>
  <c r="AY37" i="11"/>
  <c r="AZ37" i="11" s="1"/>
  <c r="BK9" i="11"/>
  <c r="BA29" i="11"/>
  <c r="BA35" i="11"/>
  <c r="BK11" i="11"/>
  <c r="AX34" i="11"/>
  <c r="AX43" i="10"/>
  <c r="BL6" i="10"/>
  <c r="AY42" i="10"/>
  <c r="AZ42" i="10" s="1"/>
  <c r="BL4" i="10"/>
  <c r="Z8" i="11"/>
  <c r="AX42" i="10"/>
  <c r="BL7" i="10"/>
  <c r="BA34" i="10"/>
  <c r="Z6" i="11"/>
  <c r="AY49" i="11"/>
  <c r="AZ49" i="11" s="1"/>
  <c r="BM8" i="11"/>
  <c r="AY46" i="10"/>
  <c r="AZ46" i="10" s="1"/>
  <c r="BM5" i="10"/>
  <c r="S8" i="11"/>
  <c r="S4" i="11"/>
  <c r="AY42" i="11"/>
  <c r="AZ42" i="11" s="1"/>
  <c r="BL4" i="11"/>
  <c r="AX48" i="11"/>
  <c r="BM10" i="11"/>
  <c r="AX41" i="10"/>
  <c r="BL8" i="10"/>
  <c r="BA36" i="10"/>
  <c r="AY40" i="10"/>
  <c r="AZ40" i="10" s="1"/>
  <c r="BL11" i="10"/>
  <c r="BA41" i="11"/>
  <c r="AX42" i="11"/>
  <c r="BL7" i="11"/>
  <c r="S6" i="11"/>
  <c r="S7" i="11"/>
  <c r="BA36" i="11"/>
  <c r="AY43" i="11"/>
  <c r="AZ43" i="11" s="1"/>
  <c r="BL5" i="11"/>
  <c r="AY41" i="10"/>
  <c r="AZ41" i="10" s="1"/>
  <c r="BL10" i="10"/>
  <c r="S10" i="11"/>
  <c r="Z4" i="11"/>
  <c r="Z13" i="11" l="1"/>
  <c r="AA7" i="11" s="1"/>
  <c r="AH11" i="11"/>
  <c r="AH10" i="11"/>
  <c r="AH12" i="10"/>
  <c r="AI12" i="10" s="1"/>
  <c r="AH10" i="10"/>
  <c r="AH5" i="10"/>
  <c r="AH4" i="10"/>
  <c r="AH8" i="10"/>
  <c r="AH6" i="10"/>
  <c r="AA7" i="10"/>
  <c r="AA11" i="10"/>
  <c r="AH11" i="10"/>
  <c r="AA5" i="10"/>
  <c r="AA4" i="10"/>
  <c r="AA10" i="10"/>
  <c r="AA6" i="10"/>
  <c r="AA9" i="10"/>
  <c r="AA8" i="10"/>
  <c r="AY48" i="11"/>
  <c r="AZ48" i="11" s="1"/>
  <c r="BM7" i="11"/>
  <c r="AX46" i="10"/>
  <c r="BM11" i="10"/>
  <c r="AY49" i="10"/>
  <c r="AZ49" i="10" s="1"/>
  <c r="BM8" i="10"/>
  <c r="BA48" i="11"/>
  <c r="AH8" i="11"/>
  <c r="AX47" i="10"/>
  <c r="BM4" i="10"/>
  <c r="BA43" i="10"/>
  <c r="AY47" i="11"/>
  <c r="AZ47" i="11" s="1"/>
  <c r="BM6" i="11"/>
  <c r="AA11" i="11"/>
  <c r="AA10" i="11"/>
  <c r="AA9" i="11"/>
  <c r="AA8" i="11"/>
  <c r="AA6" i="11"/>
  <c r="AA5" i="11"/>
  <c r="BA42" i="11"/>
  <c r="BA41" i="10"/>
  <c r="AX47" i="11"/>
  <c r="BM4" i="11"/>
  <c r="AX55" i="10"/>
  <c r="BN5" i="10"/>
  <c r="BO5" i="10" s="1"/>
  <c r="BP5" i="10" s="1"/>
  <c r="AY48" i="10"/>
  <c r="AZ48" i="10" s="1"/>
  <c r="BM7" i="10"/>
  <c r="AX40" i="11"/>
  <c r="BL9" i="11"/>
  <c r="AH9" i="11"/>
  <c r="BA43" i="11"/>
  <c r="AY46" i="11"/>
  <c r="AZ46" i="11" s="1"/>
  <c r="BM5" i="11"/>
  <c r="AH7" i="11"/>
  <c r="BA42" i="10"/>
  <c r="BA34" i="11"/>
  <c r="BM9" i="10"/>
  <c r="AX49" i="10"/>
  <c r="BA49" i="10" s="1"/>
  <c r="AX48" i="10"/>
  <c r="BM10" i="10"/>
  <c r="AH6" i="11"/>
  <c r="AY54" i="11"/>
  <c r="AZ54" i="11" s="1"/>
  <c r="BN10" i="11"/>
  <c r="AH12" i="11"/>
  <c r="AI12" i="11" s="1"/>
  <c r="AH4" i="11"/>
  <c r="AX52" i="11"/>
  <c r="BN8" i="11"/>
  <c r="BO8" i="11" s="1"/>
  <c r="BP8" i="11" s="1"/>
  <c r="AY47" i="10"/>
  <c r="AZ47" i="10" s="1"/>
  <c r="BM6" i="10"/>
  <c r="AY40" i="11"/>
  <c r="AZ40" i="11" s="1"/>
  <c r="BL11" i="11"/>
  <c r="AH5" i="11"/>
  <c r="BA40" i="10"/>
  <c r="AA4" i="11" l="1"/>
  <c r="AB5" i="11" s="1"/>
  <c r="AT8" i="11"/>
  <c r="W9" i="11" s="1"/>
  <c r="AB5" i="10"/>
  <c r="AB10" i="10"/>
  <c r="AB9" i="10"/>
  <c r="AB11" i="10"/>
  <c r="AB7" i="10"/>
  <c r="AB4" i="10"/>
  <c r="AB6" i="10"/>
  <c r="AB8" i="10"/>
  <c r="BA48" i="10"/>
  <c r="BM9" i="11"/>
  <c r="AX49" i="11"/>
  <c r="BA49" i="11" s="1"/>
  <c r="AT5" i="10"/>
  <c r="W4" i="10" s="1"/>
  <c r="AY55" i="11"/>
  <c r="AZ55" i="11" s="1"/>
  <c r="BN4" i="11"/>
  <c r="AB4" i="11"/>
  <c r="BN8" i="10"/>
  <c r="BO8" i="10" s="1"/>
  <c r="BP8" i="10" s="1"/>
  <c r="AT8" i="10" s="1"/>
  <c r="W9" i="10" s="1"/>
  <c r="AX52" i="10"/>
  <c r="AY52" i="10"/>
  <c r="AZ52" i="10" s="1"/>
  <c r="AS8" i="10" s="1"/>
  <c r="BN11" i="10"/>
  <c r="BA40" i="11"/>
  <c r="BA47" i="11"/>
  <c r="AS6" i="11" s="1"/>
  <c r="AR4" i="11"/>
  <c r="G62" i="11" s="1"/>
  <c r="AX54" i="11"/>
  <c r="BN6" i="11"/>
  <c r="BO6" i="11" s="1"/>
  <c r="BP6" i="11" s="1"/>
  <c r="AT6" i="11" s="1"/>
  <c r="W8" i="11" s="1"/>
  <c r="AR10" i="11"/>
  <c r="G61" i="11" s="1"/>
  <c r="BA46" i="10"/>
  <c r="AX46" i="11"/>
  <c r="BM11" i="11"/>
  <c r="BO10" i="11"/>
  <c r="BP10" i="11" s="1"/>
  <c r="AX53" i="10"/>
  <c r="BN7" i="10"/>
  <c r="BO7" i="10" s="1"/>
  <c r="BP7" i="10" s="1"/>
  <c r="AT7" i="10" s="1"/>
  <c r="W10" i="10" s="1"/>
  <c r="BA55" i="10"/>
  <c r="AS4" i="10" s="1"/>
  <c r="AR5" i="10"/>
  <c r="AY55" i="10"/>
  <c r="AZ55" i="10" s="1"/>
  <c r="BN4" i="10"/>
  <c r="AX53" i="11"/>
  <c r="BN7" i="11"/>
  <c r="BO7" i="11" s="1"/>
  <c r="BP7" i="11" s="1"/>
  <c r="AT7" i="11" s="1"/>
  <c r="W10" i="11" s="1"/>
  <c r="AX54" i="10"/>
  <c r="BN6" i="10"/>
  <c r="BO6" i="10" s="1"/>
  <c r="BP6" i="10" s="1"/>
  <c r="AT6" i="10" s="1"/>
  <c r="W8" i="10" s="1"/>
  <c r="BA52" i="11"/>
  <c r="AR8" i="11"/>
  <c r="G65" i="11" s="1"/>
  <c r="AY54" i="10"/>
  <c r="AZ54" i="10" s="1"/>
  <c r="BN10" i="10"/>
  <c r="BO10" i="10" s="1"/>
  <c r="BP10" i="10" s="1"/>
  <c r="AT10" i="10" s="1"/>
  <c r="W5" i="10" s="1"/>
  <c r="AY53" i="10"/>
  <c r="BN9" i="10"/>
  <c r="AX55" i="11"/>
  <c r="BN5" i="11"/>
  <c r="BO5" i="11" s="1"/>
  <c r="BP5" i="11" s="1"/>
  <c r="AT5" i="11" s="1"/>
  <c r="W4" i="11" s="1"/>
  <c r="BA47" i="10"/>
  <c r="AS6" i="10" s="1"/>
  <c r="AR4" i="10"/>
  <c r="G62" i="10" s="1"/>
  <c r="AS11" i="11" l="1"/>
  <c r="AB10" i="11"/>
  <c r="AB11" i="11"/>
  <c r="AB8" i="11"/>
  <c r="AB6" i="11"/>
  <c r="AB9" i="11"/>
  <c r="AB7" i="11"/>
  <c r="AS5" i="10"/>
  <c r="AB13" i="10"/>
  <c r="AR11" i="10"/>
  <c r="G67" i="10" s="1"/>
  <c r="BA53" i="10"/>
  <c r="AS9" i="10" s="1"/>
  <c r="AR7" i="10"/>
  <c r="G66" i="10" s="1"/>
  <c r="AY52" i="11"/>
  <c r="AZ52" i="11" s="1"/>
  <c r="AS8" i="11" s="1"/>
  <c r="BN11" i="11"/>
  <c r="BO11" i="11" s="1"/>
  <c r="BP11" i="11" s="1"/>
  <c r="BO11" i="10"/>
  <c r="BP11" i="10" s="1"/>
  <c r="AR10" i="10"/>
  <c r="G61" i="10" s="1"/>
  <c r="BO4" i="10"/>
  <c r="BP4" i="10" s="1"/>
  <c r="AT10" i="11"/>
  <c r="W5" i="11" s="1"/>
  <c r="BA46" i="11"/>
  <c r="AS5" i="11" s="1"/>
  <c r="BA55" i="11"/>
  <c r="AS4" i="11" s="1"/>
  <c r="AR5" i="11"/>
  <c r="BA54" i="10"/>
  <c r="AS10" i="10" s="1"/>
  <c r="AR6" i="10"/>
  <c r="G64" i="10" s="1"/>
  <c r="BA54" i="11"/>
  <c r="AS10" i="11" s="1"/>
  <c r="AR6" i="11"/>
  <c r="G64" i="11" s="1"/>
  <c r="BA52" i="10"/>
  <c r="AS11" i="10" s="1"/>
  <c r="AR8" i="10"/>
  <c r="G65" i="10" s="1"/>
  <c r="BO4" i="11"/>
  <c r="BP4" i="11" s="1"/>
  <c r="AZ53" i="10"/>
  <c r="AS7" i="10" s="1"/>
  <c r="AR9" i="10"/>
  <c r="G63" i="10" s="1"/>
  <c r="BA53" i="11"/>
  <c r="AS9" i="11" s="1"/>
  <c r="AR7" i="11"/>
  <c r="G66" i="11" s="1"/>
  <c r="BO9" i="10"/>
  <c r="BP9" i="10" s="1"/>
  <c r="AY53" i="11"/>
  <c r="BN9" i="11"/>
  <c r="BO9" i="11" s="1"/>
  <c r="BP9" i="11" s="1"/>
  <c r="AT9" i="11" s="1"/>
  <c r="W7" i="11" s="1"/>
  <c r="AT4" i="11" l="1"/>
  <c r="W6" i="11" s="1"/>
  <c r="AB13" i="11"/>
  <c r="AR11" i="11"/>
  <c r="G67" i="11" s="1"/>
  <c r="AT11" i="11"/>
  <c r="W11" i="11" s="1"/>
  <c r="AT11" i="10"/>
  <c r="W11" i="10" s="1"/>
  <c r="AC8" i="10"/>
  <c r="AC6" i="10"/>
  <c r="AC11" i="10"/>
  <c r="AC5" i="10"/>
  <c r="AC7" i="10"/>
  <c r="AC4" i="10"/>
  <c r="AC9" i="10"/>
  <c r="AC10" i="10"/>
  <c r="AT9" i="10"/>
  <c r="W7" i="10" s="1"/>
  <c r="AT4" i="10"/>
  <c r="W6" i="10" s="1"/>
  <c r="AZ53" i="11"/>
  <c r="AS7" i="11" s="1"/>
  <c r="AR9" i="11"/>
  <c r="G63" i="11" s="1"/>
  <c r="AC11" i="11"/>
  <c r="AC9" i="11"/>
  <c r="AC8" i="11"/>
  <c r="AC5" i="11"/>
  <c r="AC10" i="11"/>
  <c r="AC7" i="11"/>
  <c r="AC6" i="11"/>
  <c r="AC4" i="11"/>
  <c r="AD9" i="10" l="1"/>
  <c r="AD11" i="10"/>
  <c r="AD12" i="10" s="1"/>
  <c r="AD4" i="10"/>
  <c r="AD6" i="10"/>
  <c r="AD7" i="10" s="1"/>
  <c r="AD8" i="10"/>
  <c r="AD10" i="10"/>
  <c r="AD5" i="10"/>
  <c r="AD5" i="11"/>
  <c r="AD6" i="11"/>
  <c r="AD7" i="11" s="1"/>
  <c r="AD8" i="11"/>
  <c r="AD9" i="11"/>
  <c r="AD4" i="11"/>
  <c r="AD10" i="11"/>
  <c r="AD11" i="11"/>
  <c r="AD12" i="11" s="1"/>
  <c r="AD13" i="10" l="1"/>
  <c r="AD13" i="11"/>
  <c r="AE9" i="10" l="1"/>
  <c r="AE6" i="10"/>
  <c r="AE10" i="10"/>
  <c r="AE4" i="10"/>
  <c r="AE11" i="10"/>
  <c r="AE5" i="10"/>
  <c r="AE7" i="10"/>
  <c r="AE8" i="10"/>
  <c r="AG8" i="10" s="1"/>
  <c r="AI8" i="10" s="1"/>
  <c r="AE11" i="11"/>
  <c r="AE10" i="11"/>
  <c r="AE9" i="11"/>
  <c r="AE7" i="11"/>
  <c r="AE6" i="11"/>
  <c r="AE8" i="11"/>
  <c r="AE5" i="11"/>
  <c r="AE4" i="11"/>
  <c r="AG8" i="11" l="1"/>
  <c r="AI8" i="11" s="1"/>
  <c r="AG6" i="11"/>
  <c r="AI6" i="11" s="1"/>
  <c r="AG4" i="10"/>
  <c r="AI4" i="10" s="1"/>
  <c r="AG10" i="10"/>
  <c r="AI10" i="10" s="1"/>
  <c r="AG5" i="10"/>
  <c r="AI5" i="10" s="1"/>
  <c r="AG6" i="10"/>
  <c r="AI6" i="10" s="1"/>
  <c r="AG7" i="10"/>
  <c r="AI7" i="10" s="1"/>
  <c r="AG11" i="10"/>
  <c r="AI11" i="10" s="1"/>
  <c r="AG9" i="10"/>
  <c r="AI9" i="10" s="1"/>
  <c r="AG10" i="11"/>
  <c r="AI10" i="11" s="1"/>
  <c r="AG11" i="11"/>
  <c r="AI11" i="11" s="1"/>
  <c r="AG4" i="11"/>
  <c r="AI4" i="11" s="1"/>
  <c r="AG7" i="11"/>
  <c r="AI7" i="11" s="1"/>
  <c r="AG5" i="11"/>
  <c r="AI5" i="11" s="1"/>
  <c r="AG9" i="11"/>
  <c r="AI9" i="11" s="1"/>
  <c r="AJ5" i="11" l="1"/>
  <c r="T5" i="11" s="1"/>
  <c r="A5" i="11" s="1"/>
  <c r="AJ7" i="11"/>
  <c r="T7" i="11" s="1"/>
  <c r="A7" i="11" s="1"/>
  <c r="AJ9" i="11"/>
  <c r="T9" i="11" s="1"/>
  <c r="A9" i="11" s="1"/>
  <c r="AJ6" i="11"/>
  <c r="T6" i="11" s="1"/>
  <c r="A6" i="11" s="1"/>
  <c r="AJ5" i="10"/>
  <c r="T5" i="10" s="1"/>
  <c r="A5" i="10" s="1"/>
  <c r="AJ9" i="10"/>
  <c r="T9" i="10" s="1"/>
  <c r="A9" i="10" s="1"/>
  <c r="AJ11" i="10"/>
  <c r="T11" i="10" s="1"/>
  <c r="A11" i="10" s="1"/>
  <c r="AJ10" i="10"/>
  <c r="T10" i="10" s="1"/>
  <c r="A10" i="10" s="1"/>
  <c r="AJ8" i="10"/>
  <c r="T8" i="10" s="1"/>
  <c r="A8" i="10" s="1"/>
  <c r="AJ7" i="10"/>
  <c r="T7" i="10" s="1"/>
  <c r="A7" i="10" s="1"/>
  <c r="AJ4" i="10"/>
  <c r="T4" i="10" s="1"/>
  <c r="A4" i="10" s="1"/>
  <c r="AJ6" i="10"/>
  <c r="T6" i="10" s="1"/>
  <c r="A6" i="10" s="1"/>
  <c r="AJ12" i="10"/>
  <c r="T12" i="10" s="1"/>
  <c r="A12" i="10" s="1"/>
  <c r="AJ11" i="11"/>
  <c r="T11" i="11" s="1"/>
  <c r="A11" i="11" s="1"/>
  <c r="AJ12" i="11"/>
  <c r="T12" i="11" s="1"/>
  <c r="A12" i="11" s="1"/>
  <c r="AJ4" i="11"/>
  <c r="T4" i="11" s="1"/>
  <c r="A4" i="11" s="1"/>
  <c r="AJ10" i="11"/>
  <c r="T10" i="11" s="1"/>
  <c r="A10" i="11" s="1"/>
  <c r="AJ8" i="11"/>
  <c r="T8" i="11" s="1"/>
  <c r="A8" i="11" s="1"/>
  <c r="H64" i="10" l="1"/>
  <c r="H67" i="10"/>
  <c r="E62" i="10"/>
  <c r="E65" i="10"/>
  <c r="F60" i="10"/>
  <c r="F63" i="10"/>
  <c r="F62" i="10"/>
  <c r="G60" i="10"/>
  <c r="H60" i="10"/>
  <c r="H63" i="10"/>
  <c r="E61" i="10"/>
  <c r="E64" i="10"/>
  <c r="E63" i="10"/>
  <c r="E66" i="10"/>
  <c r="F61" i="10"/>
  <c r="F64" i="10"/>
  <c r="F67" i="10"/>
  <c r="H61" i="10"/>
  <c r="E67" i="10"/>
  <c r="F65" i="10"/>
  <c r="H62" i="10"/>
  <c r="H65" i="10"/>
  <c r="E60" i="10"/>
  <c r="F66" i="10"/>
  <c r="H66" i="10"/>
  <c r="E67" i="11"/>
  <c r="F66" i="11"/>
  <c r="H64" i="11"/>
  <c r="E63" i="11"/>
  <c r="F62" i="11"/>
  <c r="H60" i="11"/>
  <c r="H67" i="11"/>
  <c r="E66" i="11"/>
  <c r="F65" i="11"/>
  <c r="H63" i="11"/>
  <c r="E62" i="11"/>
  <c r="F61" i="11"/>
  <c r="G60" i="11"/>
  <c r="H66" i="11"/>
  <c r="E65" i="11"/>
  <c r="F64" i="11"/>
  <c r="H62" i="11"/>
  <c r="E61" i="11"/>
  <c r="F60" i="11"/>
  <c r="F67" i="11"/>
  <c r="H65" i="11"/>
  <c r="F63" i="11"/>
  <c r="H61" i="11"/>
  <c r="E64" i="11"/>
  <c r="E60" i="11"/>
</calcChain>
</file>

<file path=xl/sharedStrings.xml><?xml version="1.0" encoding="utf-8"?>
<sst xmlns="http://schemas.openxmlformats.org/spreadsheetml/2006/main" count="308" uniqueCount="82">
  <si>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</si>
  <si>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</si>
  <si>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</si>
  <si>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</si>
  <si>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</si>
  <si>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</si>
  <si>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</si>
  <si>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</si>
  <si>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</si>
  <si>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</si>
  <si>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</si>
  <si>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</si>
  <si>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</si>
  <si>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</si>
  <si>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</si>
  <si>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</si>
  <si>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</si>
  <si>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</si>
  <si>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</si>
  <si>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</si>
  <si>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</si>
  <si>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</si>
  <si>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</si>
  <si>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</si>
  <si>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</si>
  <si>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</si>
  <si>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</si>
  <si>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</si>
  <si>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</si>
  <si>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</si>
  <si>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pos</t>
  </si>
  <si>
    <t>Prog</t>
  </si>
  <si>
    <t>Rat</t>
  </si>
  <si>
    <t>ID</t>
  </si>
  <si>
    <t>w/z</t>
  </si>
  <si>
    <t>z/w</t>
  </si>
  <si>
    <t>ronde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</si>
  <si>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</si>
  <si>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</si>
  <si>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</si>
  <si>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</si>
  <si>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</si>
  <si>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</si>
  <si>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</si>
  <si>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</si>
  <si>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</si>
  <si>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</si>
  <si>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</si>
  <si>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</si>
  <si>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</si>
  <si>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</si>
  <si>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</si>
  <si>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</si>
  <si>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</si>
  <si>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</si>
  <si>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</si>
  <si>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</si>
  <si>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</si>
  <si>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</si>
  <si>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</si>
  <si>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</si>
  <si>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</si>
  <si>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Bestandsversie</t>
  </si>
  <si>
    <t>0.3.0</t>
  </si>
  <si>
    <t>groep</t>
  </si>
  <si>
    <t>Groep A</t>
  </si>
  <si>
    <t>Ilan van der Zand</t>
  </si>
  <si>
    <t>Fabian de Vries</t>
  </si>
  <si>
    <t>Julian van Kuijk</t>
  </si>
  <si>
    <t>Ruben de Vries</t>
  </si>
  <si>
    <t>Floris van Capelleveen</t>
  </si>
  <si>
    <t>Abel Hogenhout</t>
  </si>
  <si>
    <t>Merijn Adams</t>
  </si>
  <si>
    <t>???</t>
  </si>
  <si>
    <t>Groep B</t>
  </si>
  <si>
    <t>Gurkan Kandemir</t>
  </si>
  <si>
    <t>Bas Van der Made</t>
  </si>
  <si>
    <t>Istar Snijders</t>
  </si>
  <si>
    <t>Moses de Jong</t>
  </si>
  <si>
    <t>Daan van Helden</t>
  </si>
  <si>
    <t>Olivier Van Pinksteren</t>
  </si>
  <si>
    <t>Jurre van der Zanden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</si>
</sst>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4B4B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64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4" xfId="1" applyFont="1" applyBorder="1" applyAlignment="1" applyProtection="1">
      <alignment horizontal="center" vertical="center"/>
    </xf>
    <xf numFmtId="1" fontId="8" fillId="0" borderId="4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4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4" fillId="0" borderId="0" xfId="0" applyFont="1" applyFill="1" applyProtection="1"/>
    <xf numFmtId="0" fontId="0" fillId="4" borderId="3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10" fillId="0" borderId="0" xfId="0" applyFont="1" applyAlignment="1" applyProtection="1">
      <alignment horizontal="right"/>
    </xf>
    <xf numFmtId="0" fontId="0" fillId="6" borderId="0" xfId="0" applyFill="1"/>
    <xf numFmtId="0" fontId="5" fillId="0" borderId="0" xfId="0" applyFont="1" applyAlignment="1">
      <alignment horizontal="center"/>
    </xf>
    <xf numFmtId="0" fontId="0" fillId="0" borderId="1" xfId="0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left"/>
    </xf>
  </cellXfs>
  <cellStyles count="2">
    <cellStyle name="Standaard" xfId="0" builtinId="0"/>
    <cellStyle name="Standaard_Kopie van Uitslagen" xfId="1" xr:uid="{00000000-0005-0000-0000-000002000000}"/>
  </cellStyles>
  <dxfs count="8"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3D3E1-4A39-4E65-B920-4C15728FE9EF}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57" t="s">
        <v>38</v>
      </c>
      <c r="B1" s="57"/>
      <c r="C1" s="57"/>
      <c r="D1" s="57"/>
      <c r="E1" s="57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 t="s">
        <v>65</v>
      </c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56" t="s">
        <v>4</v>
      </c>
      <c r="B4" s="56" t="s">
        <v>6</v>
      </c>
      <c r="C4" s="56" t="s">
        <v>7</v>
      </c>
      <c r="D4" s="56" t="s">
        <v>8</v>
      </c>
      <c r="E4" s="3"/>
      <c r="F4" s="1"/>
      <c r="G4" s="1"/>
      <c r="H4" s="1"/>
      <c r="I4" s="1"/>
      <c r="J4" s="1"/>
      <c r="K4" s="1"/>
    </row>
    <row r="5" spans="1:11" x14ac:dyDescent="0.25">
      <c r="A5" s="1">
        <v>1</v>
      </c>
      <c r="B5" s="1" t="str">
        <f>'Groep A'!C4</f>
        <v>Ilan van der Zand</v>
      </c>
      <c r="C5" s="1">
        <f>'Groep A'!D4</f>
        <v>8512031</v>
      </c>
      <c r="D5" s="1">
        <f>'Groep A'!F4</f>
        <v>1611</v>
      </c>
      <c r="E5" s="1"/>
      <c r="F5" s="1"/>
      <c r="G5" s="1"/>
      <c r="H5" s="1"/>
      <c r="I5" s="1"/>
      <c r="J5" s="1"/>
      <c r="K5" s="1"/>
    </row>
    <row r="6" spans="1:11" x14ac:dyDescent="0.25">
      <c r="A6" s="1">
        <v>2</v>
      </c>
      <c r="B6" s="1" t="str">
        <f>'Groep A'!C5</f>
        <v>Fabian de Vries</v>
      </c>
      <c r="C6" s="1">
        <f>'Groep A'!D5</f>
        <v>8540554</v>
      </c>
      <c r="D6" s="1">
        <f>'Groep A'!F5</f>
        <v>1600</v>
      </c>
      <c r="E6" s="1"/>
      <c r="F6" s="1"/>
      <c r="G6" s="1"/>
      <c r="H6" s="1"/>
      <c r="I6" s="1"/>
      <c r="J6" s="1"/>
      <c r="K6" s="1"/>
    </row>
    <row r="7" spans="1:11" x14ac:dyDescent="0.25">
      <c r="A7" s="1">
        <v>3</v>
      </c>
      <c r="B7" s="1" t="str">
        <f>'Groep A'!C6</f>
        <v>Julian van Kuijk</v>
      </c>
      <c r="C7" s="1">
        <f>'Groep A'!D6</f>
        <v>8564633</v>
      </c>
      <c r="D7" s="1">
        <f>'Groep A'!F6</f>
        <v>1395</v>
      </c>
      <c r="E7" s="1"/>
      <c r="F7" s="1"/>
      <c r="G7" s="1"/>
      <c r="H7" s="1"/>
      <c r="I7" s="1"/>
      <c r="J7" s="1"/>
      <c r="K7" s="1"/>
    </row>
    <row r="8" spans="1:11" x14ac:dyDescent="0.25">
      <c r="A8" s="1">
        <v>4</v>
      </c>
      <c r="B8" s="1" t="str">
        <f>'Groep A'!C7</f>
        <v>Ruben de Vries</v>
      </c>
      <c r="C8" s="1">
        <f>'Groep A'!D7</f>
        <v>8360121</v>
      </c>
      <c r="D8" s="1">
        <f>'Groep A'!F7</f>
        <v>1286</v>
      </c>
      <c r="E8" s="1"/>
      <c r="F8" s="1"/>
      <c r="G8" s="1"/>
      <c r="H8" s="1"/>
      <c r="I8" s="1"/>
      <c r="J8" s="1"/>
      <c r="K8" s="1"/>
    </row>
    <row r="9" spans="1:11" x14ac:dyDescent="0.25">
      <c r="A9" s="1">
        <v>5</v>
      </c>
      <c r="B9" s="1" t="str">
        <f>'Groep A'!C8</f>
        <v>Floris van Capelleveen</v>
      </c>
      <c r="C9" s="1">
        <f>'Groep A'!D8</f>
        <v>8426165</v>
      </c>
      <c r="D9" s="1">
        <f>'Groep A'!F8</f>
        <v>1165</v>
      </c>
      <c r="E9" s="1"/>
      <c r="F9" s="1"/>
      <c r="G9" s="1"/>
      <c r="H9" s="1"/>
      <c r="I9" s="1"/>
      <c r="J9" s="1"/>
      <c r="K9" s="1"/>
    </row>
    <row r="10" spans="1:11" x14ac:dyDescent="0.25">
      <c r="A10" s="1">
        <v>6</v>
      </c>
      <c r="B10" s="1" t="str">
        <f>'Groep A'!C9</f>
        <v>Abel Hogenhout</v>
      </c>
      <c r="C10" s="1">
        <f>'Groep A'!D9</f>
        <v>8589856</v>
      </c>
      <c r="D10" s="1">
        <f>'Groep A'!F9</f>
        <v>950</v>
      </c>
      <c r="E10" s="1"/>
      <c r="F10" s="1"/>
      <c r="G10" s="1"/>
      <c r="H10" s="1"/>
      <c r="I10" s="1"/>
      <c r="J10" s="1"/>
      <c r="K10" s="1"/>
    </row>
    <row r="11" spans="1:11" x14ac:dyDescent="0.25">
      <c r="A11" s="1">
        <v>7</v>
      </c>
      <c r="B11" s="1" t="str">
        <f>'Groep A'!C10</f>
        <v>Merijn Adams</v>
      </c>
      <c r="C11" s="1">
        <f>'Groep A'!D10</f>
        <v>8665074</v>
      </c>
      <c r="D11" s="1">
        <f>'Groep A'!F10</f>
        <v>753</v>
      </c>
      <c r="E11" s="1"/>
      <c r="F11" s="1"/>
      <c r="G11" s="1"/>
      <c r="H11" s="1"/>
      <c r="I11" s="1"/>
      <c r="J11" s="1"/>
      <c r="K11" s="1"/>
    </row>
    <row r="12" spans="1:11" x14ac:dyDescent="0.25">
      <c r="A12" s="1">
        <v>8</v>
      </c>
      <c r="B12" s="1" t="str">
        <f>'Groep A'!C11</f>
        <v>???</v>
      </c>
      <c r="C12" s="1">
        <f>'Groep A'!D11</f>
        <v>0</v>
      </c>
      <c r="D12" s="1">
        <f>'Groep A'!F11</f>
        <v>-1</v>
      </c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 t="s">
        <v>74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56" t="s">
        <v>4</v>
      </c>
      <c r="B15" s="56" t="s">
        <v>6</v>
      </c>
      <c r="C15" s="56" t="s">
        <v>7</v>
      </c>
      <c r="D15" s="56" t="s">
        <v>8</v>
      </c>
      <c r="E15" s="1"/>
      <c r="F15" s="1"/>
      <c r="G15" s="1"/>
      <c r="H15" s="1"/>
      <c r="I15" s="1"/>
      <c r="J15" s="1"/>
      <c r="K15" s="1"/>
    </row>
    <row r="16" spans="1:11" x14ac:dyDescent="0.25">
      <c r="A16" s="1">
        <v>1</v>
      </c>
      <c r="B16" s="1" t="str">
        <f>'Groep B'!C4</f>
        <v>Gurkan Kandemir</v>
      </c>
      <c r="C16" s="1">
        <f>'Groep B'!D4</f>
        <v>8690605</v>
      </c>
      <c r="D16" s="1">
        <f>'Groep B'!F4</f>
        <v>296</v>
      </c>
      <c r="E16" s="1"/>
      <c r="F16" s="1"/>
      <c r="G16" s="1"/>
      <c r="H16" s="1"/>
      <c r="I16" s="1"/>
      <c r="J16" s="1"/>
      <c r="K16" s="1"/>
    </row>
    <row r="17" spans="1:11" x14ac:dyDescent="0.25">
      <c r="A17" s="1">
        <v>2</v>
      </c>
      <c r="B17" s="1" t="str">
        <f>'Groep B'!C5</f>
        <v>Bas Van der Made</v>
      </c>
      <c r="C17" s="1">
        <f>'Groep B'!D5</f>
        <v>8770652</v>
      </c>
      <c r="D17" s="1">
        <f>'Groep B'!F5</f>
        <v>268</v>
      </c>
      <c r="E17" s="1"/>
      <c r="F17" s="1"/>
      <c r="G17" s="1"/>
      <c r="H17" s="1"/>
      <c r="I17" s="1"/>
      <c r="J17" s="1"/>
      <c r="K17" s="1"/>
    </row>
    <row r="18" spans="1:11" x14ac:dyDescent="0.25">
      <c r="A18" s="1">
        <v>3</v>
      </c>
      <c r="B18" s="1" t="str">
        <f>'Groep B'!C6</f>
        <v>Istar Snijders</v>
      </c>
      <c r="C18" s="1">
        <f>'Groep B'!D6</f>
        <v>8697348</v>
      </c>
      <c r="D18" s="1">
        <f>'Groep B'!F6</f>
        <v>216</v>
      </c>
      <c r="E18" s="1"/>
      <c r="F18" s="1"/>
      <c r="G18" s="1"/>
      <c r="H18" s="1"/>
      <c r="I18" s="1"/>
      <c r="J18" s="1"/>
      <c r="K18" s="1"/>
    </row>
    <row r="19" spans="1:11" x14ac:dyDescent="0.25">
      <c r="A19" s="1">
        <v>4</v>
      </c>
      <c r="B19" s="1" t="str">
        <f>'Groep B'!C7</f>
        <v>Moses de Jong</v>
      </c>
      <c r="C19" s="1">
        <f>'Groep B'!D7</f>
        <v>8659123</v>
      </c>
      <c r="D19" s="1">
        <f>'Groep B'!F7</f>
        <v>195</v>
      </c>
      <c r="E19" s="1"/>
      <c r="F19" s="1"/>
      <c r="G19" s="1"/>
      <c r="H19" s="1"/>
      <c r="I19" s="1"/>
      <c r="J19" s="1"/>
      <c r="K19" s="1"/>
    </row>
    <row r="20" spans="1:11" x14ac:dyDescent="0.25">
      <c r="A20" s="1">
        <v>5</v>
      </c>
      <c r="B20" s="1" t="str">
        <f>'Groep B'!C8</f>
        <v>Daan van Helden</v>
      </c>
      <c r="C20" s="1">
        <f>'Groep B'!D8</f>
        <v>8686315</v>
      </c>
      <c r="D20" s="1">
        <f>'Groep B'!F8</f>
        <v>172</v>
      </c>
      <c r="E20" s="1"/>
      <c r="F20" s="1"/>
      <c r="G20" s="1"/>
      <c r="H20" s="1"/>
      <c r="I20" s="1"/>
      <c r="J20" s="1"/>
      <c r="K20" s="1"/>
    </row>
    <row r="21" spans="1:11" x14ac:dyDescent="0.25">
      <c r="A21" s="1">
        <v>6</v>
      </c>
      <c r="B21" s="1" t="str">
        <f>'Groep B'!C9</f>
        <v>Olivier Van Pinksteren</v>
      </c>
      <c r="C21" s="1">
        <f>'Groep B'!D9</f>
        <v>8815180</v>
      </c>
      <c r="D21" s="1">
        <f>'Groep B'!F9</f>
        <v>138</v>
      </c>
      <c r="E21" s="1"/>
      <c r="F21" s="1"/>
      <c r="G21" s="1"/>
      <c r="H21" s="1"/>
      <c r="I21" s="1"/>
      <c r="J21" s="1"/>
      <c r="K21" s="1"/>
    </row>
    <row r="22" spans="1:11" x14ac:dyDescent="0.25">
      <c r="A22" s="1">
        <v>7</v>
      </c>
      <c r="B22" s="1" t="str">
        <f>'Groep B'!C10</f>
        <v>Jurre van der Zanden</v>
      </c>
      <c r="C22" s="1">
        <f>'Groep B'!D10</f>
        <v>8823474</v>
      </c>
      <c r="D22" s="1">
        <f>'Groep B'!F10</f>
        <v>136</v>
      </c>
      <c r="E22" s="1"/>
      <c r="F22" s="1"/>
      <c r="G22" s="1"/>
      <c r="H22" s="1"/>
      <c r="I22" s="1"/>
      <c r="J22" s="1"/>
      <c r="K22" s="1"/>
    </row>
    <row r="23" spans="1:11" x14ac:dyDescent="0.25">
      <c r="A23" s="1">
        <v>8</v>
      </c>
      <c r="B23" s="1" t="str">
        <f>'Groep B'!C11</f>
        <v>???</v>
      </c>
      <c r="C23" s="1">
        <f>'Groep B'!D11</f>
        <v>0</v>
      </c>
      <c r="D23" s="1">
        <f>'Groep B'!F11</f>
        <v>-1</v>
      </c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CA5D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D0A41-7814-490C-A610-3D8F5FA3555B}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57" t="s">
        <v>37</v>
      </c>
      <c r="B1" s="57"/>
      <c r="C1" s="57"/>
      <c r="D1" s="57"/>
      <c r="E1" s="57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56" t="s">
        <v>6</v>
      </c>
      <c r="B3" s="56" t="s">
        <v>7</v>
      </c>
      <c r="C3" s="56" t="s">
        <v>8</v>
      </c>
      <c r="D3" s="56" t="s">
        <v>64</v>
      </c>
      <c r="E3" s="2"/>
      <c r="F3" s="1"/>
      <c r="G3" s="1"/>
      <c r="H3" s="1"/>
    </row>
    <row r="4" spans="1:8" x14ac:dyDescent="0.25">
      <c r="A4" s="3" t="str">
        <f>'Groep A'!C4</f>
        <v>Ilan van der Zand</v>
      </c>
      <c r="B4" s="3">
        <f>'Groep A'!D4</f>
        <v>8512031</v>
      </c>
      <c r="C4" s="3">
        <f>'Groep A'!F4</f>
        <v>1611</v>
      </c>
      <c r="D4" s="3" t="s">
        <v>65</v>
      </c>
      <c r="E4" s="3"/>
      <c r="F4" s="1"/>
      <c r="G4" s="1"/>
      <c r="H4" s="1"/>
    </row>
    <row r="5" spans="1:8" x14ac:dyDescent="0.25">
      <c r="A5" s="1" t="str">
        <f>'Groep A'!C5</f>
        <v>Fabian de Vries</v>
      </c>
      <c r="B5" s="1">
        <f>'Groep A'!D5</f>
        <v>8540554</v>
      </c>
      <c r="C5" s="1">
        <f>'Groep A'!F5</f>
        <v>1600</v>
      </c>
      <c r="D5" s="1" t="s">
        <v>65</v>
      </c>
      <c r="E5" s="1"/>
      <c r="F5" s="1"/>
      <c r="G5" s="1"/>
      <c r="H5" s="1"/>
    </row>
    <row r="6" spans="1:8" x14ac:dyDescent="0.25">
      <c r="A6" s="1" t="str">
        <f>'Groep A'!C6</f>
        <v>Julian van Kuijk</v>
      </c>
      <c r="B6" s="1">
        <f>'Groep A'!D6</f>
        <v>8564633</v>
      </c>
      <c r="C6" s="1">
        <f>'Groep A'!F6</f>
        <v>1395</v>
      </c>
      <c r="D6" s="1" t="s">
        <v>65</v>
      </c>
      <c r="E6" s="1"/>
      <c r="F6" s="1"/>
      <c r="G6" s="1"/>
      <c r="H6" s="1"/>
    </row>
    <row r="7" spans="1:8" x14ac:dyDescent="0.25">
      <c r="A7" s="1" t="str">
        <f>'Groep A'!C7</f>
        <v>Ruben de Vries</v>
      </c>
      <c r="B7" s="1">
        <f>'Groep A'!D7</f>
        <v>8360121</v>
      </c>
      <c r="C7" s="1">
        <f>'Groep A'!F7</f>
        <v>1286</v>
      </c>
      <c r="D7" s="1" t="s">
        <v>65</v>
      </c>
      <c r="E7" s="1"/>
      <c r="F7" s="1"/>
      <c r="G7" s="1"/>
      <c r="H7" s="1"/>
    </row>
    <row r="8" spans="1:8" x14ac:dyDescent="0.25">
      <c r="A8" s="1" t="str">
        <f>'Groep A'!C8</f>
        <v>Floris van Capelleveen</v>
      </c>
      <c r="B8" s="1">
        <f>'Groep A'!D8</f>
        <v>8426165</v>
      </c>
      <c r="C8" s="1">
        <f>'Groep A'!F8</f>
        <v>1165</v>
      </c>
      <c r="D8" s="1" t="s">
        <v>65</v>
      </c>
      <c r="E8" s="1"/>
      <c r="F8" s="1"/>
      <c r="G8" s="1"/>
      <c r="H8" s="1"/>
    </row>
    <row r="9" spans="1:8" x14ac:dyDescent="0.25">
      <c r="A9" s="1" t="str">
        <f>'Groep A'!C9</f>
        <v>Abel Hogenhout</v>
      </c>
      <c r="B9" s="1">
        <f>'Groep A'!D9</f>
        <v>8589856</v>
      </c>
      <c r="C9" s="1">
        <f>'Groep A'!F9</f>
        <v>950</v>
      </c>
      <c r="D9" s="1" t="s">
        <v>65</v>
      </c>
      <c r="E9" s="1"/>
      <c r="F9" s="1"/>
      <c r="G9" s="1"/>
      <c r="H9" s="1"/>
    </row>
    <row r="10" spans="1:8" x14ac:dyDescent="0.25">
      <c r="A10" s="1" t="str">
        <f>'Groep A'!C10</f>
        <v>Merijn Adams</v>
      </c>
      <c r="B10" s="1">
        <f>'Groep A'!D10</f>
        <v>8665074</v>
      </c>
      <c r="C10" s="1">
        <f>'Groep A'!F10</f>
        <v>753</v>
      </c>
      <c r="D10" s="1" t="s">
        <v>65</v>
      </c>
      <c r="E10" s="1"/>
      <c r="F10" s="1"/>
      <c r="G10" s="1"/>
      <c r="H10" s="1"/>
    </row>
    <row r="11" spans="1:8" x14ac:dyDescent="0.25">
      <c r="A11" s="1" t="str">
        <f>'Groep A'!C11</f>
        <v>???</v>
      </c>
      <c r="B11" s="1">
        <f>'Groep A'!D11</f>
        <v>0</v>
      </c>
      <c r="C11" s="1">
        <f>'Groep A'!F11</f>
        <v>-1</v>
      </c>
      <c r="D11" s="1" t="s">
        <v>65</v>
      </c>
      <c r="E11" s="1"/>
      <c r="F11" s="1"/>
      <c r="G11" s="1"/>
      <c r="H11" s="1"/>
    </row>
    <row r="12" spans="1:8" x14ac:dyDescent="0.25">
      <c r="A12" s="1" t="str">
        <f>'Groep B'!C4</f>
        <v>Gurkan Kandemir</v>
      </c>
      <c r="B12" s="1">
        <f>'Groep B'!D4</f>
        <v>8690605</v>
      </c>
      <c r="C12" s="1">
        <f>'Groep B'!F4</f>
        <v>296</v>
      </c>
      <c r="D12" s="1" t="s">
        <v>74</v>
      </c>
      <c r="E12" s="1"/>
      <c r="F12" s="1"/>
      <c r="G12" s="1"/>
      <c r="H12" s="1"/>
    </row>
    <row r="13" spans="1:8" x14ac:dyDescent="0.25">
      <c r="A13" s="1" t="str">
        <f>'Groep B'!C5</f>
        <v>Bas Van der Made</v>
      </c>
      <c r="B13" s="1">
        <f>'Groep B'!D5</f>
        <v>8770652</v>
      </c>
      <c r="C13" s="1">
        <f>'Groep B'!F5</f>
        <v>268</v>
      </c>
      <c r="D13" s="1" t="s">
        <v>74</v>
      </c>
      <c r="E13" s="1"/>
      <c r="F13" s="1"/>
      <c r="G13" s="1"/>
      <c r="H13" s="1"/>
    </row>
    <row r="14" spans="1:8" x14ac:dyDescent="0.25">
      <c r="A14" s="1" t="str">
        <f>'Groep B'!C6</f>
        <v>Istar Snijders</v>
      </c>
      <c r="B14" s="1">
        <f>'Groep B'!D6</f>
        <v>8697348</v>
      </c>
      <c r="C14" s="1">
        <f>'Groep B'!F6</f>
        <v>216</v>
      </c>
      <c r="D14" s="1" t="s">
        <v>74</v>
      </c>
      <c r="E14" s="1"/>
      <c r="F14" s="1"/>
      <c r="G14" s="1"/>
      <c r="H14" s="1"/>
    </row>
    <row r="15" spans="1:8" x14ac:dyDescent="0.25">
      <c r="A15" s="1" t="str">
        <f>'Groep B'!C7</f>
        <v>Moses de Jong</v>
      </c>
      <c r="B15" s="1">
        <f>'Groep B'!D7</f>
        <v>8659123</v>
      </c>
      <c r="C15" s="1">
        <f>'Groep B'!F7</f>
        <v>195</v>
      </c>
      <c r="D15" s="1" t="s">
        <v>74</v>
      </c>
      <c r="E15" s="1"/>
      <c r="F15" s="1"/>
      <c r="G15" s="1"/>
      <c r="H15" s="1"/>
    </row>
    <row r="16" spans="1:8" x14ac:dyDescent="0.25">
      <c r="A16" s="1" t="str">
        <f>'Groep B'!C8</f>
        <v>Daan van Helden</v>
      </c>
      <c r="B16" s="1">
        <f>'Groep B'!D8</f>
        <v>8686315</v>
      </c>
      <c r="C16" s="1">
        <f>'Groep B'!F8</f>
        <v>172</v>
      </c>
      <c r="D16" s="1" t="s">
        <v>74</v>
      </c>
      <c r="E16" s="1"/>
      <c r="F16" s="1"/>
      <c r="G16" s="1"/>
      <c r="H16" s="1"/>
    </row>
    <row r="17" spans="1:8" x14ac:dyDescent="0.25">
      <c r="A17" s="1" t="str">
        <f>'Groep B'!C9</f>
        <v>Olivier Van Pinksteren</v>
      </c>
      <c r="B17" s="1">
        <f>'Groep B'!D9</f>
        <v>8815180</v>
      </c>
      <c r="C17" s="1">
        <f>'Groep B'!F9</f>
        <v>138</v>
      </c>
      <c r="D17" s="1" t="s">
        <v>74</v>
      </c>
      <c r="E17" s="1"/>
      <c r="F17" s="1"/>
      <c r="G17" s="1"/>
      <c r="H17" s="1"/>
    </row>
    <row r="18" spans="1:8" x14ac:dyDescent="0.25">
      <c r="A18" s="1" t="str">
        <f>'Groep B'!C10</f>
        <v>Jurre van der Zanden</v>
      </c>
      <c r="B18" s="1">
        <f>'Groep B'!D10</f>
        <v>8823474</v>
      </c>
      <c r="C18" s="1">
        <f>'Groep B'!F10</f>
        <v>136</v>
      </c>
      <c r="D18" s="1" t="s">
        <v>74</v>
      </c>
      <c r="E18" s="1"/>
      <c r="F18" s="1"/>
      <c r="G18" s="1"/>
      <c r="H18" s="1"/>
    </row>
    <row r="19" spans="1:8" x14ac:dyDescent="0.25">
      <c r="A19" s="1" t="str">
        <f>'Groep B'!C11</f>
        <v>???</v>
      </c>
      <c r="B19" s="1">
        <f>'Groep B'!D11</f>
        <v>0</v>
      </c>
      <c r="C19" s="1">
        <f>'Groep B'!F11</f>
        <v>-1</v>
      </c>
      <c r="D19" s="1" t="s">
        <v>74</v>
      </c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CA5D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9D283-C480-4707-AD4A-B74A62F78C74}">
  <sheetPr codeName="Blad7"/>
  <dimension ref="A1:E11"/>
  <sheetViews>
    <sheetView zoomScale="110" zoomScaleNormal="110" workbookViewId="0">
      <selection activeCell="B2" sqref="B2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t="s">
        <v>62</v>
      </c>
      <c r="B1" t="s">
        <v>63</v>
      </c>
    </row>
    <row r="2" spans="1:5" x14ac:dyDescent="0.25">
      <c r="A2" s="4" t="s">
        <v>39</v>
      </c>
      <c r="B2">
        <v>0</v>
      </c>
      <c r="C2" s="4" t="s">
        <v>41</v>
      </c>
      <c r="D2">
        <v>0</v>
      </c>
      <c r="E2">
        <v>1</v>
      </c>
    </row>
    <row r="3" spans="1:5" x14ac:dyDescent="0.25">
      <c r="A3" t="s">
        <v>61</v>
      </c>
      <c r="B3">
        <v>1</v>
      </c>
      <c r="C3" s="4" t="s">
        <v>40</v>
      </c>
      <c r="D3">
        <v>1</v>
      </c>
      <c r="E3">
        <v>0</v>
      </c>
    </row>
    <row r="4" spans="1:5" x14ac:dyDescent="0.25">
      <c r="B4">
        <v>2</v>
      </c>
      <c r="C4" s="4" t="s">
        <v>42</v>
      </c>
      <c r="D4">
        <v>0.5</v>
      </c>
      <c r="E4">
        <v>0.5</v>
      </c>
    </row>
    <row r="5" spans="1:5" x14ac:dyDescent="0.25">
      <c r="B5">
        <v>3</v>
      </c>
      <c r="C5" s="4" t="s">
        <v>59</v>
      </c>
      <c r="D5">
        <v>0</v>
      </c>
      <c r="E5">
        <v>1</v>
      </c>
    </row>
    <row r="6" spans="1:5" x14ac:dyDescent="0.25">
      <c r="B6">
        <v>4</v>
      </c>
      <c r="C6" s="4" t="s">
        <v>58</v>
      </c>
      <c r="D6">
        <v>1</v>
      </c>
      <c r="E6">
        <v>0</v>
      </c>
    </row>
    <row r="7" spans="1:5" x14ac:dyDescent="0.25">
      <c r="B7">
        <v>5</v>
      </c>
      <c r="C7" s="4" t="s">
        <v>60</v>
      </c>
      <c r="D7">
        <v>0.5</v>
      </c>
      <c r="E7">
        <v>0.5</v>
      </c>
    </row>
    <row r="8" spans="1:5" x14ac:dyDescent="0.25">
      <c r="B8">
        <v>6</v>
      </c>
      <c r="C8" s="4" t="s">
        <v>44</v>
      </c>
      <c r="D8">
        <v>0</v>
      </c>
      <c r="E8">
        <v>0</v>
      </c>
    </row>
    <row r="9" spans="1:5" x14ac:dyDescent="0.25">
      <c r="B9">
        <v>7</v>
      </c>
      <c r="C9" s="4" t="s">
        <v>45</v>
      </c>
      <c r="D9">
        <v>0</v>
      </c>
      <c r="E9">
        <v>1</v>
      </c>
    </row>
    <row r="10" spans="1:5" x14ac:dyDescent="0.25">
      <c r="B10">
        <v>8</v>
      </c>
      <c r="C10" s="4" t="s">
        <v>43</v>
      </c>
      <c r="D10">
        <v>1</v>
      </c>
      <c r="E10">
        <v>0</v>
      </c>
    </row>
    <row r="11" spans="1:5" x14ac:dyDescent="0.25">
      <c r="B11">
        <v>9</v>
      </c>
      <c r="C11" s="4" t="s">
        <v>46</v>
      </c>
      <c r="D11">
        <v>0.5</v>
      </c>
      <c r="E11">
        <v>0.5</v>
      </c>
    </row>
  </sheetData>
  <sheetProtection algorithmName="SHA-512" hashValue="61O0o0la87SD54lqxK0o6h0+YULxulQPkhsxE4/+4d3hj8l0eW/w9CHX/6pxEXVXYwhwAJlE/zmB6XXOg8EVSQ==" saltValue="AxK9MrIJwYivQQ1wQMOwzw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8B0B2-F110-4D5E-82CF-A14BF0F2650A}">
  <sheetPr codeName="Blad2">
    <pageSetUpPr autoPageBreaks="0" fitToPage="1"/>
  </sheetPr>
  <dimension ref="A1:BP67"/>
  <sheetViews>
    <sheetView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19" width="8.140625" style="6" customWidth="1" collapsed="1"/>
    <col min="20" max="20" width="8.5703125" style="6" customWidth="1" collapsed="1"/>
    <col min="21" max="21" width="3.85546875" style="6" customWidth="1" collapsed="1"/>
    <col min="22" max="22" width="3.7109375" style="6" customWidth="1" collapsed="1"/>
    <col min="23" max="25" width="6.7109375" style="6" hidden="1" customWidth="1" collapsed="1"/>
    <col min="26" max="26" width="8.5703125" style="6" hidden="1" customWidth="1" collapsed="1"/>
    <col min="27" max="27" width="6" style="6" hidden="1" customWidth="1" collapsed="1"/>
    <col min="28" max="28" width="8.5703125" style="6" hidden="1" customWidth="1" collapsed="1"/>
    <col min="29" max="29" width="5.5703125" style="6" hidden="1" customWidth="1" collapsed="1"/>
    <col min="30" max="30" width="8.5703125" style="6" hidden="1" customWidth="1" collapsed="1"/>
    <col min="31" max="31" width="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4.28515625" style="6" hidden="1" customWidth="1" collapsed="1"/>
    <col min="35" max="35" width="6" style="6" hidden="1" customWidth="1" collapsed="1"/>
    <col min="36" max="36" width="5.28515625" style="6" hidden="1" customWidth="1" collapsed="1"/>
    <col min="37" max="43" width="6.7109375" style="6" hidden="1" customWidth="1" collapsed="1"/>
    <col min="44" max="47" width="9.140625" style="6" hidden="1" customWidth="1" collapsed="1"/>
    <col min="48" max="49" width="4.42578125" style="6" hidden="1" customWidth="1" collapsed="1"/>
    <col min="50" max="68" width="3.7109375" style="6" hidden="1" customWidth="1" collapsed="1"/>
    <col min="69" max="70" width="9.140625" style="6" customWidth="1" collapsed="1"/>
    <col min="71" max="16384" width="9.140625" style="6" collapsed="1"/>
  </cols>
  <sheetData>
    <row r="1" spans="1:68" ht="26.25" x14ac:dyDescent="0.4">
      <c r="A1" s="24">
        <v>8</v>
      </c>
      <c r="B1" s="59" t="s">
        <v>29</v>
      </c>
      <c r="C1" s="59"/>
      <c r="D1" s="59"/>
      <c r="E1" s="59"/>
      <c r="F1" s="59"/>
      <c r="G1" s="54" t="s">
        <v>65</v>
      </c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T1" s="55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68" x14ac:dyDescent="0.25">
      <c r="AR2" s="16" t="s">
        <v>25</v>
      </c>
      <c r="AS2" s="16" t="s">
        <v>24</v>
      </c>
      <c r="AT2" s="16" t="s">
        <v>26</v>
      </c>
      <c r="AW2" s="60" t="s">
        <v>20</v>
      </c>
      <c r="AX2" s="60"/>
      <c r="AY2" s="60"/>
      <c r="AZ2" s="60"/>
      <c r="BA2" s="60"/>
      <c r="BB2" s="60"/>
      <c r="BC2" s="60"/>
      <c r="BD2" s="60"/>
      <c r="BE2" s="60"/>
      <c r="BF2" s="17"/>
      <c r="BG2" s="18"/>
      <c r="BH2" s="60" t="s">
        <v>21</v>
      </c>
      <c r="BI2" s="60"/>
      <c r="BJ2" s="60"/>
      <c r="BK2" s="60"/>
      <c r="BL2" s="60"/>
      <c r="BM2" s="60"/>
      <c r="BN2" s="60"/>
      <c r="BO2" s="60"/>
      <c r="BP2" s="60"/>
    </row>
    <row r="3" spans="1:68" x14ac:dyDescent="0.25">
      <c r="B3" s="19" t="s">
        <v>4</v>
      </c>
      <c r="C3" s="19" t="s">
        <v>6</v>
      </c>
      <c r="D3" s="61" t="s">
        <v>7</v>
      </c>
      <c r="E3" s="61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31</v>
      </c>
      <c r="X3" s="7" t="s">
        <v>32</v>
      </c>
      <c r="Y3" s="13"/>
      <c r="Z3" s="7" t="s">
        <v>47</v>
      </c>
      <c r="AA3" s="7" t="s">
        <v>48</v>
      </c>
      <c r="AB3" s="7" t="s">
        <v>49</v>
      </c>
      <c r="AC3" s="7" t="s">
        <v>50</v>
      </c>
      <c r="AD3" s="7" t="s">
        <v>51</v>
      </c>
      <c r="AE3" s="7" t="s">
        <v>52</v>
      </c>
      <c r="AF3" s="7"/>
      <c r="AG3" s="7" t="s">
        <v>53</v>
      </c>
      <c r="AH3" s="7" t="s">
        <v>54</v>
      </c>
      <c r="AI3" s="7" t="s">
        <v>55</v>
      </c>
      <c r="AJ3" s="7" t="s">
        <v>56</v>
      </c>
      <c r="AK3" s="7"/>
      <c r="AL3" s="7" t="s">
        <v>56</v>
      </c>
      <c r="AM3" s="7" t="s">
        <v>57</v>
      </c>
      <c r="AN3" s="13"/>
      <c r="AO3" s="13"/>
      <c r="AP3" s="21"/>
      <c r="AQ3" s="7" t="s">
        <v>33</v>
      </c>
      <c r="AR3" s="23" t="s">
        <v>23</v>
      </c>
      <c r="AS3" s="16" t="s">
        <v>23</v>
      </c>
      <c r="AT3" s="16" t="s">
        <v>23</v>
      </c>
      <c r="AV3" s="6" t="s">
        <v>28</v>
      </c>
      <c r="AW3" s="18">
        <v>1</v>
      </c>
      <c r="AX3" s="18">
        <v>2</v>
      </c>
      <c r="AY3" s="18">
        <v>3</v>
      </c>
      <c r="AZ3" s="18">
        <v>4</v>
      </c>
      <c r="BA3" s="18">
        <v>5</v>
      </c>
      <c r="BB3" s="18">
        <v>6</v>
      </c>
      <c r="BC3" s="18">
        <v>7</v>
      </c>
      <c r="BD3" s="18">
        <v>8</v>
      </c>
      <c r="BE3" s="18">
        <v>9</v>
      </c>
      <c r="BF3" s="18"/>
      <c r="BG3" s="6" t="s">
        <v>28</v>
      </c>
      <c r="BH3" s="18">
        <v>1</v>
      </c>
      <c r="BI3" s="18">
        <v>2</v>
      </c>
      <c r="BJ3" s="18">
        <v>3</v>
      </c>
      <c r="BK3" s="18">
        <v>4</v>
      </c>
      <c r="BL3" s="18">
        <v>5</v>
      </c>
      <c r="BM3" s="18">
        <v>6</v>
      </c>
      <c r="BN3" s="18">
        <v>7</v>
      </c>
      <c r="BO3" s="18">
        <v>8</v>
      </c>
      <c r="BP3" s="18">
        <v>9</v>
      </c>
    </row>
    <row r="4" spans="1:68" x14ac:dyDescent="0.25">
      <c r="A4" s="24">
        <f>T4</f>
        <v>4</v>
      </c>
      <c r="B4" s="25">
        <v>1</v>
      </c>
      <c r="C4" s="25" t="s">
        <v>66</v>
      </c>
      <c r="D4" s="58">
        <v>8512031</v>
      </c>
      <c r="E4" s="58"/>
      <c r="F4" s="25">
        <v>1611</v>
      </c>
      <c r="H4" s="26" t="str">
        <f t="shared" ref="H4:O11" si="0">IF((SUMIF($AV$13:$AV$55,$B4*100+H$3,$AT$13:$AT$55)+SUMIF($AV$13:$AV$55,$B4+H$3*100,$AT$13:$AT$55))=1,(SUMIF($AV$13:$AV$55,$B4*100+H$3,$J$13:$J$55)+SUMIF($AW$13:$AW$55,$B4*100+H$3,$M$13:$M$55)),"")</f>
        <v/>
      </c>
      <c r="I4" s="27">
        <f t="shared" si="0"/>
        <v>0</v>
      </c>
      <c r="J4" s="27">
        <f t="shared" si="0"/>
        <v>0</v>
      </c>
      <c r="K4" s="27">
        <f t="shared" si="0"/>
        <v>1</v>
      </c>
      <c r="L4" s="27">
        <f t="shared" si="0"/>
        <v>0</v>
      </c>
      <c r="M4" s="27">
        <f t="shared" si="0"/>
        <v>1</v>
      </c>
      <c r="N4" s="27">
        <f t="shared" si="0"/>
        <v>1</v>
      </c>
      <c r="O4" s="27">
        <f t="shared" si="0"/>
        <v>1</v>
      </c>
      <c r="P4" s="28"/>
      <c r="Q4" s="46"/>
      <c r="R4" s="49">
        <f t="shared" ref="R4:R11" si="1">SUM(H4:Q4)</f>
        <v>4</v>
      </c>
      <c r="S4" s="8">
        <f>IF(H4="",0,H4)*$R$4+IF(I4="",0,I4)*$R$5+IF(J4="",0,J4)*$R$6+IF(K4="",0,K4)*$R$7+IF(L4="",0,L4)*$R$8+IF(M4="",0,M4)*$R$9+IF(N4="",0,N4)*$R$10+IF(O4="",0,O4)*$R$11</f>
        <v>11</v>
      </c>
      <c r="T4" s="8">
        <f>AJ4</f>
        <v>4</v>
      </c>
      <c r="U4" s="14"/>
      <c r="V4" s="29"/>
      <c r="W4" s="33">
        <f t="shared" ref="W4:W11" si="2">VLOOKUP($D60,$AQ$4:$AT$11,4,FALSE)</f>
        <v>29</v>
      </c>
      <c r="X4" s="34">
        <f t="shared" ref="X4:X11" si="3">VLOOKUP($D60,$B$4:$R$11,5,FALSE)</f>
        <v>1600</v>
      </c>
      <c r="Y4" s="47"/>
      <c r="Z4" s="51">
        <f t="shared" ref="Z4:Z11" si="4">IF(R4=$R$4,IF(H4="",0,H4))+IF(R4=$R$5,IF(I4="",0,I4))+IF(R4=$R$6,IF(J4="",0,J4))+IF(R4=$R$7,IF(K4="",0,K4))+IF(R4=$R$8,IF(L4="",0,L4))+IF(R4=$R$9,IF(M4="",0,M4))+IF(R4=$R$10,IF(N4="",0,N4))+IF(R4=$R$11,IF(O4="",0,O4))</f>
        <v>0</v>
      </c>
      <c r="AA4" s="52">
        <f t="shared" ref="AA4:AA11" si="5">$Z$13*R4+Z4</f>
        <v>12</v>
      </c>
      <c r="AB4" s="51">
        <f t="shared" ref="AB4:AB11" si="6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52">
        <f>$AB$13*AA4+AB4</f>
        <v>12</v>
      </c>
      <c r="AD4" s="51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47">
        <f>$AD$13*AC4+AD4</f>
        <v>12</v>
      </c>
      <c r="AF4" s="47"/>
      <c r="AG4" s="47">
        <f>RANK(AE4,$AE$4:$AE$11,1)-1</f>
        <v>4</v>
      </c>
      <c r="AH4" s="47">
        <f t="shared" ref="AH4:AH12" si="7">RANK(S4,$S$4:$S$11,1)-1</f>
        <v>4</v>
      </c>
      <c r="AI4" s="47">
        <f>8*AG4+AH4</f>
        <v>36</v>
      </c>
      <c r="AJ4" s="47">
        <f>RANK(AI4,$AI$4:$AI$11)</f>
        <v>4</v>
      </c>
      <c r="AK4" s="47"/>
      <c r="AL4" s="47"/>
      <c r="AM4" s="47"/>
      <c r="AN4" s="47"/>
      <c r="AO4" s="47"/>
      <c r="AP4" s="29"/>
      <c r="AQ4" s="35">
        <v>1</v>
      </c>
      <c r="AR4" s="36">
        <f t="shared" ref="AR4:AR11" si="8">SUMIF($AR$13:$AR$55,B4,$AX$13:$AX$55)+SUMIF($AS$13:$AS$55,B4,$AY$13:$AY$55)</f>
        <v>17</v>
      </c>
      <c r="AS4" s="37">
        <f t="shared" ref="AS4:AS11" si="9">SUMIF($AR$13:$AR$55,B4,$AZ$13:$AZ$55)+SUMIF($AS$13:$AS$55,B4,$BA$13:$BA$55)</f>
        <v>4</v>
      </c>
      <c r="AT4" s="37">
        <f>SUM(BH4:BP4)</f>
        <v>29</v>
      </c>
      <c r="AV4" s="6">
        <v>1</v>
      </c>
      <c r="AW4" s="6">
        <f t="shared" ref="AW4:BE11" si="10">SUMIFS($J$16:$J$55,$AR$16:$AR$55,$AV4,$AQ$16:$AQ$55,AW$3)+SUMIFS($M$16:$M$55,$AS$16:$AS$55,$AV4,$AQ$16:$AQ$55,AW$3)</f>
        <v>1</v>
      </c>
      <c r="AX4" s="6">
        <f t="shared" si="10"/>
        <v>1</v>
      </c>
      <c r="AY4" s="6">
        <f t="shared" si="10"/>
        <v>1</v>
      </c>
      <c r="AZ4" s="6">
        <f t="shared" si="10"/>
        <v>0</v>
      </c>
      <c r="BA4" s="6">
        <f t="shared" si="10"/>
        <v>1</v>
      </c>
      <c r="BB4" s="6">
        <f t="shared" si="10"/>
        <v>0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G4" s="6">
        <v>1</v>
      </c>
      <c r="BH4" s="6">
        <f>AW4</f>
        <v>1</v>
      </c>
      <c r="BI4" s="6">
        <f t="shared" ref="BI4:BP11" si="11">BH4+AX4</f>
        <v>2</v>
      </c>
      <c r="BJ4" s="6">
        <f t="shared" si="11"/>
        <v>3</v>
      </c>
      <c r="BK4" s="6">
        <f t="shared" si="11"/>
        <v>3</v>
      </c>
      <c r="BL4" s="6">
        <f t="shared" si="11"/>
        <v>4</v>
      </c>
      <c r="BM4" s="6">
        <f t="shared" si="11"/>
        <v>4</v>
      </c>
      <c r="BN4" s="6">
        <f t="shared" si="11"/>
        <v>4</v>
      </c>
      <c r="BO4" s="6">
        <f t="shared" si="11"/>
        <v>4</v>
      </c>
      <c r="BP4" s="6">
        <f t="shared" si="11"/>
        <v>4</v>
      </c>
    </row>
    <row r="5" spans="1:68" x14ac:dyDescent="0.25">
      <c r="A5" s="24">
        <f t="shared" ref="A5:A12" si="12">T5</f>
        <v>1</v>
      </c>
      <c r="B5" s="25">
        <v>2</v>
      </c>
      <c r="C5" s="25" t="s">
        <v>67</v>
      </c>
      <c r="D5" s="58">
        <v>8540554</v>
      </c>
      <c r="E5" s="58"/>
      <c r="F5" s="25">
        <v>1600</v>
      </c>
      <c r="H5" s="27">
        <f t="shared" si="0"/>
        <v>1</v>
      </c>
      <c r="I5" s="26" t="str">
        <f t="shared" si="0"/>
        <v/>
      </c>
      <c r="J5" s="27">
        <f t="shared" si="0"/>
        <v>0</v>
      </c>
      <c r="K5" s="27">
        <f t="shared" si="0"/>
        <v>1</v>
      </c>
      <c r="L5" s="27">
        <f t="shared" si="0"/>
        <v>0.5</v>
      </c>
      <c r="M5" s="27">
        <f t="shared" si="0"/>
        <v>1</v>
      </c>
      <c r="N5" s="27">
        <f t="shared" si="0"/>
        <v>0.5</v>
      </c>
      <c r="O5" s="27">
        <f t="shared" si="0"/>
        <v>1</v>
      </c>
      <c r="P5" s="28"/>
      <c r="Q5" s="46"/>
      <c r="R5" s="49">
        <f t="shared" si="1"/>
        <v>5</v>
      </c>
      <c r="S5" s="8">
        <f t="shared" ref="S5:S11" si="13">IF(H5="",0,H5)*$R$4+IF(I5="",0,I5)*$R$5+IF(J5="",0,J5)*$R$6+IF(K5="",0,K5)*$R$7+IF(L5="",0,L5)*$R$8+IF(M5="",0,M5)*$R$9+IF(N5="",0,N5)*$R$10+IF(O5="",0,O5)*$R$11</f>
        <v>15</v>
      </c>
      <c r="T5" s="8">
        <f t="shared" ref="T5:T12" si="14">AJ5</f>
        <v>1</v>
      </c>
      <c r="U5" s="14"/>
      <c r="V5" s="29"/>
      <c r="W5" s="33">
        <f t="shared" si="2"/>
        <v>21.5</v>
      </c>
      <c r="X5" s="34">
        <f t="shared" si="3"/>
        <v>753</v>
      </c>
      <c r="Y5" s="47"/>
      <c r="Z5" s="51">
        <f t="shared" si="4"/>
        <v>0</v>
      </c>
      <c r="AA5" s="52">
        <f t="shared" si="5"/>
        <v>15</v>
      </c>
      <c r="AB5" s="51">
        <f t="shared" si="6"/>
        <v>0</v>
      </c>
      <c r="AC5" s="52">
        <f t="shared" ref="AC5:AC11" si="15">$AB$13*AA5+AB5</f>
        <v>15</v>
      </c>
      <c r="AD5" s="51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47">
        <f t="shared" ref="AE5:AE11" si="16">$AD$13*AC5+AD5</f>
        <v>15</v>
      </c>
      <c r="AF5" s="47"/>
      <c r="AG5" s="47">
        <f t="shared" ref="AG5:AG11" si="17">RANK(AE5,$AE$4:$AE$11,1)-1</f>
        <v>7</v>
      </c>
      <c r="AH5" s="47">
        <f t="shared" si="7"/>
        <v>7</v>
      </c>
      <c r="AI5" s="47">
        <f t="shared" ref="AI5:AI12" si="18">8*AG5+AH5</f>
        <v>63</v>
      </c>
      <c r="AJ5" s="47">
        <f t="shared" ref="AJ5:AJ11" si="19">RANK(AI5,$AI$4:$AI$11)</f>
        <v>1</v>
      </c>
      <c r="AK5" s="47"/>
      <c r="AL5" s="47"/>
      <c r="AM5" s="47"/>
      <c r="AN5" s="47"/>
      <c r="AO5" s="47"/>
      <c r="AP5" s="29"/>
      <c r="AQ5" s="35">
        <v>2</v>
      </c>
      <c r="AR5" s="36">
        <f t="shared" si="8"/>
        <v>14</v>
      </c>
      <c r="AS5" s="37">
        <f t="shared" si="9"/>
        <v>8</v>
      </c>
      <c r="AT5" s="37">
        <f t="shared" ref="AT5:AT11" si="20">SUM(BH5:BP5)</f>
        <v>29</v>
      </c>
      <c r="AV5" s="6">
        <v>2</v>
      </c>
      <c r="AW5" s="6">
        <f t="shared" si="10"/>
        <v>0.5</v>
      </c>
      <c r="AX5" s="6">
        <f t="shared" si="10"/>
        <v>1</v>
      </c>
      <c r="AY5" s="6">
        <f t="shared" si="10"/>
        <v>0.5</v>
      </c>
      <c r="AZ5" s="6">
        <f t="shared" si="10"/>
        <v>1</v>
      </c>
      <c r="BA5" s="6">
        <f t="shared" si="10"/>
        <v>0</v>
      </c>
      <c r="BB5" s="6">
        <f t="shared" si="10"/>
        <v>1</v>
      </c>
      <c r="BC5" s="6">
        <f t="shared" si="10"/>
        <v>1</v>
      </c>
      <c r="BD5" s="6">
        <f t="shared" si="10"/>
        <v>0</v>
      </c>
      <c r="BE5" s="6">
        <f t="shared" si="10"/>
        <v>0</v>
      </c>
      <c r="BG5" s="6">
        <v>2</v>
      </c>
      <c r="BH5" s="6">
        <f t="shared" ref="BH5:BH11" si="21">AW5</f>
        <v>0.5</v>
      </c>
      <c r="BI5" s="6">
        <f t="shared" si="11"/>
        <v>1.5</v>
      </c>
      <c r="BJ5" s="6">
        <f t="shared" si="11"/>
        <v>2</v>
      </c>
      <c r="BK5" s="6">
        <f t="shared" si="11"/>
        <v>3</v>
      </c>
      <c r="BL5" s="6">
        <f t="shared" si="11"/>
        <v>3</v>
      </c>
      <c r="BM5" s="6">
        <f t="shared" si="11"/>
        <v>4</v>
      </c>
      <c r="BN5" s="6">
        <f t="shared" si="11"/>
        <v>5</v>
      </c>
      <c r="BO5" s="6">
        <f t="shared" si="11"/>
        <v>5</v>
      </c>
      <c r="BP5" s="6">
        <f t="shared" si="11"/>
        <v>5</v>
      </c>
    </row>
    <row r="6" spans="1:68" x14ac:dyDescent="0.25">
      <c r="A6" s="24">
        <f t="shared" si="12"/>
        <v>3</v>
      </c>
      <c r="B6" s="25">
        <v>3</v>
      </c>
      <c r="C6" s="25" t="s">
        <v>68</v>
      </c>
      <c r="D6" s="58">
        <v>8564633</v>
      </c>
      <c r="E6" s="58"/>
      <c r="F6" s="25">
        <v>1395</v>
      </c>
      <c r="H6" s="27">
        <f t="shared" si="0"/>
        <v>1</v>
      </c>
      <c r="I6" s="27">
        <f t="shared" si="0"/>
        <v>1</v>
      </c>
      <c r="J6" s="26" t="str">
        <f t="shared" si="0"/>
        <v/>
      </c>
      <c r="K6" s="27">
        <f t="shared" si="0"/>
        <v>0</v>
      </c>
      <c r="L6" s="27">
        <f t="shared" si="0"/>
        <v>0.5</v>
      </c>
      <c r="M6" s="27">
        <f t="shared" si="0"/>
        <v>0</v>
      </c>
      <c r="N6" s="27">
        <f t="shared" si="0"/>
        <v>1</v>
      </c>
      <c r="O6" s="27">
        <f t="shared" si="0"/>
        <v>1</v>
      </c>
      <c r="P6" s="28"/>
      <c r="Q6" s="46"/>
      <c r="R6" s="49">
        <f t="shared" si="1"/>
        <v>4.5</v>
      </c>
      <c r="S6" s="8">
        <f t="shared" si="13"/>
        <v>14.25</v>
      </c>
      <c r="T6" s="9">
        <f>AJ6</f>
        <v>3</v>
      </c>
      <c r="U6" s="10"/>
      <c r="V6" s="29"/>
      <c r="W6" s="33">
        <f t="shared" si="2"/>
        <v>29</v>
      </c>
      <c r="X6" s="34">
        <f t="shared" si="3"/>
        <v>1611</v>
      </c>
      <c r="Y6" s="47"/>
      <c r="Z6" s="51">
        <f t="shared" si="4"/>
        <v>0</v>
      </c>
      <c r="AA6" s="52">
        <f t="shared" si="5"/>
        <v>13.5</v>
      </c>
      <c r="AB6" s="51">
        <f t="shared" si="6"/>
        <v>0</v>
      </c>
      <c r="AC6" s="52">
        <f t="shared" si="15"/>
        <v>13.5</v>
      </c>
      <c r="AD6" s="51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47">
        <f t="shared" si="16"/>
        <v>13.5</v>
      </c>
      <c r="AF6" s="47"/>
      <c r="AG6" s="47">
        <f t="shared" si="17"/>
        <v>5</v>
      </c>
      <c r="AH6" s="47">
        <f t="shared" si="7"/>
        <v>6</v>
      </c>
      <c r="AI6" s="47">
        <f t="shared" si="18"/>
        <v>46</v>
      </c>
      <c r="AJ6" s="47">
        <f t="shared" si="19"/>
        <v>3</v>
      </c>
      <c r="AK6" s="47"/>
      <c r="AL6" s="47"/>
      <c r="AM6" s="47"/>
      <c r="AN6" s="47"/>
      <c r="AO6" s="47"/>
      <c r="AP6" s="29"/>
      <c r="AQ6" s="35">
        <v>3</v>
      </c>
      <c r="AR6" s="36">
        <f t="shared" si="8"/>
        <v>8.5</v>
      </c>
      <c r="AS6" s="37">
        <f t="shared" si="9"/>
        <v>10.75</v>
      </c>
      <c r="AT6" s="37">
        <f t="shared" si="20"/>
        <v>22</v>
      </c>
      <c r="AV6" s="6">
        <v>3</v>
      </c>
      <c r="AW6" s="6">
        <f t="shared" si="10"/>
        <v>0</v>
      </c>
      <c r="AX6" s="6">
        <f t="shared" si="10"/>
        <v>0.5</v>
      </c>
      <c r="AY6" s="6">
        <f t="shared" si="10"/>
        <v>0</v>
      </c>
      <c r="AZ6" s="6">
        <f t="shared" si="10"/>
        <v>1</v>
      </c>
      <c r="BA6" s="6">
        <f t="shared" si="10"/>
        <v>1</v>
      </c>
      <c r="BB6" s="6">
        <f t="shared" si="10"/>
        <v>1</v>
      </c>
      <c r="BC6" s="6">
        <f t="shared" si="10"/>
        <v>1</v>
      </c>
      <c r="BD6" s="6">
        <f t="shared" si="10"/>
        <v>0</v>
      </c>
      <c r="BE6" s="6">
        <f t="shared" si="10"/>
        <v>0</v>
      </c>
      <c r="BG6" s="6">
        <v>3</v>
      </c>
      <c r="BH6" s="6">
        <f t="shared" si="21"/>
        <v>0</v>
      </c>
      <c r="BI6" s="6">
        <f t="shared" si="11"/>
        <v>0.5</v>
      </c>
      <c r="BJ6" s="6">
        <f t="shared" si="11"/>
        <v>0.5</v>
      </c>
      <c r="BK6" s="6">
        <f t="shared" si="11"/>
        <v>1.5</v>
      </c>
      <c r="BL6" s="6">
        <f t="shared" si="11"/>
        <v>2.5</v>
      </c>
      <c r="BM6" s="6">
        <f t="shared" si="11"/>
        <v>3.5</v>
      </c>
      <c r="BN6" s="6">
        <f t="shared" si="11"/>
        <v>4.5</v>
      </c>
      <c r="BO6" s="6">
        <f t="shared" si="11"/>
        <v>4.5</v>
      </c>
      <c r="BP6" s="6">
        <f t="shared" si="11"/>
        <v>4.5</v>
      </c>
    </row>
    <row r="7" spans="1:68" x14ac:dyDescent="0.25">
      <c r="A7" s="24">
        <f t="shared" si="12"/>
        <v>7</v>
      </c>
      <c r="B7" s="25">
        <v>4</v>
      </c>
      <c r="C7" s="25" t="s">
        <v>69</v>
      </c>
      <c r="D7" s="58">
        <v>8360121</v>
      </c>
      <c r="E7" s="58"/>
      <c r="F7" s="25">
        <v>1286</v>
      </c>
      <c r="H7" s="27">
        <f t="shared" si="0"/>
        <v>0</v>
      </c>
      <c r="I7" s="27">
        <f t="shared" si="0"/>
        <v>0</v>
      </c>
      <c r="J7" s="27">
        <f t="shared" si="0"/>
        <v>1</v>
      </c>
      <c r="K7" s="26" t="str">
        <f t="shared" si="0"/>
        <v/>
      </c>
      <c r="L7" s="27">
        <f t="shared" si="0"/>
        <v>0.5</v>
      </c>
      <c r="M7" s="27">
        <f t="shared" si="0"/>
        <v>0</v>
      </c>
      <c r="N7" s="27">
        <f t="shared" si="0"/>
        <v>0.5</v>
      </c>
      <c r="O7" s="27">
        <f t="shared" si="0"/>
        <v>1</v>
      </c>
      <c r="P7" s="28"/>
      <c r="Q7" s="46"/>
      <c r="R7" s="49">
        <f t="shared" si="1"/>
        <v>3</v>
      </c>
      <c r="S7" s="8">
        <f t="shared" si="13"/>
        <v>8</v>
      </c>
      <c r="T7" s="8">
        <f t="shared" si="14"/>
        <v>7</v>
      </c>
      <c r="U7" s="14"/>
      <c r="V7" s="29"/>
      <c r="W7" s="33">
        <f t="shared" si="2"/>
        <v>24</v>
      </c>
      <c r="X7" s="34">
        <f t="shared" si="3"/>
        <v>950</v>
      </c>
      <c r="Y7" s="47"/>
      <c r="Z7" s="51">
        <f t="shared" si="4"/>
        <v>0</v>
      </c>
      <c r="AA7" s="52">
        <f t="shared" si="5"/>
        <v>9</v>
      </c>
      <c r="AB7" s="51">
        <f t="shared" si="6"/>
        <v>0</v>
      </c>
      <c r="AC7" s="52">
        <f t="shared" si="15"/>
        <v>9</v>
      </c>
      <c r="AD7" s="51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47">
        <f t="shared" si="16"/>
        <v>9</v>
      </c>
      <c r="AF7" s="47"/>
      <c r="AG7" s="47">
        <f t="shared" si="17"/>
        <v>1</v>
      </c>
      <c r="AH7" s="47">
        <f t="shared" si="7"/>
        <v>1</v>
      </c>
      <c r="AI7" s="47">
        <f t="shared" si="18"/>
        <v>9</v>
      </c>
      <c r="AJ7" s="47">
        <f t="shared" si="19"/>
        <v>7</v>
      </c>
      <c r="AK7" s="47"/>
      <c r="AL7" s="47"/>
      <c r="AM7" s="47"/>
      <c r="AN7" s="47"/>
      <c r="AO7" s="47"/>
      <c r="AP7" s="29"/>
      <c r="AQ7" s="35">
        <v>4</v>
      </c>
      <c r="AR7" s="36">
        <f t="shared" si="8"/>
        <v>12.5</v>
      </c>
      <c r="AS7" s="37">
        <f t="shared" si="9"/>
        <v>2</v>
      </c>
      <c r="AT7" s="37">
        <f t="shared" si="20"/>
        <v>21.5</v>
      </c>
      <c r="AV7" s="6">
        <v>4</v>
      </c>
      <c r="AW7" s="6">
        <f t="shared" si="10"/>
        <v>0.5</v>
      </c>
      <c r="AX7" s="6">
        <f t="shared" si="10"/>
        <v>1</v>
      </c>
      <c r="AY7" s="6">
        <f t="shared" si="10"/>
        <v>1</v>
      </c>
      <c r="AZ7" s="6">
        <f t="shared" si="10"/>
        <v>0</v>
      </c>
      <c r="BA7" s="6">
        <f t="shared" si="10"/>
        <v>0</v>
      </c>
      <c r="BB7" s="6">
        <f t="shared" si="10"/>
        <v>0.5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G7" s="6">
        <v>4</v>
      </c>
      <c r="BH7" s="6">
        <f t="shared" si="21"/>
        <v>0.5</v>
      </c>
      <c r="BI7" s="6">
        <f t="shared" si="11"/>
        <v>1.5</v>
      </c>
      <c r="BJ7" s="6">
        <f t="shared" si="11"/>
        <v>2.5</v>
      </c>
      <c r="BK7" s="6">
        <f t="shared" si="11"/>
        <v>2.5</v>
      </c>
      <c r="BL7" s="6">
        <f t="shared" si="11"/>
        <v>2.5</v>
      </c>
      <c r="BM7" s="6">
        <f t="shared" si="11"/>
        <v>3</v>
      </c>
      <c r="BN7" s="6">
        <f t="shared" si="11"/>
        <v>3</v>
      </c>
      <c r="BO7" s="6">
        <f t="shared" si="11"/>
        <v>3</v>
      </c>
      <c r="BP7" s="6">
        <f t="shared" si="11"/>
        <v>3</v>
      </c>
    </row>
    <row r="8" spans="1:68" x14ac:dyDescent="0.25">
      <c r="A8" s="24">
        <f t="shared" si="12"/>
        <v>6</v>
      </c>
      <c r="B8" s="25">
        <v>5</v>
      </c>
      <c r="C8" s="25" t="s">
        <v>70</v>
      </c>
      <c r="D8" s="58">
        <v>8426165</v>
      </c>
      <c r="E8" s="58"/>
      <c r="F8" s="25">
        <v>1165</v>
      </c>
      <c r="H8" s="27">
        <f t="shared" si="0"/>
        <v>1</v>
      </c>
      <c r="I8" s="27">
        <f t="shared" si="0"/>
        <v>0.5</v>
      </c>
      <c r="J8" s="27">
        <f t="shared" si="0"/>
        <v>0.5</v>
      </c>
      <c r="K8" s="27">
        <f t="shared" si="0"/>
        <v>0.5</v>
      </c>
      <c r="L8" s="26" t="str">
        <f t="shared" si="0"/>
        <v/>
      </c>
      <c r="M8" s="27">
        <f t="shared" si="0"/>
        <v>0</v>
      </c>
      <c r="N8" s="27">
        <f t="shared" si="0"/>
        <v>0</v>
      </c>
      <c r="O8" s="27">
        <f t="shared" si="0"/>
        <v>1</v>
      </c>
      <c r="P8" s="28"/>
      <c r="Q8" s="46"/>
      <c r="R8" s="49">
        <f t="shared" si="1"/>
        <v>3.5</v>
      </c>
      <c r="S8" s="8">
        <f t="shared" si="13"/>
        <v>10.25</v>
      </c>
      <c r="T8" s="8">
        <f t="shared" si="14"/>
        <v>6</v>
      </c>
      <c r="U8" s="14"/>
      <c r="V8" s="29"/>
      <c r="W8" s="33">
        <f t="shared" si="2"/>
        <v>22</v>
      </c>
      <c r="X8" s="34">
        <f t="shared" si="3"/>
        <v>1395</v>
      </c>
      <c r="Y8" s="47"/>
      <c r="Z8" s="51">
        <f t="shared" si="4"/>
        <v>0</v>
      </c>
      <c r="AA8" s="52">
        <f t="shared" si="5"/>
        <v>10.5</v>
      </c>
      <c r="AB8" s="51">
        <f t="shared" si="6"/>
        <v>0</v>
      </c>
      <c r="AC8" s="52">
        <f t="shared" si="15"/>
        <v>10.5</v>
      </c>
      <c r="AD8" s="51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47">
        <f t="shared" si="16"/>
        <v>10.5</v>
      </c>
      <c r="AF8" s="47"/>
      <c r="AG8" s="47">
        <f t="shared" si="17"/>
        <v>2</v>
      </c>
      <c r="AH8" s="47">
        <f t="shared" si="7"/>
        <v>3</v>
      </c>
      <c r="AI8" s="47">
        <f t="shared" si="18"/>
        <v>19</v>
      </c>
      <c r="AJ8" s="47">
        <f t="shared" si="19"/>
        <v>6</v>
      </c>
      <c r="AK8" s="47"/>
      <c r="AL8" s="7"/>
      <c r="AM8" s="47"/>
      <c r="AN8" s="47"/>
      <c r="AO8" s="47"/>
      <c r="AP8" s="29"/>
      <c r="AQ8" s="35">
        <v>5</v>
      </c>
      <c r="AR8" s="36">
        <f t="shared" si="8"/>
        <v>10.5</v>
      </c>
      <c r="AS8" s="37">
        <f t="shared" si="9"/>
        <v>3.75</v>
      </c>
      <c r="AT8" s="37">
        <f t="shared" si="20"/>
        <v>21</v>
      </c>
      <c r="AV8" s="6">
        <v>5</v>
      </c>
      <c r="AW8" s="6">
        <f t="shared" si="10"/>
        <v>0.5</v>
      </c>
      <c r="AX8" s="6">
        <f t="shared" si="10"/>
        <v>0.5</v>
      </c>
      <c r="AY8" s="6">
        <f t="shared" si="10"/>
        <v>0.5</v>
      </c>
      <c r="AZ8" s="6">
        <f t="shared" si="10"/>
        <v>1</v>
      </c>
      <c r="BA8" s="6">
        <f t="shared" si="10"/>
        <v>0</v>
      </c>
      <c r="BB8" s="6">
        <f t="shared" si="10"/>
        <v>0</v>
      </c>
      <c r="BC8" s="6">
        <f t="shared" si="10"/>
        <v>1</v>
      </c>
      <c r="BD8" s="6">
        <f t="shared" si="10"/>
        <v>0</v>
      </c>
      <c r="BE8" s="6">
        <f t="shared" si="10"/>
        <v>0</v>
      </c>
      <c r="BG8" s="6">
        <v>5</v>
      </c>
      <c r="BH8" s="6">
        <f t="shared" si="21"/>
        <v>0.5</v>
      </c>
      <c r="BI8" s="6">
        <f t="shared" si="11"/>
        <v>1</v>
      </c>
      <c r="BJ8" s="6">
        <f t="shared" si="11"/>
        <v>1.5</v>
      </c>
      <c r="BK8" s="6">
        <f t="shared" si="11"/>
        <v>2.5</v>
      </c>
      <c r="BL8" s="6">
        <f t="shared" si="11"/>
        <v>2.5</v>
      </c>
      <c r="BM8" s="6">
        <f t="shared" si="11"/>
        <v>2.5</v>
      </c>
      <c r="BN8" s="6">
        <f t="shared" si="11"/>
        <v>3.5</v>
      </c>
      <c r="BO8" s="6">
        <f t="shared" si="11"/>
        <v>3.5</v>
      </c>
      <c r="BP8" s="6">
        <f t="shared" si="11"/>
        <v>3.5</v>
      </c>
    </row>
    <row r="9" spans="1:68" x14ac:dyDescent="0.25">
      <c r="A9" s="24">
        <f t="shared" si="12"/>
        <v>2</v>
      </c>
      <c r="B9" s="25">
        <v>6</v>
      </c>
      <c r="C9" s="25" t="s">
        <v>71</v>
      </c>
      <c r="D9" s="58">
        <v>8589856</v>
      </c>
      <c r="E9" s="58"/>
      <c r="F9" s="25">
        <v>950</v>
      </c>
      <c r="H9" s="27">
        <f t="shared" si="0"/>
        <v>0</v>
      </c>
      <c r="I9" s="27">
        <f t="shared" si="0"/>
        <v>0</v>
      </c>
      <c r="J9" s="27">
        <f t="shared" si="0"/>
        <v>1</v>
      </c>
      <c r="K9" s="27">
        <f t="shared" si="0"/>
        <v>1</v>
      </c>
      <c r="L9" s="27">
        <f t="shared" si="0"/>
        <v>1</v>
      </c>
      <c r="M9" s="26" t="str">
        <f t="shared" si="0"/>
        <v/>
      </c>
      <c r="N9" s="27">
        <f t="shared" si="0"/>
        <v>0.5</v>
      </c>
      <c r="O9" s="27">
        <f t="shared" si="0"/>
        <v>1</v>
      </c>
      <c r="P9" s="28"/>
      <c r="Q9" s="46"/>
      <c r="R9" s="49">
        <f t="shared" si="1"/>
        <v>4.5</v>
      </c>
      <c r="S9" s="8">
        <f t="shared" si="13"/>
        <v>12.75</v>
      </c>
      <c r="T9" s="8">
        <f t="shared" si="14"/>
        <v>2</v>
      </c>
      <c r="U9" s="14"/>
      <c r="V9" s="29"/>
      <c r="W9" s="33">
        <f t="shared" si="2"/>
        <v>21</v>
      </c>
      <c r="X9" s="34">
        <f t="shared" si="3"/>
        <v>1165</v>
      </c>
      <c r="Y9" s="47"/>
      <c r="Z9" s="51">
        <f t="shared" si="4"/>
        <v>1</v>
      </c>
      <c r="AA9" s="52">
        <f t="shared" si="5"/>
        <v>14.5</v>
      </c>
      <c r="AB9" s="51">
        <f t="shared" si="6"/>
        <v>0</v>
      </c>
      <c r="AC9" s="52">
        <f t="shared" si="15"/>
        <v>14.5</v>
      </c>
      <c r="AD9" s="51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47">
        <f t="shared" si="16"/>
        <v>14.5</v>
      </c>
      <c r="AF9" s="47"/>
      <c r="AG9" s="47">
        <f t="shared" si="17"/>
        <v>6</v>
      </c>
      <c r="AH9" s="47">
        <f t="shared" si="7"/>
        <v>5</v>
      </c>
      <c r="AI9" s="47">
        <f t="shared" si="18"/>
        <v>53</v>
      </c>
      <c r="AJ9" s="47">
        <f t="shared" si="19"/>
        <v>2</v>
      </c>
      <c r="AK9" s="47"/>
      <c r="AL9" s="47"/>
      <c r="AM9" s="47"/>
      <c r="AN9" s="47"/>
      <c r="AO9" s="47"/>
      <c r="AP9" s="29"/>
      <c r="AQ9" s="35">
        <v>6</v>
      </c>
      <c r="AR9" s="36">
        <f t="shared" si="8"/>
        <v>10.5</v>
      </c>
      <c r="AS9" s="37">
        <f t="shared" si="9"/>
        <v>6.25</v>
      </c>
      <c r="AT9" s="37">
        <f t="shared" si="20"/>
        <v>24</v>
      </c>
      <c r="AV9" s="6">
        <v>6</v>
      </c>
      <c r="AW9" s="6">
        <f t="shared" si="10"/>
        <v>1</v>
      </c>
      <c r="AX9" s="6">
        <f t="shared" si="10"/>
        <v>0</v>
      </c>
      <c r="AY9" s="6">
        <f t="shared" si="10"/>
        <v>0</v>
      </c>
      <c r="AZ9" s="6">
        <f t="shared" si="10"/>
        <v>0.5</v>
      </c>
      <c r="BA9" s="6">
        <f t="shared" si="10"/>
        <v>1</v>
      </c>
      <c r="BB9" s="6">
        <f t="shared" si="10"/>
        <v>1</v>
      </c>
      <c r="BC9" s="6">
        <f t="shared" si="10"/>
        <v>1</v>
      </c>
      <c r="BD9" s="6">
        <f t="shared" si="10"/>
        <v>0</v>
      </c>
      <c r="BE9" s="6">
        <f t="shared" si="10"/>
        <v>0</v>
      </c>
      <c r="BG9" s="6">
        <v>6</v>
      </c>
      <c r="BH9" s="6">
        <f t="shared" si="21"/>
        <v>1</v>
      </c>
      <c r="BI9" s="6">
        <f t="shared" si="11"/>
        <v>1</v>
      </c>
      <c r="BJ9" s="6">
        <f t="shared" si="11"/>
        <v>1</v>
      </c>
      <c r="BK9" s="6">
        <f t="shared" si="11"/>
        <v>1.5</v>
      </c>
      <c r="BL9" s="6">
        <f t="shared" si="11"/>
        <v>2.5</v>
      </c>
      <c r="BM9" s="6">
        <f t="shared" si="11"/>
        <v>3.5</v>
      </c>
      <c r="BN9" s="6">
        <f t="shared" si="11"/>
        <v>4.5</v>
      </c>
      <c r="BO9" s="6">
        <f t="shared" si="11"/>
        <v>4.5</v>
      </c>
      <c r="BP9" s="6">
        <f t="shared" si="11"/>
        <v>4.5</v>
      </c>
    </row>
    <row r="10" spans="1:68" x14ac:dyDescent="0.25">
      <c r="A10" s="24">
        <f t="shared" si="12"/>
        <v>5</v>
      </c>
      <c r="B10" s="25">
        <v>7</v>
      </c>
      <c r="C10" s="25" t="s">
        <v>72</v>
      </c>
      <c r="D10" s="58">
        <v>8665074</v>
      </c>
      <c r="E10" s="58"/>
      <c r="F10" s="25">
        <v>753</v>
      </c>
      <c r="H10" s="27">
        <f t="shared" si="0"/>
        <v>0</v>
      </c>
      <c r="I10" s="27">
        <f t="shared" si="0"/>
        <v>0.5</v>
      </c>
      <c r="J10" s="27">
        <f t="shared" si="0"/>
        <v>0</v>
      </c>
      <c r="K10" s="27">
        <f t="shared" si="0"/>
        <v>0.5</v>
      </c>
      <c r="L10" s="27">
        <f t="shared" si="0"/>
        <v>1</v>
      </c>
      <c r="M10" s="27">
        <f t="shared" si="0"/>
        <v>0.5</v>
      </c>
      <c r="N10" s="26" t="str">
        <f t="shared" si="0"/>
        <v/>
      </c>
      <c r="O10" s="27">
        <f t="shared" si="0"/>
        <v>1</v>
      </c>
      <c r="P10" s="28"/>
      <c r="Q10" s="46"/>
      <c r="R10" s="49">
        <f t="shared" si="1"/>
        <v>3.5</v>
      </c>
      <c r="S10" s="8">
        <f t="shared" si="13"/>
        <v>9.75</v>
      </c>
      <c r="T10" s="8">
        <f t="shared" si="14"/>
        <v>5</v>
      </c>
      <c r="U10" s="14"/>
      <c r="V10" s="29"/>
      <c r="W10" s="33">
        <f t="shared" si="2"/>
        <v>21.5</v>
      </c>
      <c r="X10" s="34">
        <f t="shared" si="3"/>
        <v>1286</v>
      </c>
      <c r="Y10" s="47"/>
      <c r="Z10" s="51">
        <f t="shared" si="4"/>
        <v>1</v>
      </c>
      <c r="AA10" s="52">
        <f t="shared" si="5"/>
        <v>11.5</v>
      </c>
      <c r="AB10" s="51">
        <f t="shared" si="6"/>
        <v>0</v>
      </c>
      <c r="AC10" s="52">
        <f t="shared" si="15"/>
        <v>11.5</v>
      </c>
      <c r="AD10" s="51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47">
        <f t="shared" si="16"/>
        <v>11.5</v>
      </c>
      <c r="AF10" s="47"/>
      <c r="AG10" s="47">
        <f t="shared" si="17"/>
        <v>3</v>
      </c>
      <c r="AH10" s="47">
        <f t="shared" si="7"/>
        <v>2</v>
      </c>
      <c r="AI10" s="47">
        <f t="shared" si="18"/>
        <v>26</v>
      </c>
      <c r="AJ10" s="47">
        <f t="shared" si="19"/>
        <v>5</v>
      </c>
      <c r="AK10" s="47"/>
      <c r="AL10" s="47"/>
      <c r="AM10" s="47"/>
      <c r="AN10" s="47"/>
      <c r="AO10" s="47"/>
      <c r="AP10" s="29"/>
      <c r="AQ10" s="35">
        <v>7</v>
      </c>
      <c r="AR10" s="36">
        <f t="shared" si="8"/>
        <v>11</v>
      </c>
      <c r="AS10" s="37">
        <f t="shared" si="9"/>
        <v>4.25</v>
      </c>
      <c r="AT10" s="37">
        <f t="shared" si="20"/>
        <v>21.5</v>
      </c>
      <c r="AV10" s="6">
        <v>7</v>
      </c>
      <c r="AW10" s="6">
        <f t="shared" si="10"/>
        <v>0.5</v>
      </c>
      <c r="AX10" s="6">
        <f t="shared" si="10"/>
        <v>0</v>
      </c>
      <c r="AY10" s="6">
        <f t="shared" si="10"/>
        <v>1</v>
      </c>
      <c r="AZ10" s="6">
        <f t="shared" si="10"/>
        <v>0.5</v>
      </c>
      <c r="BA10" s="6">
        <f t="shared" si="10"/>
        <v>1</v>
      </c>
      <c r="BB10" s="6">
        <f t="shared" si="10"/>
        <v>0.5</v>
      </c>
      <c r="BC10" s="6">
        <f t="shared" si="10"/>
        <v>0</v>
      </c>
      <c r="BD10" s="6">
        <f t="shared" si="10"/>
        <v>0</v>
      </c>
      <c r="BE10" s="6">
        <f t="shared" si="10"/>
        <v>0</v>
      </c>
      <c r="BG10" s="6">
        <v>7</v>
      </c>
      <c r="BH10" s="6">
        <f t="shared" si="21"/>
        <v>0.5</v>
      </c>
      <c r="BI10" s="6">
        <f t="shared" si="11"/>
        <v>0.5</v>
      </c>
      <c r="BJ10" s="6">
        <f t="shared" si="11"/>
        <v>1.5</v>
      </c>
      <c r="BK10" s="6">
        <f t="shared" si="11"/>
        <v>2</v>
      </c>
      <c r="BL10" s="6">
        <f t="shared" si="11"/>
        <v>3</v>
      </c>
      <c r="BM10" s="6">
        <f t="shared" si="11"/>
        <v>3.5</v>
      </c>
      <c r="BN10" s="6">
        <f t="shared" si="11"/>
        <v>3.5</v>
      </c>
      <c r="BO10" s="6">
        <f t="shared" si="11"/>
        <v>3.5</v>
      </c>
      <c r="BP10" s="6">
        <f t="shared" si="11"/>
        <v>3.5</v>
      </c>
    </row>
    <row r="11" spans="1:68" x14ac:dyDescent="0.25">
      <c r="A11" s="24">
        <f t="shared" si="12"/>
        <v>8</v>
      </c>
      <c r="B11" s="25">
        <v>8</v>
      </c>
      <c r="C11" s="25" t="s">
        <v>73</v>
      </c>
      <c r="D11" s="58">
        <v>0</v>
      </c>
      <c r="E11" s="58"/>
      <c r="F11" s="25">
        <v>-1</v>
      </c>
      <c r="H11" s="27">
        <f t="shared" si="0"/>
        <v>0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0</v>
      </c>
      <c r="M11" s="27">
        <f t="shared" si="0"/>
        <v>0</v>
      </c>
      <c r="N11" s="27">
        <f t="shared" si="0"/>
        <v>0</v>
      </c>
      <c r="O11" s="26" t="str">
        <f t="shared" si="0"/>
        <v/>
      </c>
      <c r="P11" s="28"/>
      <c r="Q11" s="46"/>
      <c r="R11" s="49">
        <f t="shared" si="1"/>
        <v>0</v>
      </c>
      <c r="S11" s="8">
        <f t="shared" si="13"/>
        <v>0</v>
      </c>
      <c r="T11" s="8">
        <f t="shared" si="14"/>
        <v>8</v>
      </c>
      <c r="U11" s="14"/>
      <c r="V11" s="29"/>
      <c r="W11" s="33">
        <f t="shared" si="2"/>
        <v>0</v>
      </c>
      <c r="X11" s="34">
        <f t="shared" si="3"/>
        <v>-1</v>
      </c>
      <c r="Y11" s="47"/>
      <c r="Z11" s="51">
        <f t="shared" si="4"/>
        <v>0</v>
      </c>
      <c r="AA11" s="52">
        <f t="shared" si="5"/>
        <v>0</v>
      </c>
      <c r="AB11" s="51">
        <f t="shared" si="6"/>
        <v>0</v>
      </c>
      <c r="AC11" s="52">
        <f t="shared" si="15"/>
        <v>0</v>
      </c>
      <c r="AD11" s="51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47">
        <f t="shared" si="16"/>
        <v>0</v>
      </c>
      <c r="AF11" s="47"/>
      <c r="AG11" s="47">
        <f t="shared" si="17"/>
        <v>0</v>
      </c>
      <c r="AH11" s="47">
        <f t="shared" si="7"/>
        <v>0</v>
      </c>
      <c r="AI11" s="47">
        <f t="shared" si="18"/>
        <v>0</v>
      </c>
      <c r="AJ11" s="47">
        <f t="shared" si="19"/>
        <v>8</v>
      </c>
      <c r="AK11" s="47"/>
      <c r="AL11" s="47"/>
      <c r="AM11" s="47"/>
      <c r="AN11" s="47"/>
      <c r="AO11" s="47"/>
      <c r="AP11" s="29"/>
      <c r="AQ11" s="35">
        <v>8</v>
      </c>
      <c r="AR11" s="36">
        <f t="shared" si="8"/>
        <v>0</v>
      </c>
      <c r="AS11" s="37">
        <f t="shared" si="9"/>
        <v>0</v>
      </c>
      <c r="AT11" s="37">
        <f t="shared" si="20"/>
        <v>0</v>
      </c>
      <c r="AV11" s="6">
        <v>8</v>
      </c>
      <c r="AW11" s="6">
        <f t="shared" si="10"/>
        <v>0</v>
      </c>
      <c r="AX11" s="6">
        <f t="shared" si="10"/>
        <v>0</v>
      </c>
      <c r="AY11" s="6">
        <f t="shared" si="10"/>
        <v>0</v>
      </c>
      <c r="AZ11" s="6">
        <f t="shared" si="10"/>
        <v>0</v>
      </c>
      <c r="BA11" s="6">
        <f t="shared" si="10"/>
        <v>0</v>
      </c>
      <c r="BB11" s="6">
        <f t="shared" si="10"/>
        <v>0</v>
      </c>
      <c r="BC11" s="6">
        <f t="shared" si="10"/>
        <v>0</v>
      </c>
      <c r="BD11" s="6">
        <f t="shared" si="10"/>
        <v>0</v>
      </c>
      <c r="BE11" s="6">
        <f t="shared" si="10"/>
        <v>0</v>
      </c>
      <c r="BG11" s="6">
        <v>8</v>
      </c>
      <c r="BH11" s="6">
        <f t="shared" si="21"/>
        <v>0</v>
      </c>
      <c r="BI11" s="6">
        <f t="shared" si="11"/>
        <v>0</v>
      </c>
      <c r="BJ11" s="6">
        <f t="shared" si="11"/>
        <v>0</v>
      </c>
      <c r="BK11" s="6">
        <f t="shared" si="11"/>
        <v>0</v>
      </c>
      <c r="BL11" s="6">
        <f t="shared" si="11"/>
        <v>0</v>
      </c>
      <c r="BM11" s="6">
        <f t="shared" si="11"/>
        <v>0</v>
      </c>
      <c r="BN11" s="6">
        <f t="shared" si="11"/>
        <v>0</v>
      </c>
      <c r="BO11" s="6">
        <f t="shared" si="11"/>
        <v>0</v>
      </c>
      <c r="BP11" s="6">
        <f t="shared" si="11"/>
        <v>0</v>
      </c>
    </row>
    <row r="12" spans="1:68" hidden="1" x14ac:dyDescent="0.25">
      <c r="A12" s="6">
        <f t="shared" si="12"/>
        <v>1</v>
      </c>
      <c r="T12" s="10">
        <f t="shared" si="14"/>
        <v>1</v>
      </c>
      <c r="U12" s="10"/>
      <c r="AA12" s="53"/>
      <c r="AD12" s="51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47">
        <f t="shared" si="7"/>
        <v>0</v>
      </c>
      <c r="AI12" s="47">
        <f t="shared" si="18"/>
        <v>0</v>
      </c>
      <c r="AJ12" s="47">
        <f>RANK(AI13,$AI$4:$AI$11,1)</f>
        <v>1</v>
      </c>
    </row>
    <row r="13" spans="1:68" x14ac:dyDescent="0.25">
      <c r="Z13" s="48">
        <f>2*MAX(Z4:Z11)+1</f>
        <v>3</v>
      </c>
      <c r="AA13" s="53"/>
      <c r="AB13" s="48">
        <f>2*MAX(AB4:AB11)+1</f>
        <v>1</v>
      </c>
      <c r="AD13" s="48">
        <f>2*MAX(AD4:AD11)+1</f>
        <v>1</v>
      </c>
      <c r="AQ13" s="38" t="s">
        <v>36</v>
      </c>
      <c r="AR13" s="38" t="s">
        <v>0</v>
      </c>
      <c r="AS13" s="38" t="s">
        <v>1</v>
      </c>
      <c r="AT13" s="38" t="s">
        <v>2</v>
      </c>
      <c r="AV13" s="39" t="s">
        <v>34</v>
      </c>
      <c r="AW13" s="39" t="s">
        <v>35</v>
      </c>
      <c r="AX13" s="6" t="s">
        <v>16</v>
      </c>
      <c r="AY13" s="6" t="s">
        <v>17</v>
      </c>
      <c r="AZ13" s="6" t="s">
        <v>18</v>
      </c>
      <c r="BA13" s="6" t="s">
        <v>19</v>
      </c>
    </row>
    <row r="14" spans="1:68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V14" s="40"/>
      <c r="AW14" s="40"/>
      <c r="AX14" s="41"/>
      <c r="AY14" s="41"/>
      <c r="AZ14" s="41"/>
      <c r="BA14" s="41"/>
    </row>
    <row r="15" spans="1:68" x14ac:dyDescent="0.25">
      <c r="B15" s="42" t="s">
        <v>3</v>
      </c>
      <c r="AV15" s="39"/>
      <c r="AW15" s="39"/>
    </row>
    <row r="16" spans="1:68" x14ac:dyDescent="0.25">
      <c r="B16" s="6">
        <v>1</v>
      </c>
      <c r="C16" s="6" t="str">
        <f>VLOOKUP(AR16,$B$4:$F$11,2,FALSE)</f>
        <v>???</v>
      </c>
      <c r="D16" s="43" t="s">
        <v>5</v>
      </c>
      <c r="E16" s="63" t="str">
        <f>VLOOKUP(AS16,$B$4:$F$11,2,FALSE)</f>
        <v>Ilan van der Zand</v>
      </c>
      <c r="F16" s="63"/>
      <c r="G16" s="63"/>
      <c r="H16" s="63"/>
      <c r="J16" s="63">
        <f>IF(T16="","",VLOOKUP(T16,Configuratie!$B$2:$E$11,3,FALSE))</f>
        <v>0</v>
      </c>
      <c r="K16" s="63"/>
      <c r="L16" s="6" t="s">
        <v>5</v>
      </c>
      <c r="M16" s="63">
        <f>IF(T16="","",VLOOKUP(T16,Configuratie!$B$2:$E$11,4,FALSE))</f>
        <v>1</v>
      </c>
      <c r="N16" s="63"/>
      <c r="R16" s="6" t="str">
        <f>IF(T16="","",VLOOKUP(T16,Configuratie!$B$2:$E$11,2,FALSE))</f>
        <v>0-1</v>
      </c>
      <c r="T16" s="5">
        <v>0</v>
      </c>
      <c r="AQ16" s="6">
        <v>1</v>
      </c>
      <c r="AR16" s="6">
        <v>8</v>
      </c>
      <c r="AS16" s="6">
        <v>1</v>
      </c>
      <c r="AT16" s="6">
        <f>IF(AND(ISNUMBER(J16),ISNUMBER(M16)),IF(J16+M16=1,1,0),"")</f>
        <v>1</v>
      </c>
      <c r="AV16" s="44">
        <f>AR16*100+AS16</f>
        <v>801</v>
      </c>
      <c r="AW16" s="44">
        <f>AS16*100+AR16</f>
        <v>108</v>
      </c>
      <c r="AX16" s="6">
        <v>0</v>
      </c>
      <c r="AY16" s="6">
        <v>0</v>
      </c>
      <c r="AZ16" s="6">
        <f>J16*AY16</f>
        <v>0</v>
      </c>
      <c r="BA16" s="6">
        <f>M16*AX16</f>
        <v>0</v>
      </c>
    </row>
    <row r="17" spans="2:53" x14ac:dyDescent="0.25">
      <c r="B17" s="6">
        <v>2</v>
      </c>
      <c r="C17" s="6" t="str">
        <f>VLOOKUP(AR17,$B$4:$F$11,2,FALSE)</f>
        <v>Merijn Adams</v>
      </c>
      <c r="D17" s="43" t="s">
        <v>5</v>
      </c>
      <c r="E17" s="63" t="str">
        <f>VLOOKUP(AS17,$B$4:$F$11,2,FALSE)</f>
        <v>Fabian de Vries</v>
      </c>
      <c r="F17" s="63"/>
      <c r="G17" s="63"/>
      <c r="H17" s="63"/>
      <c r="J17" s="63">
        <f>IF(T17="","",VLOOKUP(T17,Configuratie!$B$2:$E$11,3,FALSE))</f>
        <v>0.5</v>
      </c>
      <c r="K17" s="63"/>
      <c r="L17" s="6" t="s">
        <v>5</v>
      </c>
      <c r="M17" s="63">
        <f>IF(T17="","",VLOOKUP(T17,Configuratie!$B$2:$E$11,4,FALSE))</f>
        <v>0.5</v>
      </c>
      <c r="N17" s="63"/>
      <c r="R17" s="6" t="str">
        <f>IF(T17="","",VLOOKUP(T17,Configuratie!$B$2:$E$11,2,FALSE))</f>
        <v>½-½</v>
      </c>
      <c r="T17" s="5">
        <v>2</v>
      </c>
      <c r="AQ17" s="6">
        <v>1</v>
      </c>
      <c r="AR17" s="6">
        <v>7</v>
      </c>
      <c r="AS17" s="6">
        <v>2</v>
      </c>
      <c r="AT17" s="6">
        <f>IF(AND(ISNUMBER(J17),ISNUMBER(M17)),IF(J17+M17=1,1,0),"")</f>
        <v>1</v>
      </c>
      <c r="AV17" s="44">
        <f>AR17*100+AS17</f>
        <v>702</v>
      </c>
      <c r="AW17" s="44">
        <f>AS17*100+AR17</f>
        <v>207</v>
      </c>
      <c r="AX17" s="6">
        <v>0</v>
      </c>
      <c r="AY17" s="6">
        <v>0</v>
      </c>
      <c r="AZ17" s="6">
        <f>J17*AY17</f>
        <v>0</v>
      </c>
      <c r="BA17" s="6">
        <f>M17*AX17</f>
        <v>0</v>
      </c>
    </row>
    <row r="18" spans="2:53" x14ac:dyDescent="0.25">
      <c r="B18" s="6">
        <v>3</v>
      </c>
      <c r="C18" s="6" t="str">
        <f>VLOOKUP(AR18,$B$4:$F$11,2,FALSE)</f>
        <v>Abel Hogenhout</v>
      </c>
      <c r="D18" s="43" t="s">
        <v>5</v>
      </c>
      <c r="E18" s="63" t="str">
        <f>VLOOKUP(AS18,$B$4:$F$11,2,FALSE)</f>
        <v>Julian van Kuijk</v>
      </c>
      <c r="F18" s="63"/>
      <c r="G18" s="63"/>
      <c r="H18" s="63"/>
      <c r="J18" s="63">
        <f>IF(T18="","",VLOOKUP(T18,Configuratie!$B$2:$E$11,3,FALSE))</f>
        <v>1</v>
      </c>
      <c r="K18" s="63"/>
      <c r="L18" s="6" t="s">
        <v>5</v>
      </c>
      <c r="M18" s="63">
        <f>IF(T18="","",VLOOKUP(T18,Configuratie!$B$2:$E$11,4,FALSE))</f>
        <v>0</v>
      </c>
      <c r="N18" s="63"/>
      <c r="R18" s="6" t="str">
        <f>IF(T18="","",VLOOKUP(T18,Configuratie!$B$2:$E$11,2,FALSE))</f>
        <v>1-0</v>
      </c>
      <c r="T18" s="5">
        <v>1</v>
      </c>
      <c r="AQ18" s="6">
        <v>1</v>
      </c>
      <c r="AR18" s="6">
        <v>6</v>
      </c>
      <c r="AS18" s="6">
        <v>3</v>
      </c>
      <c r="AT18" s="6">
        <f>IF(AND(ISNUMBER(J18),ISNUMBER(M18)),IF(J18+M18=1,1,0),"")</f>
        <v>1</v>
      </c>
      <c r="AV18" s="44">
        <f>AR18*100+AS18</f>
        <v>603</v>
      </c>
      <c r="AW18" s="44">
        <f>AS18*100+AR18</f>
        <v>306</v>
      </c>
      <c r="AX18" s="6">
        <v>0</v>
      </c>
      <c r="AY18" s="6">
        <v>0</v>
      </c>
      <c r="AZ18" s="6">
        <f>J18*AY18</f>
        <v>0</v>
      </c>
      <c r="BA18" s="6">
        <f>M18*AX18</f>
        <v>0</v>
      </c>
    </row>
    <row r="19" spans="2:53" x14ac:dyDescent="0.25">
      <c r="B19" s="6">
        <v>4</v>
      </c>
      <c r="C19" s="6" t="str">
        <f>VLOOKUP(AR19,$B$4:$F$11,2,FALSE)</f>
        <v>Floris van Capelleveen</v>
      </c>
      <c r="D19" s="43" t="s">
        <v>5</v>
      </c>
      <c r="E19" s="63" t="str">
        <f>VLOOKUP(AS19,$B$4:$F$11,2,FALSE)</f>
        <v>Ruben de Vries</v>
      </c>
      <c r="F19" s="63"/>
      <c r="G19" s="63"/>
      <c r="H19" s="63"/>
      <c r="J19" s="63">
        <f>IF(T19="","",VLOOKUP(T19,Configuratie!$B$2:$E$11,3,FALSE))</f>
        <v>0.5</v>
      </c>
      <c r="K19" s="63"/>
      <c r="L19" s="6" t="s">
        <v>5</v>
      </c>
      <c r="M19" s="63">
        <f>IF(T19="","",VLOOKUP(T19,Configuratie!$B$2:$E$11,4,FALSE))</f>
        <v>0.5</v>
      </c>
      <c r="N19" s="63"/>
      <c r="R19" s="6" t="str">
        <f>IF(T19="","",VLOOKUP(T19,Configuratie!$B$2:$E$11,2,FALSE))</f>
        <v>½-½</v>
      </c>
      <c r="T19" s="5">
        <v>2</v>
      </c>
      <c r="AQ19" s="6">
        <v>1</v>
      </c>
      <c r="AR19" s="6">
        <v>5</v>
      </c>
      <c r="AS19" s="6">
        <v>4</v>
      </c>
      <c r="AT19" s="6">
        <f>IF(AND(ISNUMBER(J19),ISNUMBER(M19)),IF(J19+M19=1,1,0),"")</f>
        <v>1</v>
      </c>
      <c r="AV19" s="44">
        <f>AR19*100+AS19</f>
        <v>504</v>
      </c>
      <c r="AW19" s="44">
        <f>AS19*100+AR19</f>
        <v>405</v>
      </c>
      <c r="AX19" s="6">
        <v>0</v>
      </c>
      <c r="AY19" s="6">
        <v>0</v>
      </c>
      <c r="AZ19" s="6">
        <f>J19*AY19</f>
        <v>0</v>
      </c>
      <c r="BA19" s="6">
        <f>M19*AX19</f>
        <v>0</v>
      </c>
    </row>
    <row r="20" spans="2:53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V20" s="39"/>
      <c r="AW20" s="39"/>
    </row>
    <row r="21" spans="2:53" x14ac:dyDescent="0.25">
      <c r="B21" s="42" t="s">
        <v>9</v>
      </c>
      <c r="AV21" s="39"/>
      <c r="AW21" s="39"/>
    </row>
    <row r="22" spans="2:53" x14ac:dyDescent="0.25">
      <c r="B22" s="6">
        <v>1</v>
      </c>
      <c r="C22" s="6" t="str">
        <f>VLOOKUP(AR22,$B$4:$F$11,2,FALSE)</f>
        <v>???</v>
      </c>
      <c r="D22" s="43" t="s">
        <v>5</v>
      </c>
      <c r="E22" s="63" t="str">
        <f>VLOOKUP(AS22,$B$4:$F$11,2,FALSE)</f>
        <v>Ruben de Vries</v>
      </c>
      <c r="F22" s="63"/>
      <c r="G22" s="63"/>
      <c r="H22" s="63"/>
      <c r="J22" s="63">
        <f>IF(T22="","",VLOOKUP(T22,Configuratie!$B$2:$E$11,3,FALSE))</f>
        <v>0</v>
      </c>
      <c r="K22" s="63"/>
      <c r="L22" s="6" t="s">
        <v>5</v>
      </c>
      <c r="M22" s="63">
        <f>IF(T22="","",VLOOKUP(T22,Configuratie!$B$2:$E$11,4,FALSE))</f>
        <v>1</v>
      </c>
      <c r="N22" s="63"/>
      <c r="R22" s="6" t="str">
        <f>IF(T22="","",VLOOKUP(T22,Configuratie!$B$2:$E$11,2,FALSE))</f>
        <v>0-1</v>
      </c>
      <c r="T22" s="5">
        <v>0</v>
      </c>
      <c r="AQ22" s="6">
        <v>2</v>
      </c>
      <c r="AR22" s="6">
        <v>8</v>
      </c>
      <c r="AS22" s="6">
        <v>4</v>
      </c>
      <c r="AT22" s="6">
        <f>IF(AND(ISNUMBER(J22),ISNUMBER(M22)),IF(J22+M22=1,1,0),"")</f>
        <v>1</v>
      </c>
      <c r="AV22" s="44">
        <f>AR22*100+AS22</f>
        <v>804</v>
      </c>
      <c r="AW22" s="44">
        <f>AS22*100+AR22</f>
        <v>408</v>
      </c>
      <c r="AX22" s="6">
        <f t="shared" ref="AX22:AY25" si="22">VLOOKUP(AR22,$BG$3:$BP$11,$AQ22,FALSE)</f>
        <v>0</v>
      </c>
      <c r="AY22" s="6">
        <f t="shared" si="22"/>
        <v>0.5</v>
      </c>
      <c r="AZ22" s="6">
        <f>J22*AY22</f>
        <v>0</v>
      </c>
      <c r="BA22" s="6">
        <f>M22*AX22</f>
        <v>0</v>
      </c>
    </row>
    <row r="23" spans="2:53" x14ac:dyDescent="0.25">
      <c r="B23" s="6">
        <v>2</v>
      </c>
      <c r="C23" s="6" t="str">
        <f>VLOOKUP(AR23,$B$4:$F$11,2,FALSE)</f>
        <v>Julian van Kuijk</v>
      </c>
      <c r="D23" s="43" t="s">
        <v>5</v>
      </c>
      <c r="E23" s="63" t="str">
        <f>VLOOKUP(AS23,$B$4:$F$11,2,FALSE)</f>
        <v>Floris van Capelleveen</v>
      </c>
      <c r="F23" s="63"/>
      <c r="G23" s="63"/>
      <c r="H23" s="63"/>
      <c r="J23" s="63">
        <f>IF(T23="","",VLOOKUP(T23,Configuratie!$B$2:$E$11,3,FALSE))</f>
        <v>0.5</v>
      </c>
      <c r="K23" s="63"/>
      <c r="L23" s="6" t="s">
        <v>5</v>
      </c>
      <c r="M23" s="63">
        <f>IF(T23="","",VLOOKUP(T23,Configuratie!$B$2:$E$11,4,FALSE))</f>
        <v>0.5</v>
      </c>
      <c r="N23" s="63"/>
      <c r="R23" s="6" t="str">
        <f>IF(T23="","",VLOOKUP(T23,Configuratie!$B$2:$E$11,2,FALSE))</f>
        <v>½-½</v>
      </c>
      <c r="T23" s="5">
        <v>2</v>
      </c>
      <c r="AQ23" s="6">
        <v>2</v>
      </c>
      <c r="AR23" s="6">
        <v>3</v>
      </c>
      <c r="AS23" s="6">
        <v>5</v>
      </c>
      <c r="AT23" s="6">
        <f>IF(AND(ISNUMBER(J23),ISNUMBER(M23)),IF(J23+M23=1,1,0),"")</f>
        <v>1</v>
      </c>
      <c r="AV23" s="44">
        <f>AR23*100+AS23</f>
        <v>305</v>
      </c>
      <c r="AW23" s="44">
        <f>AS23*100+AR23</f>
        <v>503</v>
      </c>
      <c r="AX23" s="6">
        <f t="shared" si="22"/>
        <v>0</v>
      </c>
      <c r="AY23" s="6">
        <f t="shared" si="22"/>
        <v>0.5</v>
      </c>
      <c r="AZ23" s="6">
        <f>J23*AY23</f>
        <v>0.25</v>
      </c>
      <c r="BA23" s="6">
        <f>M23*AX23</f>
        <v>0</v>
      </c>
    </row>
    <row r="24" spans="2:53" x14ac:dyDescent="0.25">
      <c r="B24" s="6">
        <v>3</v>
      </c>
      <c r="C24" s="6" t="str">
        <f>VLOOKUP(AR24,$B$4:$F$11,2,FALSE)</f>
        <v>Fabian de Vries</v>
      </c>
      <c r="D24" s="43" t="s">
        <v>5</v>
      </c>
      <c r="E24" s="63" t="str">
        <f>VLOOKUP(AS24,$B$4:$F$11,2,FALSE)</f>
        <v>Abel Hogenhout</v>
      </c>
      <c r="F24" s="63"/>
      <c r="G24" s="63"/>
      <c r="H24" s="63"/>
      <c r="J24" s="63">
        <f>IF(T24="","",VLOOKUP(T24,Configuratie!$B$2:$E$11,3,FALSE))</f>
        <v>1</v>
      </c>
      <c r="K24" s="63"/>
      <c r="L24" s="6" t="s">
        <v>5</v>
      </c>
      <c r="M24" s="63">
        <f>IF(T24="","",VLOOKUP(T24,Configuratie!$B$2:$E$11,4,FALSE))</f>
        <v>0</v>
      </c>
      <c r="N24" s="63"/>
      <c r="R24" s="6" t="str">
        <f>IF(T24="","",VLOOKUP(T24,Configuratie!$B$2:$E$11,2,FALSE))</f>
        <v>1-0</v>
      </c>
      <c r="T24" s="5">
        <v>1</v>
      </c>
      <c r="AQ24" s="6">
        <v>2</v>
      </c>
      <c r="AR24" s="6">
        <v>2</v>
      </c>
      <c r="AS24" s="6">
        <v>6</v>
      </c>
      <c r="AT24" s="6">
        <f>IF(AND(ISNUMBER(J24),ISNUMBER(M24)),IF(J24+M24=1,1,0),"")</f>
        <v>1</v>
      </c>
      <c r="AV24" s="44">
        <f>AR24*100+AS24</f>
        <v>206</v>
      </c>
      <c r="AW24" s="44">
        <f>AS24*100+AR24</f>
        <v>602</v>
      </c>
      <c r="AX24" s="6">
        <f t="shared" si="22"/>
        <v>0.5</v>
      </c>
      <c r="AY24" s="6">
        <f t="shared" si="22"/>
        <v>1</v>
      </c>
      <c r="AZ24" s="6">
        <f>J24*AY24</f>
        <v>1</v>
      </c>
      <c r="BA24" s="6">
        <f>M24*AX24</f>
        <v>0</v>
      </c>
    </row>
    <row r="25" spans="2:53" x14ac:dyDescent="0.25">
      <c r="B25" s="6">
        <v>4</v>
      </c>
      <c r="C25" s="6" t="str">
        <f>VLOOKUP(AR25,$B$4:$F$11,2,FALSE)</f>
        <v>Ilan van der Zand</v>
      </c>
      <c r="D25" s="43" t="s">
        <v>5</v>
      </c>
      <c r="E25" s="63" t="str">
        <f>VLOOKUP(AS25,$B$4:$F$11,2,FALSE)</f>
        <v>Merijn Adams</v>
      </c>
      <c r="F25" s="63"/>
      <c r="G25" s="63"/>
      <c r="H25" s="63"/>
      <c r="J25" s="63">
        <f>IF(T25="","",VLOOKUP(T25,Configuratie!$B$2:$E$11,3,FALSE))</f>
        <v>1</v>
      </c>
      <c r="K25" s="63"/>
      <c r="L25" s="6" t="s">
        <v>5</v>
      </c>
      <c r="M25" s="63">
        <f>IF(T25="","",VLOOKUP(T25,Configuratie!$B$2:$E$11,4,FALSE))</f>
        <v>0</v>
      </c>
      <c r="N25" s="63"/>
      <c r="R25" s="6" t="str">
        <f>IF(T25="","",VLOOKUP(T25,Configuratie!$B$2:$E$11,2,FALSE))</f>
        <v>1-0</v>
      </c>
      <c r="T25" s="5">
        <v>1</v>
      </c>
      <c r="AQ25" s="6">
        <v>2</v>
      </c>
      <c r="AR25" s="6">
        <v>1</v>
      </c>
      <c r="AS25" s="6">
        <v>7</v>
      </c>
      <c r="AT25" s="6">
        <f>IF(AND(ISNUMBER(J25),ISNUMBER(M25)),IF(J25+M25=1,1,0),"")</f>
        <v>1</v>
      </c>
      <c r="AV25" s="44">
        <f>AR25*100+AS25</f>
        <v>107</v>
      </c>
      <c r="AW25" s="44">
        <f>AS25*100+AR25</f>
        <v>701</v>
      </c>
      <c r="AX25" s="6">
        <f t="shared" si="22"/>
        <v>1</v>
      </c>
      <c r="AY25" s="6">
        <f t="shared" si="22"/>
        <v>0.5</v>
      </c>
      <c r="AZ25" s="6">
        <f>J25*AY25</f>
        <v>0.5</v>
      </c>
      <c r="BA25" s="6">
        <f>M25*AX25</f>
        <v>0</v>
      </c>
    </row>
    <row r="26" spans="2:53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V26" s="39"/>
      <c r="AW26" s="39"/>
    </row>
    <row r="27" spans="2:53" x14ac:dyDescent="0.25">
      <c r="B27" s="42" t="s">
        <v>10</v>
      </c>
      <c r="AV27" s="39"/>
      <c r="AW27" s="39"/>
    </row>
    <row r="28" spans="2:53" x14ac:dyDescent="0.25">
      <c r="B28" s="6">
        <v>1</v>
      </c>
      <c r="C28" s="6" t="str">
        <f>VLOOKUP(AR28,$B$4:$F$11,2,FALSE)</f>
        <v>Merijn Adams</v>
      </c>
      <c r="D28" s="43" t="s">
        <v>5</v>
      </c>
      <c r="E28" s="63" t="str">
        <f>VLOOKUP(AS28,$B$4:$F$11,2,FALSE)</f>
        <v>???</v>
      </c>
      <c r="F28" s="63"/>
      <c r="G28" s="63"/>
      <c r="H28" s="63"/>
      <c r="J28" s="63">
        <f>IF(T28="","",VLOOKUP(T28,Configuratie!$B$2:$E$11,3,FALSE))</f>
        <v>1</v>
      </c>
      <c r="K28" s="63"/>
      <c r="L28" s="6" t="s">
        <v>5</v>
      </c>
      <c r="M28" s="63">
        <f>IF(T28="","",VLOOKUP(T28,Configuratie!$B$2:$E$11,4,FALSE))</f>
        <v>0</v>
      </c>
      <c r="N28" s="63"/>
      <c r="R28" s="6" t="str">
        <f>IF(T28="","",VLOOKUP(T28,Configuratie!$B$2:$E$11,2,FALSE))</f>
        <v>1-0</v>
      </c>
      <c r="T28" s="5">
        <v>1</v>
      </c>
      <c r="AQ28" s="6">
        <v>3</v>
      </c>
      <c r="AR28" s="6">
        <v>7</v>
      </c>
      <c r="AS28" s="6">
        <v>8</v>
      </c>
      <c r="AT28" s="6">
        <f>IF(AND(ISNUMBER(J28),ISNUMBER(M28)),IF(J28+M28=1,1,0),"")</f>
        <v>1</v>
      </c>
      <c r="AV28" s="44">
        <f>AR28*100+AS28</f>
        <v>708</v>
      </c>
      <c r="AW28" s="44">
        <f>AS28*100+AR28</f>
        <v>807</v>
      </c>
      <c r="AX28" s="6">
        <f t="shared" ref="AX28:AY31" si="23">VLOOKUP(AR28,$BG$3:$BP$11,$AQ28,FALSE)</f>
        <v>0.5</v>
      </c>
      <c r="AY28" s="6">
        <f t="shared" si="23"/>
        <v>0</v>
      </c>
      <c r="AZ28" s="6">
        <f>J28*AY28</f>
        <v>0</v>
      </c>
      <c r="BA28" s="6">
        <f>M28*AX28</f>
        <v>0</v>
      </c>
    </row>
    <row r="29" spans="2:53" x14ac:dyDescent="0.25">
      <c r="B29" s="6">
        <v>2</v>
      </c>
      <c r="C29" s="6" t="str">
        <f>VLOOKUP(AR29,$B$4:$F$11,2,FALSE)</f>
        <v>Abel Hogenhout</v>
      </c>
      <c r="D29" s="43" t="s">
        <v>5</v>
      </c>
      <c r="E29" s="63" t="str">
        <f>VLOOKUP(AS29,$B$4:$F$11,2,FALSE)</f>
        <v>Ilan van der Zand</v>
      </c>
      <c r="F29" s="63"/>
      <c r="G29" s="63"/>
      <c r="H29" s="63"/>
      <c r="J29" s="63">
        <f>IF(T29="","",VLOOKUP(T29,Configuratie!$B$2:$E$11,3,FALSE))</f>
        <v>0</v>
      </c>
      <c r="K29" s="63"/>
      <c r="L29" s="6" t="s">
        <v>5</v>
      </c>
      <c r="M29" s="63">
        <f>IF(T29="","",VLOOKUP(T29,Configuratie!$B$2:$E$11,4,FALSE))</f>
        <v>1</v>
      </c>
      <c r="N29" s="63"/>
      <c r="R29" s="6" t="str">
        <f>IF(T29="","",VLOOKUP(T29,Configuratie!$B$2:$E$11,2,FALSE))</f>
        <v>0-1</v>
      </c>
      <c r="T29" s="5">
        <v>0</v>
      </c>
      <c r="AQ29" s="6">
        <v>3</v>
      </c>
      <c r="AR29" s="6">
        <v>6</v>
      </c>
      <c r="AS29" s="6">
        <v>1</v>
      </c>
      <c r="AT29" s="6">
        <f>IF(AND(ISNUMBER(J29),ISNUMBER(M29)),IF(J29+M29=1,1,0),"")</f>
        <v>1</v>
      </c>
      <c r="AV29" s="44">
        <f>AR29*100+AS29</f>
        <v>601</v>
      </c>
      <c r="AW29" s="44">
        <f>AS29*100+AR29</f>
        <v>106</v>
      </c>
      <c r="AX29" s="6">
        <f t="shared" si="23"/>
        <v>1</v>
      </c>
      <c r="AY29" s="6">
        <f t="shared" si="23"/>
        <v>2</v>
      </c>
      <c r="AZ29" s="6">
        <f>J29*AY29</f>
        <v>0</v>
      </c>
      <c r="BA29" s="6">
        <f>M29*AX29</f>
        <v>1</v>
      </c>
    </row>
    <row r="30" spans="2:53" x14ac:dyDescent="0.25">
      <c r="B30" s="6">
        <v>3</v>
      </c>
      <c r="C30" s="6" t="str">
        <f>VLOOKUP(AR30,$B$4:$F$11,2,FALSE)</f>
        <v>Floris van Capelleveen</v>
      </c>
      <c r="D30" s="43" t="s">
        <v>5</v>
      </c>
      <c r="E30" s="63" t="str">
        <f>VLOOKUP(AS30,$B$4:$F$11,2,FALSE)</f>
        <v>Fabian de Vries</v>
      </c>
      <c r="F30" s="63"/>
      <c r="G30" s="63"/>
      <c r="H30" s="63"/>
      <c r="J30" s="63">
        <f>IF(T30="","",VLOOKUP(T30,Configuratie!$B$2:$E$11,3,FALSE))</f>
        <v>0.5</v>
      </c>
      <c r="K30" s="63"/>
      <c r="L30" s="6" t="s">
        <v>5</v>
      </c>
      <c r="M30" s="63">
        <f>IF(T30="","",VLOOKUP(T30,Configuratie!$B$2:$E$11,4,FALSE))</f>
        <v>0.5</v>
      </c>
      <c r="N30" s="63"/>
      <c r="R30" s="6" t="str">
        <f>IF(T30="","",VLOOKUP(T30,Configuratie!$B$2:$E$11,2,FALSE))</f>
        <v>½-½</v>
      </c>
      <c r="T30" s="5">
        <v>2</v>
      </c>
      <c r="AQ30" s="6">
        <v>3</v>
      </c>
      <c r="AR30" s="6">
        <v>5</v>
      </c>
      <c r="AS30" s="6">
        <v>2</v>
      </c>
      <c r="AT30" s="6">
        <f>IF(AND(ISNUMBER(J30),ISNUMBER(M30)),IF(J30+M30=1,1,0),"")</f>
        <v>1</v>
      </c>
      <c r="AV30" s="44">
        <f>AR30*100+AS30</f>
        <v>502</v>
      </c>
      <c r="AW30" s="44">
        <f>AS30*100+AR30</f>
        <v>205</v>
      </c>
      <c r="AX30" s="6">
        <f t="shared" si="23"/>
        <v>1</v>
      </c>
      <c r="AY30" s="6">
        <f t="shared" si="23"/>
        <v>1.5</v>
      </c>
      <c r="AZ30" s="6">
        <f>J30*AY30</f>
        <v>0.75</v>
      </c>
      <c r="BA30" s="6">
        <f>M30*AX30</f>
        <v>0.5</v>
      </c>
    </row>
    <row r="31" spans="2:53" x14ac:dyDescent="0.25">
      <c r="B31" s="6">
        <v>4</v>
      </c>
      <c r="C31" s="6" t="str">
        <f>VLOOKUP(AR31,$B$4:$F$11,2,FALSE)</f>
        <v>Ruben de Vries</v>
      </c>
      <c r="D31" s="43" t="s">
        <v>5</v>
      </c>
      <c r="E31" s="63" t="str">
        <f>VLOOKUP(AS31,$B$4:$F$11,2,FALSE)</f>
        <v>Julian van Kuijk</v>
      </c>
      <c r="F31" s="63"/>
      <c r="G31" s="63"/>
      <c r="H31" s="63"/>
      <c r="J31" s="63">
        <f>IF(T31="","",VLOOKUP(T31,Configuratie!$B$2:$E$11,3,FALSE))</f>
        <v>1</v>
      </c>
      <c r="K31" s="63"/>
      <c r="L31" s="6" t="s">
        <v>5</v>
      </c>
      <c r="M31" s="63">
        <f>IF(T31="","",VLOOKUP(T31,Configuratie!$B$2:$E$11,4,FALSE))</f>
        <v>0</v>
      </c>
      <c r="N31" s="63"/>
      <c r="R31" s="6" t="str">
        <f>IF(T31="","",VLOOKUP(T31,Configuratie!$B$2:$E$11,2,FALSE))</f>
        <v>1-0</v>
      </c>
      <c r="T31" s="5">
        <v>1</v>
      </c>
      <c r="AQ31" s="6">
        <v>3</v>
      </c>
      <c r="AR31" s="6">
        <v>4</v>
      </c>
      <c r="AS31" s="6">
        <v>3</v>
      </c>
      <c r="AT31" s="6">
        <f>IF(AND(ISNUMBER(J31),ISNUMBER(M31)),IF(J31+M31=1,1,0),"")</f>
        <v>1</v>
      </c>
      <c r="AV31" s="44">
        <f>AR31*100+AS31</f>
        <v>403</v>
      </c>
      <c r="AW31" s="44">
        <f>AS31*100+AR31</f>
        <v>304</v>
      </c>
      <c r="AX31" s="6">
        <f t="shared" si="23"/>
        <v>1.5</v>
      </c>
      <c r="AY31" s="6">
        <f t="shared" si="23"/>
        <v>0.5</v>
      </c>
      <c r="AZ31" s="6">
        <f>J31*AY31</f>
        <v>0.5</v>
      </c>
      <c r="BA31" s="6">
        <f>M31*AX31</f>
        <v>0</v>
      </c>
    </row>
    <row r="32" spans="2:53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V32" s="39"/>
      <c r="AW32" s="39"/>
    </row>
    <row r="33" spans="2:53" x14ac:dyDescent="0.25">
      <c r="B33" s="42" t="s">
        <v>11</v>
      </c>
      <c r="AV33" s="39"/>
      <c r="AW33" s="39"/>
    </row>
    <row r="34" spans="2:53" x14ac:dyDescent="0.25">
      <c r="B34" s="6">
        <v>1</v>
      </c>
      <c r="C34" s="6" t="str">
        <f>VLOOKUP(AR34,$B$4:$F$11,2,FALSE)</f>
        <v>???</v>
      </c>
      <c r="D34" s="43" t="s">
        <v>5</v>
      </c>
      <c r="E34" s="63" t="str">
        <f>VLOOKUP(AS34,$B$4:$F$11,2,FALSE)</f>
        <v>Julian van Kuijk</v>
      </c>
      <c r="F34" s="63"/>
      <c r="G34" s="63"/>
      <c r="H34" s="63"/>
      <c r="J34" s="63">
        <f>IF(T34="","",VLOOKUP(T34,Configuratie!$B$2:$E$11,3,FALSE))</f>
        <v>0</v>
      </c>
      <c r="K34" s="63"/>
      <c r="L34" s="6" t="s">
        <v>5</v>
      </c>
      <c r="M34" s="63">
        <f>IF(T34="","",VLOOKUP(T34,Configuratie!$B$2:$E$11,4,FALSE))</f>
        <v>1</v>
      </c>
      <c r="N34" s="63"/>
      <c r="R34" s="6" t="str">
        <f>IF(T34="","",VLOOKUP(T34,Configuratie!$B$2:$E$11,2,FALSE))</f>
        <v>0-1</v>
      </c>
      <c r="T34" s="5">
        <v>0</v>
      </c>
      <c r="AQ34" s="6">
        <v>4</v>
      </c>
      <c r="AR34" s="6">
        <v>8</v>
      </c>
      <c r="AS34" s="6">
        <v>3</v>
      </c>
      <c r="AT34" s="6">
        <f>IF(AND(ISNUMBER(J34),ISNUMBER(M34)),IF(J34+M34=1,1,0),"")</f>
        <v>1</v>
      </c>
      <c r="AV34" s="44">
        <f>AR34*100+AS34</f>
        <v>803</v>
      </c>
      <c r="AW34" s="44">
        <f>AS34*100+AR34</f>
        <v>308</v>
      </c>
      <c r="AX34" s="6">
        <f t="shared" ref="AX34:AY37" si="24">VLOOKUP(AR34,$BG$3:$BP$11,$AQ34,FALSE)</f>
        <v>0</v>
      </c>
      <c r="AY34" s="6">
        <f t="shared" si="24"/>
        <v>0.5</v>
      </c>
      <c r="AZ34" s="6">
        <f>J34*AY34</f>
        <v>0</v>
      </c>
      <c r="BA34" s="6">
        <f>M34*AX34</f>
        <v>0</v>
      </c>
    </row>
    <row r="35" spans="2:53" x14ac:dyDescent="0.25">
      <c r="B35" s="6">
        <v>2</v>
      </c>
      <c r="C35" s="6" t="str">
        <f>VLOOKUP(AR35,$B$4:$F$11,2,FALSE)</f>
        <v>Fabian de Vries</v>
      </c>
      <c r="D35" s="43" t="s">
        <v>5</v>
      </c>
      <c r="E35" s="63" t="str">
        <f>VLOOKUP(AS35,$B$4:$F$11,2,FALSE)</f>
        <v>Ruben de Vries</v>
      </c>
      <c r="F35" s="63"/>
      <c r="G35" s="63"/>
      <c r="H35" s="63"/>
      <c r="J35" s="63">
        <f>IF(T35="","",VLOOKUP(T35,Configuratie!$B$2:$E$11,3,FALSE))</f>
        <v>1</v>
      </c>
      <c r="K35" s="63"/>
      <c r="L35" s="6" t="s">
        <v>5</v>
      </c>
      <c r="M35" s="63">
        <f>IF(T35="","",VLOOKUP(T35,Configuratie!$B$2:$E$11,4,FALSE))</f>
        <v>0</v>
      </c>
      <c r="N35" s="63"/>
      <c r="R35" s="6" t="str">
        <f>IF(T35="","",VLOOKUP(T35,Configuratie!$B$2:$E$11,2,FALSE))</f>
        <v>1-0</v>
      </c>
      <c r="T35" s="5">
        <v>1</v>
      </c>
      <c r="AQ35" s="6">
        <v>4</v>
      </c>
      <c r="AR35" s="6">
        <v>2</v>
      </c>
      <c r="AS35" s="6">
        <v>4</v>
      </c>
      <c r="AT35" s="6">
        <f>IF(AND(ISNUMBER(J35),ISNUMBER(M35)),IF(J35+M35=1,1,0),"")</f>
        <v>1</v>
      </c>
      <c r="AV35" s="44">
        <f>AR35*100+AS35</f>
        <v>204</v>
      </c>
      <c r="AW35" s="44">
        <f>AS35*100+AR35</f>
        <v>402</v>
      </c>
      <c r="AX35" s="6">
        <f t="shared" si="24"/>
        <v>2</v>
      </c>
      <c r="AY35" s="6">
        <f t="shared" si="24"/>
        <v>2.5</v>
      </c>
      <c r="AZ35" s="6">
        <f>J35*AY35</f>
        <v>2.5</v>
      </c>
      <c r="BA35" s="6">
        <f>M35*AX35</f>
        <v>0</v>
      </c>
    </row>
    <row r="36" spans="2:53" x14ac:dyDescent="0.25">
      <c r="B36" s="6">
        <v>3</v>
      </c>
      <c r="C36" s="6" t="str">
        <f>VLOOKUP(AR36,$B$4:$F$11,2,FALSE)</f>
        <v>Ilan van der Zand</v>
      </c>
      <c r="D36" s="43" t="s">
        <v>5</v>
      </c>
      <c r="E36" s="63" t="str">
        <f>VLOOKUP(AS36,$B$4:$F$11,2,FALSE)</f>
        <v>Floris van Capelleveen</v>
      </c>
      <c r="F36" s="63"/>
      <c r="G36" s="63"/>
      <c r="H36" s="63"/>
      <c r="J36" s="63">
        <f>IF(T36="","",VLOOKUP(T36,Configuratie!$B$2:$E$11,3,FALSE))</f>
        <v>0</v>
      </c>
      <c r="K36" s="63"/>
      <c r="L36" s="6" t="s">
        <v>5</v>
      </c>
      <c r="M36" s="63">
        <f>IF(T36="","",VLOOKUP(T36,Configuratie!$B$2:$E$11,4,FALSE))</f>
        <v>1</v>
      </c>
      <c r="N36" s="63"/>
      <c r="R36" s="6" t="str">
        <f>IF(T36="","",VLOOKUP(T36,Configuratie!$B$2:$E$11,2,FALSE))</f>
        <v>0-1</v>
      </c>
      <c r="T36" s="5">
        <v>0</v>
      </c>
      <c r="AQ36" s="6">
        <v>4</v>
      </c>
      <c r="AR36" s="6">
        <v>1</v>
      </c>
      <c r="AS36" s="6">
        <v>5</v>
      </c>
      <c r="AT36" s="6">
        <f>IF(AND(ISNUMBER(J36),ISNUMBER(M36)),IF(J36+M36=1,1,0),"")</f>
        <v>1</v>
      </c>
      <c r="AV36" s="44">
        <f>AR36*100+AS36</f>
        <v>105</v>
      </c>
      <c r="AW36" s="44">
        <f>AS36*100+AR36</f>
        <v>501</v>
      </c>
      <c r="AX36" s="6">
        <f t="shared" si="24"/>
        <v>3</v>
      </c>
      <c r="AY36" s="6">
        <f t="shared" si="24"/>
        <v>1.5</v>
      </c>
      <c r="AZ36" s="6">
        <f>J36*AY36</f>
        <v>0</v>
      </c>
      <c r="BA36" s="6">
        <f>M36*AX36</f>
        <v>3</v>
      </c>
    </row>
    <row r="37" spans="2:53" x14ac:dyDescent="0.25">
      <c r="B37" s="6">
        <v>4</v>
      </c>
      <c r="C37" s="6" t="str">
        <f>VLOOKUP(AR37,$B$4:$F$11,2,FALSE)</f>
        <v>Merijn Adams</v>
      </c>
      <c r="D37" s="43" t="s">
        <v>5</v>
      </c>
      <c r="E37" s="63" t="str">
        <f>VLOOKUP(AS37,$B$4:$F$11,2,FALSE)</f>
        <v>Abel Hogenhout</v>
      </c>
      <c r="F37" s="63"/>
      <c r="G37" s="63"/>
      <c r="H37" s="63"/>
      <c r="J37" s="63">
        <f>IF(T37="","",VLOOKUP(T37,Configuratie!$B$2:$E$11,3,FALSE))</f>
        <v>0.5</v>
      </c>
      <c r="K37" s="63"/>
      <c r="L37" s="6" t="s">
        <v>5</v>
      </c>
      <c r="M37" s="63">
        <f>IF(T37="","",VLOOKUP(T37,Configuratie!$B$2:$E$11,4,FALSE))</f>
        <v>0.5</v>
      </c>
      <c r="N37" s="63"/>
      <c r="R37" s="6" t="str">
        <f>IF(T37="","",VLOOKUP(T37,Configuratie!$B$2:$E$11,2,FALSE))</f>
        <v>½-½</v>
      </c>
      <c r="T37" s="5">
        <v>2</v>
      </c>
      <c r="AQ37" s="6">
        <v>4</v>
      </c>
      <c r="AR37" s="6">
        <v>7</v>
      </c>
      <c r="AS37" s="6">
        <v>6</v>
      </c>
      <c r="AT37" s="6">
        <f>IF(AND(ISNUMBER(J37),ISNUMBER(M37)),IF(J37+M37=1,1,0),"")</f>
        <v>1</v>
      </c>
      <c r="AV37" s="44">
        <f>AR37*100+AS37</f>
        <v>706</v>
      </c>
      <c r="AW37" s="44">
        <f>AS37*100+AR37</f>
        <v>607</v>
      </c>
      <c r="AX37" s="6">
        <f t="shared" si="24"/>
        <v>1.5</v>
      </c>
      <c r="AY37" s="6">
        <f t="shared" si="24"/>
        <v>1</v>
      </c>
      <c r="AZ37" s="6">
        <f>J37*AY37</f>
        <v>0.5</v>
      </c>
      <c r="BA37" s="6">
        <f>M37*AX37</f>
        <v>0.75</v>
      </c>
    </row>
    <row r="38" spans="2:53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V38" s="39"/>
      <c r="AW38" s="39"/>
    </row>
    <row r="39" spans="2:53" x14ac:dyDescent="0.25">
      <c r="B39" s="42" t="s">
        <v>12</v>
      </c>
      <c r="AV39" s="39"/>
      <c r="AW39" s="39"/>
    </row>
    <row r="40" spans="2:53" x14ac:dyDescent="0.25">
      <c r="B40" s="6">
        <v>1</v>
      </c>
      <c r="C40" s="6" t="str">
        <f>VLOOKUP(AR40,$B$4:$F$11,2,FALSE)</f>
        <v>Abel Hogenhout</v>
      </c>
      <c r="D40" s="43" t="s">
        <v>5</v>
      </c>
      <c r="E40" s="63" t="str">
        <f>VLOOKUP(AS40,$B$4:$F$11,2,FALSE)</f>
        <v>???</v>
      </c>
      <c r="F40" s="63"/>
      <c r="G40" s="63"/>
      <c r="H40" s="63"/>
      <c r="J40" s="63">
        <f>IF(T40="","",VLOOKUP(T40,Configuratie!$B$2:$E$11,3,FALSE))</f>
        <v>1</v>
      </c>
      <c r="K40" s="63"/>
      <c r="L40" s="6" t="s">
        <v>5</v>
      </c>
      <c r="M40" s="63">
        <f>IF(T40="","",VLOOKUP(T40,Configuratie!$B$2:$E$11,4,FALSE))</f>
        <v>0</v>
      </c>
      <c r="N40" s="63"/>
      <c r="R40" s="6" t="str">
        <f>IF(T40="","",VLOOKUP(T40,Configuratie!$B$2:$E$11,2,FALSE))</f>
        <v>1-0</v>
      </c>
      <c r="T40" s="5">
        <v>1</v>
      </c>
      <c r="AQ40" s="6">
        <v>5</v>
      </c>
      <c r="AR40" s="6">
        <v>6</v>
      </c>
      <c r="AS40" s="6">
        <v>8</v>
      </c>
      <c r="AT40" s="6">
        <f>IF(AND(ISNUMBER(J40),ISNUMBER(M40)),IF(J40+M40=1,1,0),"")</f>
        <v>1</v>
      </c>
      <c r="AV40" s="44">
        <f>AR40*100+AS40</f>
        <v>608</v>
      </c>
      <c r="AW40" s="44">
        <f>AS40*100+AR40</f>
        <v>806</v>
      </c>
      <c r="AX40" s="6">
        <f t="shared" ref="AX40:AY43" si="25">VLOOKUP(AR40,$BG$3:$BP$11,$AQ40,FALSE)</f>
        <v>1.5</v>
      </c>
      <c r="AY40" s="6">
        <f t="shared" si="25"/>
        <v>0</v>
      </c>
      <c r="AZ40" s="6">
        <f>J40*AY40</f>
        <v>0</v>
      </c>
      <c r="BA40" s="6">
        <f>M40*AX40</f>
        <v>0</v>
      </c>
    </row>
    <row r="41" spans="2:53" x14ac:dyDescent="0.25">
      <c r="B41" s="6">
        <v>2</v>
      </c>
      <c r="C41" s="6" t="str">
        <f>VLOOKUP(AR41,$B$4:$F$11,2,FALSE)</f>
        <v>Floris van Capelleveen</v>
      </c>
      <c r="D41" s="43" t="s">
        <v>5</v>
      </c>
      <c r="E41" s="63" t="str">
        <f>VLOOKUP(AS41,$B$4:$F$11,2,FALSE)</f>
        <v>Merijn Adams</v>
      </c>
      <c r="F41" s="63"/>
      <c r="G41" s="63"/>
      <c r="H41" s="63"/>
      <c r="J41" s="63">
        <f>IF(T41="","",VLOOKUP(T41,Configuratie!$B$2:$E$11,3,FALSE))</f>
        <v>0</v>
      </c>
      <c r="K41" s="63"/>
      <c r="L41" s="6" t="s">
        <v>5</v>
      </c>
      <c r="M41" s="63">
        <f>IF(T41="","",VLOOKUP(T41,Configuratie!$B$2:$E$11,4,FALSE))</f>
        <v>1</v>
      </c>
      <c r="N41" s="63"/>
      <c r="R41" s="6" t="str">
        <f>IF(T41="","",VLOOKUP(T41,Configuratie!$B$2:$E$11,2,FALSE))</f>
        <v>0-1</v>
      </c>
      <c r="T41" s="5">
        <v>0</v>
      </c>
      <c r="AQ41" s="6">
        <v>5</v>
      </c>
      <c r="AR41" s="6">
        <v>5</v>
      </c>
      <c r="AS41" s="6">
        <v>7</v>
      </c>
      <c r="AT41" s="6">
        <f>IF(AND(ISNUMBER(J41),ISNUMBER(M41)),IF(J41+M41=1,1,0),"")</f>
        <v>1</v>
      </c>
      <c r="AV41" s="44">
        <f>AR41*100+AS41</f>
        <v>507</v>
      </c>
      <c r="AW41" s="44">
        <f>AS41*100+AR41</f>
        <v>705</v>
      </c>
      <c r="AX41" s="6">
        <f t="shared" si="25"/>
        <v>2.5</v>
      </c>
      <c r="AY41" s="6">
        <f t="shared" si="25"/>
        <v>2</v>
      </c>
      <c r="AZ41" s="6">
        <f>J41*AY41</f>
        <v>0</v>
      </c>
      <c r="BA41" s="6">
        <f>M41*AX41</f>
        <v>2.5</v>
      </c>
    </row>
    <row r="42" spans="2:53" x14ac:dyDescent="0.25">
      <c r="B42" s="6">
        <v>3</v>
      </c>
      <c r="C42" s="6" t="str">
        <f>VLOOKUP(AR42,$B$4:$F$11,2,FALSE)</f>
        <v>Ruben de Vries</v>
      </c>
      <c r="D42" s="43" t="s">
        <v>5</v>
      </c>
      <c r="E42" s="63" t="str">
        <f>VLOOKUP(AS42,$B$4:$F$11,2,FALSE)</f>
        <v>Ilan van der Zand</v>
      </c>
      <c r="F42" s="63"/>
      <c r="G42" s="63"/>
      <c r="H42" s="63"/>
      <c r="J42" s="63">
        <f>IF(T42="","",VLOOKUP(T42,Configuratie!$B$2:$E$11,3,FALSE))</f>
        <v>0</v>
      </c>
      <c r="K42" s="63"/>
      <c r="L42" s="6" t="s">
        <v>5</v>
      </c>
      <c r="M42" s="63">
        <f>IF(T42="","",VLOOKUP(T42,Configuratie!$B$2:$E$11,4,FALSE))</f>
        <v>1</v>
      </c>
      <c r="N42" s="63"/>
      <c r="R42" s="6" t="str">
        <f>IF(T42="","",VLOOKUP(T42,Configuratie!$B$2:$E$11,2,FALSE))</f>
        <v>0-1</v>
      </c>
      <c r="T42" s="5">
        <v>0</v>
      </c>
      <c r="AQ42" s="6">
        <v>5</v>
      </c>
      <c r="AR42" s="6">
        <v>4</v>
      </c>
      <c r="AS42" s="6">
        <v>1</v>
      </c>
      <c r="AT42" s="6">
        <f>IF(AND(ISNUMBER(J42),ISNUMBER(M42)),IF(J42+M42=1,1,0),"")</f>
        <v>1</v>
      </c>
      <c r="AV42" s="44">
        <f>AR42*100+AS42</f>
        <v>401</v>
      </c>
      <c r="AW42" s="44">
        <f>AS42*100+AR42</f>
        <v>104</v>
      </c>
      <c r="AX42" s="6">
        <f t="shared" si="25"/>
        <v>2.5</v>
      </c>
      <c r="AY42" s="6">
        <f t="shared" si="25"/>
        <v>3</v>
      </c>
      <c r="AZ42" s="6">
        <f>J42*AY42</f>
        <v>0</v>
      </c>
      <c r="BA42" s="6">
        <f>M42*AX42</f>
        <v>2.5</v>
      </c>
    </row>
    <row r="43" spans="2:53" x14ac:dyDescent="0.25">
      <c r="B43" s="6">
        <v>4</v>
      </c>
      <c r="C43" s="6" t="str">
        <f>VLOOKUP(AR43,$B$4:$F$11,2,FALSE)</f>
        <v>Julian van Kuijk</v>
      </c>
      <c r="D43" s="43" t="s">
        <v>5</v>
      </c>
      <c r="E43" s="63" t="str">
        <f>VLOOKUP(AS43,$B$4:$F$11,2,FALSE)</f>
        <v>Fabian de Vries</v>
      </c>
      <c r="F43" s="63"/>
      <c r="G43" s="63"/>
      <c r="H43" s="63"/>
      <c r="J43" s="63">
        <f>IF(T43="","",VLOOKUP(T43,Configuratie!$B$2:$E$11,3,FALSE))</f>
        <v>1</v>
      </c>
      <c r="K43" s="63"/>
      <c r="L43" s="6" t="s">
        <v>5</v>
      </c>
      <c r="M43" s="63">
        <f>IF(T43="","",VLOOKUP(T43,Configuratie!$B$2:$E$11,4,FALSE))</f>
        <v>0</v>
      </c>
      <c r="N43" s="63"/>
      <c r="R43" s="6" t="str">
        <f>IF(T43="","",VLOOKUP(T43,Configuratie!$B$2:$E$11,2,FALSE))</f>
        <v>1-0</v>
      </c>
      <c r="T43" s="5">
        <v>1</v>
      </c>
      <c r="AQ43" s="6">
        <v>5</v>
      </c>
      <c r="AR43" s="6">
        <v>3</v>
      </c>
      <c r="AS43" s="6">
        <v>2</v>
      </c>
      <c r="AT43" s="6">
        <f>IF(AND(ISNUMBER(J43),ISNUMBER(M43)),IF(J43+M43=1,1,0),"")</f>
        <v>1</v>
      </c>
      <c r="AV43" s="44">
        <f>AR43*100+AS43</f>
        <v>302</v>
      </c>
      <c r="AW43" s="44">
        <f>AS43*100+AR43</f>
        <v>203</v>
      </c>
      <c r="AX43" s="6">
        <f t="shared" si="25"/>
        <v>1.5</v>
      </c>
      <c r="AY43" s="6">
        <f t="shared" si="25"/>
        <v>3</v>
      </c>
      <c r="AZ43" s="6">
        <f>J43*AY43</f>
        <v>3</v>
      </c>
      <c r="BA43" s="6">
        <f>M43*AX43</f>
        <v>0</v>
      </c>
    </row>
    <row r="44" spans="2:53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V44" s="39"/>
      <c r="AW44" s="39"/>
    </row>
    <row r="45" spans="2:53" x14ac:dyDescent="0.25">
      <c r="B45" s="42" t="s">
        <v>13</v>
      </c>
      <c r="AV45" s="39"/>
      <c r="AW45" s="39"/>
    </row>
    <row r="46" spans="2:53" x14ac:dyDescent="0.25">
      <c r="B46" s="6">
        <v>1</v>
      </c>
      <c r="C46" s="6" t="str">
        <f>VLOOKUP(AR46,$B$4:$F$11,2,FALSE)</f>
        <v>???</v>
      </c>
      <c r="D46" s="43" t="s">
        <v>5</v>
      </c>
      <c r="E46" s="63" t="str">
        <f>VLOOKUP(AS46,$B$4:$F$11,2,FALSE)</f>
        <v>Fabian de Vries</v>
      </c>
      <c r="F46" s="63"/>
      <c r="G46" s="63"/>
      <c r="H46" s="63"/>
      <c r="J46" s="63">
        <f>IF(T46="","",VLOOKUP(T46,Configuratie!$B$2:$E$11,3,FALSE))</f>
        <v>0</v>
      </c>
      <c r="K46" s="63"/>
      <c r="L46" s="6" t="s">
        <v>5</v>
      </c>
      <c r="M46" s="63">
        <f>IF(T46="","",VLOOKUP(T46,Configuratie!$B$2:$E$11,4,FALSE))</f>
        <v>1</v>
      </c>
      <c r="N46" s="63"/>
      <c r="R46" s="6" t="str">
        <f>IF(T46="","",VLOOKUP(T46,Configuratie!$B$2:$E$11,2,FALSE))</f>
        <v>0-1</v>
      </c>
      <c r="T46" s="5">
        <v>0</v>
      </c>
      <c r="AQ46" s="6">
        <v>6</v>
      </c>
      <c r="AR46" s="6">
        <v>8</v>
      </c>
      <c r="AS46" s="6">
        <v>2</v>
      </c>
      <c r="AT46" s="6">
        <f>IF(AND(ISNUMBER(J46),ISNUMBER(M46)),IF(J46+M46=1,1,0),"")</f>
        <v>1</v>
      </c>
      <c r="AV46" s="44">
        <f>AR46*100+AS46</f>
        <v>802</v>
      </c>
      <c r="AW46" s="44">
        <f>AS46*100+AR46</f>
        <v>208</v>
      </c>
      <c r="AX46" s="6">
        <f t="shared" ref="AX46:AY49" si="26">VLOOKUP(AR46,$BG$3:$BP$11,$AQ46,FALSE)</f>
        <v>0</v>
      </c>
      <c r="AY46" s="6">
        <f t="shared" si="26"/>
        <v>3</v>
      </c>
      <c r="AZ46" s="6">
        <f>J46*AY46</f>
        <v>0</v>
      </c>
      <c r="BA46" s="6">
        <f>M46*AX46</f>
        <v>0</v>
      </c>
    </row>
    <row r="47" spans="2:53" x14ac:dyDescent="0.25">
      <c r="B47" s="6">
        <v>2</v>
      </c>
      <c r="C47" s="6" t="str">
        <f>VLOOKUP(AR47,$B$4:$F$11,2,FALSE)</f>
        <v>Ilan van der Zand</v>
      </c>
      <c r="D47" s="43" t="s">
        <v>5</v>
      </c>
      <c r="E47" s="63" t="str">
        <f>VLOOKUP(AS47,$B$4:$F$11,2,FALSE)</f>
        <v>Julian van Kuijk</v>
      </c>
      <c r="F47" s="63"/>
      <c r="G47" s="63"/>
      <c r="H47" s="63"/>
      <c r="J47" s="63">
        <f>IF(T47="","",VLOOKUP(T47,Configuratie!$B$2:$E$11,3,FALSE))</f>
        <v>0</v>
      </c>
      <c r="K47" s="63"/>
      <c r="L47" s="6" t="s">
        <v>5</v>
      </c>
      <c r="M47" s="63">
        <f>IF(T47="","",VLOOKUP(T47,Configuratie!$B$2:$E$11,4,FALSE))</f>
        <v>1</v>
      </c>
      <c r="N47" s="63"/>
      <c r="R47" s="6" t="str">
        <f>IF(T47="","",VLOOKUP(T47,Configuratie!$B$2:$E$11,2,FALSE))</f>
        <v>0-1</v>
      </c>
      <c r="T47" s="5">
        <v>0</v>
      </c>
      <c r="AQ47" s="6">
        <v>6</v>
      </c>
      <c r="AR47" s="6">
        <v>1</v>
      </c>
      <c r="AS47" s="6">
        <v>3</v>
      </c>
      <c r="AT47" s="6">
        <f>IF(AND(ISNUMBER(J47),ISNUMBER(M47)),IF(J47+M47=1,1,0),"")</f>
        <v>1</v>
      </c>
      <c r="AV47" s="44">
        <f>AR47*100+AS47</f>
        <v>103</v>
      </c>
      <c r="AW47" s="44">
        <f>AS47*100+AR47</f>
        <v>301</v>
      </c>
      <c r="AX47" s="6">
        <f t="shared" si="26"/>
        <v>4</v>
      </c>
      <c r="AY47" s="6">
        <f t="shared" si="26"/>
        <v>2.5</v>
      </c>
      <c r="AZ47" s="6">
        <f>J47*AY47</f>
        <v>0</v>
      </c>
      <c r="BA47" s="6">
        <f>M47*AX47</f>
        <v>4</v>
      </c>
    </row>
    <row r="48" spans="2:53" x14ac:dyDescent="0.25">
      <c r="B48" s="6">
        <v>3</v>
      </c>
      <c r="C48" s="6" t="str">
        <f>VLOOKUP(AR48,$B$4:$F$11,2,FALSE)</f>
        <v>Merijn Adams</v>
      </c>
      <c r="D48" s="43" t="s">
        <v>5</v>
      </c>
      <c r="E48" s="63" t="str">
        <f>VLOOKUP(AS48,$B$4:$F$11,2,FALSE)</f>
        <v>Ruben de Vries</v>
      </c>
      <c r="F48" s="63"/>
      <c r="G48" s="63"/>
      <c r="H48" s="63"/>
      <c r="J48" s="63">
        <f>IF(T48="","",VLOOKUP(T48,Configuratie!$B$2:$E$11,3,FALSE))</f>
        <v>0.5</v>
      </c>
      <c r="K48" s="63"/>
      <c r="L48" s="6" t="s">
        <v>5</v>
      </c>
      <c r="M48" s="63">
        <f>IF(T48="","",VLOOKUP(T48,Configuratie!$B$2:$E$11,4,FALSE))</f>
        <v>0.5</v>
      </c>
      <c r="N48" s="63"/>
      <c r="R48" s="6" t="str">
        <f>IF(T48="","",VLOOKUP(T48,Configuratie!$B$2:$E$11,2,FALSE))</f>
        <v>½-½</v>
      </c>
      <c r="T48" s="5">
        <v>2</v>
      </c>
      <c r="AQ48" s="6">
        <v>6</v>
      </c>
      <c r="AR48" s="6">
        <v>7</v>
      </c>
      <c r="AS48" s="6">
        <v>4</v>
      </c>
      <c r="AT48" s="6">
        <f>IF(AND(ISNUMBER(J48),ISNUMBER(M48)),IF(J48+M48=1,1,0),"")</f>
        <v>1</v>
      </c>
      <c r="AV48" s="44">
        <f>AR48*100+AS48</f>
        <v>704</v>
      </c>
      <c r="AW48" s="44">
        <f>AS48*100+AR48</f>
        <v>407</v>
      </c>
      <c r="AX48" s="6">
        <f t="shared" si="26"/>
        <v>3</v>
      </c>
      <c r="AY48" s="6">
        <f t="shared" si="26"/>
        <v>2.5</v>
      </c>
      <c r="AZ48" s="6">
        <f>J48*AY48</f>
        <v>1.25</v>
      </c>
      <c r="BA48" s="6">
        <f>M48*AX48</f>
        <v>1.5</v>
      </c>
    </row>
    <row r="49" spans="2:53" x14ac:dyDescent="0.25">
      <c r="B49" s="6">
        <v>4</v>
      </c>
      <c r="C49" s="6" t="str">
        <f>VLOOKUP(AR49,$B$4:$F$11,2,FALSE)</f>
        <v>Abel Hogenhout</v>
      </c>
      <c r="D49" s="43" t="s">
        <v>5</v>
      </c>
      <c r="E49" s="63" t="str">
        <f>VLOOKUP(AS49,$B$4:$F$11,2,FALSE)</f>
        <v>Floris van Capelleveen</v>
      </c>
      <c r="F49" s="63"/>
      <c r="G49" s="63"/>
      <c r="H49" s="63"/>
      <c r="J49" s="63">
        <f>IF(T49="","",VLOOKUP(T49,Configuratie!$B$2:$E$11,3,FALSE))</f>
        <v>1</v>
      </c>
      <c r="K49" s="63"/>
      <c r="L49" s="6" t="s">
        <v>5</v>
      </c>
      <c r="M49" s="63">
        <f>IF(T49="","",VLOOKUP(T49,Configuratie!$B$2:$E$11,4,FALSE))</f>
        <v>0</v>
      </c>
      <c r="N49" s="63"/>
      <c r="R49" s="6" t="str">
        <f>IF(T49="","",VLOOKUP(T49,Configuratie!$B$2:$E$11,2,FALSE))</f>
        <v>1-0</v>
      </c>
      <c r="T49" s="5">
        <v>1</v>
      </c>
      <c r="AQ49" s="6">
        <v>6</v>
      </c>
      <c r="AR49" s="6">
        <v>6</v>
      </c>
      <c r="AS49" s="6">
        <v>5</v>
      </c>
      <c r="AT49" s="6">
        <f>IF(AND(ISNUMBER(J49),ISNUMBER(M49)),IF(J49+M49=1,1,0),"")</f>
        <v>1</v>
      </c>
      <c r="AV49" s="44">
        <f>AR49*100+AS49</f>
        <v>605</v>
      </c>
      <c r="AW49" s="44">
        <f>AS49*100+AR49</f>
        <v>506</v>
      </c>
      <c r="AX49" s="6">
        <f t="shared" si="26"/>
        <v>2.5</v>
      </c>
      <c r="AY49" s="6">
        <f t="shared" si="26"/>
        <v>2.5</v>
      </c>
      <c r="AZ49" s="6">
        <f>J49*AY49</f>
        <v>2.5</v>
      </c>
      <c r="BA49" s="6">
        <f>M49*AX49</f>
        <v>0</v>
      </c>
    </row>
    <row r="50" spans="2:53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V50" s="39"/>
      <c r="AW50" s="39"/>
    </row>
    <row r="51" spans="2:53" x14ac:dyDescent="0.25">
      <c r="B51" s="42" t="s">
        <v>14</v>
      </c>
      <c r="AV51" s="39"/>
      <c r="AW51" s="39"/>
    </row>
    <row r="52" spans="2:53" x14ac:dyDescent="0.25">
      <c r="B52" s="6">
        <v>1</v>
      </c>
      <c r="C52" s="6" t="str">
        <f>VLOOKUP(AR52,$B$4:$F$11,2,FALSE)</f>
        <v>Floris van Capelleveen</v>
      </c>
      <c r="D52" s="43" t="s">
        <v>5</v>
      </c>
      <c r="E52" s="63" t="str">
        <f>VLOOKUP(AS52,$B$4:$F$11,2,FALSE)</f>
        <v>???</v>
      </c>
      <c r="F52" s="63"/>
      <c r="G52" s="63"/>
      <c r="H52" s="63"/>
      <c r="J52" s="63">
        <f>IF(T52="","",VLOOKUP(T52,Configuratie!$B$2:$E$11,3,FALSE))</f>
        <v>1</v>
      </c>
      <c r="K52" s="63"/>
      <c r="L52" s="6" t="s">
        <v>5</v>
      </c>
      <c r="M52" s="63">
        <f>IF(T52="","",VLOOKUP(T52,Configuratie!$B$2:$E$11,4,FALSE))</f>
        <v>0</v>
      </c>
      <c r="N52" s="63"/>
      <c r="R52" s="6" t="str">
        <f>IF(T52="","",VLOOKUP(T52,Configuratie!$B$2:$E$11,2,FALSE))</f>
        <v>1-0</v>
      </c>
      <c r="T52" s="5">
        <v>1</v>
      </c>
      <c r="AQ52" s="6">
        <v>7</v>
      </c>
      <c r="AR52" s="6">
        <v>5</v>
      </c>
      <c r="AS52" s="6">
        <v>8</v>
      </c>
      <c r="AT52" s="6">
        <f>IF(AND(ISNUMBER(J52),ISNUMBER(M52)),IF(J52+M52=1,1,0),"")</f>
        <v>1</v>
      </c>
      <c r="AV52" s="44">
        <f>AR52*100+AS52</f>
        <v>508</v>
      </c>
      <c r="AW52" s="44">
        <f>AS52*100+AR52</f>
        <v>805</v>
      </c>
      <c r="AX52" s="6">
        <f t="shared" ref="AX52:AY55" si="27">VLOOKUP(AR52,$BG$3:$BP$11,$AQ52,FALSE)</f>
        <v>2.5</v>
      </c>
      <c r="AY52" s="6">
        <f t="shared" si="27"/>
        <v>0</v>
      </c>
      <c r="AZ52" s="6">
        <f>J52*AY52</f>
        <v>0</v>
      </c>
      <c r="BA52" s="6">
        <f>M52*AX52</f>
        <v>0</v>
      </c>
    </row>
    <row r="53" spans="2:53" x14ac:dyDescent="0.25">
      <c r="B53" s="6">
        <v>2</v>
      </c>
      <c r="C53" s="6" t="str">
        <f>VLOOKUP(AR53,$B$4:$F$11,2,FALSE)</f>
        <v>Ruben de Vries</v>
      </c>
      <c r="D53" s="43" t="s">
        <v>5</v>
      </c>
      <c r="E53" s="63" t="str">
        <f>VLOOKUP(AS53,$B$4:$F$11,2,FALSE)</f>
        <v>Abel Hogenhout</v>
      </c>
      <c r="F53" s="63"/>
      <c r="G53" s="63"/>
      <c r="H53" s="63"/>
      <c r="J53" s="63">
        <f>IF(T53="","",VLOOKUP(T53,Configuratie!$B$2:$E$11,3,FALSE))</f>
        <v>0</v>
      </c>
      <c r="K53" s="63"/>
      <c r="L53" s="6" t="s">
        <v>5</v>
      </c>
      <c r="M53" s="63">
        <f>IF(T53="","",VLOOKUP(T53,Configuratie!$B$2:$E$11,4,FALSE))</f>
        <v>1</v>
      </c>
      <c r="N53" s="63"/>
      <c r="R53" s="6" t="str">
        <f>IF(T53="","",VLOOKUP(T53,Configuratie!$B$2:$E$11,2,FALSE))</f>
        <v>0-1</v>
      </c>
      <c r="T53" s="5">
        <v>0</v>
      </c>
      <c r="AQ53" s="6">
        <v>7</v>
      </c>
      <c r="AR53" s="6">
        <v>4</v>
      </c>
      <c r="AS53" s="6">
        <v>6</v>
      </c>
      <c r="AT53" s="6">
        <f t="shared" ref="AT53:AT55" si="28">IF(AND(ISNUMBER(J53),ISNUMBER(M53)),IF(J53+M53=1,1,0),"")</f>
        <v>1</v>
      </c>
      <c r="AV53" s="44">
        <f>AR53*100+AS53</f>
        <v>406</v>
      </c>
      <c r="AW53" s="44">
        <f>AS53*100+AR53</f>
        <v>604</v>
      </c>
      <c r="AX53" s="6">
        <f t="shared" si="27"/>
        <v>3</v>
      </c>
      <c r="AY53" s="6">
        <f t="shared" si="27"/>
        <v>3.5</v>
      </c>
      <c r="AZ53" s="6">
        <f>J53*AY53</f>
        <v>0</v>
      </c>
      <c r="BA53" s="6">
        <f>M53*AX53</f>
        <v>3</v>
      </c>
    </row>
    <row r="54" spans="2:53" x14ac:dyDescent="0.25">
      <c r="B54" s="6">
        <v>3</v>
      </c>
      <c r="C54" s="6" t="str">
        <f>VLOOKUP(AR54,$B$4:$F$11,2,FALSE)</f>
        <v>Julian van Kuijk</v>
      </c>
      <c r="D54" s="43" t="s">
        <v>5</v>
      </c>
      <c r="E54" s="63" t="str">
        <f>VLOOKUP(AS54,$B$4:$F$11,2,FALSE)</f>
        <v>Merijn Adams</v>
      </c>
      <c r="F54" s="63"/>
      <c r="G54" s="63"/>
      <c r="H54" s="63"/>
      <c r="J54" s="63">
        <f>IF(T54="","",VLOOKUP(T54,Configuratie!$B$2:$E$11,3,FALSE))</f>
        <v>1</v>
      </c>
      <c r="K54" s="63"/>
      <c r="L54" s="6" t="s">
        <v>5</v>
      </c>
      <c r="M54" s="63">
        <f>IF(T54="","",VLOOKUP(T54,Configuratie!$B$2:$E$11,4,FALSE))</f>
        <v>0</v>
      </c>
      <c r="N54" s="63"/>
      <c r="R54" s="6" t="str">
        <f>IF(T54="","",VLOOKUP(T54,Configuratie!$B$2:$E$11,2,FALSE))</f>
        <v>1-0</v>
      </c>
      <c r="T54" s="5">
        <v>1</v>
      </c>
      <c r="AQ54" s="6">
        <v>7</v>
      </c>
      <c r="AR54" s="6">
        <v>3</v>
      </c>
      <c r="AS54" s="6">
        <v>7</v>
      </c>
      <c r="AT54" s="6">
        <f t="shared" si="28"/>
        <v>1</v>
      </c>
      <c r="AV54" s="44">
        <f>AR54*100+AS54</f>
        <v>307</v>
      </c>
      <c r="AW54" s="44">
        <f>AS54*100+AR54</f>
        <v>703</v>
      </c>
      <c r="AX54" s="6">
        <f t="shared" si="27"/>
        <v>3.5</v>
      </c>
      <c r="AY54" s="6">
        <f t="shared" si="27"/>
        <v>3.5</v>
      </c>
      <c r="AZ54" s="6">
        <f>J54*AY54</f>
        <v>3.5</v>
      </c>
      <c r="BA54" s="6">
        <f>M54*AX54</f>
        <v>0</v>
      </c>
    </row>
    <row r="55" spans="2:53" x14ac:dyDescent="0.25">
      <c r="B55" s="6">
        <v>4</v>
      </c>
      <c r="C55" s="6" t="str">
        <f>VLOOKUP(AR55,$B$4:$F$11,2,FALSE)</f>
        <v>Fabian de Vries</v>
      </c>
      <c r="D55" s="43" t="s">
        <v>5</v>
      </c>
      <c r="E55" s="63" t="str">
        <f>VLOOKUP(AS55,$B$4:$F$11,2,FALSE)</f>
        <v>Ilan van der Zand</v>
      </c>
      <c r="F55" s="63"/>
      <c r="G55" s="63"/>
      <c r="H55" s="63"/>
      <c r="J55" s="63">
        <f>IF(T55="","",VLOOKUP(T55,Configuratie!$B$2:$E$11,3,FALSE))</f>
        <v>1</v>
      </c>
      <c r="K55" s="63"/>
      <c r="L55" s="6" t="s">
        <v>5</v>
      </c>
      <c r="M55" s="63">
        <f>IF(T55="","",VLOOKUP(T55,Configuratie!$B$2:$E$11,4,FALSE))</f>
        <v>0</v>
      </c>
      <c r="N55" s="63"/>
      <c r="R55" s="6" t="str">
        <f>IF(T55="","",VLOOKUP(T55,Configuratie!$B$2:$E$11,2,FALSE))</f>
        <v>1-0</v>
      </c>
      <c r="T55" s="5">
        <v>1</v>
      </c>
      <c r="AQ55" s="6">
        <v>7</v>
      </c>
      <c r="AR55" s="6">
        <v>2</v>
      </c>
      <c r="AS55" s="6">
        <v>1</v>
      </c>
      <c r="AT55" s="6">
        <f t="shared" si="28"/>
        <v>1</v>
      </c>
      <c r="AV55" s="44">
        <f>AR55*100+AS55</f>
        <v>201</v>
      </c>
      <c r="AW55" s="44">
        <f>AS55*100+AR55</f>
        <v>102</v>
      </c>
      <c r="AX55" s="6">
        <f t="shared" si="27"/>
        <v>4</v>
      </c>
      <c r="AY55" s="6">
        <f t="shared" si="27"/>
        <v>4</v>
      </c>
      <c r="AZ55" s="6">
        <f>J55*AY55</f>
        <v>4</v>
      </c>
      <c r="BA55" s="6">
        <f>M55*AX55</f>
        <v>0</v>
      </c>
    </row>
    <row r="57" spans="2:53" ht="26.25" x14ac:dyDescent="0.4">
      <c r="B57" s="62" t="str">
        <f>"UITSLAG " &amp; G1</f>
        <v>UITSLAG Groep A</v>
      </c>
      <c r="C57" s="60"/>
      <c r="D57" s="60"/>
      <c r="E57" s="60"/>
      <c r="F57" s="60"/>
      <c r="G57" s="60"/>
      <c r="H57" s="60"/>
    </row>
    <row r="59" spans="2:53" x14ac:dyDescent="0.25">
      <c r="B59" s="7" t="s">
        <v>30</v>
      </c>
      <c r="C59" s="7"/>
      <c r="D59" s="22" t="s">
        <v>28</v>
      </c>
      <c r="E59" s="7" t="s">
        <v>6</v>
      </c>
      <c r="F59" s="7" t="s">
        <v>27</v>
      </c>
      <c r="G59" s="7" t="s">
        <v>22</v>
      </c>
      <c r="H59" s="7" t="s">
        <v>24</v>
      </c>
    </row>
    <row r="60" spans="2:53" x14ac:dyDescent="0.25">
      <c r="B60" s="30">
        <v>1</v>
      </c>
      <c r="C60" s="30" t="str">
        <f t="shared" ref="C60:C67" si="29">C4</f>
        <v>Ilan van der Zand</v>
      </c>
      <c r="D60" s="31">
        <v>2</v>
      </c>
      <c r="E60" s="32" t="str">
        <f t="shared" ref="E60:E67" si="30">IF(ISNA(VLOOKUP(B60,$A$4:$T$11,3,FALSE)),C4,VLOOKUP(B60,$A$4:$T$11,3,FALSE))</f>
        <v>Fabian de Vries</v>
      </c>
      <c r="F60" s="50">
        <f t="shared" ref="F60:F67" si="31">IF(ISNA(VLOOKUP($B4,$A$4:$T$11,18,FALSE)),0,VLOOKUP($B4,$A$4:$T$11,18,FALSE))</f>
        <v>5</v>
      </c>
      <c r="G60" s="33">
        <f>VLOOKUP($B4,$A$4:$T$11,18,FALSE)</f>
        <v>5</v>
      </c>
      <c r="H60" s="12">
        <f t="shared" ref="H60:H67" si="32">IF(ISNA(VLOOKUP($B4,$A$4:$T$11,19,FALSE)),0,VLOOKUP($B4,$A$4:$T$11,19,FALSE))</f>
        <v>15</v>
      </c>
    </row>
    <row r="61" spans="2:53" x14ac:dyDescent="0.25">
      <c r="B61" s="30">
        <v>2</v>
      </c>
      <c r="C61" s="30" t="str">
        <f t="shared" si="29"/>
        <v>Fabian de Vries</v>
      </c>
      <c r="D61" s="31">
        <v>7</v>
      </c>
      <c r="E61" s="32" t="str">
        <f t="shared" si="30"/>
        <v>Abel Hogenhout</v>
      </c>
      <c r="F61" s="50">
        <f t="shared" si="31"/>
        <v>4.5</v>
      </c>
      <c r="G61" s="33">
        <f t="shared" ref="G61:G67" si="33">VLOOKUP($D61,$AQ$4:$AT$11,2,FALSE)</f>
        <v>11</v>
      </c>
      <c r="H61" s="12">
        <f t="shared" si="32"/>
        <v>12.75</v>
      </c>
    </row>
    <row r="62" spans="2:53" x14ac:dyDescent="0.25">
      <c r="B62" s="30">
        <v>3</v>
      </c>
      <c r="C62" s="30" t="str">
        <f t="shared" si="29"/>
        <v>Julian van Kuijk</v>
      </c>
      <c r="D62" s="31">
        <v>1</v>
      </c>
      <c r="E62" s="32" t="str">
        <f t="shared" si="30"/>
        <v>Julian van Kuijk</v>
      </c>
      <c r="F62" s="50">
        <f t="shared" si="31"/>
        <v>4.5</v>
      </c>
      <c r="G62" s="33">
        <f t="shared" si="33"/>
        <v>17</v>
      </c>
      <c r="H62" s="12">
        <f t="shared" si="32"/>
        <v>14.25</v>
      </c>
    </row>
    <row r="63" spans="2:53" x14ac:dyDescent="0.25">
      <c r="B63" s="30">
        <v>4</v>
      </c>
      <c r="C63" s="30" t="str">
        <f t="shared" si="29"/>
        <v>Ruben de Vries</v>
      </c>
      <c r="D63" s="31">
        <v>6</v>
      </c>
      <c r="E63" s="32" t="str">
        <f t="shared" si="30"/>
        <v>Ilan van der Zand</v>
      </c>
      <c r="F63" s="50">
        <f t="shared" si="31"/>
        <v>4</v>
      </c>
      <c r="G63" s="33">
        <f t="shared" si="33"/>
        <v>10.5</v>
      </c>
      <c r="H63" s="12">
        <f t="shared" si="32"/>
        <v>11</v>
      </c>
    </row>
    <row r="64" spans="2:53" x14ac:dyDescent="0.25">
      <c r="B64" s="30">
        <v>5</v>
      </c>
      <c r="C64" s="30" t="str">
        <f t="shared" si="29"/>
        <v>Floris van Capelleveen</v>
      </c>
      <c r="D64" s="31">
        <v>3</v>
      </c>
      <c r="E64" s="32" t="str">
        <f t="shared" si="30"/>
        <v>Merijn Adams</v>
      </c>
      <c r="F64" s="50">
        <f t="shared" si="31"/>
        <v>3.5</v>
      </c>
      <c r="G64" s="33">
        <f t="shared" si="33"/>
        <v>8.5</v>
      </c>
      <c r="H64" s="12">
        <f t="shared" si="32"/>
        <v>9.75</v>
      </c>
    </row>
    <row r="65" spans="2:8" x14ac:dyDescent="0.25">
      <c r="B65" s="30">
        <v>6</v>
      </c>
      <c r="C65" s="30" t="str">
        <f t="shared" si="29"/>
        <v>Abel Hogenhout</v>
      </c>
      <c r="D65" s="31">
        <v>5</v>
      </c>
      <c r="E65" s="32" t="str">
        <f t="shared" si="30"/>
        <v>Floris van Capelleveen</v>
      </c>
      <c r="F65" s="50">
        <f t="shared" si="31"/>
        <v>3.5</v>
      </c>
      <c r="G65" s="33">
        <f t="shared" si="33"/>
        <v>10.5</v>
      </c>
      <c r="H65" s="12">
        <f t="shared" si="32"/>
        <v>10.25</v>
      </c>
    </row>
    <row r="66" spans="2:8" x14ac:dyDescent="0.25">
      <c r="B66" s="30">
        <v>7</v>
      </c>
      <c r="C66" s="30" t="str">
        <f t="shared" si="29"/>
        <v>Merijn Adams</v>
      </c>
      <c r="D66" s="31">
        <v>4</v>
      </c>
      <c r="E66" s="32" t="str">
        <f t="shared" si="30"/>
        <v>Ruben de Vries</v>
      </c>
      <c r="F66" s="50">
        <f t="shared" si="31"/>
        <v>3</v>
      </c>
      <c r="G66" s="33">
        <f t="shared" si="33"/>
        <v>12.5</v>
      </c>
      <c r="H66" s="12">
        <f t="shared" si="32"/>
        <v>8</v>
      </c>
    </row>
    <row r="67" spans="2:8" x14ac:dyDescent="0.25">
      <c r="B67" s="30">
        <v>8</v>
      </c>
      <c r="C67" s="30" t="str">
        <f t="shared" si="29"/>
        <v>???</v>
      </c>
      <c r="D67" s="31">
        <v>8</v>
      </c>
      <c r="E67" s="32" t="str">
        <f t="shared" si="30"/>
        <v>???</v>
      </c>
      <c r="F67" s="50">
        <f t="shared" si="31"/>
        <v>0</v>
      </c>
      <c r="G67" s="33">
        <f t="shared" si="33"/>
        <v>0</v>
      </c>
      <c r="H67" s="12">
        <f t="shared" si="32"/>
        <v>0</v>
      </c>
    </row>
  </sheetData>
  <sheetProtection algorithmName="SHA-512" hashValue="Y+PKwXYafQZ0ljQD5e2uoK5eVoC0LW+t2hkuBwNw2vFaUliZii9KWjZbbszLTipTguBqQ3Qn3nU1QUKH4FeX8w==" saltValue="13SAt9J304b1uXOhFuVg3Q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7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5:E5"/>
    <mergeCell ref="D6:E6"/>
    <mergeCell ref="D7:E7"/>
    <mergeCell ref="D8:E8"/>
    <mergeCell ref="D9:E9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4:E4"/>
    <mergeCell ref="B1:F1"/>
    <mergeCell ref="AW2:BE2"/>
    <mergeCell ref="BH2:BP2"/>
    <mergeCell ref="D3:E3"/>
  </mergeCells>
  <conditionalFormatting sqref="H4:Q11">
    <cfRule type="cellIs" dxfId="7" priority="4" stopIfTrue="1" operator="between">
      <formula>0</formula>
      <formula>1</formula>
    </cfRule>
  </conditionalFormatting>
  <conditionalFormatting sqref="T4:U11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 verticalCentered="1"/>
  <pageMargins left="0.7" right="0.7" top="0.75" bottom="0.75" header="0.3" footer="0.3"/>
  <pageSetup scale="70" orientation="landscape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C1E2-1679-4FA3-A786-CE15753DA272}">
  <sheetPr codeName="Blad2">
    <pageSetUpPr autoPageBreaks="0" fitToPage="1"/>
  </sheetPr>
  <dimension ref="A1:BP67"/>
  <sheetViews>
    <sheetView tabSelected="1"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19" width="8.140625" style="6" customWidth="1" collapsed="1"/>
    <col min="20" max="20" width="8.5703125" style="6" customWidth="1" collapsed="1"/>
    <col min="21" max="21" width="3.85546875" style="6" customWidth="1" collapsed="1"/>
    <col min="22" max="22" width="3.7109375" style="6" customWidth="1" collapsed="1"/>
    <col min="23" max="25" width="6.7109375" style="6" hidden="1" customWidth="1" collapsed="1"/>
    <col min="26" max="26" width="8.5703125" style="6" hidden="1" customWidth="1" collapsed="1"/>
    <col min="27" max="27" width="6" style="6" hidden="1" customWidth="1" collapsed="1"/>
    <col min="28" max="28" width="8.5703125" style="6" hidden="1" customWidth="1" collapsed="1"/>
    <col min="29" max="29" width="5.5703125" style="6" hidden="1" customWidth="1" collapsed="1"/>
    <col min="30" max="30" width="8.5703125" style="6" hidden="1" customWidth="1" collapsed="1"/>
    <col min="31" max="31" width="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4.28515625" style="6" hidden="1" customWidth="1" collapsed="1"/>
    <col min="35" max="35" width="6" style="6" hidden="1" customWidth="1" collapsed="1"/>
    <col min="36" max="36" width="5.28515625" style="6" hidden="1" customWidth="1" collapsed="1"/>
    <col min="37" max="43" width="6.7109375" style="6" hidden="1" customWidth="1" collapsed="1"/>
    <col min="44" max="47" width="9.140625" style="6" hidden="1" customWidth="1" collapsed="1"/>
    <col min="48" max="49" width="4.42578125" style="6" hidden="1" customWidth="1" collapsed="1"/>
    <col min="50" max="68" width="3.7109375" style="6" hidden="1" customWidth="1" collapsed="1"/>
    <col min="69" max="70" width="9.140625" style="6" customWidth="1" collapsed="1"/>
    <col min="71" max="16384" width="9.140625" style="6" collapsed="1"/>
  </cols>
  <sheetData>
    <row r="1" spans="1:68" ht="26.25" x14ac:dyDescent="0.4">
      <c r="A1" s="24">
        <v>8</v>
      </c>
      <c r="B1" s="59" t="s">
        <v>29</v>
      </c>
      <c r="C1" s="59"/>
      <c r="D1" s="59"/>
      <c r="E1" s="59"/>
      <c r="F1" s="59"/>
      <c r="G1" s="54" t="s">
        <v>74</v>
      </c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T1" s="55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68" x14ac:dyDescent="0.25">
      <c r="AR2" s="16" t="s">
        <v>25</v>
      </c>
      <c r="AS2" s="16" t="s">
        <v>24</v>
      </c>
      <c r="AT2" s="16" t="s">
        <v>26</v>
      </c>
      <c r="AW2" s="60" t="s">
        <v>20</v>
      </c>
      <c r="AX2" s="60"/>
      <c r="AY2" s="60"/>
      <c r="AZ2" s="60"/>
      <c r="BA2" s="60"/>
      <c r="BB2" s="60"/>
      <c r="BC2" s="60"/>
      <c r="BD2" s="60"/>
      <c r="BE2" s="60"/>
      <c r="BF2" s="17"/>
      <c r="BG2" s="18"/>
      <c r="BH2" s="60" t="s">
        <v>21</v>
      </c>
      <c r="BI2" s="60"/>
      <c r="BJ2" s="60"/>
      <c r="BK2" s="60"/>
      <c r="BL2" s="60"/>
      <c r="BM2" s="60"/>
      <c r="BN2" s="60"/>
      <c r="BO2" s="60"/>
      <c r="BP2" s="60"/>
    </row>
    <row r="3" spans="1:68" x14ac:dyDescent="0.25">
      <c r="B3" s="19" t="s">
        <v>4</v>
      </c>
      <c r="C3" s="19" t="s">
        <v>6</v>
      </c>
      <c r="D3" s="61" t="s">
        <v>7</v>
      </c>
      <c r="E3" s="61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31</v>
      </c>
      <c r="X3" s="7" t="s">
        <v>32</v>
      </c>
      <c r="Y3" s="13"/>
      <c r="Z3" s="7" t="s">
        <v>47</v>
      </c>
      <c r="AA3" s="7" t="s">
        <v>48</v>
      </c>
      <c r="AB3" s="7" t="s">
        <v>49</v>
      </c>
      <c r="AC3" s="7" t="s">
        <v>50</v>
      </c>
      <c r="AD3" s="7" t="s">
        <v>51</v>
      </c>
      <c r="AE3" s="7" t="s">
        <v>52</v>
      </c>
      <c r="AF3" s="7"/>
      <c r="AG3" s="7" t="s">
        <v>53</v>
      </c>
      <c r="AH3" s="7" t="s">
        <v>54</v>
      </c>
      <c r="AI3" s="7" t="s">
        <v>55</v>
      </c>
      <c r="AJ3" s="7" t="s">
        <v>56</v>
      </c>
      <c r="AK3" s="7"/>
      <c r="AL3" s="7" t="s">
        <v>56</v>
      </c>
      <c r="AM3" s="7" t="s">
        <v>57</v>
      </c>
      <c r="AN3" s="13"/>
      <c r="AO3" s="13"/>
      <c r="AP3" s="21"/>
      <c r="AQ3" s="7" t="s">
        <v>33</v>
      </c>
      <c r="AR3" s="23" t="s">
        <v>23</v>
      </c>
      <c r="AS3" s="16" t="s">
        <v>23</v>
      </c>
      <c r="AT3" s="16" t="s">
        <v>23</v>
      </c>
      <c r="AV3" s="6" t="s">
        <v>28</v>
      </c>
      <c r="AW3" s="18">
        <v>1</v>
      </c>
      <c r="AX3" s="18">
        <v>2</v>
      </c>
      <c r="AY3" s="18">
        <v>3</v>
      </c>
      <c r="AZ3" s="18">
        <v>4</v>
      </c>
      <c r="BA3" s="18">
        <v>5</v>
      </c>
      <c r="BB3" s="18">
        <v>6</v>
      </c>
      <c r="BC3" s="18">
        <v>7</v>
      </c>
      <c r="BD3" s="18">
        <v>8</v>
      </c>
      <c r="BE3" s="18">
        <v>9</v>
      </c>
      <c r="BF3" s="18"/>
      <c r="BG3" s="6" t="s">
        <v>28</v>
      </c>
      <c r="BH3" s="18">
        <v>1</v>
      </c>
      <c r="BI3" s="18">
        <v>2</v>
      </c>
      <c r="BJ3" s="18">
        <v>3</v>
      </c>
      <c r="BK3" s="18">
        <v>4</v>
      </c>
      <c r="BL3" s="18">
        <v>5</v>
      </c>
      <c r="BM3" s="18">
        <v>6</v>
      </c>
      <c r="BN3" s="18">
        <v>7</v>
      </c>
      <c r="BO3" s="18">
        <v>8</v>
      </c>
      <c r="BP3" s="18">
        <v>9</v>
      </c>
    </row>
    <row r="4" spans="1:68" x14ac:dyDescent="0.25">
      <c r="A4" s="24">
        <f>T4</f>
        <v>1</v>
      </c>
      <c r="B4" s="25">
        <v>1</v>
      </c>
      <c r="C4" s="25" t="s">
        <v>75</v>
      </c>
      <c r="D4" s="58">
        <v>8690605</v>
      </c>
      <c r="E4" s="58"/>
      <c r="F4" s="25">
        <v>296</v>
      </c>
      <c r="H4" s="26" t="str">
        <f t="shared" ref="H4:O11" si="0">IF((SUMIF($AV$13:$AV$55,$B4*100+H$3,$AT$13:$AT$55)+SUMIF($AV$13:$AV$55,$B4+H$3*100,$AT$13:$AT$55))=1,(SUMIF($AV$13:$AV$55,$B4*100+H$3,$J$13:$J$55)+SUMIF($AW$13:$AW$55,$B4*100+H$3,$M$13:$M$55)),"")</f>
        <v/>
      </c>
      <c r="I4" s="27">
        <f t="shared" si="0"/>
        <v>1</v>
      </c>
      <c r="J4" s="27">
        <f t="shared" si="0"/>
        <v>1</v>
      </c>
      <c r="K4" s="27">
        <f t="shared" si="0"/>
        <v>0.5</v>
      </c>
      <c r="L4" s="27">
        <f t="shared" si="0"/>
        <v>0.5</v>
      </c>
      <c r="M4" s="27">
        <f t="shared" si="0"/>
        <v>0.5</v>
      </c>
      <c r="N4" s="27">
        <f t="shared" si="0"/>
        <v>1</v>
      </c>
      <c r="O4" s="27">
        <f t="shared" si="0"/>
        <v>1</v>
      </c>
      <c r="P4" s="28"/>
      <c r="Q4" s="46"/>
      <c r="R4" s="49">
        <f t="shared" ref="R4:R11" si="1">SUM(H4:Q4)</f>
        <v>5.5</v>
      </c>
      <c r="S4" s="8">
        <f>IF(H4="",0,H4)*$R$4+IF(I4="",0,I4)*$R$5+IF(J4="",0,J4)*$R$6+IF(K4="",0,K4)*$R$7+IF(L4="",0,L4)*$R$8+IF(M4="",0,M4)*$R$9+IF(N4="",0,N4)*$R$10+IF(O4="",0,O4)*$R$11</f>
        <v>16.25</v>
      </c>
      <c r="T4" s="8">
        <f>AJ4</f>
        <v>1</v>
      </c>
      <c r="U4" s="14"/>
      <c r="V4" s="29"/>
      <c r="W4" s="33">
        <f t="shared" ref="W4:W11" si="2">VLOOKUP($D60,$AQ$4:$AT$11,4,FALSE)</f>
        <v>16.5</v>
      </c>
      <c r="X4" s="34">
        <f t="shared" ref="X4:X11" si="3">VLOOKUP($D60,$B$4:$R$11,5,FALSE)</f>
        <v>268</v>
      </c>
      <c r="Y4" s="47"/>
      <c r="Z4" s="51">
        <f t="shared" ref="Z4:Z11" si="4">IF(R4=$R$4,IF(H4="",0,H4))+IF(R4=$R$5,IF(I4="",0,I4))+IF(R4=$R$6,IF(J4="",0,J4))+IF(R4=$R$7,IF(K4="",0,K4))+IF(R4=$R$8,IF(L4="",0,L4))+IF(R4=$R$9,IF(M4="",0,M4))+IF(R4=$R$10,IF(N4="",0,N4))+IF(R4=$R$11,IF(O4="",0,O4))</f>
        <v>0</v>
      </c>
      <c r="AA4" s="52">
        <f t="shared" ref="AA4:AA11" si="5">$Z$13*R4+Z4</f>
        <v>16.5</v>
      </c>
      <c r="AB4" s="51">
        <f t="shared" ref="AB4:AB11" si="6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52">
        <f>$AB$13*AA4+AB4</f>
        <v>33</v>
      </c>
      <c r="AD4" s="51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47">
        <f>$AD$13*AC4+AD4</f>
        <v>66</v>
      </c>
      <c r="AF4" s="47"/>
      <c r="AG4" s="47">
        <f>RANK(AE4,$AE$4:$AE$11,1)-1</f>
        <v>7</v>
      </c>
      <c r="AH4" s="47">
        <f t="shared" ref="AH4:AH12" si="7">RANK(S4,$S$4:$S$11,1)-1</f>
        <v>7</v>
      </c>
      <c r="AI4" s="47">
        <f>8*AG4+AH4</f>
        <v>63</v>
      </c>
      <c r="AJ4" s="47">
        <f>RANK(AI4,$AI$4:$AI$11)</f>
        <v>1</v>
      </c>
      <c r="AK4" s="47"/>
      <c r="AL4" s="47"/>
      <c r="AM4" s="47"/>
      <c r="AN4" s="47"/>
      <c r="AO4" s="47"/>
      <c r="AP4" s="29"/>
      <c r="AQ4" s="35">
        <v>1</v>
      </c>
      <c r="AR4" s="36">
        <f t="shared" ref="AR4:AR11" si="8">SUMIF($AR$13:$AR$55,B4,$AX$13:$AX$55)+SUMIF($AS$13:$AS$55,B4,$AY$13:$AY$55)</f>
        <v>16.5</v>
      </c>
      <c r="AS4" s="37">
        <f t="shared" ref="AS4:AS11" si="9">SUMIF($AR$13:$AR$55,B4,$AZ$13:$AZ$55)+SUMIF($AS$13:$AS$55,B4,$BA$13:$BA$55)</f>
        <v>9.25</v>
      </c>
      <c r="AT4" s="37">
        <f>SUM(BH4:BP4)</f>
        <v>33</v>
      </c>
      <c r="AV4" s="6">
        <v>1</v>
      </c>
      <c r="AW4" s="6">
        <f t="shared" ref="AW4:BE11" si="10">SUMIFS($J$16:$J$55,$AR$16:$AR$55,$AV4,$AQ$16:$AQ$55,AW$3)+SUMIFS($M$16:$M$55,$AS$16:$AS$55,$AV4,$AQ$16:$AQ$55,AW$3)</f>
        <v>1</v>
      </c>
      <c r="AX4" s="6">
        <f t="shared" si="10"/>
        <v>1</v>
      </c>
      <c r="AY4" s="6">
        <f t="shared" si="10"/>
        <v>0.5</v>
      </c>
      <c r="AZ4" s="6">
        <f t="shared" si="10"/>
        <v>0.5</v>
      </c>
      <c r="BA4" s="6">
        <f t="shared" si="10"/>
        <v>0.5</v>
      </c>
      <c r="BB4" s="6">
        <f t="shared" si="10"/>
        <v>1</v>
      </c>
      <c r="BC4" s="6">
        <f t="shared" si="10"/>
        <v>1</v>
      </c>
      <c r="BD4" s="6">
        <f t="shared" si="10"/>
        <v>0</v>
      </c>
      <c r="BE4" s="6">
        <f t="shared" si="10"/>
        <v>0</v>
      </c>
      <c r="BG4" s="6">
        <v>1</v>
      </c>
      <c r="BH4" s="6">
        <f>AW4</f>
        <v>1</v>
      </c>
      <c r="BI4" s="6">
        <f t="shared" ref="BI4:BP11" si="11">BH4+AX4</f>
        <v>2</v>
      </c>
      <c r="BJ4" s="6">
        <f t="shared" si="11"/>
        <v>2.5</v>
      </c>
      <c r="BK4" s="6">
        <f t="shared" si="11"/>
        <v>3</v>
      </c>
      <c r="BL4" s="6">
        <f t="shared" si="11"/>
        <v>3.5</v>
      </c>
      <c r="BM4" s="6">
        <f t="shared" si="11"/>
        <v>4.5</v>
      </c>
      <c r="BN4" s="6">
        <f t="shared" si="11"/>
        <v>5.5</v>
      </c>
      <c r="BO4" s="6">
        <f t="shared" si="11"/>
        <v>5.5</v>
      </c>
      <c r="BP4" s="6">
        <f t="shared" si="11"/>
        <v>5.5</v>
      </c>
    </row>
    <row r="5" spans="1:68" x14ac:dyDescent="0.25">
      <c r="A5" s="24">
        <f t="shared" ref="A5:A12" si="12">T5</f>
        <v>5</v>
      </c>
      <c r="B5" s="25">
        <v>2</v>
      </c>
      <c r="C5" s="25" t="s">
        <v>76</v>
      </c>
      <c r="D5" s="58">
        <v>8770652</v>
      </c>
      <c r="E5" s="58"/>
      <c r="F5" s="25">
        <v>268</v>
      </c>
      <c r="H5" s="27">
        <f t="shared" si="0"/>
        <v>0</v>
      </c>
      <c r="I5" s="26" t="str">
        <f t="shared" si="0"/>
        <v/>
      </c>
      <c r="J5" s="27">
        <f t="shared" si="0"/>
        <v>0.5</v>
      </c>
      <c r="K5" s="27">
        <f t="shared" si="0"/>
        <v>1</v>
      </c>
      <c r="L5" s="27">
        <f t="shared" si="0"/>
        <v>0</v>
      </c>
      <c r="M5" s="27">
        <f t="shared" si="0"/>
        <v>0.5</v>
      </c>
      <c r="N5" s="27">
        <f t="shared" si="0"/>
        <v>0</v>
      </c>
      <c r="O5" s="27">
        <f t="shared" si="0"/>
        <v>1</v>
      </c>
      <c r="P5" s="28"/>
      <c r="Q5" s="46"/>
      <c r="R5" s="49">
        <f t="shared" si="1"/>
        <v>3</v>
      </c>
      <c r="S5" s="8">
        <f t="shared" ref="S5:S11" si="13">IF(H5="",0,H5)*$R$4+IF(I5="",0,I5)*$R$5+IF(J5="",0,J5)*$R$6+IF(K5="",0,K5)*$R$7+IF(L5="",0,L5)*$R$8+IF(M5="",0,M5)*$R$9+IF(N5="",0,N5)*$R$10+IF(O5="",0,O5)*$R$11</f>
        <v>7.25</v>
      </c>
      <c r="T5" s="8">
        <f t="shared" ref="T5:T12" si="14">AJ5</f>
        <v>5</v>
      </c>
      <c r="U5" s="14"/>
      <c r="V5" s="29"/>
      <c r="W5" s="33">
        <f t="shared" si="2"/>
        <v>27.5</v>
      </c>
      <c r="X5" s="34">
        <f t="shared" si="3"/>
        <v>136</v>
      </c>
      <c r="Y5" s="47"/>
      <c r="Z5" s="51">
        <f t="shared" si="4"/>
        <v>0.5</v>
      </c>
      <c r="AA5" s="52">
        <f t="shared" si="5"/>
        <v>9.5</v>
      </c>
      <c r="AB5" s="51">
        <f t="shared" si="6"/>
        <v>0.5</v>
      </c>
      <c r="AC5" s="52">
        <f t="shared" ref="AC5:AC11" si="15">$AB$13*AA5+AB5</f>
        <v>19.5</v>
      </c>
      <c r="AD5" s="51">
        <f>IF(AC5=$AC$4,IF(H5="",0,H5))+IF(AC5=$AC$5,IF(I5="",0,I5))+IF(AC5=$AC$6,IF(J5="",0,J5))+IF(AC5=$AC$7,IF(K5="",0,K5))+IF(AC5=$AC$8,IF(L5="",0,L5))+IF(AC5=$AC$9,IF(M5="",0,M5))+IF(AC5=$AC$10,IF(N5="",0,N5))+IF(AC5=$AC$11,IF(O5="",0,O5))</f>
        <v>0.5</v>
      </c>
      <c r="AE5" s="47">
        <f t="shared" ref="AE5:AE11" si="16">$AD$13*AC5+AD5</f>
        <v>39.5</v>
      </c>
      <c r="AF5" s="47"/>
      <c r="AG5" s="47">
        <f t="shared" ref="AG5:AG11" si="17">RANK(AE5,$AE$4:$AE$11,1)-1</f>
        <v>2</v>
      </c>
      <c r="AH5" s="47">
        <f t="shared" si="7"/>
        <v>3</v>
      </c>
      <c r="AI5" s="47">
        <f t="shared" ref="AI5:AI12" si="18">8*AG5+AH5</f>
        <v>19</v>
      </c>
      <c r="AJ5" s="47">
        <f t="shared" ref="AJ5:AJ11" si="19">RANK(AI5,$AI$4:$AI$11)</f>
        <v>5</v>
      </c>
      <c r="AK5" s="47"/>
      <c r="AL5" s="47"/>
      <c r="AM5" s="47"/>
      <c r="AN5" s="47"/>
      <c r="AO5" s="47"/>
      <c r="AP5" s="29"/>
      <c r="AQ5" s="35">
        <v>2</v>
      </c>
      <c r="AR5" s="36">
        <f t="shared" si="8"/>
        <v>7.5</v>
      </c>
      <c r="AS5" s="37">
        <f t="shared" si="9"/>
        <v>3.5</v>
      </c>
      <c r="AT5" s="37">
        <f t="shared" ref="AT5:AT11" si="20">SUM(BH5:BP5)</f>
        <v>16.5</v>
      </c>
      <c r="AV5" s="6">
        <v>2</v>
      </c>
      <c r="AW5" s="6">
        <f t="shared" si="10"/>
        <v>0</v>
      </c>
      <c r="AX5" s="6">
        <f t="shared" si="10"/>
        <v>0.5</v>
      </c>
      <c r="AY5" s="6">
        <f t="shared" si="10"/>
        <v>0</v>
      </c>
      <c r="AZ5" s="6">
        <f t="shared" si="10"/>
        <v>1</v>
      </c>
      <c r="BA5" s="6">
        <f t="shared" si="10"/>
        <v>0.5</v>
      </c>
      <c r="BB5" s="6">
        <f t="shared" si="10"/>
        <v>1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G5" s="6">
        <v>2</v>
      </c>
      <c r="BH5" s="6">
        <f t="shared" ref="BH5:BH11" si="21">AW5</f>
        <v>0</v>
      </c>
      <c r="BI5" s="6">
        <f t="shared" si="11"/>
        <v>0.5</v>
      </c>
      <c r="BJ5" s="6">
        <f t="shared" si="11"/>
        <v>0.5</v>
      </c>
      <c r="BK5" s="6">
        <f t="shared" si="11"/>
        <v>1.5</v>
      </c>
      <c r="BL5" s="6">
        <f t="shared" si="11"/>
        <v>2</v>
      </c>
      <c r="BM5" s="6">
        <f t="shared" si="11"/>
        <v>3</v>
      </c>
      <c r="BN5" s="6">
        <f t="shared" si="11"/>
        <v>3</v>
      </c>
      <c r="BO5" s="6">
        <f t="shared" si="11"/>
        <v>3</v>
      </c>
      <c r="BP5" s="6">
        <f t="shared" si="11"/>
        <v>3</v>
      </c>
    </row>
    <row r="6" spans="1:68" x14ac:dyDescent="0.25">
      <c r="A6" s="24">
        <f t="shared" si="12"/>
        <v>7</v>
      </c>
      <c r="B6" s="25">
        <v>3</v>
      </c>
      <c r="C6" s="25" t="s">
        <v>77</v>
      </c>
      <c r="D6" s="58">
        <v>8697348</v>
      </c>
      <c r="E6" s="58"/>
      <c r="F6" s="25">
        <v>216</v>
      </c>
      <c r="H6" s="27">
        <f t="shared" si="0"/>
        <v>0</v>
      </c>
      <c r="I6" s="27">
        <f t="shared" si="0"/>
        <v>0.5</v>
      </c>
      <c r="J6" s="26" t="str">
        <f t="shared" si="0"/>
        <v/>
      </c>
      <c r="K6" s="27">
        <f t="shared" si="0"/>
        <v>0</v>
      </c>
      <c r="L6" s="27">
        <f t="shared" si="0"/>
        <v>1</v>
      </c>
      <c r="M6" s="27">
        <f t="shared" si="0"/>
        <v>0</v>
      </c>
      <c r="N6" s="27">
        <f t="shared" si="0"/>
        <v>0</v>
      </c>
      <c r="O6" s="27">
        <f t="shared" si="0"/>
        <v>1</v>
      </c>
      <c r="P6" s="28"/>
      <c r="Q6" s="46"/>
      <c r="R6" s="49">
        <f t="shared" si="1"/>
        <v>2.5</v>
      </c>
      <c r="S6" s="8">
        <f t="shared" si="13"/>
        <v>6.5</v>
      </c>
      <c r="T6" s="9">
        <f>AJ6</f>
        <v>7</v>
      </c>
      <c r="U6" s="10"/>
      <c r="V6" s="29"/>
      <c r="W6" s="33">
        <f t="shared" si="2"/>
        <v>33</v>
      </c>
      <c r="X6" s="34">
        <f t="shared" si="3"/>
        <v>296</v>
      </c>
      <c r="Y6" s="47"/>
      <c r="Z6" s="51">
        <f t="shared" si="4"/>
        <v>0</v>
      </c>
      <c r="AA6" s="52">
        <f t="shared" si="5"/>
        <v>7.5</v>
      </c>
      <c r="AB6" s="51">
        <f t="shared" si="6"/>
        <v>0</v>
      </c>
      <c r="AC6" s="52">
        <f t="shared" si="15"/>
        <v>15</v>
      </c>
      <c r="AD6" s="51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47">
        <f t="shared" si="16"/>
        <v>30</v>
      </c>
      <c r="AF6" s="47"/>
      <c r="AG6" s="47">
        <f t="shared" si="17"/>
        <v>1</v>
      </c>
      <c r="AH6" s="47">
        <f t="shared" si="7"/>
        <v>1</v>
      </c>
      <c r="AI6" s="47">
        <f t="shared" si="18"/>
        <v>9</v>
      </c>
      <c r="AJ6" s="47">
        <f t="shared" si="19"/>
        <v>7</v>
      </c>
      <c r="AK6" s="47"/>
      <c r="AL6" s="47"/>
      <c r="AM6" s="47"/>
      <c r="AN6" s="47"/>
      <c r="AO6" s="47"/>
      <c r="AP6" s="29"/>
      <c r="AQ6" s="35">
        <v>3</v>
      </c>
      <c r="AR6" s="36">
        <f t="shared" si="8"/>
        <v>9</v>
      </c>
      <c r="AS6" s="37">
        <f t="shared" si="9"/>
        <v>1.75</v>
      </c>
      <c r="AT6" s="37">
        <f t="shared" si="20"/>
        <v>16.5</v>
      </c>
      <c r="AV6" s="6">
        <v>3</v>
      </c>
      <c r="AW6" s="6">
        <f t="shared" si="10"/>
        <v>0</v>
      </c>
      <c r="AX6" s="6">
        <f t="shared" si="10"/>
        <v>1</v>
      </c>
      <c r="AY6" s="6">
        <f t="shared" si="10"/>
        <v>0</v>
      </c>
      <c r="AZ6" s="6">
        <f t="shared" si="10"/>
        <v>1</v>
      </c>
      <c r="BA6" s="6">
        <f t="shared" si="10"/>
        <v>0.5</v>
      </c>
      <c r="BB6" s="6">
        <f t="shared" si="10"/>
        <v>0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G6" s="6">
        <v>3</v>
      </c>
      <c r="BH6" s="6">
        <f t="shared" si="21"/>
        <v>0</v>
      </c>
      <c r="BI6" s="6">
        <f t="shared" si="11"/>
        <v>1</v>
      </c>
      <c r="BJ6" s="6">
        <f t="shared" si="11"/>
        <v>1</v>
      </c>
      <c r="BK6" s="6">
        <f t="shared" si="11"/>
        <v>2</v>
      </c>
      <c r="BL6" s="6">
        <f t="shared" si="11"/>
        <v>2.5</v>
      </c>
      <c r="BM6" s="6">
        <f t="shared" si="11"/>
        <v>2.5</v>
      </c>
      <c r="BN6" s="6">
        <f t="shared" si="11"/>
        <v>2.5</v>
      </c>
      <c r="BO6" s="6">
        <f t="shared" si="11"/>
        <v>2.5</v>
      </c>
      <c r="BP6" s="6">
        <f t="shared" si="11"/>
        <v>2.5</v>
      </c>
    </row>
    <row r="7" spans="1:68" x14ac:dyDescent="0.25">
      <c r="A7" s="24">
        <f t="shared" si="12"/>
        <v>3</v>
      </c>
      <c r="B7" s="25">
        <v>4</v>
      </c>
      <c r="C7" s="25" t="s">
        <v>78</v>
      </c>
      <c r="D7" s="58">
        <v>8659123</v>
      </c>
      <c r="E7" s="58"/>
      <c r="F7" s="25">
        <v>195</v>
      </c>
      <c r="H7" s="27">
        <f t="shared" si="0"/>
        <v>0.5</v>
      </c>
      <c r="I7" s="27">
        <f t="shared" si="0"/>
        <v>0</v>
      </c>
      <c r="J7" s="27">
        <f t="shared" si="0"/>
        <v>1</v>
      </c>
      <c r="K7" s="26" t="str">
        <f t="shared" si="0"/>
        <v/>
      </c>
      <c r="L7" s="27">
        <f t="shared" si="0"/>
        <v>0</v>
      </c>
      <c r="M7" s="27">
        <f t="shared" si="0"/>
        <v>1</v>
      </c>
      <c r="N7" s="27">
        <f t="shared" si="0"/>
        <v>1</v>
      </c>
      <c r="O7" s="27">
        <f t="shared" si="0"/>
        <v>1</v>
      </c>
      <c r="P7" s="28"/>
      <c r="Q7" s="46"/>
      <c r="R7" s="49">
        <f t="shared" si="1"/>
        <v>4.5</v>
      </c>
      <c r="S7" s="8">
        <f t="shared" si="13"/>
        <v>12.75</v>
      </c>
      <c r="T7" s="8">
        <f t="shared" si="14"/>
        <v>3</v>
      </c>
      <c r="U7" s="14"/>
      <c r="V7" s="29"/>
      <c r="W7" s="33">
        <f t="shared" si="2"/>
        <v>21.5</v>
      </c>
      <c r="X7" s="34">
        <f t="shared" si="3"/>
        <v>138</v>
      </c>
      <c r="Y7" s="47"/>
      <c r="Z7" s="51">
        <f t="shared" si="4"/>
        <v>1</v>
      </c>
      <c r="AA7" s="52">
        <f t="shared" si="5"/>
        <v>14.5</v>
      </c>
      <c r="AB7" s="51">
        <f t="shared" si="6"/>
        <v>0</v>
      </c>
      <c r="AC7" s="52">
        <f t="shared" si="15"/>
        <v>29</v>
      </c>
      <c r="AD7" s="51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47">
        <f t="shared" si="16"/>
        <v>58</v>
      </c>
      <c r="AF7" s="47"/>
      <c r="AG7" s="47">
        <f t="shared" si="17"/>
        <v>5</v>
      </c>
      <c r="AH7" s="47">
        <f t="shared" si="7"/>
        <v>5</v>
      </c>
      <c r="AI7" s="47">
        <f t="shared" si="18"/>
        <v>45</v>
      </c>
      <c r="AJ7" s="47">
        <f t="shared" si="19"/>
        <v>3</v>
      </c>
      <c r="AK7" s="47"/>
      <c r="AL7" s="47"/>
      <c r="AM7" s="47"/>
      <c r="AN7" s="47"/>
      <c r="AO7" s="47"/>
      <c r="AP7" s="29"/>
      <c r="AQ7" s="35">
        <v>4</v>
      </c>
      <c r="AR7" s="36">
        <f t="shared" si="8"/>
        <v>11</v>
      </c>
      <c r="AS7" s="37">
        <f t="shared" si="9"/>
        <v>9</v>
      </c>
      <c r="AT7" s="37">
        <f t="shared" si="20"/>
        <v>24.5</v>
      </c>
      <c r="AV7" s="6">
        <v>4</v>
      </c>
      <c r="AW7" s="6">
        <f t="shared" si="10"/>
        <v>0</v>
      </c>
      <c r="AX7" s="6">
        <f t="shared" si="10"/>
        <v>1</v>
      </c>
      <c r="AY7" s="6">
        <f t="shared" si="10"/>
        <v>1</v>
      </c>
      <c r="AZ7" s="6">
        <f t="shared" si="10"/>
        <v>0</v>
      </c>
      <c r="BA7" s="6">
        <f t="shared" si="10"/>
        <v>0.5</v>
      </c>
      <c r="BB7" s="6">
        <f t="shared" si="10"/>
        <v>1</v>
      </c>
      <c r="BC7" s="6">
        <f t="shared" si="10"/>
        <v>1</v>
      </c>
      <c r="BD7" s="6">
        <f t="shared" si="10"/>
        <v>0</v>
      </c>
      <c r="BE7" s="6">
        <f t="shared" si="10"/>
        <v>0</v>
      </c>
      <c r="BG7" s="6">
        <v>4</v>
      </c>
      <c r="BH7" s="6">
        <f t="shared" si="21"/>
        <v>0</v>
      </c>
      <c r="BI7" s="6">
        <f t="shared" si="11"/>
        <v>1</v>
      </c>
      <c r="BJ7" s="6">
        <f t="shared" si="11"/>
        <v>2</v>
      </c>
      <c r="BK7" s="6">
        <f t="shared" si="11"/>
        <v>2</v>
      </c>
      <c r="BL7" s="6">
        <f t="shared" si="11"/>
        <v>2.5</v>
      </c>
      <c r="BM7" s="6">
        <f t="shared" si="11"/>
        <v>3.5</v>
      </c>
      <c r="BN7" s="6">
        <f t="shared" si="11"/>
        <v>4.5</v>
      </c>
      <c r="BO7" s="6">
        <f t="shared" si="11"/>
        <v>4.5</v>
      </c>
      <c r="BP7" s="6">
        <f t="shared" si="11"/>
        <v>4.5</v>
      </c>
    </row>
    <row r="8" spans="1:68" x14ac:dyDescent="0.25">
      <c r="A8" s="24">
        <f t="shared" si="12"/>
        <v>2</v>
      </c>
      <c r="B8" s="25">
        <v>5</v>
      </c>
      <c r="C8" s="25" t="s">
        <v>79</v>
      </c>
      <c r="D8" s="58">
        <v>8686315</v>
      </c>
      <c r="E8" s="58"/>
      <c r="F8" s="25">
        <v>172</v>
      </c>
      <c r="H8" s="27">
        <f t="shared" si="0"/>
        <v>0.5</v>
      </c>
      <c r="I8" s="27">
        <f t="shared" si="0"/>
        <v>1</v>
      </c>
      <c r="J8" s="27">
        <f t="shared" si="0"/>
        <v>0</v>
      </c>
      <c r="K8" s="27">
        <f t="shared" si="0"/>
        <v>1</v>
      </c>
      <c r="L8" s="26" t="str">
        <f t="shared" si="0"/>
        <v/>
      </c>
      <c r="M8" s="27">
        <f t="shared" si="0"/>
        <v>1</v>
      </c>
      <c r="N8" s="27">
        <f t="shared" si="0"/>
        <v>0.5</v>
      </c>
      <c r="O8" s="27">
        <f t="shared" si="0"/>
        <v>1</v>
      </c>
      <c r="P8" s="28"/>
      <c r="Q8" s="46"/>
      <c r="R8" s="49">
        <f t="shared" si="1"/>
        <v>5</v>
      </c>
      <c r="S8" s="8">
        <f t="shared" si="13"/>
        <v>15.5</v>
      </c>
      <c r="T8" s="8">
        <f t="shared" si="14"/>
        <v>2</v>
      </c>
      <c r="U8" s="14"/>
      <c r="V8" s="29"/>
      <c r="W8" s="33">
        <f t="shared" si="2"/>
        <v>16.5</v>
      </c>
      <c r="X8" s="34">
        <f t="shared" si="3"/>
        <v>216</v>
      </c>
      <c r="Y8" s="47"/>
      <c r="Z8" s="51">
        <f t="shared" si="4"/>
        <v>0</v>
      </c>
      <c r="AA8" s="52">
        <f t="shared" si="5"/>
        <v>15</v>
      </c>
      <c r="AB8" s="51">
        <f t="shared" si="6"/>
        <v>0</v>
      </c>
      <c r="AC8" s="52">
        <f t="shared" si="15"/>
        <v>30</v>
      </c>
      <c r="AD8" s="51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47">
        <f t="shared" si="16"/>
        <v>60</v>
      </c>
      <c r="AF8" s="47"/>
      <c r="AG8" s="47">
        <f t="shared" si="17"/>
        <v>6</v>
      </c>
      <c r="AH8" s="47">
        <f t="shared" si="7"/>
        <v>6</v>
      </c>
      <c r="AI8" s="47">
        <f t="shared" si="18"/>
        <v>54</v>
      </c>
      <c r="AJ8" s="47">
        <f t="shared" si="19"/>
        <v>2</v>
      </c>
      <c r="AK8" s="47"/>
      <c r="AL8" s="7"/>
      <c r="AM8" s="47"/>
      <c r="AN8" s="47"/>
      <c r="AO8" s="47"/>
      <c r="AP8" s="29"/>
      <c r="AQ8" s="35">
        <v>5</v>
      </c>
      <c r="AR8" s="36">
        <f t="shared" si="8"/>
        <v>13.5</v>
      </c>
      <c r="AS8" s="37">
        <f t="shared" si="9"/>
        <v>6.25</v>
      </c>
      <c r="AT8" s="37">
        <f t="shared" si="20"/>
        <v>28.5</v>
      </c>
      <c r="AV8" s="6">
        <v>5</v>
      </c>
      <c r="AW8" s="6">
        <f t="shared" si="10"/>
        <v>1</v>
      </c>
      <c r="AX8" s="6">
        <f t="shared" si="10"/>
        <v>0</v>
      </c>
      <c r="AY8" s="6">
        <f t="shared" si="10"/>
        <v>1</v>
      </c>
      <c r="AZ8" s="6">
        <f t="shared" si="10"/>
        <v>0.5</v>
      </c>
      <c r="BA8" s="6">
        <f t="shared" si="10"/>
        <v>0.5</v>
      </c>
      <c r="BB8" s="6">
        <f t="shared" si="10"/>
        <v>1</v>
      </c>
      <c r="BC8" s="6">
        <f t="shared" si="10"/>
        <v>1</v>
      </c>
      <c r="BD8" s="6">
        <f t="shared" si="10"/>
        <v>0</v>
      </c>
      <c r="BE8" s="6">
        <f t="shared" si="10"/>
        <v>0</v>
      </c>
      <c r="BG8" s="6">
        <v>5</v>
      </c>
      <c r="BH8" s="6">
        <f t="shared" si="21"/>
        <v>1</v>
      </c>
      <c r="BI8" s="6">
        <f t="shared" si="11"/>
        <v>1</v>
      </c>
      <c r="BJ8" s="6">
        <f t="shared" si="11"/>
        <v>2</v>
      </c>
      <c r="BK8" s="6">
        <f t="shared" si="11"/>
        <v>2.5</v>
      </c>
      <c r="BL8" s="6">
        <f t="shared" si="11"/>
        <v>3</v>
      </c>
      <c r="BM8" s="6">
        <f t="shared" si="11"/>
        <v>4</v>
      </c>
      <c r="BN8" s="6">
        <f t="shared" si="11"/>
        <v>5</v>
      </c>
      <c r="BO8" s="6">
        <f t="shared" si="11"/>
        <v>5</v>
      </c>
      <c r="BP8" s="6">
        <f t="shared" si="11"/>
        <v>5</v>
      </c>
    </row>
    <row r="9" spans="1:68" x14ac:dyDescent="0.25">
      <c r="A9" s="24">
        <f t="shared" si="12"/>
        <v>6</v>
      </c>
      <c r="B9" s="25">
        <v>6</v>
      </c>
      <c r="C9" s="25" t="s">
        <v>80</v>
      </c>
      <c r="D9" s="58">
        <v>8815180</v>
      </c>
      <c r="E9" s="58"/>
      <c r="F9" s="25">
        <v>138</v>
      </c>
      <c r="H9" s="27">
        <f t="shared" si="0"/>
        <v>0.5</v>
      </c>
      <c r="I9" s="27">
        <f t="shared" si="0"/>
        <v>0.5</v>
      </c>
      <c r="J9" s="27">
        <f t="shared" si="0"/>
        <v>1</v>
      </c>
      <c r="K9" s="27">
        <f t="shared" si="0"/>
        <v>0</v>
      </c>
      <c r="L9" s="27">
        <f t="shared" si="0"/>
        <v>0</v>
      </c>
      <c r="M9" s="26" t="str">
        <f t="shared" si="0"/>
        <v/>
      </c>
      <c r="N9" s="27">
        <f t="shared" si="0"/>
        <v>0</v>
      </c>
      <c r="O9" s="27">
        <f t="shared" si="0"/>
        <v>1</v>
      </c>
      <c r="P9" s="28"/>
      <c r="Q9" s="46"/>
      <c r="R9" s="49">
        <f t="shared" si="1"/>
        <v>3</v>
      </c>
      <c r="S9" s="8">
        <f t="shared" si="13"/>
        <v>6.75</v>
      </c>
      <c r="T9" s="8">
        <f t="shared" si="14"/>
        <v>6</v>
      </c>
      <c r="U9" s="14"/>
      <c r="V9" s="29"/>
      <c r="W9" s="33">
        <f t="shared" si="2"/>
        <v>28.5</v>
      </c>
      <c r="X9" s="34">
        <f t="shared" si="3"/>
        <v>172</v>
      </c>
      <c r="Y9" s="47"/>
      <c r="Z9" s="51">
        <f t="shared" si="4"/>
        <v>0.5</v>
      </c>
      <c r="AA9" s="52">
        <f t="shared" si="5"/>
        <v>9.5</v>
      </c>
      <c r="AB9" s="51">
        <f t="shared" si="6"/>
        <v>0.5</v>
      </c>
      <c r="AC9" s="52">
        <f t="shared" si="15"/>
        <v>19.5</v>
      </c>
      <c r="AD9" s="51">
        <f>IF(AC9=$AC$4,IF(H9="",0,H9))+IF(AC9=$AC$5,IF(I9="",0,I9))+IF(AC9=$AC$6,IF(J9="",0,J9))+IF(AC9=$AC$7,IF(K9="",0,K9))+IF(AC9=$AC$8,IF(L9="",0,L9))+IF(AC9=$AC$9,IF(M9="",0,M9))+IF(AC9=$AC$10,IF(N9="",0,N9))+IF(AC9=$AC$11,IF(O9="",0,O9))</f>
        <v>0.5</v>
      </c>
      <c r="AE9" s="47">
        <f t="shared" si="16"/>
        <v>39.5</v>
      </c>
      <c r="AF9" s="47"/>
      <c r="AG9" s="47">
        <f t="shared" si="17"/>
        <v>2</v>
      </c>
      <c r="AH9" s="47">
        <f t="shared" si="7"/>
        <v>2</v>
      </c>
      <c r="AI9" s="47">
        <f t="shared" si="18"/>
        <v>18</v>
      </c>
      <c r="AJ9" s="47">
        <f t="shared" si="19"/>
        <v>6</v>
      </c>
      <c r="AK9" s="47"/>
      <c r="AL9" s="47"/>
      <c r="AM9" s="47"/>
      <c r="AN9" s="47"/>
      <c r="AO9" s="47"/>
      <c r="AP9" s="29"/>
      <c r="AQ9" s="35">
        <v>6</v>
      </c>
      <c r="AR9" s="36">
        <f t="shared" si="8"/>
        <v>12.5</v>
      </c>
      <c r="AS9" s="37">
        <f t="shared" si="9"/>
        <v>1</v>
      </c>
      <c r="AT9" s="37">
        <f t="shared" si="20"/>
        <v>21.5</v>
      </c>
      <c r="AV9" s="6">
        <v>6</v>
      </c>
      <c r="AW9" s="6">
        <f t="shared" si="10"/>
        <v>1</v>
      </c>
      <c r="AX9" s="6">
        <f t="shared" si="10"/>
        <v>0.5</v>
      </c>
      <c r="AY9" s="6">
        <f t="shared" si="10"/>
        <v>0.5</v>
      </c>
      <c r="AZ9" s="6">
        <f t="shared" si="10"/>
        <v>0</v>
      </c>
      <c r="BA9" s="6">
        <f t="shared" si="10"/>
        <v>1</v>
      </c>
      <c r="BB9" s="6">
        <f t="shared" si="10"/>
        <v>0</v>
      </c>
      <c r="BC9" s="6">
        <f t="shared" si="10"/>
        <v>0</v>
      </c>
      <c r="BD9" s="6">
        <f t="shared" si="10"/>
        <v>0</v>
      </c>
      <c r="BE9" s="6">
        <f t="shared" si="10"/>
        <v>0</v>
      </c>
      <c r="BG9" s="6">
        <v>6</v>
      </c>
      <c r="BH9" s="6">
        <f t="shared" si="21"/>
        <v>1</v>
      </c>
      <c r="BI9" s="6">
        <f t="shared" si="11"/>
        <v>1.5</v>
      </c>
      <c r="BJ9" s="6">
        <f t="shared" si="11"/>
        <v>2</v>
      </c>
      <c r="BK9" s="6">
        <f t="shared" si="11"/>
        <v>2</v>
      </c>
      <c r="BL9" s="6">
        <f t="shared" si="11"/>
        <v>3</v>
      </c>
      <c r="BM9" s="6">
        <f t="shared" si="11"/>
        <v>3</v>
      </c>
      <c r="BN9" s="6">
        <f t="shared" si="11"/>
        <v>3</v>
      </c>
      <c r="BO9" s="6">
        <f t="shared" si="11"/>
        <v>3</v>
      </c>
      <c r="BP9" s="6">
        <f t="shared" si="11"/>
        <v>3</v>
      </c>
    </row>
    <row r="10" spans="1:68" x14ac:dyDescent="0.25">
      <c r="A10" s="24">
        <f t="shared" si="12"/>
        <v>4</v>
      </c>
      <c r="B10" s="25">
        <v>7</v>
      </c>
      <c r="C10" s="25" t="s">
        <v>81</v>
      </c>
      <c r="D10" s="58">
        <v>8823474</v>
      </c>
      <c r="E10" s="58"/>
      <c r="F10" s="25">
        <v>136</v>
      </c>
      <c r="H10" s="27">
        <f t="shared" si="0"/>
        <v>0</v>
      </c>
      <c r="I10" s="27">
        <f t="shared" si="0"/>
        <v>1</v>
      </c>
      <c r="J10" s="27">
        <f t="shared" si="0"/>
        <v>1</v>
      </c>
      <c r="K10" s="27">
        <f t="shared" si="0"/>
        <v>0</v>
      </c>
      <c r="L10" s="27">
        <f t="shared" si="0"/>
        <v>0.5</v>
      </c>
      <c r="M10" s="27">
        <f t="shared" si="0"/>
        <v>1</v>
      </c>
      <c r="N10" s="26" t="str">
        <f t="shared" si="0"/>
        <v/>
      </c>
      <c r="O10" s="27">
        <f t="shared" si="0"/>
        <v>1</v>
      </c>
      <c r="P10" s="28"/>
      <c r="Q10" s="46"/>
      <c r="R10" s="49">
        <f t="shared" si="1"/>
        <v>4.5</v>
      </c>
      <c r="S10" s="8">
        <f t="shared" si="13"/>
        <v>11</v>
      </c>
      <c r="T10" s="8">
        <f t="shared" si="14"/>
        <v>4</v>
      </c>
      <c r="U10" s="14"/>
      <c r="V10" s="29"/>
      <c r="W10" s="33">
        <f t="shared" si="2"/>
        <v>24.5</v>
      </c>
      <c r="X10" s="34">
        <f t="shared" si="3"/>
        <v>195</v>
      </c>
      <c r="Y10" s="47"/>
      <c r="Z10" s="51">
        <f t="shared" si="4"/>
        <v>0</v>
      </c>
      <c r="AA10" s="52">
        <f t="shared" si="5"/>
        <v>13.5</v>
      </c>
      <c r="AB10" s="51">
        <f t="shared" si="6"/>
        <v>0</v>
      </c>
      <c r="AC10" s="52">
        <f t="shared" si="15"/>
        <v>27</v>
      </c>
      <c r="AD10" s="51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47">
        <f t="shared" si="16"/>
        <v>54</v>
      </c>
      <c r="AF10" s="47"/>
      <c r="AG10" s="47">
        <f t="shared" si="17"/>
        <v>4</v>
      </c>
      <c r="AH10" s="47">
        <f t="shared" si="7"/>
        <v>4</v>
      </c>
      <c r="AI10" s="47">
        <f t="shared" si="18"/>
        <v>36</v>
      </c>
      <c r="AJ10" s="47">
        <f t="shared" si="19"/>
        <v>4</v>
      </c>
      <c r="AK10" s="47"/>
      <c r="AL10" s="47"/>
      <c r="AM10" s="47"/>
      <c r="AN10" s="47"/>
      <c r="AO10" s="47"/>
      <c r="AP10" s="29"/>
      <c r="AQ10" s="35">
        <v>7</v>
      </c>
      <c r="AR10" s="36">
        <f t="shared" si="8"/>
        <v>14</v>
      </c>
      <c r="AS10" s="37">
        <f t="shared" si="9"/>
        <v>5.75</v>
      </c>
      <c r="AT10" s="37">
        <f t="shared" si="20"/>
        <v>27.5</v>
      </c>
      <c r="AV10" s="6">
        <v>7</v>
      </c>
      <c r="AW10" s="6">
        <f t="shared" si="10"/>
        <v>1</v>
      </c>
      <c r="AX10" s="6">
        <f t="shared" si="10"/>
        <v>0</v>
      </c>
      <c r="AY10" s="6">
        <f t="shared" si="10"/>
        <v>1</v>
      </c>
      <c r="AZ10" s="6">
        <f t="shared" si="10"/>
        <v>1</v>
      </c>
      <c r="BA10" s="6">
        <f t="shared" si="10"/>
        <v>0.5</v>
      </c>
      <c r="BB10" s="6">
        <f t="shared" si="10"/>
        <v>0</v>
      </c>
      <c r="BC10" s="6">
        <f t="shared" si="10"/>
        <v>1</v>
      </c>
      <c r="BD10" s="6">
        <f t="shared" si="10"/>
        <v>0</v>
      </c>
      <c r="BE10" s="6">
        <f t="shared" si="10"/>
        <v>0</v>
      </c>
      <c r="BG10" s="6">
        <v>7</v>
      </c>
      <c r="BH10" s="6">
        <f t="shared" si="21"/>
        <v>1</v>
      </c>
      <c r="BI10" s="6">
        <f t="shared" si="11"/>
        <v>1</v>
      </c>
      <c r="BJ10" s="6">
        <f t="shared" si="11"/>
        <v>2</v>
      </c>
      <c r="BK10" s="6">
        <f t="shared" si="11"/>
        <v>3</v>
      </c>
      <c r="BL10" s="6">
        <f t="shared" si="11"/>
        <v>3.5</v>
      </c>
      <c r="BM10" s="6">
        <f t="shared" si="11"/>
        <v>3.5</v>
      </c>
      <c r="BN10" s="6">
        <f t="shared" si="11"/>
        <v>4.5</v>
      </c>
      <c r="BO10" s="6">
        <f t="shared" si="11"/>
        <v>4.5</v>
      </c>
      <c r="BP10" s="6">
        <f t="shared" si="11"/>
        <v>4.5</v>
      </c>
    </row>
    <row r="11" spans="1:68" x14ac:dyDescent="0.25">
      <c r="A11" s="24">
        <f t="shared" si="12"/>
        <v>8</v>
      </c>
      <c r="B11" s="25">
        <v>8</v>
      </c>
      <c r="C11" s="25" t="s">
        <v>73</v>
      </c>
      <c r="D11" s="58">
        <v>0</v>
      </c>
      <c r="E11" s="58"/>
      <c r="F11" s="25">
        <v>-1</v>
      </c>
      <c r="H11" s="27">
        <f t="shared" si="0"/>
        <v>0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0</v>
      </c>
      <c r="M11" s="27">
        <f t="shared" si="0"/>
        <v>0</v>
      </c>
      <c r="N11" s="27">
        <f t="shared" si="0"/>
        <v>0</v>
      </c>
      <c r="O11" s="26" t="str">
        <f t="shared" si="0"/>
        <v/>
      </c>
      <c r="P11" s="28"/>
      <c r="Q11" s="46"/>
      <c r="R11" s="49">
        <f t="shared" si="1"/>
        <v>0</v>
      </c>
      <c r="S11" s="8">
        <f t="shared" si="13"/>
        <v>0</v>
      </c>
      <c r="T11" s="8">
        <f t="shared" si="14"/>
        <v>8</v>
      </c>
      <c r="U11" s="14"/>
      <c r="V11" s="29"/>
      <c r="W11" s="33">
        <f t="shared" si="2"/>
        <v>0</v>
      </c>
      <c r="X11" s="34">
        <f t="shared" si="3"/>
        <v>-1</v>
      </c>
      <c r="Y11" s="47"/>
      <c r="Z11" s="51">
        <f t="shared" si="4"/>
        <v>0</v>
      </c>
      <c r="AA11" s="52">
        <f t="shared" si="5"/>
        <v>0</v>
      </c>
      <c r="AB11" s="51">
        <f t="shared" si="6"/>
        <v>0</v>
      </c>
      <c r="AC11" s="52">
        <f t="shared" si="15"/>
        <v>0</v>
      </c>
      <c r="AD11" s="51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47">
        <f t="shared" si="16"/>
        <v>0</v>
      </c>
      <c r="AF11" s="47"/>
      <c r="AG11" s="47">
        <f t="shared" si="17"/>
        <v>0</v>
      </c>
      <c r="AH11" s="47">
        <f t="shared" si="7"/>
        <v>0</v>
      </c>
      <c r="AI11" s="47">
        <f t="shared" si="18"/>
        <v>0</v>
      </c>
      <c r="AJ11" s="47">
        <f t="shared" si="19"/>
        <v>8</v>
      </c>
      <c r="AK11" s="47"/>
      <c r="AL11" s="47"/>
      <c r="AM11" s="47"/>
      <c r="AN11" s="47"/>
      <c r="AO11" s="47"/>
      <c r="AP11" s="29"/>
      <c r="AQ11" s="35">
        <v>8</v>
      </c>
      <c r="AR11" s="36">
        <f t="shared" si="8"/>
        <v>0</v>
      </c>
      <c r="AS11" s="37">
        <f t="shared" si="9"/>
        <v>0</v>
      </c>
      <c r="AT11" s="37">
        <f t="shared" si="20"/>
        <v>0</v>
      </c>
      <c r="AV11" s="6">
        <v>8</v>
      </c>
      <c r="AW11" s="6">
        <f t="shared" si="10"/>
        <v>0</v>
      </c>
      <c r="AX11" s="6">
        <f t="shared" si="10"/>
        <v>0</v>
      </c>
      <c r="AY11" s="6">
        <f t="shared" si="10"/>
        <v>0</v>
      </c>
      <c r="AZ11" s="6">
        <f t="shared" si="10"/>
        <v>0</v>
      </c>
      <c r="BA11" s="6">
        <f t="shared" si="10"/>
        <v>0</v>
      </c>
      <c r="BB11" s="6">
        <f t="shared" si="10"/>
        <v>0</v>
      </c>
      <c r="BC11" s="6">
        <f t="shared" si="10"/>
        <v>0</v>
      </c>
      <c r="BD11" s="6">
        <f t="shared" si="10"/>
        <v>0</v>
      </c>
      <c r="BE11" s="6">
        <f t="shared" si="10"/>
        <v>0</v>
      </c>
      <c r="BG11" s="6">
        <v>8</v>
      </c>
      <c r="BH11" s="6">
        <f t="shared" si="21"/>
        <v>0</v>
      </c>
      <c r="BI11" s="6">
        <f t="shared" si="11"/>
        <v>0</v>
      </c>
      <c r="BJ11" s="6">
        <f t="shared" si="11"/>
        <v>0</v>
      </c>
      <c r="BK11" s="6">
        <f t="shared" si="11"/>
        <v>0</v>
      </c>
      <c r="BL11" s="6">
        <f t="shared" si="11"/>
        <v>0</v>
      </c>
      <c r="BM11" s="6">
        <f t="shared" si="11"/>
        <v>0</v>
      </c>
      <c r="BN11" s="6">
        <f t="shared" si="11"/>
        <v>0</v>
      </c>
      <c r="BO11" s="6">
        <f t="shared" si="11"/>
        <v>0</v>
      </c>
      <c r="BP11" s="6">
        <f t="shared" si="11"/>
        <v>0</v>
      </c>
    </row>
    <row r="12" spans="1:68" hidden="1" x14ac:dyDescent="0.25">
      <c r="A12" s="6">
        <f t="shared" si="12"/>
        <v>1</v>
      </c>
      <c r="T12" s="10">
        <f t="shared" si="14"/>
        <v>1</v>
      </c>
      <c r="U12" s="10"/>
      <c r="AA12" s="53"/>
      <c r="AD12" s="51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47">
        <f t="shared" si="7"/>
        <v>0</v>
      </c>
      <c r="AI12" s="47">
        <f t="shared" si="18"/>
        <v>0</v>
      </c>
      <c r="AJ12" s="47">
        <f>RANK(AI13,$AI$4:$AI$11,1)</f>
        <v>1</v>
      </c>
    </row>
    <row r="13" spans="1:68" x14ac:dyDescent="0.25">
      <c r="Z13" s="48">
        <f>2*MAX(Z4:Z11)+1</f>
        <v>3</v>
      </c>
      <c r="AA13" s="53"/>
      <c r="AB13" s="48">
        <f>2*MAX(AB4:AB11)+1</f>
        <v>2</v>
      </c>
      <c r="AD13" s="48">
        <f>2*MAX(AD4:AD11)+1</f>
        <v>2</v>
      </c>
      <c r="AQ13" s="38" t="s">
        <v>36</v>
      </c>
      <c r="AR13" s="38" t="s">
        <v>0</v>
      </c>
      <c r="AS13" s="38" t="s">
        <v>1</v>
      </c>
      <c r="AT13" s="38" t="s">
        <v>2</v>
      </c>
      <c r="AV13" s="39" t="s">
        <v>34</v>
      </c>
      <c r="AW13" s="39" t="s">
        <v>35</v>
      </c>
      <c r="AX13" s="6" t="s">
        <v>16</v>
      </c>
      <c r="AY13" s="6" t="s">
        <v>17</v>
      </c>
      <c r="AZ13" s="6" t="s">
        <v>18</v>
      </c>
      <c r="BA13" s="6" t="s">
        <v>19</v>
      </c>
    </row>
    <row r="14" spans="1:68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V14" s="40"/>
      <c r="AW14" s="40"/>
      <c r="AX14" s="41"/>
      <c r="AY14" s="41"/>
      <c r="AZ14" s="41"/>
      <c r="BA14" s="41"/>
    </row>
    <row r="15" spans="1:68" x14ac:dyDescent="0.25">
      <c r="B15" s="42" t="s">
        <v>3</v>
      </c>
      <c r="AV15" s="39"/>
      <c r="AW15" s="39"/>
    </row>
    <row r="16" spans="1:68" x14ac:dyDescent="0.25">
      <c r="B16" s="6">
        <v>1</v>
      </c>
      <c r="C16" s="6" t="str">
        <f>VLOOKUP(AR16,$B$4:$F$11,2,FALSE)</f>
        <v>???</v>
      </c>
      <c r="D16" s="43" t="s">
        <v>5</v>
      </c>
      <c r="E16" s="63" t="str">
        <f>VLOOKUP(AS16,$B$4:$F$11,2,FALSE)</f>
        <v>Gurkan Kandemir</v>
      </c>
      <c r="F16" s="63"/>
      <c r="G16" s="63"/>
      <c r="H16" s="63"/>
      <c r="J16" s="63">
        <f>IF(T16="","",VLOOKUP(T16,Configuratie!$B$2:$E$11,3,FALSE))</f>
        <v>0</v>
      </c>
      <c r="K16" s="63"/>
      <c r="L16" s="6" t="s">
        <v>5</v>
      </c>
      <c r="M16" s="63">
        <f>IF(T16="","",VLOOKUP(T16,Configuratie!$B$2:$E$11,4,FALSE))</f>
        <v>1</v>
      </c>
      <c r="N16" s="63"/>
      <c r="R16" s="6" t="str">
        <f>IF(T16="","",VLOOKUP(T16,Configuratie!$B$2:$E$11,2,FALSE))</f>
        <v>0-1</v>
      </c>
      <c r="T16" s="5">
        <v>0</v>
      </c>
      <c r="AQ16" s="6">
        <v>1</v>
      </c>
      <c r="AR16" s="6">
        <v>8</v>
      </c>
      <c r="AS16" s="6">
        <v>1</v>
      </c>
      <c r="AT16" s="6">
        <f>IF(AND(ISNUMBER(J16),ISNUMBER(M16)),IF(J16+M16=1,1,0),"")</f>
        <v>1</v>
      </c>
      <c r="AV16" s="44">
        <f>AR16*100+AS16</f>
        <v>801</v>
      </c>
      <c r="AW16" s="44">
        <f>AS16*100+AR16</f>
        <v>108</v>
      </c>
      <c r="AX16" s="6">
        <v>0</v>
      </c>
      <c r="AY16" s="6">
        <v>0</v>
      </c>
      <c r="AZ16" s="6">
        <f>J16*AY16</f>
        <v>0</v>
      </c>
      <c r="BA16" s="6">
        <f>M16*AX16</f>
        <v>0</v>
      </c>
    </row>
    <row r="17" spans="2:53" x14ac:dyDescent="0.25">
      <c r="B17" s="6">
        <v>2</v>
      </c>
      <c r="C17" s="6" t="str">
        <f>VLOOKUP(AR17,$B$4:$F$11,2,FALSE)</f>
        <v>Jurre van der Zanden</v>
      </c>
      <c r="D17" s="43" t="s">
        <v>5</v>
      </c>
      <c r="E17" s="63" t="str">
        <f>VLOOKUP(AS17,$B$4:$F$11,2,FALSE)</f>
        <v>Bas Van der Made</v>
      </c>
      <c r="F17" s="63"/>
      <c r="G17" s="63"/>
      <c r="H17" s="63"/>
      <c r="J17" s="63">
        <f>IF(T17="","",VLOOKUP(T17,Configuratie!$B$2:$E$11,3,FALSE))</f>
        <v>1</v>
      </c>
      <c r="K17" s="63"/>
      <c r="L17" s="6" t="s">
        <v>5</v>
      </c>
      <c r="M17" s="63">
        <f>IF(T17="","",VLOOKUP(T17,Configuratie!$B$2:$E$11,4,FALSE))</f>
        <v>0</v>
      </c>
      <c r="N17" s="63"/>
      <c r="R17" s="6" t="str">
        <f>IF(T17="","",VLOOKUP(T17,Configuratie!$B$2:$E$11,2,FALSE))</f>
        <v>1-0</v>
      </c>
      <c r="T17" s="5">
        <v>1</v>
      </c>
      <c r="AQ17" s="6">
        <v>1</v>
      </c>
      <c r="AR17" s="6">
        <v>7</v>
      </c>
      <c r="AS17" s="6">
        <v>2</v>
      </c>
      <c r="AT17" s="6">
        <f>IF(AND(ISNUMBER(J17),ISNUMBER(M17)),IF(J17+M17=1,1,0),"")</f>
        <v>1</v>
      </c>
      <c r="AV17" s="44">
        <f>AR17*100+AS17</f>
        <v>702</v>
      </c>
      <c r="AW17" s="44">
        <f>AS17*100+AR17</f>
        <v>207</v>
      </c>
      <c r="AX17" s="6">
        <v>0</v>
      </c>
      <c r="AY17" s="6">
        <v>0</v>
      </c>
      <c r="AZ17" s="6">
        <f>J17*AY17</f>
        <v>0</v>
      </c>
      <c r="BA17" s="6">
        <f>M17*AX17</f>
        <v>0</v>
      </c>
    </row>
    <row r="18" spans="2:53" x14ac:dyDescent="0.25">
      <c r="B18" s="6">
        <v>3</v>
      </c>
      <c r="C18" s="6" t="str">
        <f>VLOOKUP(AR18,$B$4:$F$11,2,FALSE)</f>
        <v>Olivier Van Pinksteren</v>
      </c>
      <c r="D18" s="43" t="s">
        <v>5</v>
      </c>
      <c r="E18" s="63" t="str">
        <f>VLOOKUP(AS18,$B$4:$F$11,2,FALSE)</f>
        <v>Istar Snijders</v>
      </c>
      <c r="F18" s="63"/>
      <c r="G18" s="63"/>
      <c r="H18" s="63"/>
      <c r="J18" s="63">
        <f>IF(T18="","",VLOOKUP(T18,Configuratie!$B$2:$E$11,3,FALSE))</f>
        <v>1</v>
      </c>
      <c r="K18" s="63"/>
      <c r="L18" s="6" t="s">
        <v>5</v>
      </c>
      <c r="M18" s="63">
        <f>IF(T18="","",VLOOKUP(T18,Configuratie!$B$2:$E$11,4,FALSE))</f>
        <v>0</v>
      </c>
      <c r="N18" s="63"/>
      <c r="R18" s="6" t="str">
        <f>IF(T18="","",VLOOKUP(T18,Configuratie!$B$2:$E$11,2,FALSE))</f>
        <v>1-0</v>
      </c>
      <c r="T18" s="5">
        <v>1</v>
      </c>
      <c r="AQ18" s="6">
        <v>1</v>
      </c>
      <c r="AR18" s="6">
        <v>6</v>
      </c>
      <c r="AS18" s="6">
        <v>3</v>
      </c>
      <c r="AT18" s="6">
        <f>IF(AND(ISNUMBER(J18),ISNUMBER(M18)),IF(J18+M18=1,1,0),"")</f>
        <v>1</v>
      </c>
      <c r="AV18" s="44">
        <f>AR18*100+AS18</f>
        <v>603</v>
      </c>
      <c r="AW18" s="44">
        <f>AS18*100+AR18</f>
        <v>306</v>
      </c>
      <c r="AX18" s="6">
        <v>0</v>
      </c>
      <c r="AY18" s="6">
        <v>0</v>
      </c>
      <c r="AZ18" s="6">
        <f>J18*AY18</f>
        <v>0</v>
      </c>
      <c r="BA18" s="6">
        <f>M18*AX18</f>
        <v>0</v>
      </c>
    </row>
    <row r="19" spans="2:53" x14ac:dyDescent="0.25">
      <c r="B19" s="6">
        <v>4</v>
      </c>
      <c r="C19" s="6" t="str">
        <f>VLOOKUP(AR19,$B$4:$F$11,2,FALSE)</f>
        <v>Daan van Helden</v>
      </c>
      <c r="D19" s="43" t="s">
        <v>5</v>
      </c>
      <c r="E19" s="63" t="str">
        <f>VLOOKUP(AS19,$B$4:$F$11,2,FALSE)</f>
        <v>Moses de Jong</v>
      </c>
      <c r="F19" s="63"/>
      <c r="G19" s="63"/>
      <c r="H19" s="63"/>
      <c r="J19" s="63">
        <f>IF(T19="","",VLOOKUP(T19,Configuratie!$B$2:$E$11,3,FALSE))</f>
        <v>1</v>
      </c>
      <c r="K19" s="63"/>
      <c r="L19" s="6" t="s">
        <v>5</v>
      </c>
      <c r="M19" s="63">
        <f>IF(T19="","",VLOOKUP(T19,Configuratie!$B$2:$E$11,4,FALSE))</f>
        <v>0</v>
      </c>
      <c r="N19" s="63"/>
      <c r="R19" s="6" t="str">
        <f>IF(T19="","",VLOOKUP(T19,Configuratie!$B$2:$E$11,2,FALSE))</f>
        <v>1-0</v>
      </c>
      <c r="T19" s="5">
        <v>1</v>
      </c>
      <c r="AQ19" s="6">
        <v>1</v>
      </c>
      <c r="AR19" s="6">
        <v>5</v>
      </c>
      <c r="AS19" s="6">
        <v>4</v>
      </c>
      <c r="AT19" s="6">
        <f>IF(AND(ISNUMBER(J19),ISNUMBER(M19)),IF(J19+M19=1,1,0),"")</f>
        <v>1</v>
      </c>
      <c r="AV19" s="44">
        <f>AR19*100+AS19</f>
        <v>504</v>
      </c>
      <c r="AW19" s="44">
        <f>AS19*100+AR19</f>
        <v>405</v>
      </c>
      <c r="AX19" s="6">
        <v>0</v>
      </c>
      <c r="AY19" s="6">
        <v>0</v>
      </c>
      <c r="AZ19" s="6">
        <f>J19*AY19</f>
        <v>0</v>
      </c>
      <c r="BA19" s="6">
        <f>M19*AX19</f>
        <v>0</v>
      </c>
    </row>
    <row r="20" spans="2:53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V20" s="39"/>
      <c r="AW20" s="39"/>
    </row>
    <row r="21" spans="2:53" x14ac:dyDescent="0.25">
      <c r="B21" s="42" t="s">
        <v>9</v>
      </c>
      <c r="AV21" s="39"/>
      <c r="AW21" s="39"/>
    </row>
    <row r="22" spans="2:53" x14ac:dyDescent="0.25">
      <c r="B22" s="6">
        <v>1</v>
      </c>
      <c r="C22" s="6" t="str">
        <f>VLOOKUP(AR22,$B$4:$F$11,2,FALSE)</f>
        <v>???</v>
      </c>
      <c r="D22" s="43" t="s">
        <v>5</v>
      </c>
      <c r="E22" s="63" t="str">
        <f>VLOOKUP(AS22,$B$4:$F$11,2,FALSE)</f>
        <v>Moses de Jong</v>
      </c>
      <c r="F22" s="63"/>
      <c r="G22" s="63"/>
      <c r="H22" s="63"/>
      <c r="J22" s="63">
        <f>IF(T22="","",VLOOKUP(T22,Configuratie!$B$2:$E$11,3,FALSE))</f>
        <v>0</v>
      </c>
      <c r="K22" s="63"/>
      <c r="L22" s="6" t="s">
        <v>5</v>
      </c>
      <c r="M22" s="63">
        <f>IF(T22="","",VLOOKUP(T22,Configuratie!$B$2:$E$11,4,FALSE))</f>
        <v>1</v>
      </c>
      <c r="N22" s="63"/>
      <c r="R22" s="6" t="str">
        <f>IF(T22="","",VLOOKUP(T22,Configuratie!$B$2:$E$11,2,FALSE))</f>
        <v>0-1</v>
      </c>
      <c r="T22" s="5">
        <v>0</v>
      </c>
      <c r="AQ22" s="6">
        <v>2</v>
      </c>
      <c r="AR22" s="6">
        <v>8</v>
      </c>
      <c r="AS22" s="6">
        <v>4</v>
      </c>
      <c r="AT22" s="6">
        <f>IF(AND(ISNUMBER(J22),ISNUMBER(M22)),IF(J22+M22=1,1,0),"")</f>
        <v>1</v>
      </c>
      <c r="AV22" s="44">
        <f>AR22*100+AS22</f>
        <v>804</v>
      </c>
      <c r="AW22" s="44">
        <f>AS22*100+AR22</f>
        <v>408</v>
      </c>
      <c r="AX22" s="6">
        <f t="shared" ref="AX22:AY25" si="22">VLOOKUP(AR22,$BG$3:$BP$11,$AQ22,FALSE)</f>
        <v>0</v>
      </c>
      <c r="AY22" s="6">
        <f t="shared" si="22"/>
        <v>0</v>
      </c>
      <c r="AZ22" s="6">
        <f>J22*AY22</f>
        <v>0</v>
      </c>
      <c r="BA22" s="6">
        <f>M22*AX22</f>
        <v>0</v>
      </c>
    </row>
    <row r="23" spans="2:53" x14ac:dyDescent="0.25">
      <c r="B23" s="6">
        <v>2</v>
      </c>
      <c r="C23" s="6" t="str">
        <f>VLOOKUP(AR23,$B$4:$F$11,2,FALSE)</f>
        <v>Istar Snijders</v>
      </c>
      <c r="D23" s="43" t="s">
        <v>5</v>
      </c>
      <c r="E23" s="63" t="str">
        <f>VLOOKUP(AS23,$B$4:$F$11,2,FALSE)</f>
        <v>Daan van Helden</v>
      </c>
      <c r="F23" s="63"/>
      <c r="G23" s="63"/>
      <c r="H23" s="63"/>
      <c r="J23" s="63">
        <f>IF(T23="","",VLOOKUP(T23,Configuratie!$B$2:$E$11,3,FALSE))</f>
        <v>1</v>
      </c>
      <c r="K23" s="63"/>
      <c r="L23" s="6" t="s">
        <v>5</v>
      </c>
      <c r="M23" s="63">
        <f>IF(T23="","",VLOOKUP(T23,Configuratie!$B$2:$E$11,4,FALSE))</f>
        <v>0</v>
      </c>
      <c r="N23" s="63"/>
      <c r="R23" s="6" t="str">
        <f>IF(T23="","",VLOOKUP(T23,Configuratie!$B$2:$E$11,2,FALSE))</f>
        <v>1-0</v>
      </c>
      <c r="T23" s="5">
        <v>1</v>
      </c>
      <c r="AQ23" s="6">
        <v>2</v>
      </c>
      <c r="AR23" s="6">
        <v>3</v>
      </c>
      <c r="AS23" s="6">
        <v>5</v>
      </c>
      <c r="AT23" s="6">
        <f>IF(AND(ISNUMBER(J23),ISNUMBER(M23)),IF(J23+M23=1,1,0),"")</f>
        <v>1</v>
      </c>
      <c r="AV23" s="44">
        <f>AR23*100+AS23</f>
        <v>305</v>
      </c>
      <c r="AW23" s="44">
        <f>AS23*100+AR23</f>
        <v>503</v>
      </c>
      <c r="AX23" s="6">
        <f t="shared" si="22"/>
        <v>0</v>
      </c>
      <c r="AY23" s="6">
        <f t="shared" si="22"/>
        <v>1</v>
      </c>
      <c r="AZ23" s="6">
        <f>J23*AY23</f>
        <v>1</v>
      </c>
      <c r="BA23" s="6">
        <f>M23*AX23</f>
        <v>0</v>
      </c>
    </row>
    <row r="24" spans="2:53" x14ac:dyDescent="0.25">
      <c r="B24" s="6">
        <v>3</v>
      </c>
      <c r="C24" s="6" t="str">
        <f>VLOOKUP(AR24,$B$4:$F$11,2,FALSE)</f>
        <v>Bas Van der Made</v>
      </c>
      <c r="D24" s="43" t="s">
        <v>5</v>
      </c>
      <c r="E24" s="63" t="str">
        <f>VLOOKUP(AS24,$B$4:$F$11,2,FALSE)</f>
        <v>Olivier Van Pinksteren</v>
      </c>
      <c r="F24" s="63"/>
      <c r="G24" s="63"/>
      <c r="H24" s="63"/>
      <c r="J24" s="63">
        <f>IF(T24="","",VLOOKUP(T24,Configuratie!$B$2:$E$11,3,FALSE))</f>
        <v>0.5</v>
      </c>
      <c r="K24" s="63"/>
      <c r="L24" s="6" t="s">
        <v>5</v>
      </c>
      <c r="M24" s="63">
        <f>IF(T24="","",VLOOKUP(T24,Configuratie!$B$2:$E$11,4,FALSE))</f>
        <v>0.5</v>
      </c>
      <c r="N24" s="63"/>
      <c r="R24" s="6" t="str">
        <f>IF(T24="","",VLOOKUP(T24,Configuratie!$B$2:$E$11,2,FALSE))</f>
        <v>½-½</v>
      </c>
      <c r="T24" s="5">
        <v>2</v>
      </c>
      <c r="AQ24" s="6">
        <v>2</v>
      </c>
      <c r="AR24" s="6">
        <v>2</v>
      </c>
      <c r="AS24" s="6">
        <v>6</v>
      </c>
      <c r="AT24" s="6">
        <f>IF(AND(ISNUMBER(J24),ISNUMBER(M24)),IF(J24+M24=1,1,0),"")</f>
        <v>1</v>
      </c>
      <c r="AV24" s="44">
        <f>AR24*100+AS24</f>
        <v>206</v>
      </c>
      <c r="AW24" s="44">
        <f>AS24*100+AR24</f>
        <v>602</v>
      </c>
      <c r="AX24" s="6">
        <f t="shared" si="22"/>
        <v>0</v>
      </c>
      <c r="AY24" s="6">
        <f t="shared" si="22"/>
        <v>1</v>
      </c>
      <c r="AZ24" s="6">
        <f>J24*AY24</f>
        <v>0.5</v>
      </c>
      <c r="BA24" s="6">
        <f>M24*AX24</f>
        <v>0</v>
      </c>
    </row>
    <row r="25" spans="2:53" x14ac:dyDescent="0.25">
      <c r="B25" s="6">
        <v>4</v>
      </c>
      <c r="C25" s="6" t="str">
        <f>VLOOKUP(AR25,$B$4:$F$11,2,FALSE)</f>
        <v>Gurkan Kandemir</v>
      </c>
      <c r="D25" s="43" t="s">
        <v>5</v>
      </c>
      <c r="E25" s="63" t="str">
        <f>VLOOKUP(AS25,$B$4:$F$11,2,FALSE)</f>
        <v>Jurre van der Zanden</v>
      </c>
      <c r="F25" s="63"/>
      <c r="G25" s="63"/>
      <c r="H25" s="63"/>
      <c r="J25" s="63">
        <f>IF(T25="","",VLOOKUP(T25,Configuratie!$B$2:$E$11,3,FALSE))</f>
        <v>1</v>
      </c>
      <c r="K25" s="63"/>
      <c r="L25" s="6" t="s">
        <v>5</v>
      </c>
      <c r="M25" s="63">
        <f>IF(T25="","",VLOOKUP(T25,Configuratie!$B$2:$E$11,4,FALSE))</f>
        <v>0</v>
      </c>
      <c r="N25" s="63"/>
      <c r="R25" s="6" t="str">
        <f>IF(T25="","",VLOOKUP(T25,Configuratie!$B$2:$E$11,2,FALSE))</f>
        <v>1-0</v>
      </c>
      <c r="T25" s="5">
        <v>1</v>
      </c>
      <c r="AQ25" s="6">
        <v>2</v>
      </c>
      <c r="AR25" s="6">
        <v>1</v>
      </c>
      <c r="AS25" s="6">
        <v>7</v>
      </c>
      <c r="AT25" s="6">
        <f>IF(AND(ISNUMBER(J25),ISNUMBER(M25)),IF(J25+M25=1,1,0),"")</f>
        <v>1</v>
      </c>
      <c r="AV25" s="44">
        <f>AR25*100+AS25</f>
        <v>107</v>
      </c>
      <c r="AW25" s="44">
        <f>AS25*100+AR25</f>
        <v>701</v>
      </c>
      <c r="AX25" s="6">
        <f t="shared" si="22"/>
        <v>1</v>
      </c>
      <c r="AY25" s="6">
        <f t="shared" si="22"/>
        <v>1</v>
      </c>
      <c r="AZ25" s="6">
        <f>J25*AY25</f>
        <v>1</v>
      </c>
      <c r="BA25" s="6">
        <f>M25*AX25</f>
        <v>0</v>
      </c>
    </row>
    <row r="26" spans="2:53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V26" s="39"/>
      <c r="AW26" s="39"/>
    </row>
    <row r="27" spans="2:53" x14ac:dyDescent="0.25">
      <c r="B27" s="42" t="s">
        <v>10</v>
      </c>
      <c r="AV27" s="39"/>
      <c r="AW27" s="39"/>
    </row>
    <row r="28" spans="2:53" x14ac:dyDescent="0.25">
      <c r="B28" s="6">
        <v>1</v>
      </c>
      <c r="C28" s="6" t="str">
        <f>VLOOKUP(AR28,$B$4:$F$11,2,FALSE)</f>
        <v>Jurre van der Zanden</v>
      </c>
      <c r="D28" s="43" t="s">
        <v>5</v>
      </c>
      <c r="E28" s="63" t="str">
        <f>VLOOKUP(AS28,$B$4:$F$11,2,FALSE)</f>
        <v>???</v>
      </c>
      <c r="F28" s="63"/>
      <c r="G28" s="63"/>
      <c r="H28" s="63"/>
      <c r="J28" s="63">
        <f>IF(T28="","",VLOOKUP(T28,Configuratie!$B$2:$E$11,3,FALSE))</f>
        <v>1</v>
      </c>
      <c r="K28" s="63"/>
      <c r="L28" s="6" t="s">
        <v>5</v>
      </c>
      <c r="M28" s="63">
        <f>IF(T28="","",VLOOKUP(T28,Configuratie!$B$2:$E$11,4,FALSE))</f>
        <v>0</v>
      </c>
      <c r="N28" s="63"/>
      <c r="R28" s="6" t="str">
        <f>IF(T28="","",VLOOKUP(T28,Configuratie!$B$2:$E$11,2,FALSE))</f>
        <v>1-0</v>
      </c>
      <c r="T28" s="5">
        <v>1</v>
      </c>
      <c r="AQ28" s="6">
        <v>3</v>
      </c>
      <c r="AR28" s="6">
        <v>7</v>
      </c>
      <c r="AS28" s="6">
        <v>8</v>
      </c>
      <c r="AT28" s="6">
        <f>IF(AND(ISNUMBER(J28),ISNUMBER(M28)),IF(J28+M28=1,1,0),"")</f>
        <v>1</v>
      </c>
      <c r="AV28" s="44">
        <f>AR28*100+AS28</f>
        <v>708</v>
      </c>
      <c r="AW28" s="44">
        <f>AS28*100+AR28</f>
        <v>807</v>
      </c>
      <c r="AX28" s="6">
        <f t="shared" ref="AX28:AY31" si="23">VLOOKUP(AR28,$BG$3:$BP$11,$AQ28,FALSE)</f>
        <v>1</v>
      </c>
      <c r="AY28" s="6">
        <f t="shared" si="23"/>
        <v>0</v>
      </c>
      <c r="AZ28" s="6">
        <f>J28*AY28</f>
        <v>0</v>
      </c>
      <c r="BA28" s="6">
        <f>M28*AX28</f>
        <v>0</v>
      </c>
    </row>
    <row r="29" spans="2:53" x14ac:dyDescent="0.25">
      <c r="B29" s="6">
        <v>2</v>
      </c>
      <c r="C29" s="6" t="str">
        <f>VLOOKUP(AR29,$B$4:$F$11,2,FALSE)</f>
        <v>Olivier Van Pinksteren</v>
      </c>
      <c r="D29" s="43" t="s">
        <v>5</v>
      </c>
      <c r="E29" s="63" t="str">
        <f>VLOOKUP(AS29,$B$4:$F$11,2,FALSE)</f>
        <v>Gurkan Kandemir</v>
      </c>
      <c r="F29" s="63"/>
      <c r="G29" s="63"/>
      <c r="H29" s="63"/>
      <c r="J29" s="63">
        <f>IF(T29="","",VLOOKUP(T29,Configuratie!$B$2:$E$11,3,FALSE))</f>
        <v>0.5</v>
      </c>
      <c r="K29" s="63"/>
      <c r="L29" s="6" t="s">
        <v>5</v>
      </c>
      <c r="M29" s="63">
        <f>IF(T29="","",VLOOKUP(T29,Configuratie!$B$2:$E$11,4,FALSE))</f>
        <v>0.5</v>
      </c>
      <c r="N29" s="63"/>
      <c r="R29" s="6" t="str">
        <f>IF(T29="","",VLOOKUP(T29,Configuratie!$B$2:$E$11,2,FALSE))</f>
        <v>½-½</v>
      </c>
      <c r="T29" s="5">
        <v>2</v>
      </c>
      <c r="AQ29" s="6">
        <v>3</v>
      </c>
      <c r="AR29" s="6">
        <v>6</v>
      </c>
      <c r="AS29" s="6">
        <v>1</v>
      </c>
      <c r="AT29" s="6">
        <f>IF(AND(ISNUMBER(J29),ISNUMBER(M29)),IF(J29+M29=1,1,0),"")</f>
        <v>1</v>
      </c>
      <c r="AV29" s="44">
        <f>AR29*100+AS29</f>
        <v>601</v>
      </c>
      <c r="AW29" s="44">
        <f>AS29*100+AR29</f>
        <v>106</v>
      </c>
      <c r="AX29" s="6">
        <f t="shared" si="23"/>
        <v>1.5</v>
      </c>
      <c r="AY29" s="6">
        <f t="shared" si="23"/>
        <v>2</v>
      </c>
      <c r="AZ29" s="6">
        <f>J29*AY29</f>
        <v>1</v>
      </c>
      <c r="BA29" s="6">
        <f>M29*AX29</f>
        <v>0.75</v>
      </c>
    </row>
    <row r="30" spans="2:53" x14ac:dyDescent="0.25">
      <c r="B30" s="6">
        <v>3</v>
      </c>
      <c r="C30" s="6" t="str">
        <f>VLOOKUP(AR30,$B$4:$F$11,2,FALSE)</f>
        <v>Daan van Helden</v>
      </c>
      <c r="D30" s="43" t="s">
        <v>5</v>
      </c>
      <c r="E30" s="63" t="str">
        <f>VLOOKUP(AS30,$B$4:$F$11,2,FALSE)</f>
        <v>Bas Van der Made</v>
      </c>
      <c r="F30" s="63"/>
      <c r="G30" s="63"/>
      <c r="H30" s="63"/>
      <c r="J30" s="63">
        <f>IF(T30="","",VLOOKUP(T30,Configuratie!$B$2:$E$11,3,FALSE))</f>
        <v>1</v>
      </c>
      <c r="K30" s="63"/>
      <c r="L30" s="6" t="s">
        <v>5</v>
      </c>
      <c r="M30" s="63">
        <f>IF(T30="","",VLOOKUP(T30,Configuratie!$B$2:$E$11,4,FALSE))</f>
        <v>0</v>
      </c>
      <c r="N30" s="63"/>
      <c r="R30" s="6" t="str">
        <f>IF(T30="","",VLOOKUP(T30,Configuratie!$B$2:$E$11,2,FALSE))</f>
        <v>1-0</v>
      </c>
      <c r="T30" s="5">
        <v>1</v>
      </c>
      <c r="AQ30" s="6">
        <v>3</v>
      </c>
      <c r="AR30" s="6">
        <v>5</v>
      </c>
      <c r="AS30" s="6">
        <v>2</v>
      </c>
      <c r="AT30" s="6">
        <f>IF(AND(ISNUMBER(J30),ISNUMBER(M30)),IF(J30+M30=1,1,0),"")</f>
        <v>1</v>
      </c>
      <c r="AV30" s="44">
        <f>AR30*100+AS30</f>
        <v>502</v>
      </c>
      <c r="AW30" s="44">
        <f>AS30*100+AR30</f>
        <v>205</v>
      </c>
      <c r="AX30" s="6">
        <f t="shared" si="23"/>
        <v>1</v>
      </c>
      <c r="AY30" s="6">
        <f t="shared" si="23"/>
        <v>0.5</v>
      </c>
      <c r="AZ30" s="6">
        <f>J30*AY30</f>
        <v>0.5</v>
      </c>
      <c r="BA30" s="6">
        <f>M30*AX30</f>
        <v>0</v>
      </c>
    </row>
    <row r="31" spans="2:53" x14ac:dyDescent="0.25">
      <c r="B31" s="6">
        <v>4</v>
      </c>
      <c r="C31" s="6" t="str">
        <f>VLOOKUP(AR31,$B$4:$F$11,2,FALSE)</f>
        <v>Moses de Jong</v>
      </c>
      <c r="D31" s="43" t="s">
        <v>5</v>
      </c>
      <c r="E31" s="63" t="str">
        <f>VLOOKUP(AS31,$B$4:$F$11,2,FALSE)</f>
        <v>Istar Snijders</v>
      </c>
      <c r="F31" s="63"/>
      <c r="G31" s="63"/>
      <c r="H31" s="63"/>
      <c r="J31" s="63">
        <f>IF(T31="","",VLOOKUP(T31,Configuratie!$B$2:$E$11,3,FALSE))</f>
        <v>1</v>
      </c>
      <c r="K31" s="63"/>
      <c r="L31" s="6" t="s">
        <v>5</v>
      </c>
      <c r="M31" s="63">
        <f>IF(T31="","",VLOOKUP(T31,Configuratie!$B$2:$E$11,4,FALSE))</f>
        <v>0</v>
      </c>
      <c r="N31" s="63"/>
      <c r="R31" s="6" t="str">
        <f>IF(T31="","",VLOOKUP(T31,Configuratie!$B$2:$E$11,2,FALSE))</f>
        <v>1-0</v>
      </c>
      <c r="T31" s="5">
        <v>1</v>
      </c>
      <c r="AQ31" s="6">
        <v>3</v>
      </c>
      <c r="AR31" s="6">
        <v>4</v>
      </c>
      <c r="AS31" s="6">
        <v>3</v>
      </c>
      <c r="AT31" s="6">
        <f>IF(AND(ISNUMBER(J31),ISNUMBER(M31)),IF(J31+M31=1,1,0),"")</f>
        <v>1</v>
      </c>
      <c r="AV31" s="44">
        <f>AR31*100+AS31</f>
        <v>403</v>
      </c>
      <c r="AW31" s="44">
        <f>AS31*100+AR31</f>
        <v>304</v>
      </c>
      <c r="AX31" s="6">
        <f t="shared" si="23"/>
        <v>1</v>
      </c>
      <c r="AY31" s="6">
        <f t="shared" si="23"/>
        <v>1</v>
      </c>
      <c r="AZ31" s="6">
        <f>J31*AY31</f>
        <v>1</v>
      </c>
      <c r="BA31" s="6">
        <f>M31*AX31</f>
        <v>0</v>
      </c>
    </row>
    <row r="32" spans="2:53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V32" s="39"/>
      <c r="AW32" s="39"/>
    </row>
    <row r="33" spans="2:53" x14ac:dyDescent="0.25">
      <c r="B33" s="42" t="s">
        <v>11</v>
      </c>
      <c r="AV33" s="39"/>
      <c r="AW33" s="39"/>
    </row>
    <row r="34" spans="2:53" x14ac:dyDescent="0.25">
      <c r="B34" s="6">
        <v>1</v>
      </c>
      <c r="C34" s="6" t="str">
        <f>VLOOKUP(AR34,$B$4:$F$11,2,FALSE)</f>
        <v>???</v>
      </c>
      <c r="D34" s="43" t="s">
        <v>5</v>
      </c>
      <c r="E34" s="63" t="str">
        <f>VLOOKUP(AS34,$B$4:$F$11,2,FALSE)</f>
        <v>Istar Snijders</v>
      </c>
      <c r="F34" s="63"/>
      <c r="G34" s="63"/>
      <c r="H34" s="63"/>
      <c r="J34" s="63">
        <f>IF(T34="","",VLOOKUP(T34,Configuratie!$B$2:$E$11,3,FALSE))</f>
        <v>0</v>
      </c>
      <c r="K34" s="63"/>
      <c r="L34" s="6" t="s">
        <v>5</v>
      </c>
      <c r="M34" s="63">
        <f>IF(T34="","",VLOOKUP(T34,Configuratie!$B$2:$E$11,4,FALSE))</f>
        <v>1</v>
      </c>
      <c r="N34" s="63"/>
      <c r="R34" s="6" t="str">
        <f>IF(T34="","",VLOOKUP(T34,Configuratie!$B$2:$E$11,2,FALSE))</f>
        <v>0-1</v>
      </c>
      <c r="T34" s="5">
        <v>0</v>
      </c>
      <c r="AQ34" s="6">
        <v>4</v>
      </c>
      <c r="AR34" s="6">
        <v>8</v>
      </c>
      <c r="AS34" s="6">
        <v>3</v>
      </c>
      <c r="AT34" s="6">
        <f>IF(AND(ISNUMBER(J34),ISNUMBER(M34)),IF(J34+M34=1,1,0),"")</f>
        <v>1</v>
      </c>
      <c r="AV34" s="44">
        <f>AR34*100+AS34</f>
        <v>803</v>
      </c>
      <c r="AW34" s="44">
        <f>AS34*100+AR34</f>
        <v>308</v>
      </c>
      <c r="AX34" s="6">
        <f t="shared" ref="AX34:AY37" si="24">VLOOKUP(AR34,$BG$3:$BP$11,$AQ34,FALSE)</f>
        <v>0</v>
      </c>
      <c r="AY34" s="6">
        <f t="shared" si="24"/>
        <v>1</v>
      </c>
      <c r="AZ34" s="6">
        <f>J34*AY34</f>
        <v>0</v>
      </c>
      <c r="BA34" s="6">
        <f>M34*AX34</f>
        <v>0</v>
      </c>
    </row>
    <row r="35" spans="2:53" x14ac:dyDescent="0.25">
      <c r="B35" s="6">
        <v>2</v>
      </c>
      <c r="C35" s="6" t="str">
        <f>VLOOKUP(AR35,$B$4:$F$11,2,FALSE)</f>
        <v>Bas Van der Made</v>
      </c>
      <c r="D35" s="43" t="s">
        <v>5</v>
      </c>
      <c r="E35" s="63" t="str">
        <f>VLOOKUP(AS35,$B$4:$F$11,2,FALSE)</f>
        <v>Moses de Jong</v>
      </c>
      <c r="F35" s="63"/>
      <c r="G35" s="63"/>
      <c r="H35" s="63"/>
      <c r="J35" s="63">
        <f>IF(T35="","",VLOOKUP(T35,Configuratie!$B$2:$E$11,3,FALSE))</f>
        <v>1</v>
      </c>
      <c r="K35" s="63"/>
      <c r="L35" s="6" t="s">
        <v>5</v>
      </c>
      <c r="M35" s="63">
        <f>IF(T35="","",VLOOKUP(T35,Configuratie!$B$2:$E$11,4,FALSE))</f>
        <v>0</v>
      </c>
      <c r="N35" s="63"/>
      <c r="R35" s="6" t="str">
        <f>IF(T35="","",VLOOKUP(T35,Configuratie!$B$2:$E$11,2,FALSE))</f>
        <v>1-0</v>
      </c>
      <c r="T35" s="5">
        <v>1</v>
      </c>
      <c r="AQ35" s="6">
        <v>4</v>
      </c>
      <c r="AR35" s="6">
        <v>2</v>
      </c>
      <c r="AS35" s="6">
        <v>4</v>
      </c>
      <c r="AT35" s="6">
        <f>IF(AND(ISNUMBER(J35),ISNUMBER(M35)),IF(J35+M35=1,1,0),"")</f>
        <v>1</v>
      </c>
      <c r="AV35" s="44">
        <f>AR35*100+AS35</f>
        <v>204</v>
      </c>
      <c r="AW35" s="44">
        <f>AS35*100+AR35</f>
        <v>402</v>
      </c>
      <c r="AX35" s="6">
        <f t="shared" si="24"/>
        <v>0.5</v>
      </c>
      <c r="AY35" s="6">
        <f t="shared" si="24"/>
        <v>2</v>
      </c>
      <c r="AZ35" s="6">
        <f>J35*AY35</f>
        <v>2</v>
      </c>
      <c r="BA35" s="6">
        <f>M35*AX35</f>
        <v>0</v>
      </c>
    </row>
    <row r="36" spans="2:53" x14ac:dyDescent="0.25">
      <c r="B36" s="6">
        <v>3</v>
      </c>
      <c r="C36" s="6" t="str">
        <f>VLOOKUP(AR36,$B$4:$F$11,2,FALSE)</f>
        <v>Gurkan Kandemir</v>
      </c>
      <c r="D36" s="43" t="s">
        <v>5</v>
      </c>
      <c r="E36" s="63" t="str">
        <f>VLOOKUP(AS36,$B$4:$F$11,2,FALSE)</f>
        <v>Daan van Helden</v>
      </c>
      <c r="F36" s="63"/>
      <c r="G36" s="63"/>
      <c r="H36" s="63"/>
      <c r="J36" s="63">
        <f>IF(T36="","",VLOOKUP(T36,Configuratie!$B$2:$E$11,3,FALSE))</f>
        <v>0.5</v>
      </c>
      <c r="K36" s="63"/>
      <c r="L36" s="6" t="s">
        <v>5</v>
      </c>
      <c r="M36" s="63">
        <f>IF(T36="","",VLOOKUP(T36,Configuratie!$B$2:$E$11,4,FALSE))</f>
        <v>0.5</v>
      </c>
      <c r="N36" s="63"/>
      <c r="R36" s="6" t="str">
        <f>IF(T36="","",VLOOKUP(T36,Configuratie!$B$2:$E$11,2,FALSE))</f>
        <v>½-½</v>
      </c>
      <c r="T36" s="5">
        <v>2</v>
      </c>
      <c r="AQ36" s="6">
        <v>4</v>
      </c>
      <c r="AR36" s="6">
        <v>1</v>
      </c>
      <c r="AS36" s="6">
        <v>5</v>
      </c>
      <c r="AT36" s="6">
        <f>IF(AND(ISNUMBER(J36),ISNUMBER(M36)),IF(J36+M36=1,1,0),"")</f>
        <v>1</v>
      </c>
      <c r="AV36" s="44">
        <f>AR36*100+AS36</f>
        <v>105</v>
      </c>
      <c r="AW36" s="44">
        <f>AS36*100+AR36</f>
        <v>501</v>
      </c>
      <c r="AX36" s="6">
        <f t="shared" si="24"/>
        <v>2.5</v>
      </c>
      <c r="AY36" s="6">
        <f t="shared" si="24"/>
        <v>2</v>
      </c>
      <c r="AZ36" s="6">
        <f>J36*AY36</f>
        <v>1</v>
      </c>
      <c r="BA36" s="6">
        <f>M36*AX36</f>
        <v>1.25</v>
      </c>
    </row>
    <row r="37" spans="2:53" x14ac:dyDescent="0.25">
      <c r="B37" s="6">
        <v>4</v>
      </c>
      <c r="C37" s="6" t="str">
        <f>VLOOKUP(AR37,$B$4:$F$11,2,FALSE)</f>
        <v>Jurre van der Zanden</v>
      </c>
      <c r="D37" s="43" t="s">
        <v>5</v>
      </c>
      <c r="E37" s="63" t="str">
        <f>VLOOKUP(AS37,$B$4:$F$11,2,FALSE)</f>
        <v>Olivier Van Pinksteren</v>
      </c>
      <c r="F37" s="63"/>
      <c r="G37" s="63"/>
      <c r="H37" s="63"/>
      <c r="J37" s="63">
        <f>IF(T37="","",VLOOKUP(T37,Configuratie!$B$2:$E$11,3,FALSE))</f>
        <v>1</v>
      </c>
      <c r="K37" s="63"/>
      <c r="L37" s="6" t="s">
        <v>5</v>
      </c>
      <c r="M37" s="63">
        <f>IF(T37="","",VLOOKUP(T37,Configuratie!$B$2:$E$11,4,FALSE))</f>
        <v>0</v>
      </c>
      <c r="N37" s="63"/>
      <c r="R37" s="6" t="str">
        <f>IF(T37="","",VLOOKUP(T37,Configuratie!$B$2:$E$11,2,FALSE))</f>
        <v>1-0</v>
      </c>
      <c r="T37" s="5">
        <v>1</v>
      </c>
      <c r="AQ37" s="6">
        <v>4</v>
      </c>
      <c r="AR37" s="6">
        <v>7</v>
      </c>
      <c r="AS37" s="6">
        <v>6</v>
      </c>
      <c r="AT37" s="6">
        <f>IF(AND(ISNUMBER(J37),ISNUMBER(M37)),IF(J37+M37=1,1,0),"")</f>
        <v>1</v>
      </c>
      <c r="AV37" s="44">
        <f>AR37*100+AS37</f>
        <v>706</v>
      </c>
      <c r="AW37" s="44">
        <f>AS37*100+AR37</f>
        <v>607</v>
      </c>
      <c r="AX37" s="6">
        <f t="shared" si="24"/>
        <v>2</v>
      </c>
      <c r="AY37" s="6">
        <f t="shared" si="24"/>
        <v>2</v>
      </c>
      <c r="AZ37" s="6">
        <f>J37*AY37</f>
        <v>2</v>
      </c>
      <c r="BA37" s="6">
        <f>M37*AX37</f>
        <v>0</v>
      </c>
    </row>
    <row r="38" spans="2:53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V38" s="39"/>
      <c r="AW38" s="39"/>
    </row>
    <row r="39" spans="2:53" x14ac:dyDescent="0.25">
      <c r="B39" s="42" t="s">
        <v>12</v>
      </c>
      <c r="AV39" s="39"/>
      <c r="AW39" s="39"/>
    </row>
    <row r="40" spans="2:53" x14ac:dyDescent="0.25">
      <c r="B40" s="6">
        <v>1</v>
      </c>
      <c r="C40" s="6" t="str">
        <f>VLOOKUP(AR40,$B$4:$F$11,2,FALSE)</f>
        <v>Olivier Van Pinksteren</v>
      </c>
      <c r="D40" s="43" t="s">
        <v>5</v>
      </c>
      <c r="E40" s="63" t="str">
        <f>VLOOKUP(AS40,$B$4:$F$11,2,FALSE)</f>
        <v>???</v>
      </c>
      <c r="F40" s="63"/>
      <c r="G40" s="63"/>
      <c r="H40" s="63"/>
      <c r="J40" s="63">
        <f>IF(T40="","",VLOOKUP(T40,Configuratie!$B$2:$E$11,3,FALSE))</f>
        <v>1</v>
      </c>
      <c r="K40" s="63"/>
      <c r="L40" s="6" t="s">
        <v>5</v>
      </c>
      <c r="M40" s="63">
        <f>IF(T40="","",VLOOKUP(T40,Configuratie!$B$2:$E$11,4,FALSE))</f>
        <v>0</v>
      </c>
      <c r="N40" s="63"/>
      <c r="R40" s="6" t="str">
        <f>IF(T40="","",VLOOKUP(T40,Configuratie!$B$2:$E$11,2,FALSE))</f>
        <v>1-0</v>
      </c>
      <c r="T40" s="5">
        <v>1</v>
      </c>
      <c r="AQ40" s="6">
        <v>5</v>
      </c>
      <c r="AR40" s="6">
        <v>6</v>
      </c>
      <c r="AS40" s="6">
        <v>8</v>
      </c>
      <c r="AT40" s="6">
        <f>IF(AND(ISNUMBER(J40),ISNUMBER(M40)),IF(J40+M40=1,1,0),"")</f>
        <v>1</v>
      </c>
      <c r="AV40" s="44">
        <f>AR40*100+AS40</f>
        <v>608</v>
      </c>
      <c r="AW40" s="44">
        <f>AS40*100+AR40</f>
        <v>806</v>
      </c>
      <c r="AX40" s="6">
        <f t="shared" ref="AX40:AY43" si="25">VLOOKUP(AR40,$BG$3:$BP$11,$AQ40,FALSE)</f>
        <v>2</v>
      </c>
      <c r="AY40" s="6">
        <f t="shared" si="25"/>
        <v>0</v>
      </c>
      <c r="AZ40" s="6">
        <f>J40*AY40</f>
        <v>0</v>
      </c>
      <c r="BA40" s="6">
        <f>M40*AX40</f>
        <v>0</v>
      </c>
    </row>
    <row r="41" spans="2:53" x14ac:dyDescent="0.25">
      <c r="B41" s="6">
        <v>2</v>
      </c>
      <c r="C41" s="6" t="str">
        <f>VLOOKUP(AR41,$B$4:$F$11,2,FALSE)</f>
        <v>Daan van Helden</v>
      </c>
      <c r="D41" s="43" t="s">
        <v>5</v>
      </c>
      <c r="E41" s="63" t="str">
        <f>VLOOKUP(AS41,$B$4:$F$11,2,FALSE)</f>
        <v>Jurre van der Zanden</v>
      </c>
      <c r="F41" s="63"/>
      <c r="G41" s="63"/>
      <c r="H41" s="63"/>
      <c r="J41" s="63">
        <f>IF(T41="","",VLOOKUP(T41,Configuratie!$B$2:$E$11,3,FALSE))</f>
        <v>0.5</v>
      </c>
      <c r="K41" s="63"/>
      <c r="L41" s="6" t="s">
        <v>5</v>
      </c>
      <c r="M41" s="63">
        <f>IF(T41="","",VLOOKUP(T41,Configuratie!$B$2:$E$11,4,FALSE))</f>
        <v>0.5</v>
      </c>
      <c r="N41" s="63"/>
      <c r="R41" s="6" t="str">
        <f>IF(T41="","",VLOOKUP(T41,Configuratie!$B$2:$E$11,2,FALSE))</f>
        <v>½-½</v>
      </c>
      <c r="T41" s="5">
        <v>2</v>
      </c>
      <c r="AQ41" s="6">
        <v>5</v>
      </c>
      <c r="AR41" s="6">
        <v>5</v>
      </c>
      <c r="AS41" s="6">
        <v>7</v>
      </c>
      <c r="AT41" s="6">
        <f>IF(AND(ISNUMBER(J41),ISNUMBER(M41)),IF(J41+M41=1,1,0),"")</f>
        <v>1</v>
      </c>
      <c r="AV41" s="44">
        <f>AR41*100+AS41</f>
        <v>507</v>
      </c>
      <c r="AW41" s="44">
        <f>AS41*100+AR41</f>
        <v>705</v>
      </c>
      <c r="AX41" s="6">
        <f t="shared" si="25"/>
        <v>2.5</v>
      </c>
      <c r="AY41" s="6">
        <f t="shared" si="25"/>
        <v>3</v>
      </c>
      <c r="AZ41" s="6">
        <f>J41*AY41</f>
        <v>1.5</v>
      </c>
      <c r="BA41" s="6">
        <f>M41*AX41</f>
        <v>1.25</v>
      </c>
    </row>
    <row r="42" spans="2:53" x14ac:dyDescent="0.25">
      <c r="B42" s="6">
        <v>3</v>
      </c>
      <c r="C42" s="6" t="str">
        <f>VLOOKUP(AR42,$B$4:$F$11,2,FALSE)</f>
        <v>Moses de Jong</v>
      </c>
      <c r="D42" s="43" t="s">
        <v>5</v>
      </c>
      <c r="E42" s="63" t="str">
        <f>VLOOKUP(AS42,$B$4:$F$11,2,FALSE)</f>
        <v>Gurkan Kandemir</v>
      </c>
      <c r="F42" s="63"/>
      <c r="G42" s="63"/>
      <c r="H42" s="63"/>
      <c r="J42" s="63">
        <f>IF(T42="","",VLOOKUP(T42,Configuratie!$B$2:$E$11,3,FALSE))</f>
        <v>0.5</v>
      </c>
      <c r="K42" s="63"/>
      <c r="L42" s="6" t="s">
        <v>5</v>
      </c>
      <c r="M42" s="63">
        <f>IF(T42="","",VLOOKUP(T42,Configuratie!$B$2:$E$11,4,FALSE))</f>
        <v>0.5</v>
      </c>
      <c r="N42" s="63"/>
      <c r="R42" s="6" t="str">
        <f>IF(T42="","",VLOOKUP(T42,Configuratie!$B$2:$E$11,2,FALSE))</f>
        <v>½-½</v>
      </c>
      <c r="T42" s="5">
        <v>2</v>
      </c>
      <c r="AQ42" s="6">
        <v>5</v>
      </c>
      <c r="AR42" s="6">
        <v>4</v>
      </c>
      <c r="AS42" s="6">
        <v>1</v>
      </c>
      <c r="AT42" s="6">
        <f>IF(AND(ISNUMBER(J42),ISNUMBER(M42)),IF(J42+M42=1,1,0),"")</f>
        <v>1</v>
      </c>
      <c r="AV42" s="44">
        <f>AR42*100+AS42</f>
        <v>401</v>
      </c>
      <c r="AW42" s="44">
        <f>AS42*100+AR42</f>
        <v>104</v>
      </c>
      <c r="AX42" s="6">
        <f t="shared" si="25"/>
        <v>2</v>
      </c>
      <c r="AY42" s="6">
        <f t="shared" si="25"/>
        <v>3</v>
      </c>
      <c r="AZ42" s="6">
        <f>J42*AY42</f>
        <v>1.5</v>
      </c>
      <c r="BA42" s="6">
        <f>M42*AX42</f>
        <v>1</v>
      </c>
    </row>
    <row r="43" spans="2:53" x14ac:dyDescent="0.25">
      <c r="B43" s="6">
        <v>4</v>
      </c>
      <c r="C43" s="6" t="str">
        <f>VLOOKUP(AR43,$B$4:$F$11,2,FALSE)</f>
        <v>Istar Snijders</v>
      </c>
      <c r="D43" s="43" t="s">
        <v>5</v>
      </c>
      <c r="E43" s="63" t="str">
        <f>VLOOKUP(AS43,$B$4:$F$11,2,FALSE)</f>
        <v>Bas Van der Made</v>
      </c>
      <c r="F43" s="63"/>
      <c r="G43" s="63"/>
      <c r="H43" s="63"/>
      <c r="J43" s="63">
        <f>IF(T43="","",VLOOKUP(T43,Configuratie!$B$2:$E$11,3,FALSE))</f>
        <v>0.5</v>
      </c>
      <c r="K43" s="63"/>
      <c r="L43" s="6" t="s">
        <v>5</v>
      </c>
      <c r="M43" s="63">
        <f>IF(T43="","",VLOOKUP(T43,Configuratie!$B$2:$E$11,4,FALSE))</f>
        <v>0.5</v>
      </c>
      <c r="N43" s="63"/>
      <c r="R43" s="6" t="str">
        <f>IF(T43="","",VLOOKUP(T43,Configuratie!$B$2:$E$11,2,FALSE))</f>
        <v>½-½</v>
      </c>
      <c r="T43" s="5">
        <v>2</v>
      </c>
      <c r="AQ43" s="6">
        <v>5</v>
      </c>
      <c r="AR43" s="6">
        <v>3</v>
      </c>
      <c r="AS43" s="6">
        <v>2</v>
      </c>
      <c r="AT43" s="6">
        <f>IF(AND(ISNUMBER(J43),ISNUMBER(M43)),IF(J43+M43=1,1,0),"")</f>
        <v>1</v>
      </c>
      <c r="AV43" s="44">
        <f>AR43*100+AS43</f>
        <v>302</v>
      </c>
      <c r="AW43" s="44">
        <f>AS43*100+AR43</f>
        <v>203</v>
      </c>
      <c r="AX43" s="6">
        <f t="shared" si="25"/>
        <v>2</v>
      </c>
      <c r="AY43" s="6">
        <f t="shared" si="25"/>
        <v>1.5</v>
      </c>
      <c r="AZ43" s="6">
        <f>J43*AY43</f>
        <v>0.75</v>
      </c>
      <c r="BA43" s="6">
        <f>M43*AX43</f>
        <v>1</v>
      </c>
    </row>
    <row r="44" spans="2:53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V44" s="39"/>
      <c r="AW44" s="39"/>
    </row>
    <row r="45" spans="2:53" x14ac:dyDescent="0.25">
      <c r="B45" s="42" t="s">
        <v>13</v>
      </c>
      <c r="AV45" s="39"/>
      <c r="AW45" s="39"/>
    </row>
    <row r="46" spans="2:53" x14ac:dyDescent="0.25">
      <c r="B46" s="6">
        <v>1</v>
      </c>
      <c r="C46" s="6" t="str">
        <f>VLOOKUP(AR46,$B$4:$F$11,2,FALSE)</f>
        <v>???</v>
      </c>
      <c r="D46" s="43" t="s">
        <v>5</v>
      </c>
      <c r="E46" s="63" t="str">
        <f>VLOOKUP(AS46,$B$4:$F$11,2,FALSE)</f>
        <v>Bas Van der Made</v>
      </c>
      <c r="F46" s="63"/>
      <c r="G46" s="63"/>
      <c r="H46" s="63"/>
      <c r="J46" s="63">
        <f>IF(T46="","",VLOOKUP(T46,Configuratie!$B$2:$E$11,3,FALSE))</f>
        <v>0</v>
      </c>
      <c r="K46" s="63"/>
      <c r="L46" s="6" t="s">
        <v>5</v>
      </c>
      <c r="M46" s="63">
        <f>IF(T46="","",VLOOKUP(T46,Configuratie!$B$2:$E$11,4,FALSE))</f>
        <v>1</v>
      </c>
      <c r="N46" s="63"/>
      <c r="R46" s="6" t="str">
        <f>IF(T46="","",VLOOKUP(T46,Configuratie!$B$2:$E$11,2,FALSE))</f>
        <v>0-1</v>
      </c>
      <c r="T46" s="5">
        <v>0</v>
      </c>
      <c r="AQ46" s="6">
        <v>6</v>
      </c>
      <c r="AR46" s="6">
        <v>8</v>
      </c>
      <c r="AS46" s="6">
        <v>2</v>
      </c>
      <c r="AT46" s="6">
        <f>IF(AND(ISNUMBER(J46),ISNUMBER(M46)),IF(J46+M46=1,1,0),"")</f>
        <v>1</v>
      </c>
      <c r="AV46" s="44">
        <f>AR46*100+AS46</f>
        <v>802</v>
      </c>
      <c r="AW46" s="44">
        <f>AS46*100+AR46</f>
        <v>208</v>
      </c>
      <c r="AX46" s="6">
        <f t="shared" ref="AX46:AY49" si="26">VLOOKUP(AR46,$BG$3:$BP$11,$AQ46,FALSE)</f>
        <v>0</v>
      </c>
      <c r="AY46" s="6">
        <f t="shared" si="26"/>
        <v>2</v>
      </c>
      <c r="AZ46" s="6">
        <f>J46*AY46</f>
        <v>0</v>
      </c>
      <c r="BA46" s="6">
        <f>M46*AX46</f>
        <v>0</v>
      </c>
    </row>
    <row r="47" spans="2:53" x14ac:dyDescent="0.25">
      <c r="B47" s="6">
        <v>2</v>
      </c>
      <c r="C47" s="6" t="str">
        <f>VLOOKUP(AR47,$B$4:$F$11,2,FALSE)</f>
        <v>Gurkan Kandemir</v>
      </c>
      <c r="D47" s="43" t="s">
        <v>5</v>
      </c>
      <c r="E47" s="63" t="str">
        <f>VLOOKUP(AS47,$B$4:$F$11,2,FALSE)</f>
        <v>Istar Snijders</v>
      </c>
      <c r="F47" s="63"/>
      <c r="G47" s="63"/>
      <c r="H47" s="63"/>
      <c r="J47" s="63">
        <f>IF(T47="","",VLOOKUP(T47,Configuratie!$B$2:$E$11,3,FALSE))</f>
        <v>1</v>
      </c>
      <c r="K47" s="63"/>
      <c r="L47" s="6" t="s">
        <v>5</v>
      </c>
      <c r="M47" s="63">
        <f>IF(T47="","",VLOOKUP(T47,Configuratie!$B$2:$E$11,4,FALSE))</f>
        <v>0</v>
      </c>
      <c r="N47" s="63"/>
      <c r="R47" s="6" t="str">
        <f>IF(T47="","",VLOOKUP(T47,Configuratie!$B$2:$E$11,2,FALSE))</f>
        <v>1-0</v>
      </c>
      <c r="T47" s="5">
        <v>1</v>
      </c>
      <c r="AQ47" s="6">
        <v>6</v>
      </c>
      <c r="AR47" s="6">
        <v>1</v>
      </c>
      <c r="AS47" s="6">
        <v>3</v>
      </c>
      <c r="AT47" s="6">
        <f>IF(AND(ISNUMBER(J47),ISNUMBER(M47)),IF(J47+M47=1,1,0),"")</f>
        <v>1</v>
      </c>
      <c r="AV47" s="44">
        <f>AR47*100+AS47</f>
        <v>103</v>
      </c>
      <c r="AW47" s="44">
        <f>AS47*100+AR47</f>
        <v>301</v>
      </c>
      <c r="AX47" s="6">
        <f t="shared" si="26"/>
        <v>3.5</v>
      </c>
      <c r="AY47" s="6">
        <f t="shared" si="26"/>
        <v>2.5</v>
      </c>
      <c r="AZ47" s="6">
        <f>J47*AY47</f>
        <v>2.5</v>
      </c>
      <c r="BA47" s="6">
        <f>M47*AX47</f>
        <v>0</v>
      </c>
    </row>
    <row r="48" spans="2:53" x14ac:dyDescent="0.25">
      <c r="B48" s="6">
        <v>3</v>
      </c>
      <c r="C48" s="6" t="str">
        <f>VLOOKUP(AR48,$B$4:$F$11,2,FALSE)</f>
        <v>Jurre van der Zanden</v>
      </c>
      <c r="D48" s="43" t="s">
        <v>5</v>
      </c>
      <c r="E48" s="63" t="str">
        <f>VLOOKUP(AS48,$B$4:$F$11,2,FALSE)</f>
        <v>Moses de Jong</v>
      </c>
      <c r="F48" s="63"/>
      <c r="G48" s="63"/>
      <c r="H48" s="63"/>
      <c r="J48" s="63">
        <f>IF(T48="","",VLOOKUP(T48,Configuratie!$B$2:$E$11,3,FALSE))</f>
        <v>0</v>
      </c>
      <c r="K48" s="63"/>
      <c r="L48" s="6" t="s">
        <v>5</v>
      </c>
      <c r="M48" s="63">
        <f>IF(T48="","",VLOOKUP(T48,Configuratie!$B$2:$E$11,4,FALSE))</f>
        <v>1</v>
      </c>
      <c r="N48" s="63"/>
      <c r="R48" s="6" t="str">
        <f>IF(T48="","",VLOOKUP(T48,Configuratie!$B$2:$E$11,2,FALSE))</f>
        <v>0-1</v>
      </c>
      <c r="T48" s="5">
        <v>0</v>
      </c>
      <c r="AQ48" s="6">
        <v>6</v>
      </c>
      <c r="AR48" s="6">
        <v>7</v>
      </c>
      <c r="AS48" s="6">
        <v>4</v>
      </c>
      <c r="AT48" s="6">
        <f>IF(AND(ISNUMBER(J48),ISNUMBER(M48)),IF(J48+M48=1,1,0),"")</f>
        <v>1</v>
      </c>
      <c r="AV48" s="44">
        <f>AR48*100+AS48</f>
        <v>704</v>
      </c>
      <c r="AW48" s="44">
        <f>AS48*100+AR48</f>
        <v>407</v>
      </c>
      <c r="AX48" s="6">
        <f t="shared" si="26"/>
        <v>3.5</v>
      </c>
      <c r="AY48" s="6">
        <f t="shared" si="26"/>
        <v>2.5</v>
      </c>
      <c r="AZ48" s="6">
        <f>J48*AY48</f>
        <v>0</v>
      </c>
      <c r="BA48" s="6">
        <f>M48*AX48</f>
        <v>3.5</v>
      </c>
    </row>
    <row r="49" spans="2:53" x14ac:dyDescent="0.25">
      <c r="B49" s="6">
        <v>4</v>
      </c>
      <c r="C49" s="6" t="str">
        <f>VLOOKUP(AR49,$B$4:$F$11,2,FALSE)</f>
        <v>Olivier Van Pinksteren</v>
      </c>
      <c r="D49" s="43" t="s">
        <v>5</v>
      </c>
      <c r="E49" s="63" t="str">
        <f>VLOOKUP(AS49,$B$4:$F$11,2,FALSE)</f>
        <v>Daan van Helden</v>
      </c>
      <c r="F49" s="63"/>
      <c r="G49" s="63"/>
      <c r="H49" s="63"/>
      <c r="J49" s="63">
        <f>IF(T49="","",VLOOKUP(T49,Configuratie!$B$2:$E$11,3,FALSE))</f>
        <v>0</v>
      </c>
      <c r="K49" s="63"/>
      <c r="L49" s="6" t="s">
        <v>5</v>
      </c>
      <c r="M49" s="63">
        <f>IF(T49="","",VLOOKUP(T49,Configuratie!$B$2:$E$11,4,FALSE))</f>
        <v>1</v>
      </c>
      <c r="N49" s="63"/>
      <c r="R49" s="6" t="str">
        <f>IF(T49="","",VLOOKUP(T49,Configuratie!$B$2:$E$11,2,FALSE))</f>
        <v>0-1</v>
      </c>
      <c r="T49" s="5">
        <v>0</v>
      </c>
      <c r="AQ49" s="6">
        <v>6</v>
      </c>
      <c r="AR49" s="6">
        <v>6</v>
      </c>
      <c r="AS49" s="6">
        <v>5</v>
      </c>
      <c r="AT49" s="6">
        <f>IF(AND(ISNUMBER(J49),ISNUMBER(M49)),IF(J49+M49=1,1,0),"")</f>
        <v>1</v>
      </c>
      <c r="AV49" s="44">
        <f>AR49*100+AS49</f>
        <v>605</v>
      </c>
      <c r="AW49" s="44">
        <f>AS49*100+AR49</f>
        <v>506</v>
      </c>
      <c r="AX49" s="6">
        <f t="shared" si="26"/>
        <v>3</v>
      </c>
      <c r="AY49" s="6">
        <f t="shared" si="26"/>
        <v>3</v>
      </c>
      <c r="AZ49" s="6">
        <f>J49*AY49</f>
        <v>0</v>
      </c>
      <c r="BA49" s="6">
        <f>M49*AX49</f>
        <v>3</v>
      </c>
    </row>
    <row r="50" spans="2:53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V50" s="39"/>
      <c r="AW50" s="39"/>
    </row>
    <row r="51" spans="2:53" x14ac:dyDescent="0.25">
      <c r="B51" s="42" t="s">
        <v>14</v>
      </c>
      <c r="AV51" s="39"/>
      <c r="AW51" s="39"/>
    </row>
    <row r="52" spans="2:53" x14ac:dyDescent="0.25">
      <c r="B52" s="6">
        <v>1</v>
      </c>
      <c r="C52" s="6" t="str">
        <f>VLOOKUP(AR52,$B$4:$F$11,2,FALSE)</f>
        <v>Daan van Helden</v>
      </c>
      <c r="D52" s="43" t="s">
        <v>5</v>
      </c>
      <c r="E52" s="63" t="str">
        <f>VLOOKUP(AS52,$B$4:$F$11,2,FALSE)</f>
        <v>???</v>
      </c>
      <c r="F52" s="63"/>
      <c r="G52" s="63"/>
      <c r="H52" s="63"/>
      <c r="J52" s="63">
        <f>IF(T52="","",VLOOKUP(T52,Configuratie!$B$2:$E$11,3,FALSE))</f>
        <v>1</v>
      </c>
      <c r="K52" s="63"/>
      <c r="L52" s="6" t="s">
        <v>5</v>
      </c>
      <c r="M52" s="63">
        <f>IF(T52="","",VLOOKUP(T52,Configuratie!$B$2:$E$11,4,FALSE))</f>
        <v>0</v>
      </c>
      <c r="N52" s="63"/>
      <c r="R52" s="6" t="str">
        <f>IF(T52="","",VLOOKUP(T52,Configuratie!$B$2:$E$11,2,FALSE))</f>
        <v>1-0</v>
      </c>
      <c r="T52" s="5">
        <v>1</v>
      </c>
      <c r="AQ52" s="6">
        <v>7</v>
      </c>
      <c r="AR52" s="6">
        <v>5</v>
      </c>
      <c r="AS52" s="6">
        <v>8</v>
      </c>
      <c r="AT52" s="6">
        <f>IF(AND(ISNUMBER(J52),ISNUMBER(M52)),IF(J52+M52=1,1,0),"")</f>
        <v>1</v>
      </c>
      <c r="AV52" s="44">
        <f>AR52*100+AS52</f>
        <v>508</v>
      </c>
      <c r="AW52" s="44">
        <f>AS52*100+AR52</f>
        <v>805</v>
      </c>
      <c r="AX52" s="6">
        <f t="shared" ref="AX52:AY55" si="27">VLOOKUP(AR52,$BG$3:$BP$11,$AQ52,FALSE)</f>
        <v>4</v>
      </c>
      <c r="AY52" s="6">
        <f t="shared" si="27"/>
        <v>0</v>
      </c>
      <c r="AZ52" s="6">
        <f>J52*AY52</f>
        <v>0</v>
      </c>
      <c r="BA52" s="6">
        <f>M52*AX52</f>
        <v>0</v>
      </c>
    </row>
    <row r="53" spans="2:53" x14ac:dyDescent="0.25">
      <c r="B53" s="6">
        <v>2</v>
      </c>
      <c r="C53" s="6" t="str">
        <f>VLOOKUP(AR53,$B$4:$F$11,2,FALSE)</f>
        <v>Moses de Jong</v>
      </c>
      <c r="D53" s="43" t="s">
        <v>5</v>
      </c>
      <c r="E53" s="63" t="str">
        <f>VLOOKUP(AS53,$B$4:$F$11,2,FALSE)</f>
        <v>Olivier Van Pinksteren</v>
      </c>
      <c r="F53" s="63"/>
      <c r="G53" s="63"/>
      <c r="H53" s="63"/>
      <c r="J53" s="63">
        <f>IF(T53="","",VLOOKUP(T53,Configuratie!$B$2:$E$11,3,FALSE))</f>
        <v>1</v>
      </c>
      <c r="K53" s="63"/>
      <c r="L53" s="6" t="s">
        <v>5</v>
      </c>
      <c r="M53" s="63">
        <f>IF(T53="","",VLOOKUP(T53,Configuratie!$B$2:$E$11,4,FALSE))</f>
        <v>0</v>
      </c>
      <c r="N53" s="63"/>
      <c r="R53" s="6" t="str">
        <f>IF(T53="","",VLOOKUP(T53,Configuratie!$B$2:$E$11,2,FALSE))</f>
        <v>1-0</v>
      </c>
      <c r="T53" s="5">
        <v>1</v>
      </c>
      <c r="AQ53" s="6">
        <v>7</v>
      </c>
      <c r="AR53" s="6">
        <v>4</v>
      </c>
      <c r="AS53" s="6">
        <v>6</v>
      </c>
      <c r="AT53" s="6">
        <f t="shared" ref="AT53:AT55" si="28">IF(AND(ISNUMBER(J53),ISNUMBER(M53)),IF(J53+M53=1,1,0),"")</f>
        <v>1</v>
      </c>
      <c r="AV53" s="44">
        <f>AR53*100+AS53</f>
        <v>406</v>
      </c>
      <c r="AW53" s="44">
        <f>AS53*100+AR53</f>
        <v>604</v>
      </c>
      <c r="AX53" s="6">
        <f t="shared" si="27"/>
        <v>3.5</v>
      </c>
      <c r="AY53" s="6">
        <f t="shared" si="27"/>
        <v>3</v>
      </c>
      <c r="AZ53" s="6">
        <f>J53*AY53</f>
        <v>3</v>
      </c>
      <c r="BA53" s="6">
        <f>M53*AX53</f>
        <v>0</v>
      </c>
    </row>
    <row r="54" spans="2:53" x14ac:dyDescent="0.25">
      <c r="B54" s="6">
        <v>3</v>
      </c>
      <c r="C54" s="6" t="str">
        <f>VLOOKUP(AR54,$B$4:$F$11,2,FALSE)</f>
        <v>Istar Snijders</v>
      </c>
      <c r="D54" s="43" t="s">
        <v>5</v>
      </c>
      <c r="E54" s="63" t="str">
        <f>VLOOKUP(AS54,$B$4:$F$11,2,FALSE)</f>
        <v>Jurre van der Zanden</v>
      </c>
      <c r="F54" s="63"/>
      <c r="G54" s="63"/>
      <c r="H54" s="63"/>
      <c r="J54" s="63">
        <f>IF(T54="","",VLOOKUP(T54,Configuratie!$B$2:$E$11,3,FALSE))</f>
        <v>0</v>
      </c>
      <c r="K54" s="63"/>
      <c r="L54" s="6" t="s">
        <v>5</v>
      </c>
      <c r="M54" s="63">
        <f>IF(T54="","",VLOOKUP(T54,Configuratie!$B$2:$E$11,4,FALSE))</f>
        <v>1</v>
      </c>
      <c r="N54" s="63"/>
      <c r="R54" s="6" t="str">
        <f>IF(T54="","",VLOOKUP(T54,Configuratie!$B$2:$E$11,2,FALSE))</f>
        <v>0-1</v>
      </c>
      <c r="T54" s="5">
        <v>0</v>
      </c>
      <c r="AQ54" s="6">
        <v>7</v>
      </c>
      <c r="AR54" s="6">
        <v>3</v>
      </c>
      <c r="AS54" s="6">
        <v>7</v>
      </c>
      <c r="AT54" s="6">
        <f t="shared" si="28"/>
        <v>1</v>
      </c>
      <c r="AV54" s="44">
        <f>AR54*100+AS54</f>
        <v>307</v>
      </c>
      <c r="AW54" s="44">
        <f>AS54*100+AR54</f>
        <v>703</v>
      </c>
      <c r="AX54" s="6">
        <f t="shared" si="27"/>
        <v>2.5</v>
      </c>
      <c r="AY54" s="6">
        <f t="shared" si="27"/>
        <v>3.5</v>
      </c>
      <c r="AZ54" s="6">
        <f>J54*AY54</f>
        <v>0</v>
      </c>
      <c r="BA54" s="6">
        <f>M54*AX54</f>
        <v>2.5</v>
      </c>
    </row>
    <row r="55" spans="2:53" x14ac:dyDescent="0.25">
      <c r="B55" s="6">
        <v>4</v>
      </c>
      <c r="C55" s="6" t="str">
        <f>VLOOKUP(AR55,$B$4:$F$11,2,FALSE)</f>
        <v>Bas Van der Made</v>
      </c>
      <c r="D55" s="43" t="s">
        <v>5</v>
      </c>
      <c r="E55" s="63" t="str">
        <f>VLOOKUP(AS55,$B$4:$F$11,2,FALSE)</f>
        <v>Gurkan Kandemir</v>
      </c>
      <c r="F55" s="63"/>
      <c r="G55" s="63"/>
      <c r="H55" s="63"/>
      <c r="J55" s="63">
        <f>IF(T55="","",VLOOKUP(T55,Configuratie!$B$2:$E$11,3,FALSE))</f>
        <v>0</v>
      </c>
      <c r="K55" s="63"/>
      <c r="L55" s="6" t="s">
        <v>5</v>
      </c>
      <c r="M55" s="63">
        <f>IF(T55="","",VLOOKUP(T55,Configuratie!$B$2:$E$11,4,FALSE))</f>
        <v>1</v>
      </c>
      <c r="N55" s="63"/>
      <c r="R55" s="6" t="str">
        <f>IF(T55="","",VLOOKUP(T55,Configuratie!$B$2:$E$11,2,FALSE))</f>
        <v>0-1</v>
      </c>
      <c r="T55" s="5">
        <v>0</v>
      </c>
      <c r="AQ55" s="6">
        <v>7</v>
      </c>
      <c r="AR55" s="6">
        <v>2</v>
      </c>
      <c r="AS55" s="6">
        <v>1</v>
      </c>
      <c r="AT55" s="6">
        <f t="shared" si="28"/>
        <v>1</v>
      </c>
      <c r="AV55" s="44">
        <f>AR55*100+AS55</f>
        <v>201</v>
      </c>
      <c r="AW55" s="44">
        <f>AS55*100+AR55</f>
        <v>102</v>
      </c>
      <c r="AX55" s="6">
        <f t="shared" si="27"/>
        <v>3</v>
      </c>
      <c r="AY55" s="6">
        <f t="shared" si="27"/>
        <v>4.5</v>
      </c>
      <c r="AZ55" s="6">
        <f>J55*AY55</f>
        <v>0</v>
      </c>
      <c r="BA55" s="6">
        <f>M55*AX55</f>
        <v>3</v>
      </c>
    </row>
    <row r="57" spans="2:53" ht="26.25" x14ac:dyDescent="0.4">
      <c r="B57" s="62" t="str">
        <f>"UITSLAG " &amp; G1</f>
        <v>UITSLAG Groep B</v>
      </c>
      <c r="C57" s="60"/>
      <c r="D57" s="60"/>
      <c r="E57" s="60"/>
      <c r="F57" s="60"/>
      <c r="G57" s="60"/>
      <c r="H57" s="60"/>
    </row>
    <row r="59" spans="2:53" x14ac:dyDescent="0.25">
      <c r="B59" s="7" t="s">
        <v>30</v>
      </c>
      <c r="C59" s="7"/>
      <c r="D59" s="22" t="s">
        <v>28</v>
      </c>
      <c r="E59" s="7" t="s">
        <v>6</v>
      </c>
      <c r="F59" s="7" t="s">
        <v>27</v>
      </c>
      <c r="G59" s="7" t="s">
        <v>22</v>
      </c>
      <c r="H59" s="7" t="s">
        <v>24</v>
      </c>
    </row>
    <row r="60" spans="2:53" x14ac:dyDescent="0.25">
      <c r="B60" s="30">
        <v>1</v>
      </c>
      <c r="C60" s="30" t="str">
        <f t="shared" ref="C60:C67" si="29">C4</f>
        <v>Gurkan Kandemir</v>
      </c>
      <c r="D60" s="31">
        <v>2</v>
      </c>
      <c r="E60" s="32" t="str">
        <f t="shared" ref="E60:E67" si="30">IF(ISNA(VLOOKUP(B60,$A$4:$T$11,3,FALSE)),C4,VLOOKUP(B60,$A$4:$T$11,3,FALSE))</f>
        <v>Gurkan Kandemir</v>
      </c>
      <c r="F60" s="50">
        <f t="shared" ref="F60:F67" si="31">IF(ISNA(VLOOKUP($B4,$A$4:$T$11,18,FALSE)),0,VLOOKUP($B4,$A$4:$T$11,18,FALSE))</f>
        <v>5.5</v>
      </c>
      <c r="G60" s="33">
        <f>VLOOKUP($B4,$A$4:$T$11,18,FALSE)</f>
        <v>5.5</v>
      </c>
      <c r="H60" s="12">
        <f t="shared" ref="H60:H67" si="32">IF(ISNA(VLOOKUP($B4,$A$4:$T$11,19,FALSE)),0,VLOOKUP($B4,$A$4:$T$11,19,FALSE))</f>
        <v>16.25</v>
      </c>
    </row>
    <row r="61" spans="2:53" x14ac:dyDescent="0.25">
      <c r="B61" s="30">
        <v>2</v>
      </c>
      <c r="C61" s="30" t="str">
        <f t="shared" si="29"/>
        <v>Bas Van der Made</v>
      </c>
      <c r="D61" s="31">
        <v>7</v>
      </c>
      <c r="E61" s="32" t="str">
        <f t="shared" si="30"/>
        <v>Daan van Helden</v>
      </c>
      <c r="F61" s="50">
        <f t="shared" si="31"/>
        <v>5</v>
      </c>
      <c r="G61" s="33">
        <f t="shared" ref="G61:G67" si="33">VLOOKUP($D61,$AQ$4:$AT$11,2,FALSE)</f>
        <v>14</v>
      </c>
      <c r="H61" s="12">
        <f t="shared" si="32"/>
        <v>15.5</v>
      </c>
    </row>
    <row r="62" spans="2:53" x14ac:dyDescent="0.25">
      <c r="B62" s="30">
        <v>3</v>
      </c>
      <c r="C62" s="30" t="str">
        <f t="shared" si="29"/>
        <v>Istar Snijders</v>
      </c>
      <c r="D62" s="31">
        <v>1</v>
      </c>
      <c r="E62" s="32" t="str">
        <f t="shared" si="30"/>
        <v>Moses de Jong</v>
      </c>
      <c r="F62" s="50">
        <f t="shared" si="31"/>
        <v>4.5</v>
      </c>
      <c r="G62" s="33">
        <f t="shared" si="33"/>
        <v>16.5</v>
      </c>
      <c r="H62" s="12">
        <f t="shared" si="32"/>
        <v>12.75</v>
      </c>
    </row>
    <row r="63" spans="2:53" x14ac:dyDescent="0.25">
      <c r="B63" s="30">
        <v>4</v>
      </c>
      <c r="C63" s="30" t="str">
        <f t="shared" si="29"/>
        <v>Moses de Jong</v>
      </c>
      <c r="D63" s="31">
        <v>6</v>
      </c>
      <c r="E63" s="32" t="str">
        <f t="shared" si="30"/>
        <v>Jurre van der Zanden</v>
      </c>
      <c r="F63" s="50">
        <f t="shared" si="31"/>
        <v>4.5</v>
      </c>
      <c r="G63" s="33">
        <f t="shared" si="33"/>
        <v>12.5</v>
      </c>
      <c r="H63" s="12">
        <f t="shared" si="32"/>
        <v>11</v>
      </c>
    </row>
    <row r="64" spans="2:53" x14ac:dyDescent="0.25">
      <c r="B64" s="30">
        <v>5</v>
      </c>
      <c r="C64" s="30" t="str">
        <f t="shared" si="29"/>
        <v>Daan van Helden</v>
      </c>
      <c r="D64" s="31">
        <v>3</v>
      </c>
      <c r="E64" s="32" t="str">
        <f t="shared" si="30"/>
        <v>Bas Van der Made</v>
      </c>
      <c r="F64" s="50">
        <f t="shared" si="31"/>
        <v>3</v>
      </c>
      <c r="G64" s="33">
        <f t="shared" si="33"/>
        <v>9</v>
      </c>
      <c r="H64" s="12">
        <f t="shared" si="32"/>
        <v>7.25</v>
      </c>
    </row>
    <row r="65" spans="2:8" x14ac:dyDescent="0.25">
      <c r="B65" s="30">
        <v>6</v>
      </c>
      <c r="C65" s="30" t="str">
        <f t="shared" si="29"/>
        <v>Olivier Van Pinksteren</v>
      </c>
      <c r="D65" s="31">
        <v>5</v>
      </c>
      <c r="E65" s="32" t="str">
        <f t="shared" si="30"/>
        <v>Olivier Van Pinksteren</v>
      </c>
      <c r="F65" s="50">
        <f t="shared" si="31"/>
        <v>3</v>
      </c>
      <c r="G65" s="33">
        <f t="shared" si="33"/>
        <v>13.5</v>
      </c>
      <c r="H65" s="12">
        <f t="shared" si="32"/>
        <v>6.75</v>
      </c>
    </row>
    <row r="66" spans="2:8" x14ac:dyDescent="0.25">
      <c r="B66" s="30">
        <v>7</v>
      </c>
      <c r="C66" s="30" t="str">
        <f t="shared" si="29"/>
        <v>Jurre van der Zanden</v>
      </c>
      <c r="D66" s="31">
        <v>4</v>
      </c>
      <c r="E66" s="32" t="str">
        <f t="shared" si="30"/>
        <v>Istar Snijders</v>
      </c>
      <c r="F66" s="50">
        <f t="shared" si="31"/>
        <v>2.5</v>
      </c>
      <c r="G66" s="33">
        <f t="shared" si="33"/>
        <v>11</v>
      </c>
      <c r="H66" s="12">
        <f t="shared" si="32"/>
        <v>6.5</v>
      </c>
    </row>
    <row r="67" spans="2:8" x14ac:dyDescent="0.25">
      <c r="B67" s="30">
        <v>8</v>
      </c>
      <c r="C67" s="30" t="str">
        <f t="shared" si="29"/>
        <v>???</v>
      </c>
      <c r="D67" s="31">
        <v>8</v>
      </c>
      <c r="E67" s="32" t="str">
        <f t="shared" si="30"/>
        <v>???</v>
      </c>
      <c r="F67" s="50">
        <f t="shared" si="31"/>
        <v>0</v>
      </c>
      <c r="G67" s="33">
        <f t="shared" si="33"/>
        <v>0</v>
      </c>
      <c r="H67" s="12">
        <f t="shared" si="32"/>
        <v>0</v>
      </c>
    </row>
  </sheetData>
  <sheetProtection algorithmName="SHA-512" hashValue="Y+PKwXYafQZ0ljQD5e2uoK5eVoC0LW+t2hkuBwNw2vFaUliZii9KWjZbbszLTipTguBqQ3Qn3nU1QUKH4FeX8w==" saltValue="13SAt9J304b1uXOhFuVg3Q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7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5:E5"/>
    <mergeCell ref="D6:E6"/>
    <mergeCell ref="D7:E7"/>
    <mergeCell ref="D8:E8"/>
    <mergeCell ref="D9:E9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4:E4"/>
    <mergeCell ref="B1:F1"/>
    <mergeCell ref="AW2:BE2"/>
    <mergeCell ref="BH2:BP2"/>
    <mergeCell ref="D3:E3"/>
  </mergeCells>
  <conditionalFormatting sqref="H4:Q11">
    <cfRule type="cellIs" dxfId="3" priority="4" stopIfTrue="1" operator="between">
      <formula>0</formula>
      <formula>1</formula>
    </cfRule>
  </conditionalFormatting>
  <conditionalFormatting sqref="T4:U11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 verticalCentered="1"/>
  <pageMargins left="0.7" right="0.7" top="0.75" bottom="0.75" header="0.3" footer="0.3"/>
  <pageSetup scale="70" orientation="landscape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49DDE-D434-4510-9CDE-DC5F4CD88983}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 collapsed="1"/>
    <col min="2" max="2" width="13.42578125" customWidth="1" collapsed="1"/>
  </cols>
  <sheetData>
    <row r="1" spans="1:8" ht="26.25" x14ac:dyDescent="0.4">
      <c r="A1" s="57" t="s">
        <v>37</v>
      </c>
      <c r="B1" s="57"/>
      <c r="C1" s="57"/>
      <c r="D1" s="57"/>
      <c r="E1" s="57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56" t="s">
        <v>6</v>
      </c>
      <c r="B3" s="56" t="s">
        <v>7</v>
      </c>
      <c r="C3" s="56" t="s">
        <v>8</v>
      </c>
      <c r="D3" s="56" t="s">
        <v>64</v>
      </c>
      <c r="E3" s="2"/>
      <c r="F3" s="1"/>
      <c r="G3" s="1"/>
      <c r="H3" s="1"/>
    </row>
    <row r="4" spans="1:8" x14ac:dyDescent="0.25">
      <c r="A4" s="3" t="str">
        <f>'Groep A'!C4</f>
        <v>Ilan van der Zand</v>
      </c>
      <c r="B4" s="3">
        <f>'Groep A'!D4</f>
        <v>8512031</v>
      </c>
      <c r="C4" s="3">
        <f>'Groep A'!F4</f>
        <v>1611</v>
      </c>
      <c r="D4" s="3" t="s">
        <v>65</v>
      </c>
      <c r="E4" s="3"/>
      <c r="F4" s="1"/>
      <c r="G4" s="1"/>
      <c r="H4" s="1"/>
    </row>
    <row r="5" spans="1:8" x14ac:dyDescent="0.25">
      <c r="A5" s="1" t="str">
        <f>'Groep A'!C5</f>
        <v>Fabian de Vries</v>
      </c>
      <c r="B5" s="1">
        <f>'Groep A'!D5</f>
        <v>8540554</v>
      </c>
      <c r="C5" s="1">
        <f>'Groep A'!F5</f>
        <v>1600</v>
      </c>
      <c r="D5" s="1" t="s">
        <v>65</v>
      </c>
      <c r="E5" s="1"/>
      <c r="F5" s="1"/>
      <c r="G5" s="1"/>
      <c r="H5" s="1"/>
    </row>
    <row r="6" spans="1:8" x14ac:dyDescent="0.25">
      <c r="A6" s="1" t="str">
        <f>'Groep A'!C7</f>
        <v>Ruben de Vries</v>
      </c>
      <c r="B6" s="1">
        <f>'Groep A'!D7</f>
        <v>8360121</v>
      </c>
      <c r="C6" s="1">
        <f>'Groep A'!F7</f>
        <v>1286</v>
      </c>
      <c r="D6" s="1" t="s">
        <v>65</v>
      </c>
      <c r="E6" s="1"/>
      <c r="F6" s="1"/>
      <c r="G6" s="1"/>
      <c r="H6" s="1"/>
    </row>
    <row r="8" spans="1:8" x14ac:dyDescent="0.25">
      <c r="A8" s="1" t="str">
        <f>'Groep A'!C8</f>
        <v>Floris van Capelleveen</v>
      </c>
      <c r="B8" s="1">
        <f>'Groep A'!D8</f>
        <v>8426165</v>
      </c>
      <c r="C8" s="1">
        <f>'Groep A'!F8</f>
        <v>1165</v>
      </c>
      <c r="D8" s="1" t="s">
        <v>65</v>
      </c>
      <c r="E8" s="1"/>
      <c r="F8" s="1"/>
      <c r="G8" s="1"/>
      <c r="H8" s="1"/>
    </row>
    <row r="9" spans="1:8" x14ac:dyDescent="0.25">
      <c r="A9" s="1" t="str">
        <f>'Groep A'!C9</f>
        <v>Abel Hogenhout</v>
      </c>
      <c r="B9" s="1">
        <f>'Groep A'!D9</f>
        <v>8589856</v>
      </c>
      <c r="C9" s="1">
        <f>'Groep A'!F9</f>
        <v>950</v>
      </c>
      <c r="D9" s="1" t="s">
        <v>65</v>
      </c>
      <c r="E9" s="1"/>
      <c r="F9" s="1"/>
      <c r="G9" s="1"/>
      <c r="H9" s="1"/>
    </row>
    <row r="10" spans="1:8" x14ac:dyDescent="0.25">
      <c r="A10" s="1" t="str">
        <f>'Groep A'!C10</f>
        <v>Merijn Adams</v>
      </c>
      <c r="B10" s="1">
        <f>'Groep A'!D10</f>
        <v>8665074</v>
      </c>
      <c r="C10" s="1">
        <f>'Groep A'!F10</f>
        <v>753</v>
      </c>
      <c r="D10" s="1" t="s">
        <v>65</v>
      </c>
      <c r="E10" s="1"/>
      <c r="F10" s="1"/>
      <c r="G10" s="1"/>
      <c r="H10" s="1"/>
    </row>
    <row r="11" spans="1:8" x14ac:dyDescent="0.25">
      <c r="A11" s="1" t="str">
        <f>'Groep A'!C11</f>
        <v>???</v>
      </c>
      <c r="B11" s="1">
        <f>'Groep A'!D11</f>
        <v>0</v>
      </c>
      <c r="C11" s="1">
        <f>'Groep A'!F11</f>
        <v>-1</v>
      </c>
      <c r="D11" s="1" t="s">
        <v>65</v>
      </c>
      <c r="E11" s="1"/>
      <c r="F11" s="1"/>
      <c r="G11" s="1"/>
      <c r="H11" s="1"/>
    </row>
    <row r="12" spans="1:8" x14ac:dyDescent="0.25">
      <c r="A12" s="1" t="str">
        <f>'Groep B'!C4</f>
        <v>Gurkan Kandemir</v>
      </c>
      <c r="B12" s="1">
        <f>'Groep B'!D4</f>
        <v>8690605</v>
      </c>
      <c r="C12" s="1">
        <f>'Groep B'!F4</f>
        <v>296</v>
      </c>
      <c r="D12" s="1" t="s">
        <v>74</v>
      </c>
      <c r="E12" s="1"/>
      <c r="F12" s="1"/>
      <c r="G12" s="1"/>
      <c r="H12" s="1"/>
    </row>
    <row r="13" spans="1:8" x14ac:dyDescent="0.25">
      <c r="A13" s="1" t="str">
        <f>'Groep B'!C5</f>
        <v>Bas Van der Made</v>
      </c>
      <c r="B13" s="1">
        <f>'Groep B'!D5</f>
        <v>8770652</v>
      </c>
      <c r="C13" s="1">
        <f>'Groep B'!F5</f>
        <v>268</v>
      </c>
      <c r="D13" s="1" t="s">
        <v>74</v>
      </c>
      <c r="E13" s="1"/>
      <c r="F13" s="1"/>
      <c r="G13" s="1"/>
      <c r="H13" s="1"/>
    </row>
    <row r="14" spans="1:8" x14ac:dyDescent="0.25">
      <c r="A14" s="1" t="str">
        <f>'Groep B'!C6</f>
        <v>Istar Snijders</v>
      </c>
      <c r="B14" s="1">
        <f>'Groep B'!D6</f>
        <v>8697348</v>
      </c>
      <c r="C14" s="1">
        <f>'Groep B'!F6</f>
        <v>216</v>
      </c>
      <c r="D14" s="1" t="s">
        <v>74</v>
      </c>
      <c r="E14" s="1"/>
      <c r="F14" s="1"/>
      <c r="G14" s="1"/>
      <c r="H14" s="1"/>
    </row>
    <row r="15" spans="1:8" x14ac:dyDescent="0.25">
      <c r="A15" s="1" t="str">
        <f>'Groep B'!C7</f>
        <v>Moses de Jong</v>
      </c>
      <c r="B15" s="1">
        <f>'Groep B'!D7</f>
        <v>8659123</v>
      </c>
      <c r="C15" s="1">
        <f>'Groep B'!F7</f>
        <v>195</v>
      </c>
      <c r="D15" s="1" t="s">
        <v>74</v>
      </c>
      <c r="E15" s="1"/>
      <c r="F15" s="1"/>
      <c r="G15" s="1"/>
      <c r="H15" s="1"/>
    </row>
    <row r="16" spans="1:8" x14ac:dyDescent="0.25">
      <c r="A16" s="1" t="str">
        <f>'Groep B'!C8</f>
        <v>Daan van Helden</v>
      </c>
      <c r="B16" s="1">
        <f>'Groep B'!D8</f>
        <v>8686315</v>
      </c>
      <c r="C16" s="1">
        <f>'Groep B'!F8</f>
        <v>172</v>
      </c>
      <c r="D16" s="1" t="s">
        <v>74</v>
      </c>
      <c r="E16" s="1"/>
      <c r="F16" s="1"/>
      <c r="G16" s="1"/>
      <c r="H16" s="1"/>
    </row>
    <row r="17" spans="1:8" x14ac:dyDescent="0.25">
      <c r="A17" s="1" t="str">
        <f>'Groep B'!C9</f>
        <v>Olivier Van Pinksteren</v>
      </c>
      <c r="B17" s="1">
        <f>'Groep B'!D9</f>
        <v>8815180</v>
      </c>
      <c r="C17" s="1">
        <f>'Groep B'!F9</f>
        <v>138</v>
      </c>
      <c r="D17" s="1" t="s">
        <v>74</v>
      </c>
      <c r="E17" s="1"/>
      <c r="F17" s="1"/>
      <c r="G17" s="1"/>
      <c r="H17" s="1"/>
    </row>
    <row r="18" spans="1:8" x14ac:dyDescent="0.25">
      <c r="A18" s="1" t="str">
        <f>'Groep B'!C10</f>
        <v>Jurre van der Zanden</v>
      </c>
      <c r="B18" s="1">
        <f>'Groep B'!D10</f>
        <v>8823474</v>
      </c>
      <c r="C18" s="1">
        <f>'Groep B'!F10</f>
        <v>136</v>
      </c>
      <c r="D18" s="1" t="s">
        <v>74</v>
      </c>
      <c r="E18" s="1"/>
      <c r="F18" s="1"/>
      <c r="G18" s="1"/>
      <c r="H18" s="1"/>
    </row>
    <row r="19" spans="1:8" x14ac:dyDescent="0.25">
      <c r="A19" s="1" t="str">
        <f>'Groep B'!C11</f>
        <v>???</v>
      </c>
      <c r="B19" s="1">
        <f>'Groep B'!D11</f>
        <v>0</v>
      </c>
      <c r="C19" s="1">
        <f>'Groep B'!F11</f>
        <v>-1</v>
      </c>
      <c r="D19" s="1" t="s">
        <v>74</v>
      </c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CA5D" sheet="1" objects="1" scenarios="1" selectLockedCells="1"/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Groepsindeling</vt:lpstr>
      <vt:lpstr>Deelnemerslijst</vt:lpstr>
      <vt:lpstr>Configuratie</vt:lpstr>
      <vt:lpstr>Groep A</vt:lpstr>
      <vt:lpstr>Groep B</vt:lpstr>
      <vt:lpstr>Deelnemerslijst (naam)</vt:lpstr>
      <vt:lpstr>'Groep A'!Afdrukbereik</vt:lpstr>
      <vt:lpstr>'Groep B'!Afdrukbereik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2019-05-11T10:30:49Z</dcterms:modified>
</cp:coreProperties>
</file>